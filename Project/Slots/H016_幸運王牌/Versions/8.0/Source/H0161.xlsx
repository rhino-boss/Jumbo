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16_幸運王牌\Source\"/>
    </mc:Choice>
  </mc:AlternateContent>
  <xr:revisionPtr revIDLastSave="0" documentId="13_ncr:1_{28657E49-E9A6-44CE-AE68-B2D30917470A}" xr6:coauthVersionLast="47" xr6:coauthVersionMax="47" xr10:uidLastSave="{00000000-0000-0000-0000-000000000000}"/>
  <bookViews>
    <workbookView xWindow="-108" yWindow="-108" windowWidth="23256" windowHeight="12456" tabRatio="800" xr2:uid="{00000000-000D-0000-FFFF-FFFF00000000}"/>
  </bookViews>
  <sheets>
    <sheet name="Overview" sheetId="1" r:id="rId1"/>
    <sheet name="Parameter" sheetId="2" r:id="rId2"/>
    <sheet name="BG_Symbol" sheetId="3" r:id="rId3"/>
    <sheet name="BG_Symbol (2)" sheetId="4" r:id="rId4"/>
    <sheet name="BG_Symbol (3)" sheetId="5" r:id="rId5"/>
    <sheet name="FG_Symbol" sheetId="6" r:id="rId6"/>
    <sheet name="FG_Symbol (2)" sheetId="7" r:id="rId7"/>
    <sheet name="FG_Symbol (3)" sheetId="8" r:id="rId8"/>
    <sheet name="BF_Symbol" sheetId="9" r:id="rId9"/>
    <sheet name="SF_Symbol" sheetId="10" r:id="rId10"/>
    <sheet name="SF_Symbol (2)" sheetId="11" r:id="rId11"/>
    <sheet name="SF_Symbol (3)" sheetId="12" r:id="rId1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12" l="1" a="1"/>
  <c r="H18" i="12" s="1"/>
  <c r="B4" i="12" a="1"/>
  <c r="B7" i="12" s="1"/>
  <c r="A4" i="12" a="1"/>
  <c r="A4" i="12" s="1"/>
  <c r="H4" i="11" a="1"/>
  <c r="H10" i="11" s="1"/>
  <c r="B4" i="11" a="1"/>
  <c r="B22" i="11" s="1"/>
  <c r="A4" i="11" a="1"/>
  <c r="A15" i="11" s="1"/>
  <c r="E15" i="11" s="1"/>
  <c r="U403" i="10"/>
  <c r="T403" i="10"/>
  <c r="S403" i="10"/>
  <c r="R403" i="10"/>
  <c r="Q403" i="10"/>
  <c r="U402" i="10"/>
  <c r="T402" i="10"/>
  <c r="S402" i="10"/>
  <c r="R402" i="10"/>
  <c r="Q402" i="10"/>
  <c r="U401" i="10"/>
  <c r="T401" i="10"/>
  <c r="S401" i="10"/>
  <c r="R401" i="10"/>
  <c r="Q401" i="10"/>
  <c r="U400" i="10"/>
  <c r="T400" i="10"/>
  <c r="S400" i="10"/>
  <c r="R400" i="10"/>
  <c r="Q400" i="10"/>
  <c r="U399" i="10"/>
  <c r="T399" i="10"/>
  <c r="S399" i="10"/>
  <c r="R399" i="10"/>
  <c r="Q399" i="10"/>
  <c r="U398" i="10"/>
  <c r="T398" i="10"/>
  <c r="S398" i="10"/>
  <c r="R398" i="10"/>
  <c r="Q398" i="10"/>
  <c r="U397" i="10"/>
  <c r="T397" i="10"/>
  <c r="S397" i="10"/>
  <c r="R397" i="10"/>
  <c r="Q397" i="10"/>
  <c r="U396" i="10"/>
  <c r="T396" i="10"/>
  <c r="S396" i="10"/>
  <c r="R396" i="10"/>
  <c r="Q396" i="10"/>
  <c r="U395" i="10"/>
  <c r="T395" i="10"/>
  <c r="S395" i="10"/>
  <c r="R395" i="10"/>
  <c r="Q395" i="10"/>
  <c r="U394" i="10"/>
  <c r="T394" i="10"/>
  <c r="S394" i="10"/>
  <c r="R394" i="10"/>
  <c r="Q394" i="10"/>
  <c r="U393" i="10"/>
  <c r="T393" i="10"/>
  <c r="S393" i="10"/>
  <c r="R393" i="10"/>
  <c r="Q393" i="10"/>
  <c r="U392" i="10"/>
  <c r="T392" i="10"/>
  <c r="S392" i="10"/>
  <c r="R392" i="10"/>
  <c r="Q392" i="10"/>
  <c r="U391" i="10"/>
  <c r="T391" i="10"/>
  <c r="S391" i="10"/>
  <c r="R391" i="10"/>
  <c r="Q391" i="10"/>
  <c r="U390" i="10"/>
  <c r="T390" i="10"/>
  <c r="S390" i="10"/>
  <c r="R390" i="10"/>
  <c r="Q390" i="10"/>
  <c r="U389" i="10"/>
  <c r="T389" i="10"/>
  <c r="S389" i="10"/>
  <c r="R389" i="10"/>
  <c r="Q389" i="10"/>
  <c r="U388" i="10"/>
  <c r="T388" i="10"/>
  <c r="S388" i="10"/>
  <c r="R388" i="10"/>
  <c r="Q388" i="10"/>
  <c r="U387" i="10"/>
  <c r="T387" i="10"/>
  <c r="S387" i="10"/>
  <c r="R387" i="10"/>
  <c r="Q387" i="10"/>
  <c r="U386" i="10"/>
  <c r="T386" i="10"/>
  <c r="S386" i="10"/>
  <c r="R386" i="10"/>
  <c r="Q386" i="10"/>
  <c r="U385" i="10"/>
  <c r="T385" i="10"/>
  <c r="S385" i="10"/>
  <c r="R385" i="10"/>
  <c r="Q385" i="10"/>
  <c r="U384" i="10"/>
  <c r="T384" i="10"/>
  <c r="S384" i="10"/>
  <c r="R384" i="10"/>
  <c r="Q384" i="10"/>
  <c r="U383" i="10"/>
  <c r="T383" i="10"/>
  <c r="S383" i="10"/>
  <c r="R383" i="10"/>
  <c r="Q383" i="10"/>
  <c r="U382" i="10"/>
  <c r="T382" i="10"/>
  <c r="S382" i="10"/>
  <c r="R382" i="10"/>
  <c r="Q382" i="10"/>
  <c r="U381" i="10"/>
  <c r="T381" i="10"/>
  <c r="S381" i="10"/>
  <c r="R381" i="10"/>
  <c r="Q381" i="10"/>
  <c r="U380" i="10"/>
  <c r="T380" i="10"/>
  <c r="S380" i="10"/>
  <c r="R380" i="10"/>
  <c r="Q380" i="10"/>
  <c r="U379" i="10"/>
  <c r="T379" i="10"/>
  <c r="S379" i="10"/>
  <c r="R379" i="10"/>
  <c r="Q379" i="10"/>
  <c r="U378" i="10"/>
  <c r="T378" i="10"/>
  <c r="S378" i="10"/>
  <c r="R378" i="10"/>
  <c r="Q378" i="10"/>
  <c r="U377" i="10"/>
  <c r="T377" i="10"/>
  <c r="S377" i="10"/>
  <c r="R377" i="10"/>
  <c r="Q377" i="10"/>
  <c r="U376" i="10"/>
  <c r="T376" i="10"/>
  <c r="S376" i="10"/>
  <c r="R376" i="10"/>
  <c r="Q376" i="10"/>
  <c r="U375" i="10"/>
  <c r="T375" i="10"/>
  <c r="S375" i="10"/>
  <c r="R375" i="10"/>
  <c r="Q375" i="10"/>
  <c r="U374" i="10"/>
  <c r="T374" i="10"/>
  <c r="S374" i="10"/>
  <c r="R374" i="10"/>
  <c r="Q374" i="10"/>
  <c r="U373" i="10"/>
  <c r="T373" i="10"/>
  <c r="S373" i="10"/>
  <c r="R373" i="10"/>
  <c r="Q373" i="10"/>
  <c r="U372" i="10"/>
  <c r="T372" i="10"/>
  <c r="S372" i="10"/>
  <c r="R372" i="10"/>
  <c r="Q372" i="10"/>
  <c r="U371" i="10"/>
  <c r="T371" i="10"/>
  <c r="S371" i="10"/>
  <c r="R371" i="10"/>
  <c r="Q371" i="10"/>
  <c r="U370" i="10"/>
  <c r="T370" i="10"/>
  <c r="S370" i="10"/>
  <c r="R370" i="10"/>
  <c r="Q370" i="10"/>
  <c r="U369" i="10"/>
  <c r="T369" i="10"/>
  <c r="S369" i="10"/>
  <c r="R369" i="10"/>
  <c r="Q369" i="10"/>
  <c r="U368" i="10"/>
  <c r="T368" i="10"/>
  <c r="S368" i="10"/>
  <c r="R368" i="10"/>
  <c r="Q368" i="10"/>
  <c r="U367" i="10"/>
  <c r="T367" i="10"/>
  <c r="S367" i="10"/>
  <c r="R367" i="10"/>
  <c r="Q367" i="10"/>
  <c r="U366" i="10"/>
  <c r="T366" i="10"/>
  <c r="S366" i="10"/>
  <c r="R366" i="10"/>
  <c r="Q366" i="10"/>
  <c r="U365" i="10"/>
  <c r="T365" i="10"/>
  <c r="S365" i="10"/>
  <c r="R365" i="10"/>
  <c r="Q365" i="10"/>
  <c r="U364" i="10"/>
  <c r="T364" i="10"/>
  <c r="S364" i="10"/>
  <c r="R364" i="10"/>
  <c r="Q364" i="10"/>
  <c r="U363" i="10"/>
  <c r="T363" i="10"/>
  <c r="S363" i="10"/>
  <c r="R363" i="10"/>
  <c r="Q363" i="10"/>
  <c r="U362" i="10"/>
  <c r="T362" i="10"/>
  <c r="S362" i="10"/>
  <c r="R362" i="10"/>
  <c r="Q362" i="10"/>
  <c r="U361" i="10"/>
  <c r="T361" i="10"/>
  <c r="S361" i="10"/>
  <c r="R361" i="10"/>
  <c r="Q361" i="10"/>
  <c r="U360" i="10"/>
  <c r="T360" i="10"/>
  <c r="S360" i="10"/>
  <c r="R360" i="10"/>
  <c r="Q360" i="10"/>
  <c r="U359" i="10"/>
  <c r="T359" i="10"/>
  <c r="S359" i="10"/>
  <c r="R359" i="10"/>
  <c r="Q359" i="10"/>
  <c r="U358" i="10"/>
  <c r="T358" i="10"/>
  <c r="S358" i="10"/>
  <c r="R358" i="10"/>
  <c r="Q358" i="10"/>
  <c r="U357" i="10"/>
  <c r="T357" i="10"/>
  <c r="S357" i="10"/>
  <c r="R357" i="10"/>
  <c r="Q357" i="10"/>
  <c r="U356" i="10"/>
  <c r="T356" i="10"/>
  <c r="S356" i="10"/>
  <c r="R356" i="10"/>
  <c r="Q356" i="10"/>
  <c r="U355" i="10"/>
  <c r="T355" i="10"/>
  <c r="S355" i="10"/>
  <c r="R355" i="10"/>
  <c r="Q355" i="10"/>
  <c r="U354" i="10"/>
  <c r="T354" i="10"/>
  <c r="S354" i="10"/>
  <c r="R354" i="10"/>
  <c r="Q354" i="10"/>
  <c r="U353" i="10"/>
  <c r="T353" i="10"/>
  <c r="S353" i="10"/>
  <c r="R353" i="10"/>
  <c r="Q353" i="10"/>
  <c r="U352" i="10"/>
  <c r="T352" i="10"/>
  <c r="S352" i="10"/>
  <c r="R352" i="10"/>
  <c r="Q352" i="10"/>
  <c r="U351" i="10"/>
  <c r="T351" i="10"/>
  <c r="S351" i="10"/>
  <c r="R351" i="10"/>
  <c r="Q351" i="10"/>
  <c r="U350" i="10"/>
  <c r="T350" i="10"/>
  <c r="S350" i="10"/>
  <c r="R350" i="10"/>
  <c r="Q350" i="10"/>
  <c r="U349" i="10"/>
  <c r="T349" i="10"/>
  <c r="S349" i="10"/>
  <c r="R349" i="10"/>
  <c r="Q349" i="10"/>
  <c r="U348" i="10"/>
  <c r="T348" i="10"/>
  <c r="S348" i="10"/>
  <c r="R348" i="10"/>
  <c r="Q348" i="10"/>
  <c r="U347" i="10"/>
  <c r="T347" i="10"/>
  <c r="S347" i="10"/>
  <c r="R347" i="10"/>
  <c r="Q347" i="10"/>
  <c r="U346" i="10"/>
  <c r="T346" i="10"/>
  <c r="S346" i="10"/>
  <c r="R346" i="10"/>
  <c r="Q346" i="10"/>
  <c r="U345" i="10"/>
  <c r="T345" i="10"/>
  <c r="S345" i="10"/>
  <c r="R345" i="10"/>
  <c r="Q345" i="10"/>
  <c r="U344" i="10"/>
  <c r="T344" i="10"/>
  <c r="S344" i="10"/>
  <c r="R344" i="10"/>
  <c r="Q344" i="10"/>
  <c r="U343" i="10"/>
  <c r="T343" i="10"/>
  <c r="S343" i="10"/>
  <c r="R343" i="10"/>
  <c r="Q343" i="10"/>
  <c r="U342" i="10"/>
  <c r="T342" i="10"/>
  <c r="S342" i="10"/>
  <c r="R342" i="10"/>
  <c r="Q342" i="10"/>
  <c r="U341" i="10"/>
  <c r="T341" i="10"/>
  <c r="S341" i="10"/>
  <c r="R341" i="10"/>
  <c r="Q341" i="10"/>
  <c r="U340" i="10"/>
  <c r="T340" i="10"/>
  <c r="S340" i="10"/>
  <c r="R340" i="10"/>
  <c r="Q340" i="10"/>
  <c r="U339" i="10"/>
  <c r="T339" i="10"/>
  <c r="S339" i="10"/>
  <c r="R339" i="10"/>
  <c r="Q339" i="10"/>
  <c r="U338" i="10"/>
  <c r="T338" i="10"/>
  <c r="S338" i="10"/>
  <c r="R338" i="10"/>
  <c r="Q338" i="10"/>
  <c r="U337" i="10"/>
  <c r="T337" i="10"/>
  <c r="S337" i="10"/>
  <c r="R337" i="10"/>
  <c r="Q337" i="10"/>
  <c r="U336" i="10"/>
  <c r="T336" i="10"/>
  <c r="S336" i="10"/>
  <c r="R336" i="10"/>
  <c r="Q336" i="10"/>
  <c r="U335" i="10"/>
  <c r="T335" i="10"/>
  <c r="S335" i="10"/>
  <c r="R335" i="10"/>
  <c r="Q335" i="10"/>
  <c r="U334" i="10"/>
  <c r="T334" i="10"/>
  <c r="S334" i="10"/>
  <c r="R334" i="10"/>
  <c r="Q334" i="10"/>
  <c r="U333" i="10"/>
  <c r="T333" i="10"/>
  <c r="S333" i="10"/>
  <c r="R333" i="10"/>
  <c r="Q333" i="10"/>
  <c r="U332" i="10"/>
  <c r="T332" i="10"/>
  <c r="S332" i="10"/>
  <c r="R332" i="10"/>
  <c r="Q332" i="10"/>
  <c r="U331" i="10"/>
  <c r="T331" i="10"/>
  <c r="S331" i="10"/>
  <c r="R331" i="10"/>
  <c r="Q331" i="10"/>
  <c r="U330" i="10"/>
  <c r="T330" i="10"/>
  <c r="S330" i="10"/>
  <c r="R330" i="10"/>
  <c r="Q330" i="10"/>
  <c r="U329" i="10"/>
  <c r="T329" i="10"/>
  <c r="S329" i="10"/>
  <c r="R329" i="10"/>
  <c r="Q329" i="10"/>
  <c r="U328" i="10"/>
  <c r="T328" i="10"/>
  <c r="S328" i="10"/>
  <c r="R328" i="10"/>
  <c r="Q328" i="10"/>
  <c r="U327" i="10"/>
  <c r="T327" i="10"/>
  <c r="S327" i="10"/>
  <c r="R327" i="10"/>
  <c r="Q327" i="10"/>
  <c r="U326" i="10"/>
  <c r="T326" i="10"/>
  <c r="S326" i="10"/>
  <c r="R326" i="10"/>
  <c r="Q326" i="10"/>
  <c r="U325" i="10"/>
  <c r="T325" i="10"/>
  <c r="S325" i="10"/>
  <c r="R325" i="10"/>
  <c r="Q325" i="10"/>
  <c r="U324" i="10"/>
  <c r="T324" i="10"/>
  <c r="S324" i="10"/>
  <c r="R324" i="10"/>
  <c r="Q324" i="10"/>
  <c r="U323" i="10"/>
  <c r="T323" i="10"/>
  <c r="S323" i="10"/>
  <c r="R323" i="10"/>
  <c r="Q323" i="10"/>
  <c r="U322" i="10"/>
  <c r="T322" i="10"/>
  <c r="S322" i="10"/>
  <c r="R322" i="10"/>
  <c r="Q322" i="10"/>
  <c r="U321" i="10"/>
  <c r="T321" i="10"/>
  <c r="S321" i="10"/>
  <c r="R321" i="10"/>
  <c r="Q321" i="10"/>
  <c r="U320" i="10"/>
  <c r="T320" i="10"/>
  <c r="S320" i="10"/>
  <c r="R320" i="10"/>
  <c r="Q320" i="10"/>
  <c r="U319" i="10"/>
  <c r="T319" i="10"/>
  <c r="S319" i="10"/>
  <c r="R319" i="10"/>
  <c r="Q319" i="10"/>
  <c r="U318" i="10"/>
  <c r="T318" i="10"/>
  <c r="S318" i="10"/>
  <c r="R318" i="10"/>
  <c r="Q318" i="10"/>
  <c r="U317" i="10"/>
  <c r="T317" i="10"/>
  <c r="S317" i="10"/>
  <c r="R317" i="10"/>
  <c r="Q317" i="10"/>
  <c r="U316" i="10"/>
  <c r="T316" i="10"/>
  <c r="S316" i="10"/>
  <c r="R316" i="10"/>
  <c r="Q316" i="10"/>
  <c r="U315" i="10"/>
  <c r="T315" i="10"/>
  <c r="S315" i="10"/>
  <c r="R315" i="10"/>
  <c r="Q315" i="10"/>
  <c r="U314" i="10"/>
  <c r="T314" i="10"/>
  <c r="S314" i="10"/>
  <c r="R314" i="10"/>
  <c r="Q314" i="10"/>
  <c r="U313" i="10"/>
  <c r="T313" i="10"/>
  <c r="S313" i="10"/>
  <c r="R313" i="10"/>
  <c r="Q313" i="10"/>
  <c r="U312" i="10"/>
  <c r="T312" i="10"/>
  <c r="S312" i="10"/>
  <c r="R312" i="10"/>
  <c r="Q312" i="10"/>
  <c r="U311" i="10"/>
  <c r="T311" i="10"/>
  <c r="S311" i="10"/>
  <c r="R311" i="10"/>
  <c r="Q311" i="10"/>
  <c r="U310" i="10"/>
  <c r="T310" i="10"/>
  <c r="S310" i="10"/>
  <c r="R310" i="10"/>
  <c r="Q310" i="10"/>
  <c r="U309" i="10"/>
  <c r="T309" i="10"/>
  <c r="S309" i="10"/>
  <c r="R309" i="10"/>
  <c r="Q309" i="10"/>
  <c r="U308" i="10"/>
  <c r="T308" i="10"/>
  <c r="S308" i="10"/>
  <c r="R308" i="10"/>
  <c r="Q308" i="10"/>
  <c r="U307" i="10"/>
  <c r="T307" i="10"/>
  <c r="S307" i="10"/>
  <c r="R307" i="10"/>
  <c r="Q307" i="10"/>
  <c r="U306" i="10"/>
  <c r="T306" i="10"/>
  <c r="S306" i="10"/>
  <c r="R306" i="10"/>
  <c r="Q306" i="10"/>
  <c r="U305" i="10"/>
  <c r="T305" i="10"/>
  <c r="S305" i="10"/>
  <c r="R305" i="10"/>
  <c r="Q305" i="10"/>
  <c r="U304" i="10"/>
  <c r="T304" i="10"/>
  <c r="S304" i="10"/>
  <c r="R304" i="10"/>
  <c r="Q304" i="10"/>
  <c r="U303" i="10"/>
  <c r="T303" i="10"/>
  <c r="S303" i="10"/>
  <c r="R303" i="10"/>
  <c r="Q303" i="10"/>
  <c r="U302" i="10"/>
  <c r="T302" i="10"/>
  <c r="S302" i="10"/>
  <c r="R302" i="10"/>
  <c r="Q302" i="10"/>
  <c r="U301" i="10"/>
  <c r="T301" i="10"/>
  <c r="S301" i="10"/>
  <c r="R301" i="10"/>
  <c r="Q301" i="10"/>
  <c r="U300" i="10"/>
  <c r="T300" i="10"/>
  <c r="S300" i="10"/>
  <c r="R300" i="10"/>
  <c r="Q300" i="10"/>
  <c r="U299" i="10"/>
  <c r="T299" i="10"/>
  <c r="S299" i="10"/>
  <c r="R299" i="10"/>
  <c r="Q299" i="10"/>
  <c r="U298" i="10"/>
  <c r="T298" i="10"/>
  <c r="S298" i="10"/>
  <c r="R298" i="10"/>
  <c r="Q298" i="10"/>
  <c r="U297" i="10"/>
  <c r="T297" i="10"/>
  <c r="S297" i="10"/>
  <c r="R297" i="10"/>
  <c r="Q297" i="10"/>
  <c r="U296" i="10"/>
  <c r="T296" i="10"/>
  <c r="S296" i="10"/>
  <c r="R296" i="10"/>
  <c r="Q296" i="10"/>
  <c r="U295" i="10"/>
  <c r="T295" i="10"/>
  <c r="S295" i="10"/>
  <c r="R295" i="10"/>
  <c r="Q295" i="10"/>
  <c r="U294" i="10"/>
  <c r="T294" i="10"/>
  <c r="S294" i="10"/>
  <c r="R294" i="10"/>
  <c r="Q294" i="10"/>
  <c r="U293" i="10"/>
  <c r="T293" i="10"/>
  <c r="S293" i="10"/>
  <c r="R293" i="10"/>
  <c r="Q293" i="10"/>
  <c r="U292" i="10"/>
  <c r="T292" i="10"/>
  <c r="S292" i="10"/>
  <c r="R292" i="10"/>
  <c r="Q292" i="10"/>
  <c r="U291" i="10"/>
  <c r="T291" i="10"/>
  <c r="S291" i="10"/>
  <c r="R291" i="10"/>
  <c r="Q291" i="10"/>
  <c r="U290" i="10"/>
  <c r="T290" i="10"/>
  <c r="S290" i="10"/>
  <c r="R290" i="10"/>
  <c r="Q290" i="10"/>
  <c r="U289" i="10"/>
  <c r="T289" i="10"/>
  <c r="S289" i="10"/>
  <c r="R289" i="10"/>
  <c r="Q289" i="10"/>
  <c r="U288" i="10"/>
  <c r="T288" i="10"/>
  <c r="S288" i="10"/>
  <c r="R288" i="10"/>
  <c r="Q288" i="10"/>
  <c r="U287" i="10"/>
  <c r="T287" i="10"/>
  <c r="S287" i="10"/>
  <c r="R287" i="10"/>
  <c r="Q287" i="10"/>
  <c r="U286" i="10"/>
  <c r="T286" i="10"/>
  <c r="S286" i="10"/>
  <c r="R286" i="10"/>
  <c r="Q286" i="10"/>
  <c r="U285" i="10"/>
  <c r="T285" i="10"/>
  <c r="S285" i="10"/>
  <c r="R285" i="10"/>
  <c r="Q285" i="10"/>
  <c r="U284" i="10"/>
  <c r="T284" i="10"/>
  <c r="S284" i="10"/>
  <c r="R284" i="10"/>
  <c r="Q284" i="10"/>
  <c r="U283" i="10"/>
  <c r="T283" i="10"/>
  <c r="S283" i="10"/>
  <c r="R283" i="10"/>
  <c r="Q283" i="10"/>
  <c r="U282" i="10"/>
  <c r="T282" i="10"/>
  <c r="S282" i="10"/>
  <c r="R282" i="10"/>
  <c r="Q282" i="10"/>
  <c r="U281" i="10"/>
  <c r="T281" i="10"/>
  <c r="S281" i="10"/>
  <c r="R281" i="10"/>
  <c r="Q281" i="10"/>
  <c r="U280" i="10"/>
  <c r="T280" i="10"/>
  <c r="S280" i="10"/>
  <c r="R280" i="10"/>
  <c r="Q280" i="10"/>
  <c r="U279" i="10"/>
  <c r="T279" i="10"/>
  <c r="S279" i="10"/>
  <c r="R279" i="10"/>
  <c r="Q279" i="10"/>
  <c r="U278" i="10"/>
  <c r="T278" i="10"/>
  <c r="S278" i="10"/>
  <c r="R278" i="10"/>
  <c r="Q278" i="10"/>
  <c r="U277" i="10"/>
  <c r="T277" i="10"/>
  <c r="S277" i="10"/>
  <c r="R277" i="10"/>
  <c r="Q277" i="10"/>
  <c r="U276" i="10"/>
  <c r="T276" i="10"/>
  <c r="S276" i="10"/>
  <c r="R276" i="10"/>
  <c r="Q276" i="10"/>
  <c r="U275" i="10"/>
  <c r="T275" i="10"/>
  <c r="S275" i="10"/>
  <c r="R275" i="10"/>
  <c r="Q275" i="10"/>
  <c r="U274" i="10"/>
  <c r="T274" i="10"/>
  <c r="S274" i="10"/>
  <c r="R274" i="10"/>
  <c r="Q274" i="10"/>
  <c r="U273" i="10"/>
  <c r="T273" i="10"/>
  <c r="S273" i="10"/>
  <c r="R273" i="10"/>
  <c r="Q273" i="10"/>
  <c r="U272" i="10"/>
  <c r="T272" i="10"/>
  <c r="S272" i="10"/>
  <c r="R272" i="10"/>
  <c r="Q272" i="10"/>
  <c r="U271" i="10"/>
  <c r="T271" i="10"/>
  <c r="S271" i="10"/>
  <c r="R271" i="10"/>
  <c r="Q271" i="10"/>
  <c r="U270" i="10"/>
  <c r="T270" i="10"/>
  <c r="S270" i="10"/>
  <c r="R270" i="10"/>
  <c r="Q270" i="10"/>
  <c r="U269" i="10"/>
  <c r="T269" i="10"/>
  <c r="S269" i="10"/>
  <c r="R269" i="10"/>
  <c r="Q269" i="10"/>
  <c r="U268" i="10"/>
  <c r="T268" i="10"/>
  <c r="S268" i="10"/>
  <c r="R268" i="10"/>
  <c r="Q268" i="10"/>
  <c r="U267" i="10"/>
  <c r="T267" i="10"/>
  <c r="S267" i="10"/>
  <c r="R267" i="10"/>
  <c r="Q267" i="10"/>
  <c r="U266" i="10"/>
  <c r="T266" i="10"/>
  <c r="S266" i="10"/>
  <c r="R266" i="10"/>
  <c r="Q266" i="10"/>
  <c r="U265" i="10"/>
  <c r="T265" i="10"/>
  <c r="S265" i="10"/>
  <c r="R265" i="10"/>
  <c r="Q265" i="10"/>
  <c r="U264" i="10"/>
  <c r="T264" i="10"/>
  <c r="S264" i="10"/>
  <c r="R264" i="10"/>
  <c r="Q264" i="10"/>
  <c r="U263" i="10"/>
  <c r="T263" i="10"/>
  <c r="S263" i="10"/>
  <c r="R263" i="10"/>
  <c r="Q263" i="10"/>
  <c r="U262" i="10"/>
  <c r="T262" i="10"/>
  <c r="S262" i="10"/>
  <c r="R262" i="10"/>
  <c r="Q262" i="10"/>
  <c r="U261" i="10"/>
  <c r="T261" i="10"/>
  <c r="S261" i="10"/>
  <c r="R261" i="10"/>
  <c r="Q261" i="10"/>
  <c r="U260" i="10"/>
  <c r="T260" i="10"/>
  <c r="S260" i="10"/>
  <c r="R260" i="10"/>
  <c r="Q260" i="10"/>
  <c r="U259" i="10"/>
  <c r="T259" i="10"/>
  <c r="S259" i="10"/>
  <c r="R259" i="10"/>
  <c r="Q259" i="10"/>
  <c r="U258" i="10"/>
  <c r="T258" i="10"/>
  <c r="S258" i="10"/>
  <c r="R258" i="10"/>
  <c r="Q258" i="10"/>
  <c r="U257" i="10"/>
  <c r="T257" i="10"/>
  <c r="S257" i="10"/>
  <c r="R257" i="10"/>
  <c r="Q257" i="10"/>
  <c r="U256" i="10"/>
  <c r="T256" i="10"/>
  <c r="S256" i="10"/>
  <c r="R256" i="10"/>
  <c r="Q256" i="10"/>
  <c r="U255" i="10"/>
  <c r="T255" i="10"/>
  <c r="S255" i="10"/>
  <c r="R255" i="10"/>
  <c r="Q255" i="10"/>
  <c r="U254" i="10"/>
  <c r="T254" i="10"/>
  <c r="S254" i="10"/>
  <c r="R254" i="10"/>
  <c r="Q254" i="10"/>
  <c r="U253" i="10"/>
  <c r="T253" i="10"/>
  <c r="S253" i="10"/>
  <c r="R253" i="10"/>
  <c r="Q253" i="10"/>
  <c r="U252" i="10"/>
  <c r="T252" i="10"/>
  <c r="S252" i="10"/>
  <c r="R252" i="10"/>
  <c r="Q252" i="10"/>
  <c r="U251" i="10"/>
  <c r="T251" i="10"/>
  <c r="S251" i="10"/>
  <c r="R251" i="10"/>
  <c r="Q251" i="10"/>
  <c r="U250" i="10"/>
  <c r="T250" i="10"/>
  <c r="S250" i="10"/>
  <c r="R250" i="10"/>
  <c r="Q250" i="10"/>
  <c r="U249" i="10"/>
  <c r="T249" i="10"/>
  <c r="S249" i="10"/>
  <c r="R249" i="10"/>
  <c r="Q249" i="10"/>
  <c r="U248" i="10"/>
  <c r="T248" i="10"/>
  <c r="S248" i="10"/>
  <c r="R248" i="10"/>
  <c r="Q248" i="10"/>
  <c r="U247" i="10"/>
  <c r="T247" i="10"/>
  <c r="S247" i="10"/>
  <c r="R247" i="10"/>
  <c r="Q247" i="10"/>
  <c r="U246" i="10"/>
  <c r="T246" i="10"/>
  <c r="S246" i="10"/>
  <c r="R246" i="10"/>
  <c r="Q246" i="10"/>
  <c r="U245" i="10"/>
  <c r="T245" i="10"/>
  <c r="S245" i="10"/>
  <c r="R245" i="10"/>
  <c r="Q245" i="10"/>
  <c r="U244" i="10"/>
  <c r="T244" i="10"/>
  <c r="S244" i="10"/>
  <c r="R244" i="10"/>
  <c r="Q244" i="10"/>
  <c r="U243" i="10"/>
  <c r="T243" i="10"/>
  <c r="S243" i="10"/>
  <c r="R243" i="10"/>
  <c r="Q243" i="10"/>
  <c r="U242" i="10"/>
  <c r="T242" i="10"/>
  <c r="S242" i="10"/>
  <c r="R242" i="10"/>
  <c r="Q242" i="10"/>
  <c r="U241" i="10"/>
  <c r="T241" i="10"/>
  <c r="S241" i="10"/>
  <c r="R241" i="10"/>
  <c r="Q241" i="10"/>
  <c r="U240" i="10"/>
  <c r="T240" i="10"/>
  <c r="S240" i="10"/>
  <c r="R240" i="10"/>
  <c r="Q240" i="10"/>
  <c r="U239" i="10"/>
  <c r="T239" i="10"/>
  <c r="S239" i="10"/>
  <c r="R239" i="10"/>
  <c r="Q239" i="10"/>
  <c r="U238" i="10"/>
  <c r="T238" i="10"/>
  <c r="S238" i="10"/>
  <c r="R238" i="10"/>
  <c r="Q238" i="10"/>
  <c r="U237" i="10"/>
  <c r="T237" i="10"/>
  <c r="S237" i="10"/>
  <c r="R237" i="10"/>
  <c r="Q237" i="10"/>
  <c r="U236" i="10"/>
  <c r="T236" i="10"/>
  <c r="S236" i="10"/>
  <c r="R236" i="10"/>
  <c r="Q236" i="10"/>
  <c r="U235" i="10"/>
  <c r="T235" i="10"/>
  <c r="S235" i="10"/>
  <c r="R235" i="10"/>
  <c r="Q235" i="10"/>
  <c r="U234" i="10"/>
  <c r="T234" i="10"/>
  <c r="S234" i="10"/>
  <c r="R234" i="10"/>
  <c r="Q234" i="10"/>
  <c r="U233" i="10"/>
  <c r="T233" i="10"/>
  <c r="S233" i="10"/>
  <c r="R233" i="10"/>
  <c r="Q233" i="10"/>
  <c r="U232" i="10"/>
  <c r="T232" i="10"/>
  <c r="S232" i="10"/>
  <c r="R232" i="10"/>
  <c r="Q232" i="10"/>
  <c r="U231" i="10"/>
  <c r="T231" i="10"/>
  <c r="S231" i="10"/>
  <c r="R231" i="10"/>
  <c r="Q231" i="10"/>
  <c r="U230" i="10"/>
  <c r="T230" i="10"/>
  <c r="S230" i="10"/>
  <c r="R230" i="10"/>
  <c r="Q230" i="10"/>
  <c r="U229" i="10"/>
  <c r="T229" i="10"/>
  <c r="S229" i="10"/>
  <c r="R229" i="10"/>
  <c r="Q229" i="10"/>
  <c r="U228" i="10"/>
  <c r="T228" i="10"/>
  <c r="S228" i="10"/>
  <c r="R228" i="10"/>
  <c r="Q228" i="10"/>
  <c r="U227" i="10"/>
  <c r="T227" i="10"/>
  <c r="S227" i="10"/>
  <c r="R227" i="10"/>
  <c r="Q227" i="10"/>
  <c r="U226" i="10"/>
  <c r="T226" i="10"/>
  <c r="S226" i="10"/>
  <c r="R226" i="10"/>
  <c r="Q226" i="10"/>
  <c r="U225" i="10"/>
  <c r="T225" i="10"/>
  <c r="S225" i="10"/>
  <c r="R225" i="10"/>
  <c r="Q225" i="10"/>
  <c r="U224" i="10"/>
  <c r="T224" i="10"/>
  <c r="S224" i="10"/>
  <c r="R224" i="10"/>
  <c r="Q224" i="10"/>
  <c r="U223" i="10"/>
  <c r="T223" i="10"/>
  <c r="S223" i="10"/>
  <c r="R223" i="10"/>
  <c r="Q223" i="10"/>
  <c r="U222" i="10"/>
  <c r="T222" i="10"/>
  <c r="S222" i="10"/>
  <c r="R222" i="10"/>
  <c r="Q222" i="10"/>
  <c r="U221" i="10"/>
  <c r="T221" i="10"/>
  <c r="S221" i="10"/>
  <c r="R221" i="10"/>
  <c r="Q221" i="10"/>
  <c r="U220" i="10"/>
  <c r="T220" i="10"/>
  <c r="S220" i="10"/>
  <c r="R220" i="10"/>
  <c r="Q220" i="10"/>
  <c r="U219" i="10"/>
  <c r="T219" i="10"/>
  <c r="S219" i="10"/>
  <c r="R219" i="10"/>
  <c r="Q219" i="10"/>
  <c r="U218" i="10"/>
  <c r="T218" i="10"/>
  <c r="S218" i="10"/>
  <c r="R218" i="10"/>
  <c r="Q218" i="10"/>
  <c r="U217" i="10"/>
  <c r="T217" i="10"/>
  <c r="S217" i="10"/>
  <c r="R217" i="10"/>
  <c r="Q217" i="10"/>
  <c r="U216" i="10"/>
  <c r="T216" i="10"/>
  <c r="S216" i="10"/>
  <c r="R216" i="10"/>
  <c r="Q216" i="10"/>
  <c r="U215" i="10"/>
  <c r="T215" i="10"/>
  <c r="S215" i="10"/>
  <c r="R215" i="10"/>
  <c r="Q215" i="10"/>
  <c r="U214" i="10"/>
  <c r="T214" i="10"/>
  <c r="S214" i="10"/>
  <c r="R214" i="10"/>
  <c r="Q214" i="10"/>
  <c r="U213" i="10"/>
  <c r="T213" i="10"/>
  <c r="S213" i="10"/>
  <c r="R213" i="10"/>
  <c r="Q213" i="10"/>
  <c r="U212" i="10"/>
  <c r="T212" i="10"/>
  <c r="S212" i="10"/>
  <c r="R212" i="10"/>
  <c r="Q212" i="10"/>
  <c r="U211" i="10"/>
  <c r="T211" i="10"/>
  <c r="S211" i="10"/>
  <c r="R211" i="10"/>
  <c r="Q211" i="10"/>
  <c r="U210" i="10"/>
  <c r="T210" i="10"/>
  <c r="S210" i="10"/>
  <c r="R210" i="10"/>
  <c r="Q210" i="10"/>
  <c r="U209" i="10"/>
  <c r="T209" i="10"/>
  <c r="S209" i="10"/>
  <c r="R209" i="10"/>
  <c r="Q209" i="10"/>
  <c r="U208" i="10"/>
  <c r="T208" i="10"/>
  <c r="S208" i="10"/>
  <c r="R208" i="10"/>
  <c r="Q208" i="10"/>
  <c r="U207" i="10"/>
  <c r="T207" i="10"/>
  <c r="S207" i="10"/>
  <c r="R207" i="10"/>
  <c r="Q207" i="10"/>
  <c r="U206" i="10"/>
  <c r="T206" i="10"/>
  <c r="S206" i="10"/>
  <c r="R206" i="10"/>
  <c r="Q206" i="10"/>
  <c r="U205" i="10"/>
  <c r="T205" i="10"/>
  <c r="S205" i="10"/>
  <c r="R205" i="10"/>
  <c r="Q205" i="10"/>
  <c r="U204" i="10"/>
  <c r="T204" i="10"/>
  <c r="S204" i="10"/>
  <c r="R204" i="10"/>
  <c r="Q204" i="10"/>
  <c r="H4" i="10" a="1"/>
  <c r="H16" i="10" s="1"/>
  <c r="B4" i="10" a="1"/>
  <c r="A4" i="10" a="1"/>
  <c r="A17" i="10" s="1"/>
  <c r="U403" i="9"/>
  <c r="T403" i="9"/>
  <c r="S403" i="9"/>
  <c r="R403" i="9"/>
  <c r="Q403" i="9"/>
  <c r="U402" i="9"/>
  <c r="T402" i="9"/>
  <c r="S402" i="9"/>
  <c r="R402" i="9"/>
  <c r="Q402" i="9"/>
  <c r="U401" i="9"/>
  <c r="T401" i="9"/>
  <c r="S401" i="9"/>
  <c r="R401" i="9"/>
  <c r="Q401" i="9"/>
  <c r="U400" i="9"/>
  <c r="T400" i="9"/>
  <c r="S400" i="9"/>
  <c r="R400" i="9"/>
  <c r="Q400" i="9"/>
  <c r="U399" i="9"/>
  <c r="T399" i="9"/>
  <c r="S399" i="9"/>
  <c r="R399" i="9"/>
  <c r="Q399" i="9"/>
  <c r="U398" i="9"/>
  <c r="T398" i="9"/>
  <c r="S398" i="9"/>
  <c r="R398" i="9"/>
  <c r="Q398" i="9"/>
  <c r="U397" i="9"/>
  <c r="T397" i="9"/>
  <c r="S397" i="9"/>
  <c r="R397" i="9"/>
  <c r="Q397" i="9"/>
  <c r="U396" i="9"/>
  <c r="T396" i="9"/>
  <c r="S396" i="9"/>
  <c r="R396" i="9"/>
  <c r="Q396" i="9"/>
  <c r="U395" i="9"/>
  <c r="T395" i="9"/>
  <c r="S395" i="9"/>
  <c r="R395" i="9"/>
  <c r="Q395" i="9"/>
  <c r="U394" i="9"/>
  <c r="T394" i="9"/>
  <c r="S394" i="9"/>
  <c r="R394" i="9"/>
  <c r="Q394" i="9"/>
  <c r="U393" i="9"/>
  <c r="T393" i="9"/>
  <c r="S393" i="9"/>
  <c r="R393" i="9"/>
  <c r="Q393" i="9"/>
  <c r="U392" i="9"/>
  <c r="T392" i="9"/>
  <c r="S392" i="9"/>
  <c r="R392" i="9"/>
  <c r="Q392" i="9"/>
  <c r="U391" i="9"/>
  <c r="T391" i="9"/>
  <c r="S391" i="9"/>
  <c r="R391" i="9"/>
  <c r="Q391" i="9"/>
  <c r="U390" i="9"/>
  <c r="T390" i="9"/>
  <c r="S390" i="9"/>
  <c r="R390" i="9"/>
  <c r="Q390" i="9"/>
  <c r="U389" i="9"/>
  <c r="T389" i="9"/>
  <c r="S389" i="9"/>
  <c r="R389" i="9"/>
  <c r="Q389" i="9"/>
  <c r="U388" i="9"/>
  <c r="T388" i="9"/>
  <c r="S388" i="9"/>
  <c r="R388" i="9"/>
  <c r="Q388" i="9"/>
  <c r="U387" i="9"/>
  <c r="T387" i="9"/>
  <c r="S387" i="9"/>
  <c r="R387" i="9"/>
  <c r="Q387" i="9"/>
  <c r="U386" i="9"/>
  <c r="T386" i="9"/>
  <c r="S386" i="9"/>
  <c r="R386" i="9"/>
  <c r="Q386" i="9"/>
  <c r="U385" i="9"/>
  <c r="T385" i="9"/>
  <c r="S385" i="9"/>
  <c r="R385" i="9"/>
  <c r="Q385" i="9"/>
  <c r="U384" i="9"/>
  <c r="T384" i="9"/>
  <c r="S384" i="9"/>
  <c r="R384" i="9"/>
  <c r="Q384" i="9"/>
  <c r="U383" i="9"/>
  <c r="T383" i="9"/>
  <c r="S383" i="9"/>
  <c r="R383" i="9"/>
  <c r="Q383" i="9"/>
  <c r="U382" i="9"/>
  <c r="T382" i="9"/>
  <c r="S382" i="9"/>
  <c r="R382" i="9"/>
  <c r="Q382" i="9"/>
  <c r="U381" i="9"/>
  <c r="T381" i="9"/>
  <c r="S381" i="9"/>
  <c r="R381" i="9"/>
  <c r="Q381" i="9"/>
  <c r="U380" i="9"/>
  <c r="T380" i="9"/>
  <c r="S380" i="9"/>
  <c r="R380" i="9"/>
  <c r="Q380" i="9"/>
  <c r="U379" i="9"/>
  <c r="T379" i="9"/>
  <c r="S379" i="9"/>
  <c r="R379" i="9"/>
  <c r="Q379" i="9"/>
  <c r="U378" i="9"/>
  <c r="T378" i="9"/>
  <c r="S378" i="9"/>
  <c r="R378" i="9"/>
  <c r="Q378" i="9"/>
  <c r="U377" i="9"/>
  <c r="T377" i="9"/>
  <c r="S377" i="9"/>
  <c r="R377" i="9"/>
  <c r="Q377" i="9"/>
  <c r="U376" i="9"/>
  <c r="T376" i="9"/>
  <c r="S376" i="9"/>
  <c r="R376" i="9"/>
  <c r="Q376" i="9"/>
  <c r="U375" i="9"/>
  <c r="T375" i="9"/>
  <c r="S375" i="9"/>
  <c r="R375" i="9"/>
  <c r="Q375" i="9"/>
  <c r="U374" i="9"/>
  <c r="T374" i="9"/>
  <c r="S374" i="9"/>
  <c r="R374" i="9"/>
  <c r="Q374" i="9"/>
  <c r="U373" i="9"/>
  <c r="T373" i="9"/>
  <c r="S373" i="9"/>
  <c r="R373" i="9"/>
  <c r="Q373" i="9"/>
  <c r="U372" i="9"/>
  <c r="T372" i="9"/>
  <c r="S372" i="9"/>
  <c r="R372" i="9"/>
  <c r="Q372" i="9"/>
  <c r="U371" i="9"/>
  <c r="T371" i="9"/>
  <c r="S371" i="9"/>
  <c r="R371" i="9"/>
  <c r="Q371" i="9"/>
  <c r="U370" i="9"/>
  <c r="T370" i="9"/>
  <c r="S370" i="9"/>
  <c r="R370" i="9"/>
  <c r="Q370" i="9"/>
  <c r="U369" i="9"/>
  <c r="T369" i="9"/>
  <c r="S369" i="9"/>
  <c r="R369" i="9"/>
  <c r="Q369" i="9"/>
  <c r="U368" i="9"/>
  <c r="T368" i="9"/>
  <c r="S368" i="9"/>
  <c r="R368" i="9"/>
  <c r="Q368" i="9"/>
  <c r="U367" i="9"/>
  <c r="T367" i="9"/>
  <c r="S367" i="9"/>
  <c r="R367" i="9"/>
  <c r="Q367" i="9"/>
  <c r="U366" i="9"/>
  <c r="T366" i="9"/>
  <c r="S366" i="9"/>
  <c r="R366" i="9"/>
  <c r="Q366" i="9"/>
  <c r="U365" i="9"/>
  <c r="T365" i="9"/>
  <c r="S365" i="9"/>
  <c r="R365" i="9"/>
  <c r="Q365" i="9"/>
  <c r="U364" i="9"/>
  <c r="T364" i="9"/>
  <c r="S364" i="9"/>
  <c r="R364" i="9"/>
  <c r="Q364" i="9"/>
  <c r="U363" i="9"/>
  <c r="T363" i="9"/>
  <c r="S363" i="9"/>
  <c r="R363" i="9"/>
  <c r="Q363" i="9"/>
  <c r="U362" i="9"/>
  <c r="T362" i="9"/>
  <c r="S362" i="9"/>
  <c r="R362" i="9"/>
  <c r="Q362" i="9"/>
  <c r="U361" i="9"/>
  <c r="T361" i="9"/>
  <c r="S361" i="9"/>
  <c r="R361" i="9"/>
  <c r="Q361" i="9"/>
  <c r="U360" i="9"/>
  <c r="T360" i="9"/>
  <c r="S360" i="9"/>
  <c r="R360" i="9"/>
  <c r="Q360" i="9"/>
  <c r="U359" i="9"/>
  <c r="T359" i="9"/>
  <c r="S359" i="9"/>
  <c r="R359" i="9"/>
  <c r="Q359" i="9"/>
  <c r="U358" i="9"/>
  <c r="T358" i="9"/>
  <c r="S358" i="9"/>
  <c r="R358" i="9"/>
  <c r="Q358" i="9"/>
  <c r="U357" i="9"/>
  <c r="T357" i="9"/>
  <c r="S357" i="9"/>
  <c r="R357" i="9"/>
  <c r="Q357" i="9"/>
  <c r="U356" i="9"/>
  <c r="T356" i="9"/>
  <c r="S356" i="9"/>
  <c r="R356" i="9"/>
  <c r="Q356" i="9"/>
  <c r="U355" i="9"/>
  <c r="T355" i="9"/>
  <c r="S355" i="9"/>
  <c r="R355" i="9"/>
  <c r="Q355" i="9"/>
  <c r="U354" i="9"/>
  <c r="T354" i="9"/>
  <c r="S354" i="9"/>
  <c r="R354" i="9"/>
  <c r="Q354" i="9"/>
  <c r="U353" i="9"/>
  <c r="T353" i="9"/>
  <c r="S353" i="9"/>
  <c r="R353" i="9"/>
  <c r="Q353" i="9"/>
  <c r="U352" i="9"/>
  <c r="T352" i="9"/>
  <c r="S352" i="9"/>
  <c r="R352" i="9"/>
  <c r="Q352" i="9"/>
  <c r="U351" i="9"/>
  <c r="T351" i="9"/>
  <c r="S351" i="9"/>
  <c r="R351" i="9"/>
  <c r="Q351" i="9"/>
  <c r="U350" i="9"/>
  <c r="T350" i="9"/>
  <c r="S350" i="9"/>
  <c r="R350" i="9"/>
  <c r="Q350" i="9"/>
  <c r="U349" i="9"/>
  <c r="T349" i="9"/>
  <c r="S349" i="9"/>
  <c r="R349" i="9"/>
  <c r="Q349" i="9"/>
  <c r="U348" i="9"/>
  <c r="T348" i="9"/>
  <c r="S348" i="9"/>
  <c r="R348" i="9"/>
  <c r="Q348" i="9"/>
  <c r="U347" i="9"/>
  <c r="T347" i="9"/>
  <c r="S347" i="9"/>
  <c r="R347" i="9"/>
  <c r="Q347" i="9"/>
  <c r="U346" i="9"/>
  <c r="T346" i="9"/>
  <c r="S346" i="9"/>
  <c r="R346" i="9"/>
  <c r="Q346" i="9"/>
  <c r="U345" i="9"/>
  <c r="T345" i="9"/>
  <c r="S345" i="9"/>
  <c r="R345" i="9"/>
  <c r="Q345" i="9"/>
  <c r="U344" i="9"/>
  <c r="T344" i="9"/>
  <c r="S344" i="9"/>
  <c r="R344" i="9"/>
  <c r="Q344" i="9"/>
  <c r="U343" i="9"/>
  <c r="T343" i="9"/>
  <c r="S343" i="9"/>
  <c r="R343" i="9"/>
  <c r="Q343" i="9"/>
  <c r="U342" i="9"/>
  <c r="T342" i="9"/>
  <c r="S342" i="9"/>
  <c r="R342" i="9"/>
  <c r="Q342" i="9"/>
  <c r="U341" i="9"/>
  <c r="T341" i="9"/>
  <c r="S341" i="9"/>
  <c r="R341" i="9"/>
  <c r="Q341" i="9"/>
  <c r="U340" i="9"/>
  <c r="T340" i="9"/>
  <c r="S340" i="9"/>
  <c r="R340" i="9"/>
  <c r="Q340" i="9"/>
  <c r="U339" i="9"/>
  <c r="T339" i="9"/>
  <c r="S339" i="9"/>
  <c r="R339" i="9"/>
  <c r="Q339" i="9"/>
  <c r="U338" i="9"/>
  <c r="T338" i="9"/>
  <c r="S338" i="9"/>
  <c r="R338" i="9"/>
  <c r="Q338" i="9"/>
  <c r="U337" i="9"/>
  <c r="T337" i="9"/>
  <c r="S337" i="9"/>
  <c r="R337" i="9"/>
  <c r="Q337" i="9"/>
  <c r="U336" i="9"/>
  <c r="T336" i="9"/>
  <c r="S336" i="9"/>
  <c r="R336" i="9"/>
  <c r="Q336" i="9"/>
  <c r="U335" i="9"/>
  <c r="T335" i="9"/>
  <c r="S335" i="9"/>
  <c r="R335" i="9"/>
  <c r="Q335" i="9"/>
  <c r="U334" i="9"/>
  <c r="T334" i="9"/>
  <c r="S334" i="9"/>
  <c r="R334" i="9"/>
  <c r="Q334" i="9"/>
  <c r="U333" i="9"/>
  <c r="T333" i="9"/>
  <c r="S333" i="9"/>
  <c r="R333" i="9"/>
  <c r="Q333" i="9"/>
  <c r="U332" i="9"/>
  <c r="T332" i="9"/>
  <c r="S332" i="9"/>
  <c r="R332" i="9"/>
  <c r="Q332" i="9"/>
  <c r="U331" i="9"/>
  <c r="T331" i="9"/>
  <c r="S331" i="9"/>
  <c r="R331" i="9"/>
  <c r="Q331" i="9"/>
  <c r="U330" i="9"/>
  <c r="T330" i="9"/>
  <c r="S330" i="9"/>
  <c r="R330" i="9"/>
  <c r="Q330" i="9"/>
  <c r="U329" i="9"/>
  <c r="T329" i="9"/>
  <c r="S329" i="9"/>
  <c r="R329" i="9"/>
  <c r="Q329" i="9"/>
  <c r="U328" i="9"/>
  <c r="T328" i="9"/>
  <c r="S328" i="9"/>
  <c r="R328" i="9"/>
  <c r="Q328" i="9"/>
  <c r="U327" i="9"/>
  <c r="T327" i="9"/>
  <c r="S327" i="9"/>
  <c r="R327" i="9"/>
  <c r="Q327" i="9"/>
  <c r="U326" i="9"/>
  <c r="T326" i="9"/>
  <c r="S326" i="9"/>
  <c r="R326" i="9"/>
  <c r="Q326" i="9"/>
  <c r="U325" i="9"/>
  <c r="T325" i="9"/>
  <c r="S325" i="9"/>
  <c r="R325" i="9"/>
  <c r="Q325" i="9"/>
  <c r="U324" i="9"/>
  <c r="T324" i="9"/>
  <c r="S324" i="9"/>
  <c r="R324" i="9"/>
  <c r="Q324" i="9"/>
  <c r="U323" i="9"/>
  <c r="T323" i="9"/>
  <c r="S323" i="9"/>
  <c r="R323" i="9"/>
  <c r="Q323" i="9"/>
  <c r="U322" i="9"/>
  <c r="T322" i="9"/>
  <c r="S322" i="9"/>
  <c r="R322" i="9"/>
  <c r="Q322" i="9"/>
  <c r="U321" i="9"/>
  <c r="T321" i="9"/>
  <c r="S321" i="9"/>
  <c r="R321" i="9"/>
  <c r="Q321" i="9"/>
  <c r="U320" i="9"/>
  <c r="T320" i="9"/>
  <c r="S320" i="9"/>
  <c r="R320" i="9"/>
  <c r="Q320" i="9"/>
  <c r="U319" i="9"/>
  <c r="T319" i="9"/>
  <c r="S319" i="9"/>
  <c r="R319" i="9"/>
  <c r="Q319" i="9"/>
  <c r="U318" i="9"/>
  <c r="T318" i="9"/>
  <c r="S318" i="9"/>
  <c r="R318" i="9"/>
  <c r="Q318" i="9"/>
  <c r="U317" i="9"/>
  <c r="T317" i="9"/>
  <c r="S317" i="9"/>
  <c r="R317" i="9"/>
  <c r="Q317" i="9"/>
  <c r="U316" i="9"/>
  <c r="T316" i="9"/>
  <c r="S316" i="9"/>
  <c r="R316" i="9"/>
  <c r="Q316" i="9"/>
  <c r="U315" i="9"/>
  <c r="T315" i="9"/>
  <c r="S315" i="9"/>
  <c r="R315" i="9"/>
  <c r="Q315" i="9"/>
  <c r="U314" i="9"/>
  <c r="T314" i="9"/>
  <c r="S314" i="9"/>
  <c r="R314" i="9"/>
  <c r="Q314" i="9"/>
  <c r="U313" i="9"/>
  <c r="T313" i="9"/>
  <c r="S313" i="9"/>
  <c r="R313" i="9"/>
  <c r="Q313" i="9"/>
  <c r="U312" i="9"/>
  <c r="T312" i="9"/>
  <c r="S312" i="9"/>
  <c r="R312" i="9"/>
  <c r="Q312" i="9"/>
  <c r="U311" i="9"/>
  <c r="T311" i="9"/>
  <c r="S311" i="9"/>
  <c r="R311" i="9"/>
  <c r="Q311" i="9"/>
  <c r="U310" i="9"/>
  <c r="T310" i="9"/>
  <c r="S310" i="9"/>
  <c r="R310" i="9"/>
  <c r="Q310" i="9"/>
  <c r="U309" i="9"/>
  <c r="T309" i="9"/>
  <c r="S309" i="9"/>
  <c r="R309" i="9"/>
  <c r="Q309" i="9"/>
  <c r="U308" i="9"/>
  <c r="T308" i="9"/>
  <c r="S308" i="9"/>
  <c r="R308" i="9"/>
  <c r="Q308" i="9"/>
  <c r="U307" i="9"/>
  <c r="T307" i="9"/>
  <c r="S307" i="9"/>
  <c r="R307" i="9"/>
  <c r="Q307" i="9"/>
  <c r="U306" i="9"/>
  <c r="T306" i="9"/>
  <c r="S306" i="9"/>
  <c r="R306" i="9"/>
  <c r="Q306" i="9"/>
  <c r="U305" i="9"/>
  <c r="T305" i="9"/>
  <c r="S305" i="9"/>
  <c r="R305" i="9"/>
  <c r="Q305" i="9"/>
  <c r="U304" i="9"/>
  <c r="T304" i="9"/>
  <c r="S304" i="9"/>
  <c r="R304" i="9"/>
  <c r="Q304" i="9"/>
  <c r="U303" i="9"/>
  <c r="T303" i="9"/>
  <c r="S303" i="9"/>
  <c r="R303" i="9"/>
  <c r="Q303" i="9"/>
  <c r="U302" i="9"/>
  <c r="T302" i="9"/>
  <c r="S302" i="9"/>
  <c r="R302" i="9"/>
  <c r="Q302" i="9"/>
  <c r="U301" i="9"/>
  <c r="T301" i="9"/>
  <c r="S301" i="9"/>
  <c r="R301" i="9"/>
  <c r="Q301" i="9"/>
  <c r="U300" i="9"/>
  <c r="T300" i="9"/>
  <c r="S300" i="9"/>
  <c r="R300" i="9"/>
  <c r="Q300" i="9"/>
  <c r="U299" i="9"/>
  <c r="T299" i="9"/>
  <c r="S299" i="9"/>
  <c r="R299" i="9"/>
  <c r="Q299" i="9"/>
  <c r="U298" i="9"/>
  <c r="T298" i="9"/>
  <c r="S298" i="9"/>
  <c r="R298" i="9"/>
  <c r="Q298" i="9"/>
  <c r="U297" i="9"/>
  <c r="T297" i="9"/>
  <c r="S297" i="9"/>
  <c r="R297" i="9"/>
  <c r="Q297" i="9"/>
  <c r="U296" i="9"/>
  <c r="T296" i="9"/>
  <c r="S296" i="9"/>
  <c r="R296" i="9"/>
  <c r="Q296" i="9"/>
  <c r="U295" i="9"/>
  <c r="T295" i="9"/>
  <c r="S295" i="9"/>
  <c r="R295" i="9"/>
  <c r="Q295" i="9"/>
  <c r="U294" i="9"/>
  <c r="T294" i="9"/>
  <c r="S294" i="9"/>
  <c r="R294" i="9"/>
  <c r="Q294" i="9"/>
  <c r="U293" i="9"/>
  <c r="T293" i="9"/>
  <c r="S293" i="9"/>
  <c r="R293" i="9"/>
  <c r="Q293" i="9"/>
  <c r="U292" i="9"/>
  <c r="T292" i="9"/>
  <c r="S292" i="9"/>
  <c r="R292" i="9"/>
  <c r="Q292" i="9"/>
  <c r="U291" i="9"/>
  <c r="T291" i="9"/>
  <c r="S291" i="9"/>
  <c r="R291" i="9"/>
  <c r="Q291" i="9"/>
  <c r="U290" i="9"/>
  <c r="T290" i="9"/>
  <c r="S290" i="9"/>
  <c r="R290" i="9"/>
  <c r="Q290" i="9"/>
  <c r="U289" i="9"/>
  <c r="T289" i="9"/>
  <c r="S289" i="9"/>
  <c r="R289" i="9"/>
  <c r="Q289" i="9"/>
  <c r="U288" i="9"/>
  <c r="T288" i="9"/>
  <c r="S288" i="9"/>
  <c r="R288" i="9"/>
  <c r="Q288" i="9"/>
  <c r="U287" i="9"/>
  <c r="T287" i="9"/>
  <c r="S287" i="9"/>
  <c r="R287" i="9"/>
  <c r="Q287" i="9"/>
  <c r="U286" i="9"/>
  <c r="T286" i="9"/>
  <c r="S286" i="9"/>
  <c r="R286" i="9"/>
  <c r="Q286" i="9"/>
  <c r="U285" i="9"/>
  <c r="T285" i="9"/>
  <c r="S285" i="9"/>
  <c r="R285" i="9"/>
  <c r="Q285" i="9"/>
  <c r="U284" i="9"/>
  <c r="T284" i="9"/>
  <c r="S284" i="9"/>
  <c r="R284" i="9"/>
  <c r="Q284" i="9"/>
  <c r="U283" i="9"/>
  <c r="T283" i="9"/>
  <c r="S283" i="9"/>
  <c r="R283" i="9"/>
  <c r="Q283" i="9"/>
  <c r="U282" i="9"/>
  <c r="T282" i="9"/>
  <c r="S282" i="9"/>
  <c r="R282" i="9"/>
  <c r="Q282" i="9"/>
  <c r="U281" i="9"/>
  <c r="T281" i="9"/>
  <c r="S281" i="9"/>
  <c r="R281" i="9"/>
  <c r="Q281" i="9"/>
  <c r="U280" i="9"/>
  <c r="T280" i="9"/>
  <c r="S280" i="9"/>
  <c r="R280" i="9"/>
  <c r="Q280" i="9"/>
  <c r="U279" i="9"/>
  <c r="T279" i="9"/>
  <c r="S279" i="9"/>
  <c r="R279" i="9"/>
  <c r="Q279" i="9"/>
  <c r="U278" i="9"/>
  <c r="T278" i="9"/>
  <c r="S278" i="9"/>
  <c r="R278" i="9"/>
  <c r="Q278" i="9"/>
  <c r="U277" i="9"/>
  <c r="T277" i="9"/>
  <c r="S277" i="9"/>
  <c r="R277" i="9"/>
  <c r="Q277" i="9"/>
  <c r="U276" i="9"/>
  <c r="T276" i="9"/>
  <c r="S276" i="9"/>
  <c r="R276" i="9"/>
  <c r="Q276" i="9"/>
  <c r="U275" i="9"/>
  <c r="T275" i="9"/>
  <c r="S275" i="9"/>
  <c r="R275" i="9"/>
  <c r="Q275" i="9"/>
  <c r="U274" i="9"/>
  <c r="T274" i="9"/>
  <c r="S274" i="9"/>
  <c r="R274" i="9"/>
  <c r="Q274" i="9"/>
  <c r="U273" i="9"/>
  <c r="T273" i="9"/>
  <c r="S273" i="9"/>
  <c r="R273" i="9"/>
  <c r="Q273" i="9"/>
  <c r="U272" i="9"/>
  <c r="T272" i="9"/>
  <c r="S272" i="9"/>
  <c r="R272" i="9"/>
  <c r="Q272" i="9"/>
  <c r="U271" i="9"/>
  <c r="T271" i="9"/>
  <c r="S271" i="9"/>
  <c r="R271" i="9"/>
  <c r="Q271" i="9"/>
  <c r="U270" i="9"/>
  <c r="T270" i="9"/>
  <c r="S270" i="9"/>
  <c r="R270" i="9"/>
  <c r="Q270" i="9"/>
  <c r="U269" i="9"/>
  <c r="T269" i="9"/>
  <c r="S269" i="9"/>
  <c r="R269" i="9"/>
  <c r="Q269" i="9"/>
  <c r="U268" i="9"/>
  <c r="T268" i="9"/>
  <c r="S268" i="9"/>
  <c r="R268" i="9"/>
  <c r="Q268" i="9"/>
  <c r="U267" i="9"/>
  <c r="T267" i="9"/>
  <c r="S267" i="9"/>
  <c r="R267" i="9"/>
  <c r="Q267" i="9"/>
  <c r="U266" i="9"/>
  <c r="T266" i="9"/>
  <c r="S266" i="9"/>
  <c r="R266" i="9"/>
  <c r="Q266" i="9"/>
  <c r="U265" i="9"/>
  <c r="T265" i="9"/>
  <c r="S265" i="9"/>
  <c r="R265" i="9"/>
  <c r="Q265" i="9"/>
  <c r="U264" i="9"/>
  <c r="T264" i="9"/>
  <c r="S264" i="9"/>
  <c r="R264" i="9"/>
  <c r="Q264" i="9"/>
  <c r="U263" i="9"/>
  <c r="T263" i="9"/>
  <c r="S263" i="9"/>
  <c r="R263" i="9"/>
  <c r="Q263" i="9"/>
  <c r="U262" i="9"/>
  <c r="T262" i="9"/>
  <c r="S262" i="9"/>
  <c r="R262" i="9"/>
  <c r="Q262" i="9"/>
  <c r="U261" i="9"/>
  <c r="T261" i="9"/>
  <c r="S261" i="9"/>
  <c r="R261" i="9"/>
  <c r="Q261" i="9"/>
  <c r="U260" i="9"/>
  <c r="T260" i="9"/>
  <c r="S260" i="9"/>
  <c r="R260" i="9"/>
  <c r="Q260" i="9"/>
  <c r="U259" i="9"/>
  <c r="T259" i="9"/>
  <c r="S259" i="9"/>
  <c r="R259" i="9"/>
  <c r="Q259" i="9"/>
  <c r="U258" i="9"/>
  <c r="T258" i="9"/>
  <c r="S258" i="9"/>
  <c r="R258" i="9"/>
  <c r="Q258" i="9"/>
  <c r="U257" i="9"/>
  <c r="T257" i="9"/>
  <c r="S257" i="9"/>
  <c r="R257" i="9"/>
  <c r="Q257" i="9"/>
  <c r="U256" i="9"/>
  <c r="T256" i="9"/>
  <c r="S256" i="9"/>
  <c r="R256" i="9"/>
  <c r="Q256" i="9"/>
  <c r="U255" i="9"/>
  <c r="T255" i="9"/>
  <c r="S255" i="9"/>
  <c r="R255" i="9"/>
  <c r="Q255" i="9"/>
  <c r="U254" i="9"/>
  <c r="T254" i="9"/>
  <c r="S254" i="9"/>
  <c r="R254" i="9"/>
  <c r="Q254" i="9"/>
  <c r="U253" i="9"/>
  <c r="T253" i="9"/>
  <c r="S253" i="9"/>
  <c r="R253" i="9"/>
  <c r="Q253" i="9"/>
  <c r="U252" i="9"/>
  <c r="T252" i="9"/>
  <c r="S252" i="9"/>
  <c r="R252" i="9"/>
  <c r="Q252" i="9"/>
  <c r="U251" i="9"/>
  <c r="T251" i="9"/>
  <c r="S251" i="9"/>
  <c r="R251" i="9"/>
  <c r="Q251" i="9"/>
  <c r="U250" i="9"/>
  <c r="T250" i="9"/>
  <c r="S250" i="9"/>
  <c r="R250" i="9"/>
  <c r="Q250" i="9"/>
  <c r="U249" i="9"/>
  <c r="T249" i="9"/>
  <c r="S249" i="9"/>
  <c r="R249" i="9"/>
  <c r="Q249" i="9"/>
  <c r="U248" i="9"/>
  <c r="T248" i="9"/>
  <c r="S248" i="9"/>
  <c r="R248" i="9"/>
  <c r="Q248" i="9"/>
  <c r="U247" i="9"/>
  <c r="T247" i="9"/>
  <c r="S247" i="9"/>
  <c r="R247" i="9"/>
  <c r="Q247" i="9"/>
  <c r="U246" i="9"/>
  <c r="T246" i="9"/>
  <c r="S246" i="9"/>
  <c r="R246" i="9"/>
  <c r="Q246" i="9"/>
  <c r="U245" i="9"/>
  <c r="T245" i="9"/>
  <c r="S245" i="9"/>
  <c r="R245" i="9"/>
  <c r="Q245" i="9"/>
  <c r="U244" i="9"/>
  <c r="T244" i="9"/>
  <c r="S244" i="9"/>
  <c r="R244" i="9"/>
  <c r="Q244" i="9"/>
  <c r="U243" i="9"/>
  <c r="T243" i="9"/>
  <c r="S243" i="9"/>
  <c r="R243" i="9"/>
  <c r="Q243" i="9"/>
  <c r="U242" i="9"/>
  <c r="T242" i="9"/>
  <c r="S242" i="9"/>
  <c r="R242" i="9"/>
  <c r="Q242" i="9"/>
  <c r="U241" i="9"/>
  <c r="T241" i="9"/>
  <c r="S241" i="9"/>
  <c r="R241" i="9"/>
  <c r="Q241" i="9"/>
  <c r="U240" i="9"/>
  <c r="T240" i="9"/>
  <c r="S240" i="9"/>
  <c r="R240" i="9"/>
  <c r="Q240" i="9"/>
  <c r="U239" i="9"/>
  <c r="T239" i="9"/>
  <c r="S239" i="9"/>
  <c r="R239" i="9"/>
  <c r="Q239" i="9"/>
  <c r="U238" i="9"/>
  <c r="T238" i="9"/>
  <c r="S238" i="9"/>
  <c r="R238" i="9"/>
  <c r="Q238" i="9"/>
  <c r="U237" i="9"/>
  <c r="T237" i="9"/>
  <c r="S237" i="9"/>
  <c r="R237" i="9"/>
  <c r="Q237" i="9"/>
  <c r="U236" i="9"/>
  <c r="T236" i="9"/>
  <c r="S236" i="9"/>
  <c r="R236" i="9"/>
  <c r="Q236" i="9"/>
  <c r="U235" i="9"/>
  <c r="T235" i="9"/>
  <c r="S235" i="9"/>
  <c r="R235" i="9"/>
  <c r="Q235" i="9"/>
  <c r="U234" i="9"/>
  <c r="T234" i="9"/>
  <c r="S234" i="9"/>
  <c r="R234" i="9"/>
  <c r="Q234" i="9"/>
  <c r="U233" i="9"/>
  <c r="T233" i="9"/>
  <c r="S233" i="9"/>
  <c r="R233" i="9"/>
  <c r="Q233" i="9"/>
  <c r="U232" i="9"/>
  <c r="T232" i="9"/>
  <c r="S232" i="9"/>
  <c r="R232" i="9"/>
  <c r="Q232" i="9"/>
  <c r="U231" i="9"/>
  <c r="T231" i="9"/>
  <c r="S231" i="9"/>
  <c r="R231" i="9"/>
  <c r="Q231" i="9"/>
  <c r="U230" i="9"/>
  <c r="T230" i="9"/>
  <c r="S230" i="9"/>
  <c r="R230" i="9"/>
  <c r="Q230" i="9"/>
  <c r="U229" i="9"/>
  <c r="T229" i="9"/>
  <c r="S229" i="9"/>
  <c r="R229" i="9"/>
  <c r="Q229" i="9"/>
  <c r="U228" i="9"/>
  <c r="T228" i="9"/>
  <c r="S228" i="9"/>
  <c r="R228" i="9"/>
  <c r="Q228" i="9"/>
  <c r="U227" i="9"/>
  <c r="T227" i="9"/>
  <c r="S227" i="9"/>
  <c r="R227" i="9"/>
  <c r="Q227" i="9"/>
  <c r="U226" i="9"/>
  <c r="T226" i="9"/>
  <c r="S226" i="9"/>
  <c r="R226" i="9"/>
  <c r="Q226" i="9"/>
  <c r="U225" i="9"/>
  <c r="T225" i="9"/>
  <c r="S225" i="9"/>
  <c r="R225" i="9"/>
  <c r="Q225" i="9"/>
  <c r="U224" i="9"/>
  <c r="T224" i="9"/>
  <c r="S224" i="9"/>
  <c r="R224" i="9"/>
  <c r="Q224" i="9"/>
  <c r="U223" i="9"/>
  <c r="T223" i="9"/>
  <c r="S223" i="9"/>
  <c r="R223" i="9"/>
  <c r="Q223" i="9"/>
  <c r="U222" i="9"/>
  <c r="T222" i="9"/>
  <c r="S222" i="9"/>
  <c r="R222" i="9"/>
  <c r="Q222" i="9"/>
  <c r="U221" i="9"/>
  <c r="T221" i="9"/>
  <c r="S221" i="9"/>
  <c r="R221" i="9"/>
  <c r="Q221" i="9"/>
  <c r="U220" i="9"/>
  <c r="T220" i="9"/>
  <c r="S220" i="9"/>
  <c r="R220" i="9"/>
  <c r="Q220" i="9"/>
  <c r="U219" i="9"/>
  <c r="T219" i="9"/>
  <c r="S219" i="9"/>
  <c r="R219" i="9"/>
  <c r="Q219" i="9"/>
  <c r="U218" i="9"/>
  <c r="T218" i="9"/>
  <c r="S218" i="9"/>
  <c r="R218" i="9"/>
  <c r="Q218" i="9"/>
  <c r="U217" i="9"/>
  <c r="T217" i="9"/>
  <c r="S217" i="9"/>
  <c r="R217" i="9"/>
  <c r="Q217" i="9"/>
  <c r="U216" i="9"/>
  <c r="T216" i="9"/>
  <c r="S216" i="9"/>
  <c r="R216" i="9"/>
  <c r="Q216" i="9"/>
  <c r="U215" i="9"/>
  <c r="T215" i="9"/>
  <c r="S215" i="9"/>
  <c r="R215" i="9"/>
  <c r="Q215" i="9"/>
  <c r="U214" i="9"/>
  <c r="T214" i="9"/>
  <c r="S214" i="9"/>
  <c r="R214" i="9"/>
  <c r="Q214" i="9"/>
  <c r="U213" i="9"/>
  <c r="T213" i="9"/>
  <c r="S213" i="9"/>
  <c r="R213" i="9"/>
  <c r="Q213" i="9"/>
  <c r="U212" i="9"/>
  <c r="T212" i="9"/>
  <c r="S212" i="9"/>
  <c r="R212" i="9"/>
  <c r="Q212" i="9"/>
  <c r="U211" i="9"/>
  <c r="T211" i="9"/>
  <c r="S211" i="9"/>
  <c r="R211" i="9"/>
  <c r="Q211" i="9"/>
  <c r="U210" i="9"/>
  <c r="T210" i="9"/>
  <c r="S210" i="9"/>
  <c r="R210" i="9"/>
  <c r="Q210" i="9"/>
  <c r="U209" i="9"/>
  <c r="T209" i="9"/>
  <c r="S209" i="9"/>
  <c r="R209" i="9"/>
  <c r="Q209" i="9"/>
  <c r="U208" i="9"/>
  <c r="T208" i="9"/>
  <c r="S208" i="9"/>
  <c r="R208" i="9"/>
  <c r="Q208" i="9"/>
  <c r="U207" i="9"/>
  <c r="T207" i="9"/>
  <c r="S207" i="9"/>
  <c r="R207" i="9"/>
  <c r="Q207" i="9"/>
  <c r="U206" i="9"/>
  <c r="T206" i="9"/>
  <c r="S206" i="9"/>
  <c r="R206" i="9"/>
  <c r="Q206" i="9"/>
  <c r="U205" i="9"/>
  <c r="T205" i="9"/>
  <c r="S205" i="9"/>
  <c r="R205" i="9"/>
  <c r="Q205" i="9"/>
  <c r="U204" i="9"/>
  <c r="T204" i="9"/>
  <c r="S204" i="9"/>
  <c r="R204" i="9"/>
  <c r="Q204" i="9"/>
  <c r="H4" i="9" a="1"/>
  <c r="H21" i="9" s="1"/>
  <c r="B4" i="9" a="1"/>
  <c r="B12" i="9" s="1"/>
  <c r="A4" i="9" a="1"/>
  <c r="H4" i="8" a="1"/>
  <c r="H12" i="8" s="1"/>
  <c r="B4" i="8" a="1"/>
  <c r="B4" i="8" s="1"/>
  <c r="A4" i="8" a="1"/>
  <c r="A4" i="8" s="1"/>
  <c r="D4" i="8" s="1"/>
  <c r="H4" i="7" a="1"/>
  <c r="H9" i="7" s="1"/>
  <c r="B4" i="7" a="1"/>
  <c r="B4" i="7" s="1"/>
  <c r="A4" i="7" a="1"/>
  <c r="A4" i="7" s="1"/>
  <c r="U403" i="6"/>
  <c r="T403" i="6"/>
  <c r="S403" i="6"/>
  <c r="R403" i="6"/>
  <c r="Q403" i="6"/>
  <c r="U402" i="6"/>
  <c r="T402" i="6"/>
  <c r="S402" i="6"/>
  <c r="R402" i="6"/>
  <c r="Q402" i="6"/>
  <c r="U401" i="6"/>
  <c r="T401" i="6"/>
  <c r="S401" i="6"/>
  <c r="R401" i="6"/>
  <c r="Q401" i="6"/>
  <c r="U400" i="6"/>
  <c r="T400" i="6"/>
  <c r="S400" i="6"/>
  <c r="R400" i="6"/>
  <c r="Q400" i="6"/>
  <c r="U399" i="6"/>
  <c r="T399" i="6"/>
  <c r="S399" i="6"/>
  <c r="R399" i="6"/>
  <c r="Q399" i="6"/>
  <c r="U398" i="6"/>
  <c r="T398" i="6"/>
  <c r="S398" i="6"/>
  <c r="R398" i="6"/>
  <c r="Q398" i="6"/>
  <c r="U397" i="6"/>
  <c r="T397" i="6"/>
  <c r="S397" i="6"/>
  <c r="R397" i="6"/>
  <c r="Q397" i="6"/>
  <c r="U396" i="6"/>
  <c r="T396" i="6"/>
  <c r="S396" i="6"/>
  <c r="R396" i="6"/>
  <c r="Q396" i="6"/>
  <c r="U395" i="6"/>
  <c r="T395" i="6"/>
  <c r="S395" i="6"/>
  <c r="R395" i="6"/>
  <c r="Q395" i="6"/>
  <c r="U394" i="6"/>
  <c r="T394" i="6"/>
  <c r="S394" i="6"/>
  <c r="R394" i="6"/>
  <c r="Q394" i="6"/>
  <c r="U393" i="6"/>
  <c r="T393" i="6"/>
  <c r="S393" i="6"/>
  <c r="R393" i="6"/>
  <c r="Q393" i="6"/>
  <c r="U392" i="6"/>
  <c r="T392" i="6"/>
  <c r="S392" i="6"/>
  <c r="R392" i="6"/>
  <c r="Q392" i="6"/>
  <c r="U391" i="6"/>
  <c r="T391" i="6"/>
  <c r="S391" i="6"/>
  <c r="R391" i="6"/>
  <c r="Q391" i="6"/>
  <c r="U390" i="6"/>
  <c r="T390" i="6"/>
  <c r="S390" i="6"/>
  <c r="R390" i="6"/>
  <c r="Q390" i="6"/>
  <c r="U389" i="6"/>
  <c r="T389" i="6"/>
  <c r="S389" i="6"/>
  <c r="R389" i="6"/>
  <c r="Q389" i="6"/>
  <c r="U388" i="6"/>
  <c r="T388" i="6"/>
  <c r="S388" i="6"/>
  <c r="R388" i="6"/>
  <c r="Q388" i="6"/>
  <c r="U387" i="6"/>
  <c r="T387" i="6"/>
  <c r="S387" i="6"/>
  <c r="R387" i="6"/>
  <c r="Q387" i="6"/>
  <c r="U386" i="6"/>
  <c r="T386" i="6"/>
  <c r="S386" i="6"/>
  <c r="R386" i="6"/>
  <c r="Q386" i="6"/>
  <c r="U385" i="6"/>
  <c r="T385" i="6"/>
  <c r="S385" i="6"/>
  <c r="R385" i="6"/>
  <c r="Q385" i="6"/>
  <c r="U384" i="6"/>
  <c r="T384" i="6"/>
  <c r="S384" i="6"/>
  <c r="R384" i="6"/>
  <c r="Q384" i="6"/>
  <c r="U383" i="6"/>
  <c r="T383" i="6"/>
  <c r="S383" i="6"/>
  <c r="R383" i="6"/>
  <c r="Q383" i="6"/>
  <c r="U382" i="6"/>
  <c r="T382" i="6"/>
  <c r="S382" i="6"/>
  <c r="R382" i="6"/>
  <c r="Q382" i="6"/>
  <c r="U381" i="6"/>
  <c r="T381" i="6"/>
  <c r="S381" i="6"/>
  <c r="R381" i="6"/>
  <c r="Q381" i="6"/>
  <c r="U380" i="6"/>
  <c r="T380" i="6"/>
  <c r="S380" i="6"/>
  <c r="R380" i="6"/>
  <c r="Q380" i="6"/>
  <c r="U379" i="6"/>
  <c r="T379" i="6"/>
  <c r="S379" i="6"/>
  <c r="R379" i="6"/>
  <c r="Q379" i="6"/>
  <c r="U378" i="6"/>
  <c r="T378" i="6"/>
  <c r="S378" i="6"/>
  <c r="R378" i="6"/>
  <c r="Q378" i="6"/>
  <c r="U377" i="6"/>
  <c r="T377" i="6"/>
  <c r="S377" i="6"/>
  <c r="R377" i="6"/>
  <c r="Q377" i="6"/>
  <c r="U376" i="6"/>
  <c r="T376" i="6"/>
  <c r="S376" i="6"/>
  <c r="R376" i="6"/>
  <c r="Q376" i="6"/>
  <c r="U375" i="6"/>
  <c r="T375" i="6"/>
  <c r="S375" i="6"/>
  <c r="R375" i="6"/>
  <c r="Q375" i="6"/>
  <c r="U374" i="6"/>
  <c r="T374" i="6"/>
  <c r="S374" i="6"/>
  <c r="R374" i="6"/>
  <c r="Q374" i="6"/>
  <c r="U373" i="6"/>
  <c r="T373" i="6"/>
  <c r="S373" i="6"/>
  <c r="R373" i="6"/>
  <c r="Q373" i="6"/>
  <c r="U372" i="6"/>
  <c r="T372" i="6"/>
  <c r="S372" i="6"/>
  <c r="R372" i="6"/>
  <c r="Q372" i="6"/>
  <c r="U371" i="6"/>
  <c r="T371" i="6"/>
  <c r="S371" i="6"/>
  <c r="R371" i="6"/>
  <c r="Q371" i="6"/>
  <c r="U370" i="6"/>
  <c r="T370" i="6"/>
  <c r="S370" i="6"/>
  <c r="R370" i="6"/>
  <c r="Q370" i="6"/>
  <c r="U369" i="6"/>
  <c r="T369" i="6"/>
  <c r="S369" i="6"/>
  <c r="R369" i="6"/>
  <c r="Q369" i="6"/>
  <c r="U368" i="6"/>
  <c r="T368" i="6"/>
  <c r="S368" i="6"/>
  <c r="R368" i="6"/>
  <c r="Q368" i="6"/>
  <c r="U367" i="6"/>
  <c r="T367" i="6"/>
  <c r="S367" i="6"/>
  <c r="R367" i="6"/>
  <c r="Q367" i="6"/>
  <c r="U366" i="6"/>
  <c r="T366" i="6"/>
  <c r="S366" i="6"/>
  <c r="R366" i="6"/>
  <c r="Q366" i="6"/>
  <c r="U365" i="6"/>
  <c r="T365" i="6"/>
  <c r="S365" i="6"/>
  <c r="R365" i="6"/>
  <c r="Q365" i="6"/>
  <c r="U364" i="6"/>
  <c r="T364" i="6"/>
  <c r="S364" i="6"/>
  <c r="R364" i="6"/>
  <c r="Q364" i="6"/>
  <c r="U363" i="6"/>
  <c r="T363" i="6"/>
  <c r="S363" i="6"/>
  <c r="R363" i="6"/>
  <c r="Q363" i="6"/>
  <c r="U362" i="6"/>
  <c r="T362" i="6"/>
  <c r="S362" i="6"/>
  <c r="R362" i="6"/>
  <c r="Q362" i="6"/>
  <c r="U361" i="6"/>
  <c r="T361" i="6"/>
  <c r="S361" i="6"/>
  <c r="R361" i="6"/>
  <c r="Q361" i="6"/>
  <c r="U360" i="6"/>
  <c r="T360" i="6"/>
  <c r="S360" i="6"/>
  <c r="R360" i="6"/>
  <c r="Q360" i="6"/>
  <c r="U359" i="6"/>
  <c r="T359" i="6"/>
  <c r="S359" i="6"/>
  <c r="R359" i="6"/>
  <c r="Q359" i="6"/>
  <c r="U358" i="6"/>
  <c r="T358" i="6"/>
  <c r="S358" i="6"/>
  <c r="R358" i="6"/>
  <c r="Q358" i="6"/>
  <c r="U357" i="6"/>
  <c r="T357" i="6"/>
  <c r="S357" i="6"/>
  <c r="R357" i="6"/>
  <c r="Q357" i="6"/>
  <c r="U356" i="6"/>
  <c r="T356" i="6"/>
  <c r="S356" i="6"/>
  <c r="R356" i="6"/>
  <c r="Q356" i="6"/>
  <c r="U355" i="6"/>
  <c r="T355" i="6"/>
  <c r="S355" i="6"/>
  <c r="R355" i="6"/>
  <c r="Q355" i="6"/>
  <c r="U354" i="6"/>
  <c r="T354" i="6"/>
  <c r="S354" i="6"/>
  <c r="R354" i="6"/>
  <c r="Q354" i="6"/>
  <c r="U353" i="6"/>
  <c r="T353" i="6"/>
  <c r="S353" i="6"/>
  <c r="R353" i="6"/>
  <c r="Q353" i="6"/>
  <c r="U352" i="6"/>
  <c r="T352" i="6"/>
  <c r="S352" i="6"/>
  <c r="R352" i="6"/>
  <c r="Q352" i="6"/>
  <c r="U351" i="6"/>
  <c r="T351" i="6"/>
  <c r="S351" i="6"/>
  <c r="R351" i="6"/>
  <c r="Q351" i="6"/>
  <c r="U350" i="6"/>
  <c r="T350" i="6"/>
  <c r="S350" i="6"/>
  <c r="R350" i="6"/>
  <c r="Q350" i="6"/>
  <c r="U349" i="6"/>
  <c r="T349" i="6"/>
  <c r="S349" i="6"/>
  <c r="R349" i="6"/>
  <c r="Q349" i="6"/>
  <c r="U348" i="6"/>
  <c r="T348" i="6"/>
  <c r="S348" i="6"/>
  <c r="R348" i="6"/>
  <c r="Q348" i="6"/>
  <c r="U347" i="6"/>
  <c r="T347" i="6"/>
  <c r="S347" i="6"/>
  <c r="R347" i="6"/>
  <c r="Q347" i="6"/>
  <c r="U346" i="6"/>
  <c r="T346" i="6"/>
  <c r="S346" i="6"/>
  <c r="R346" i="6"/>
  <c r="Q346" i="6"/>
  <c r="U345" i="6"/>
  <c r="T345" i="6"/>
  <c r="S345" i="6"/>
  <c r="R345" i="6"/>
  <c r="Q345" i="6"/>
  <c r="U344" i="6"/>
  <c r="T344" i="6"/>
  <c r="S344" i="6"/>
  <c r="R344" i="6"/>
  <c r="Q344" i="6"/>
  <c r="U343" i="6"/>
  <c r="T343" i="6"/>
  <c r="S343" i="6"/>
  <c r="R343" i="6"/>
  <c r="Q343" i="6"/>
  <c r="U342" i="6"/>
  <c r="T342" i="6"/>
  <c r="S342" i="6"/>
  <c r="R342" i="6"/>
  <c r="Q342" i="6"/>
  <c r="U341" i="6"/>
  <c r="T341" i="6"/>
  <c r="S341" i="6"/>
  <c r="R341" i="6"/>
  <c r="Q341" i="6"/>
  <c r="U340" i="6"/>
  <c r="T340" i="6"/>
  <c r="S340" i="6"/>
  <c r="R340" i="6"/>
  <c r="Q340" i="6"/>
  <c r="U339" i="6"/>
  <c r="T339" i="6"/>
  <c r="S339" i="6"/>
  <c r="R339" i="6"/>
  <c r="Q339" i="6"/>
  <c r="U338" i="6"/>
  <c r="T338" i="6"/>
  <c r="S338" i="6"/>
  <c r="R338" i="6"/>
  <c r="Q338" i="6"/>
  <c r="U337" i="6"/>
  <c r="T337" i="6"/>
  <c r="S337" i="6"/>
  <c r="R337" i="6"/>
  <c r="Q337" i="6"/>
  <c r="U336" i="6"/>
  <c r="T336" i="6"/>
  <c r="S336" i="6"/>
  <c r="R336" i="6"/>
  <c r="Q336" i="6"/>
  <c r="U335" i="6"/>
  <c r="T335" i="6"/>
  <c r="S335" i="6"/>
  <c r="R335" i="6"/>
  <c r="Q335" i="6"/>
  <c r="U334" i="6"/>
  <c r="T334" i="6"/>
  <c r="S334" i="6"/>
  <c r="R334" i="6"/>
  <c r="Q334" i="6"/>
  <c r="U333" i="6"/>
  <c r="T333" i="6"/>
  <c r="S333" i="6"/>
  <c r="R333" i="6"/>
  <c r="Q333" i="6"/>
  <c r="U332" i="6"/>
  <c r="T332" i="6"/>
  <c r="S332" i="6"/>
  <c r="R332" i="6"/>
  <c r="Q332" i="6"/>
  <c r="U331" i="6"/>
  <c r="T331" i="6"/>
  <c r="S331" i="6"/>
  <c r="R331" i="6"/>
  <c r="Q331" i="6"/>
  <c r="U330" i="6"/>
  <c r="T330" i="6"/>
  <c r="S330" i="6"/>
  <c r="R330" i="6"/>
  <c r="Q330" i="6"/>
  <c r="U329" i="6"/>
  <c r="T329" i="6"/>
  <c r="S329" i="6"/>
  <c r="R329" i="6"/>
  <c r="Q329" i="6"/>
  <c r="U328" i="6"/>
  <c r="T328" i="6"/>
  <c r="S328" i="6"/>
  <c r="R328" i="6"/>
  <c r="Q328" i="6"/>
  <c r="U327" i="6"/>
  <c r="T327" i="6"/>
  <c r="S327" i="6"/>
  <c r="R327" i="6"/>
  <c r="Q327" i="6"/>
  <c r="U326" i="6"/>
  <c r="T326" i="6"/>
  <c r="S326" i="6"/>
  <c r="R326" i="6"/>
  <c r="Q326" i="6"/>
  <c r="U325" i="6"/>
  <c r="T325" i="6"/>
  <c r="S325" i="6"/>
  <c r="R325" i="6"/>
  <c r="Q325" i="6"/>
  <c r="U324" i="6"/>
  <c r="T324" i="6"/>
  <c r="S324" i="6"/>
  <c r="R324" i="6"/>
  <c r="Q324" i="6"/>
  <c r="U323" i="6"/>
  <c r="T323" i="6"/>
  <c r="S323" i="6"/>
  <c r="R323" i="6"/>
  <c r="Q323" i="6"/>
  <c r="U322" i="6"/>
  <c r="T322" i="6"/>
  <c r="S322" i="6"/>
  <c r="R322" i="6"/>
  <c r="Q322" i="6"/>
  <c r="U321" i="6"/>
  <c r="T321" i="6"/>
  <c r="S321" i="6"/>
  <c r="R321" i="6"/>
  <c r="Q321" i="6"/>
  <c r="U320" i="6"/>
  <c r="T320" i="6"/>
  <c r="S320" i="6"/>
  <c r="R320" i="6"/>
  <c r="Q320" i="6"/>
  <c r="U319" i="6"/>
  <c r="T319" i="6"/>
  <c r="S319" i="6"/>
  <c r="R319" i="6"/>
  <c r="Q319" i="6"/>
  <c r="U318" i="6"/>
  <c r="T318" i="6"/>
  <c r="S318" i="6"/>
  <c r="R318" i="6"/>
  <c r="Q318" i="6"/>
  <c r="U317" i="6"/>
  <c r="T317" i="6"/>
  <c r="S317" i="6"/>
  <c r="R317" i="6"/>
  <c r="Q317" i="6"/>
  <c r="U316" i="6"/>
  <c r="T316" i="6"/>
  <c r="S316" i="6"/>
  <c r="R316" i="6"/>
  <c r="Q316" i="6"/>
  <c r="U315" i="6"/>
  <c r="T315" i="6"/>
  <c r="S315" i="6"/>
  <c r="R315" i="6"/>
  <c r="Q315" i="6"/>
  <c r="U314" i="6"/>
  <c r="T314" i="6"/>
  <c r="S314" i="6"/>
  <c r="R314" i="6"/>
  <c r="Q314" i="6"/>
  <c r="U313" i="6"/>
  <c r="T313" i="6"/>
  <c r="S313" i="6"/>
  <c r="R313" i="6"/>
  <c r="Q313" i="6"/>
  <c r="U312" i="6"/>
  <c r="T312" i="6"/>
  <c r="S312" i="6"/>
  <c r="R312" i="6"/>
  <c r="Q312" i="6"/>
  <c r="U311" i="6"/>
  <c r="T311" i="6"/>
  <c r="S311" i="6"/>
  <c r="R311" i="6"/>
  <c r="Q311" i="6"/>
  <c r="U310" i="6"/>
  <c r="T310" i="6"/>
  <c r="S310" i="6"/>
  <c r="R310" i="6"/>
  <c r="Q310" i="6"/>
  <c r="U309" i="6"/>
  <c r="T309" i="6"/>
  <c r="S309" i="6"/>
  <c r="R309" i="6"/>
  <c r="Q309" i="6"/>
  <c r="U308" i="6"/>
  <c r="T308" i="6"/>
  <c r="S308" i="6"/>
  <c r="R308" i="6"/>
  <c r="Q308" i="6"/>
  <c r="U307" i="6"/>
  <c r="T307" i="6"/>
  <c r="S307" i="6"/>
  <c r="R307" i="6"/>
  <c r="Q307" i="6"/>
  <c r="U306" i="6"/>
  <c r="T306" i="6"/>
  <c r="S306" i="6"/>
  <c r="R306" i="6"/>
  <c r="Q306" i="6"/>
  <c r="U305" i="6"/>
  <c r="T305" i="6"/>
  <c r="S305" i="6"/>
  <c r="R305" i="6"/>
  <c r="Q305" i="6"/>
  <c r="U304" i="6"/>
  <c r="T304" i="6"/>
  <c r="S304" i="6"/>
  <c r="R304" i="6"/>
  <c r="Q304" i="6"/>
  <c r="U303" i="6"/>
  <c r="T303" i="6"/>
  <c r="S303" i="6"/>
  <c r="R303" i="6"/>
  <c r="Q303" i="6"/>
  <c r="U302" i="6"/>
  <c r="T302" i="6"/>
  <c r="S302" i="6"/>
  <c r="R302" i="6"/>
  <c r="Q302" i="6"/>
  <c r="U301" i="6"/>
  <c r="T301" i="6"/>
  <c r="S301" i="6"/>
  <c r="R301" i="6"/>
  <c r="Q301" i="6"/>
  <c r="U300" i="6"/>
  <c r="T300" i="6"/>
  <c r="S300" i="6"/>
  <c r="R300" i="6"/>
  <c r="Q300" i="6"/>
  <c r="U299" i="6"/>
  <c r="T299" i="6"/>
  <c r="S299" i="6"/>
  <c r="R299" i="6"/>
  <c r="Q299" i="6"/>
  <c r="U298" i="6"/>
  <c r="T298" i="6"/>
  <c r="S298" i="6"/>
  <c r="R298" i="6"/>
  <c r="Q298" i="6"/>
  <c r="U297" i="6"/>
  <c r="T297" i="6"/>
  <c r="S297" i="6"/>
  <c r="R297" i="6"/>
  <c r="Q297" i="6"/>
  <c r="U296" i="6"/>
  <c r="T296" i="6"/>
  <c r="S296" i="6"/>
  <c r="R296" i="6"/>
  <c r="Q296" i="6"/>
  <c r="U295" i="6"/>
  <c r="T295" i="6"/>
  <c r="S295" i="6"/>
  <c r="R295" i="6"/>
  <c r="Q295" i="6"/>
  <c r="U294" i="6"/>
  <c r="T294" i="6"/>
  <c r="S294" i="6"/>
  <c r="R294" i="6"/>
  <c r="Q294" i="6"/>
  <c r="U293" i="6"/>
  <c r="T293" i="6"/>
  <c r="S293" i="6"/>
  <c r="R293" i="6"/>
  <c r="Q293" i="6"/>
  <c r="U292" i="6"/>
  <c r="T292" i="6"/>
  <c r="S292" i="6"/>
  <c r="R292" i="6"/>
  <c r="Q292" i="6"/>
  <c r="U291" i="6"/>
  <c r="T291" i="6"/>
  <c r="S291" i="6"/>
  <c r="R291" i="6"/>
  <c r="Q291" i="6"/>
  <c r="U290" i="6"/>
  <c r="T290" i="6"/>
  <c r="S290" i="6"/>
  <c r="R290" i="6"/>
  <c r="Q290" i="6"/>
  <c r="U289" i="6"/>
  <c r="T289" i="6"/>
  <c r="S289" i="6"/>
  <c r="R289" i="6"/>
  <c r="Q289" i="6"/>
  <c r="U288" i="6"/>
  <c r="T288" i="6"/>
  <c r="S288" i="6"/>
  <c r="R288" i="6"/>
  <c r="Q288" i="6"/>
  <c r="U287" i="6"/>
  <c r="T287" i="6"/>
  <c r="S287" i="6"/>
  <c r="R287" i="6"/>
  <c r="Q287" i="6"/>
  <c r="U286" i="6"/>
  <c r="T286" i="6"/>
  <c r="S286" i="6"/>
  <c r="R286" i="6"/>
  <c r="Q286" i="6"/>
  <c r="U285" i="6"/>
  <c r="T285" i="6"/>
  <c r="S285" i="6"/>
  <c r="R285" i="6"/>
  <c r="Q285" i="6"/>
  <c r="U284" i="6"/>
  <c r="T284" i="6"/>
  <c r="S284" i="6"/>
  <c r="R284" i="6"/>
  <c r="Q284" i="6"/>
  <c r="U283" i="6"/>
  <c r="T283" i="6"/>
  <c r="S283" i="6"/>
  <c r="R283" i="6"/>
  <c r="Q283" i="6"/>
  <c r="U282" i="6"/>
  <c r="T282" i="6"/>
  <c r="S282" i="6"/>
  <c r="R282" i="6"/>
  <c r="Q282" i="6"/>
  <c r="U281" i="6"/>
  <c r="T281" i="6"/>
  <c r="S281" i="6"/>
  <c r="R281" i="6"/>
  <c r="Q281" i="6"/>
  <c r="U280" i="6"/>
  <c r="T280" i="6"/>
  <c r="S280" i="6"/>
  <c r="R280" i="6"/>
  <c r="Q280" i="6"/>
  <c r="U279" i="6"/>
  <c r="T279" i="6"/>
  <c r="S279" i="6"/>
  <c r="R279" i="6"/>
  <c r="Q279" i="6"/>
  <c r="U278" i="6"/>
  <c r="T278" i="6"/>
  <c r="S278" i="6"/>
  <c r="R278" i="6"/>
  <c r="Q278" i="6"/>
  <c r="U277" i="6"/>
  <c r="T277" i="6"/>
  <c r="S277" i="6"/>
  <c r="R277" i="6"/>
  <c r="Q277" i="6"/>
  <c r="U276" i="6"/>
  <c r="T276" i="6"/>
  <c r="S276" i="6"/>
  <c r="R276" i="6"/>
  <c r="Q276" i="6"/>
  <c r="U275" i="6"/>
  <c r="T275" i="6"/>
  <c r="S275" i="6"/>
  <c r="R275" i="6"/>
  <c r="Q275" i="6"/>
  <c r="U274" i="6"/>
  <c r="T274" i="6"/>
  <c r="S274" i="6"/>
  <c r="R274" i="6"/>
  <c r="Q274" i="6"/>
  <c r="U273" i="6"/>
  <c r="T273" i="6"/>
  <c r="S273" i="6"/>
  <c r="R273" i="6"/>
  <c r="Q273" i="6"/>
  <c r="U272" i="6"/>
  <c r="T272" i="6"/>
  <c r="S272" i="6"/>
  <c r="R272" i="6"/>
  <c r="Q272" i="6"/>
  <c r="U271" i="6"/>
  <c r="T271" i="6"/>
  <c r="S271" i="6"/>
  <c r="R271" i="6"/>
  <c r="Q271" i="6"/>
  <c r="U270" i="6"/>
  <c r="T270" i="6"/>
  <c r="S270" i="6"/>
  <c r="R270" i="6"/>
  <c r="Q270" i="6"/>
  <c r="U269" i="6"/>
  <c r="T269" i="6"/>
  <c r="S269" i="6"/>
  <c r="R269" i="6"/>
  <c r="Q269" i="6"/>
  <c r="U268" i="6"/>
  <c r="T268" i="6"/>
  <c r="S268" i="6"/>
  <c r="R268" i="6"/>
  <c r="Q268" i="6"/>
  <c r="U267" i="6"/>
  <c r="T267" i="6"/>
  <c r="S267" i="6"/>
  <c r="R267" i="6"/>
  <c r="Q267" i="6"/>
  <c r="U266" i="6"/>
  <c r="T266" i="6"/>
  <c r="S266" i="6"/>
  <c r="R266" i="6"/>
  <c r="Q266" i="6"/>
  <c r="U265" i="6"/>
  <c r="T265" i="6"/>
  <c r="S265" i="6"/>
  <c r="R265" i="6"/>
  <c r="Q265" i="6"/>
  <c r="U264" i="6"/>
  <c r="T264" i="6"/>
  <c r="S264" i="6"/>
  <c r="R264" i="6"/>
  <c r="Q264" i="6"/>
  <c r="U263" i="6"/>
  <c r="T263" i="6"/>
  <c r="S263" i="6"/>
  <c r="R263" i="6"/>
  <c r="Q263" i="6"/>
  <c r="U262" i="6"/>
  <c r="T262" i="6"/>
  <c r="S262" i="6"/>
  <c r="R262" i="6"/>
  <c r="Q262" i="6"/>
  <c r="U261" i="6"/>
  <c r="T261" i="6"/>
  <c r="S261" i="6"/>
  <c r="R261" i="6"/>
  <c r="Q261" i="6"/>
  <c r="U260" i="6"/>
  <c r="T260" i="6"/>
  <c r="S260" i="6"/>
  <c r="R260" i="6"/>
  <c r="Q260" i="6"/>
  <c r="U259" i="6"/>
  <c r="T259" i="6"/>
  <c r="S259" i="6"/>
  <c r="R259" i="6"/>
  <c r="Q259" i="6"/>
  <c r="U258" i="6"/>
  <c r="T258" i="6"/>
  <c r="S258" i="6"/>
  <c r="R258" i="6"/>
  <c r="Q258" i="6"/>
  <c r="U257" i="6"/>
  <c r="T257" i="6"/>
  <c r="S257" i="6"/>
  <c r="R257" i="6"/>
  <c r="Q257" i="6"/>
  <c r="U256" i="6"/>
  <c r="T256" i="6"/>
  <c r="S256" i="6"/>
  <c r="R256" i="6"/>
  <c r="Q256" i="6"/>
  <c r="U255" i="6"/>
  <c r="T255" i="6"/>
  <c r="S255" i="6"/>
  <c r="R255" i="6"/>
  <c r="Q255" i="6"/>
  <c r="U254" i="6"/>
  <c r="T254" i="6"/>
  <c r="S254" i="6"/>
  <c r="R254" i="6"/>
  <c r="Q254" i="6"/>
  <c r="U253" i="6"/>
  <c r="T253" i="6"/>
  <c r="S253" i="6"/>
  <c r="R253" i="6"/>
  <c r="Q253" i="6"/>
  <c r="U252" i="6"/>
  <c r="T252" i="6"/>
  <c r="S252" i="6"/>
  <c r="R252" i="6"/>
  <c r="Q252" i="6"/>
  <c r="U251" i="6"/>
  <c r="T251" i="6"/>
  <c r="S251" i="6"/>
  <c r="R251" i="6"/>
  <c r="Q251" i="6"/>
  <c r="U250" i="6"/>
  <c r="T250" i="6"/>
  <c r="S250" i="6"/>
  <c r="R250" i="6"/>
  <c r="Q250" i="6"/>
  <c r="U249" i="6"/>
  <c r="T249" i="6"/>
  <c r="S249" i="6"/>
  <c r="R249" i="6"/>
  <c r="Q249" i="6"/>
  <c r="U248" i="6"/>
  <c r="T248" i="6"/>
  <c r="S248" i="6"/>
  <c r="R248" i="6"/>
  <c r="Q248" i="6"/>
  <c r="U247" i="6"/>
  <c r="T247" i="6"/>
  <c r="S247" i="6"/>
  <c r="R247" i="6"/>
  <c r="Q247" i="6"/>
  <c r="U246" i="6"/>
  <c r="T246" i="6"/>
  <c r="S246" i="6"/>
  <c r="R246" i="6"/>
  <c r="Q246" i="6"/>
  <c r="U245" i="6"/>
  <c r="T245" i="6"/>
  <c r="S245" i="6"/>
  <c r="R245" i="6"/>
  <c r="Q245" i="6"/>
  <c r="U244" i="6"/>
  <c r="T244" i="6"/>
  <c r="S244" i="6"/>
  <c r="R244" i="6"/>
  <c r="Q244" i="6"/>
  <c r="U243" i="6"/>
  <c r="T243" i="6"/>
  <c r="S243" i="6"/>
  <c r="R243" i="6"/>
  <c r="Q243" i="6"/>
  <c r="U242" i="6"/>
  <c r="T242" i="6"/>
  <c r="S242" i="6"/>
  <c r="R242" i="6"/>
  <c r="Q242" i="6"/>
  <c r="U241" i="6"/>
  <c r="T241" i="6"/>
  <c r="S241" i="6"/>
  <c r="R241" i="6"/>
  <c r="Q241" i="6"/>
  <c r="U240" i="6"/>
  <c r="T240" i="6"/>
  <c r="S240" i="6"/>
  <c r="R240" i="6"/>
  <c r="Q240" i="6"/>
  <c r="U239" i="6"/>
  <c r="T239" i="6"/>
  <c r="S239" i="6"/>
  <c r="R239" i="6"/>
  <c r="Q239" i="6"/>
  <c r="U238" i="6"/>
  <c r="T238" i="6"/>
  <c r="S238" i="6"/>
  <c r="R238" i="6"/>
  <c r="Q238" i="6"/>
  <c r="U237" i="6"/>
  <c r="T237" i="6"/>
  <c r="S237" i="6"/>
  <c r="R237" i="6"/>
  <c r="Q237" i="6"/>
  <c r="U236" i="6"/>
  <c r="T236" i="6"/>
  <c r="S236" i="6"/>
  <c r="R236" i="6"/>
  <c r="Q236" i="6"/>
  <c r="U235" i="6"/>
  <c r="T235" i="6"/>
  <c r="S235" i="6"/>
  <c r="R235" i="6"/>
  <c r="Q235" i="6"/>
  <c r="U234" i="6"/>
  <c r="T234" i="6"/>
  <c r="S234" i="6"/>
  <c r="R234" i="6"/>
  <c r="Q234" i="6"/>
  <c r="U233" i="6"/>
  <c r="T233" i="6"/>
  <c r="S233" i="6"/>
  <c r="R233" i="6"/>
  <c r="Q233" i="6"/>
  <c r="U232" i="6"/>
  <c r="T232" i="6"/>
  <c r="S232" i="6"/>
  <c r="R232" i="6"/>
  <c r="Q232" i="6"/>
  <c r="U231" i="6"/>
  <c r="T231" i="6"/>
  <c r="S231" i="6"/>
  <c r="R231" i="6"/>
  <c r="Q231" i="6"/>
  <c r="U230" i="6"/>
  <c r="T230" i="6"/>
  <c r="S230" i="6"/>
  <c r="R230" i="6"/>
  <c r="Q230" i="6"/>
  <c r="U229" i="6"/>
  <c r="T229" i="6"/>
  <c r="S229" i="6"/>
  <c r="R229" i="6"/>
  <c r="Q229" i="6"/>
  <c r="U228" i="6"/>
  <c r="T228" i="6"/>
  <c r="S228" i="6"/>
  <c r="R228" i="6"/>
  <c r="Q228" i="6"/>
  <c r="U227" i="6"/>
  <c r="T227" i="6"/>
  <c r="S227" i="6"/>
  <c r="R227" i="6"/>
  <c r="Q227" i="6"/>
  <c r="U226" i="6"/>
  <c r="T226" i="6"/>
  <c r="S226" i="6"/>
  <c r="R226" i="6"/>
  <c r="Q226" i="6"/>
  <c r="U225" i="6"/>
  <c r="T225" i="6"/>
  <c r="S225" i="6"/>
  <c r="R225" i="6"/>
  <c r="Q225" i="6"/>
  <c r="U224" i="6"/>
  <c r="T224" i="6"/>
  <c r="S224" i="6"/>
  <c r="R224" i="6"/>
  <c r="Q224" i="6"/>
  <c r="U223" i="6"/>
  <c r="T223" i="6"/>
  <c r="S223" i="6"/>
  <c r="R223" i="6"/>
  <c r="Q223" i="6"/>
  <c r="U222" i="6"/>
  <c r="T222" i="6"/>
  <c r="S222" i="6"/>
  <c r="R222" i="6"/>
  <c r="Q222" i="6"/>
  <c r="U221" i="6"/>
  <c r="T221" i="6"/>
  <c r="S221" i="6"/>
  <c r="R221" i="6"/>
  <c r="Q221" i="6"/>
  <c r="U220" i="6"/>
  <c r="T220" i="6"/>
  <c r="S220" i="6"/>
  <c r="R220" i="6"/>
  <c r="Q220" i="6"/>
  <c r="U219" i="6"/>
  <c r="T219" i="6"/>
  <c r="S219" i="6"/>
  <c r="R219" i="6"/>
  <c r="Q219" i="6"/>
  <c r="U218" i="6"/>
  <c r="T218" i="6"/>
  <c r="S218" i="6"/>
  <c r="R218" i="6"/>
  <c r="Q218" i="6"/>
  <c r="U217" i="6"/>
  <c r="T217" i="6"/>
  <c r="S217" i="6"/>
  <c r="R217" i="6"/>
  <c r="Q217" i="6"/>
  <c r="U216" i="6"/>
  <c r="T216" i="6"/>
  <c r="S216" i="6"/>
  <c r="R216" i="6"/>
  <c r="Q216" i="6"/>
  <c r="U215" i="6"/>
  <c r="T215" i="6"/>
  <c r="S215" i="6"/>
  <c r="R215" i="6"/>
  <c r="Q215" i="6"/>
  <c r="U214" i="6"/>
  <c r="T214" i="6"/>
  <c r="S214" i="6"/>
  <c r="R214" i="6"/>
  <c r="Q214" i="6"/>
  <c r="U213" i="6"/>
  <c r="T213" i="6"/>
  <c r="S213" i="6"/>
  <c r="R213" i="6"/>
  <c r="Q213" i="6"/>
  <c r="U212" i="6"/>
  <c r="T212" i="6"/>
  <c r="S212" i="6"/>
  <c r="R212" i="6"/>
  <c r="Q212" i="6"/>
  <c r="U211" i="6"/>
  <c r="T211" i="6"/>
  <c r="S211" i="6"/>
  <c r="R211" i="6"/>
  <c r="Q211" i="6"/>
  <c r="U210" i="6"/>
  <c r="T210" i="6"/>
  <c r="S210" i="6"/>
  <c r="R210" i="6"/>
  <c r="Q210" i="6"/>
  <c r="U209" i="6"/>
  <c r="T209" i="6"/>
  <c r="S209" i="6"/>
  <c r="R209" i="6"/>
  <c r="Q209" i="6"/>
  <c r="U208" i="6"/>
  <c r="T208" i="6"/>
  <c r="S208" i="6"/>
  <c r="R208" i="6"/>
  <c r="Q208" i="6"/>
  <c r="U207" i="6"/>
  <c r="T207" i="6"/>
  <c r="S207" i="6"/>
  <c r="R207" i="6"/>
  <c r="Q207" i="6"/>
  <c r="U206" i="6"/>
  <c r="T206" i="6"/>
  <c r="S206" i="6"/>
  <c r="R206" i="6"/>
  <c r="Q206" i="6"/>
  <c r="U205" i="6"/>
  <c r="T205" i="6"/>
  <c r="S205" i="6"/>
  <c r="R205" i="6"/>
  <c r="Q205" i="6"/>
  <c r="U204" i="6"/>
  <c r="T204" i="6"/>
  <c r="S204" i="6"/>
  <c r="R204" i="6"/>
  <c r="Q204" i="6"/>
  <c r="H4" i="6" a="1"/>
  <c r="H11" i="6" s="1"/>
  <c r="B4" i="6" a="1"/>
  <c r="B6" i="6" s="1"/>
  <c r="A4" i="6" a="1"/>
  <c r="A4" i="6" s="1"/>
  <c r="U403" i="5"/>
  <c r="T403" i="5"/>
  <c r="S403" i="5"/>
  <c r="R403" i="5"/>
  <c r="Q403" i="5"/>
  <c r="U402" i="5"/>
  <c r="T402" i="5"/>
  <c r="S402" i="5"/>
  <c r="R402" i="5"/>
  <c r="Q402" i="5"/>
  <c r="U401" i="5"/>
  <c r="T401" i="5"/>
  <c r="S401" i="5"/>
  <c r="R401" i="5"/>
  <c r="Q401" i="5"/>
  <c r="U400" i="5"/>
  <c r="T400" i="5"/>
  <c r="S400" i="5"/>
  <c r="R400" i="5"/>
  <c r="Q400" i="5"/>
  <c r="U399" i="5"/>
  <c r="T399" i="5"/>
  <c r="S399" i="5"/>
  <c r="R399" i="5"/>
  <c r="Q399" i="5"/>
  <c r="U398" i="5"/>
  <c r="T398" i="5"/>
  <c r="S398" i="5"/>
  <c r="R398" i="5"/>
  <c r="Q398" i="5"/>
  <c r="U397" i="5"/>
  <c r="T397" i="5"/>
  <c r="S397" i="5"/>
  <c r="R397" i="5"/>
  <c r="Q397" i="5"/>
  <c r="U396" i="5"/>
  <c r="T396" i="5"/>
  <c r="S396" i="5"/>
  <c r="R396" i="5"/>
  <c r="Q396" i="5"/>
  <c r="U395" i="5"/>
  <c r="T395" i="5"/>
  <c r="S395" i="5"/>
  <c r="R395" i="5"/>
  <c r="Q395" i="5"/>
  <c r="U394" i="5"/>
  <c r="T394" i="5"/>
  <c r="S394" i="5"/>
  <c r="R394" i="5"/>
  <c r="Q394" i="5"/>
  <c r="U393" i="5"/>
  <c r="T393" i="5"/>
  <c r="S393" i="5"/>
  <c r="R393" i="5"/>
  <c r="Q393" i="5"/>
  <c r="U392" i="5"/>
  <c r="T392" i="5"/>
  <c r="S392" i="5"/>
  <c r="R392" i="5"/>
  <c r="Q392" i="5"/>
  <c r="U391" i="5"/>
  <c r="T391" i="5"/>
  <c r="S391" i="5"/>
  <c r="R391" i="5"/>
  <c r="Q391" i="5"/>
  <c r="U390" i="5"/>
  <c r="T390" i="5"/>
  <c r="S390" i="5"/>
  <c r="R390" i="5"/>
  <c r="Q390" i="5"/>
  <c r="U389" i="5"/>
  <c r="T389" i="5"/>
  <c r="S389" i="5"/>
  <c r="R389" i="5"/>
  <c r="Q389" i="5"/>
  <c r="U388" i="5"/>
  <c r="T388" i="5"/>
  <c r="S388" i="5"/>
  <c r="R388" i="5"/>
  <c r="Q388" i="5"/>
  <c r="U387" i="5"/>
  <c r="T387" i="5"/>
  <c r="S387" i="5"/>
  <c r="R387" i="5"/>
  <c r="Q387" i="5"/>
  <c r="U386" i="5"/>
  <c r="T386" i="5"/>
  <c r="S386" i="5"/>
  <c r="R386" i="5"/>
  <c r="Q386" i="5"/>
  <c r="U385" i="5"/>
  <c r="T385" i="5"/>
  <c r="S385" i="5"/>
  <c r="R385" i="5"/>
  <c r="Q385" i="5"/>
  <c r="U384" i="5"/>
  <c r="T384" i="5"/>
  <c r="S384" i="5"/>
  <c r="R384" i="5"/>
  <c r="Q384" i="5"/>
  <c r="U383" i="5"/>
  <c r="T383" i="5"/>
  <c r="S383" i="5"/>
  <c r="R383" i="5"/>
  <c r="Q383" i="5"/>
  <c r="U382" i="5"/>
  <c r="T382" i="5"/>
  <c r="S382" i="5"/>
  <c r="R382" i="5"/>
  <c r="Q382" i="5"/>
  <c r="U381" i="5"/>
  <c r="T381" i="5"/>
  <c r="S381" i="5"/>
  <c r="R381" i="5"/>
  <c r="Q381" i="5"/>
  <c r="U380" i="5"/>
  <c r="T380" i="5"/>
  <c r="S380" i="5"/>
  <c r="R380" i="5"/>
  <c r="Q380" i="5"/>
  <c r="U379" i="5"/>
  <c r="T379" i="5"/>
  <c r="S379" i="5"/>
  <c r="R379" i="5"/>
  <c r="Q379" i="5"/>
  <c r="U378" i="5"/>
  <c r="T378" i="5"/>
  <c r="S378" i="5"/>
  <c r="R378" i="5"/>
  <c r="Q378" i="5"/>
  <c r="U377" i="5"/>
  <c r="T377" i="5"/>
  <c r="S377" i="5"/>
  <c r="R377" i="5"/>
  <c r="Q377" i="5"/>
  <c r="U376" i="5"/>
  <c r="T376" i="5"/>
  <c r="S376" i="5"/>
  <c r="R376" i="5"/>
  <c r="Q376" i="5"/>
  <c r="U375" i="5"/>
  <c r="T375" i="5"/>
  <c r="S375" i="5"/>
  <c r="R375" i="5"/>
  <c r="Q375" i="5"/>
  <c r="U374" i="5"/>
  <c r="T374" i="5"/>
  <c r="S374" i="5"/>
  <c r="R374" i="5"/>
  <c r="Q374" i="5"/>
  <c r="U373" i="5"/>
  <c r="T373" i="5"/>
  <c r="S373" i="5"/>
  <c r="R373" i="5"/>
  <c r="Q373" i="5"/>
  <c r="U372" i="5"/>
  <c r="T372" i="5"/>
  <c r="S372" i="5"/>
  <c r="R372" i="5"/>
  <c r="Q372" i="5"/>
  <c r="U371" i="5"/>
  <c r="T371" i="5"/>
  <c r="S371" i="5"/>
  <c r="R371" i="5"/>
  <c r="Q371" i="5"/>
  <c r="U370" i="5"/>
  <c r="T370" i="5"/>
  <c r="S370" i="5"/>
  <c r="R370" i="5"/>
  <c r="Q370" i="5"/>
  <c r="U369" i="5"/>
  <c r="T369" i="5"/>
  <c r="S369" i="5"/>
  <c r="R369" i="5"/>
  <c r="Q369" i="5"/>
  <c r="U368" i="5"/>
  <c r="T368" i="5"/>
  <c r="S368" i="5"/>
  <c r="R368" i="5"/>
  <c r="Q368" i="5"/>
  <c r="U367" i="5"/>
  <c r="T367" i="5"/>
  <c r="S367" i="5"/>
  <c r="R367" i="5"/>
  <c r="Q367" i="5"/>
  <c r="U366" i="5"/>
  <c r="T366" i="5"/>
  <c r="S366" i="5"/>
  <c r="R366" i="5"/>
  <c r="Q366" i="5"/>
  <c r="U365" i="5"/>
  <c r="T365" i="5"/>
  <c r="S365" i="5"/>
  <c r="R365" i="5"/>
  <c r="Q365" i="5"/>
  <c r="U364" i="5"/>
  <c r="T364" i="5"/>
  <c r="S364" i="5"/>
  <c r="R364" i="5"/>
  <c r="Q364" i="5"/>
  <c r="U363" i="5"/>
  <c r="T363" i="5"/>
  <c r="S363" i="5"/>
  <c r="R363" i="5"/>
  <c r="Q363" i="5"/>
  <c r="U362" i="5"/>
  <c r="T362" i="5"/>
  <c r="S362" i="5"/>
  <c r="R362" i="5"/>
  <c r="Q362" i="5"/>
  <c r="U361" i="5"/>
  <c r="T361" i="5"/>
  <c r="S361" i="5"/>
  <c r="R361" i="5"/>
  <c r="Q361" i="5"/>
  <c r="U360" i="5"/>
  <c r="T360" i="5"/>
  <c r="S360" i="5"/>
  <c r="R360" i="5"/>
  <c r="Q360" i="5"/>
  <c r="U359" i="5"/>
  <c r="T359" i="5"/>
  <c r="S359" i="5"/>
  <c r="R359" i="5"/>
  <c r="Q359" i="5"/>
  <c r="U358" i="5"/>
  <c r="T358" i="5"/>
  <c r="S358" i="5"/>
  <c r="R358" i="5"/>
  <c r="Q358" i="5"/>
  <c r="U357" i="5"/>
  <c r="T357" i="5"/>
  <c r="S357" i="5"/>
  <c r="R357" i="5"/>
  <c r="Q357" i="5"/>
  <c r="U356" i="5"/>
  <c r="T356" i="5"/>
  <c r="S356" i="5"/>
  <c r="R356" i="5"/>
  <c r="Q356" i="5"/>
  <c r="U355" i="5"/>
  <c r="T355" i="5"/>
  <c r="S355" i="5"/>
  <c r="R355" i="5"/>
  <c r="Q355" i="5"/>
  <c r="U354" i="5"/>
  <c r="T354" i="5"/>
  <c r="S354" i="5"/>
  <c r="R354" i="5"/>
  <c r="Q354" i="5"/>
  <c r="U353" i="5"/>
  <c r="T353" i="5"/>
  <c r="S353" i="5"/>
  <c r="R353" i="5"/>
  <c r="Q353" i="5"/>
  <c r="U352" i="5"/>
  <c r="T352" i="5"/>
  <c r="S352" i="5"/>
  <c r="R352" i="5"/>
  <c r="Q352" i="5"/>
  <c r="U351" i="5"/>
  <c r="T351" i="5"/>
  <c r="S351" i="5"/>
  <c r="R351" i="5"/>
  <c r="Q351" i="5"/>
  <c r="U350" i="5"/>
  <c r="T350" i="5"/>
  <c r="S350" i="5"/>
  <c r="R350" i="5"/>
  <c r="Q350" i="5"/>
  <c r="U349" i="5"/>
  <c r="T349" i="5"/>
  <c r="S349" i="5"/>
  <c r="R349" i="5"/>
  <c r="Q349" i="5"/>
  <c r="U348" i="5"/>
  <c r="T348" i="5"/>
  <c r="S348" i="5"/>
  <c r="R348" i="5"/>
  <c r="Q348" i="5"/>
  <c r="U347" i="5"/>
  <c r="T347" i="5"/>
  <c r="S347" i="5"/>
  <c r="R347" i="5"/>
  <c r="Q347" i="5"/>
  <c r="U346" i="5"/>
  <c r="T346" i="5"/>
  <c r="S346" i="5"/>
  <c r="R346" i="5"/>
  <c r="Q346" i="5"/>
  <c r="U345" i="5"/>
  <c r="T345" i="5"/>
  <c r="S345" i="5"/>
  <c r="R345" i="5"/>
  <c r="Q345" i="5"/>
  <c r="U344" i="5"/>
  <c r="T344" i="5"/>
  <c r="S344" i="5"/>
  <c r="R344" i="5"/>
  <c r="Q344" i="5"/>
  <c r="U343" i="5"/>
  <c r="T343" i="5"/>
  <c r="S343" i="5"/>
  <c r="R343" i="5"/>
  <c r="Q343" i="5"/>
  <c r="U342" i="5"/>
  <c r="T342" i="5"/>
  <c r="S342" i="5"/>
  <c r="R342" i="5"/>
  <c r="Q342" i="5"/>
  <c r="U341" i="5"/>
  <c r="T341" i="5"/>
  <c r="S341" i="5"/>
  <c r="R341" i="5"/>
  <c r="Q341" i="5"/>
  <c r="U340" i="5"/>
  <c r="T340" i="5"/>
  <c r="S340" i="5"/>
  <c r="R340" i="5"/>
  <c r="Q340" i="5"/>
  <c r="U339" i="5"/>
  <c r="T339" i="5"/>
  <c r="S339" i="5"/>
  <c r="R339" i="5"/>
  <c r="Q339" i="5"/>
  <c r="U338" i="5"/>
  <c r="T338" i="5"/>
  <c r="S338" i="5"/>
  <c r="R338" i="5"/>
  <c r="Q338" i="5"/>
  <c r="U337" i="5"/>
  <c r="T337" i="5"/>
  <c r="S337" i="5"/>
  <c r="R337" i="5"/>
  <c r="Q337" i="5"/>
  <c r="U336" i="5"/>
  <c r="T336" i="5"/>
  <c r="S336" i="5"/>
  <c r="R336" i="5"/>
  <c r="Q336" i="5"/>
  <c r="U335" i="5"/>
  <c r="T335" i="5"/>
  <c r="S335" i="5"/>
  <c r="R335" i="5"/>
  <c r="Q335" i="5"/>
  <c r="U334" i="5"/>
  <c r="T334" i="5"/>
  <c r="S334" i="5"/>
  <c r="R334" i="5"/>
  <c r="Q334" i="5"/>
  <c r="U333" i="5"/>
  <c r="T333" i="5"/>
  <c r="S333" i="5"/>
  <c r="R333" i="5"/>
  <c r="Q333" i="5"/>
  <c r="U332" i="5"/>
  <c r="T332" i="5"/>
  <c r="S332" i="5"/>
  <c r="R332" i="5"/>
  <c r="Q332" i="5"/>
  <c r="U331" i="5"/>
  <c r="T331" i="5"/>
  <c r="S331" i="5"/>
  <c r="R331" i="5"/>
  <c r="Q331" i="5"/>
  <c r="U330" i="5"/>
  <c r="T330" i="5"/>
  <c r="S330" i="5"/>
  <c r="R330" i="5"/>
  <c r="Q330" i="5"/>
  <c r="U329" i="5"/>
  <c r="T329" i="5"/>
  <c r="S329" i="5"/>
  <c r="R329" i="5"/>
  <c r="Q329" i="5"/>
  <c r="U328" i="5"/>
  <c r="T328" i="5"/>
  <c r="S328" i="5"/>
  <c r="R328" i="5"/>
  <c r="Q328" i="5"/>
  <c r="U327" i="5"/>
  <c r="T327" i="5"/>
  <c r="S327" i="5"/>
  <c r="R327" i="5"/>
  <c r="Q327" i="5"/>
  <c r="U326" i="5"/>
  <c r="T326" i="5"/>
  <c r="S326" i="5"/>
  <c r="R326" i="5"/>
  <c r="Q326" i="5"/>
  <c r="U325" i="5"/>
  <c r="T325" i="5"/>
  <c r="S325" i="5"/>
  <c r="R325" i="5"/>
  <c r="Q325" i="5"/>
  <c r="U324" i="5"/>
  <c r="T324" i="5"/>
  <c r="S324" i="5"/>
  <c r="R324" i="5"/>
  <c r="Q324" i="5"/>
  <c r="U323" i="5"/>
  <c r="T323" i="5"/>
  <c r="S323" i="5"/>
  <c r="R323" i="5"/>
  <c r="Q323" i="5"/>
  <c r="U322" i="5"/>
  <c r="T322" i="5"/>
  <c r="S322" i="5"/>
  <c r="R322" i="5"/>
  <c r="Q322" i="5"/>
  <c r="U321" i="5"/>
  <c r="T321" i="5"/>
  <c r="S321" i="5"/>
  <c r="R321" i="5"/>
  <c r="Q321" i="5"/>
  <c r="U320" i="5"/>
  <c r="T320" i="5"/>
  <c r="S320" i="5"/>
  <c r="R320" i="5"/>
  <c r="Q320" i="5"/>
  <c r="U319" i="5"/>
  <c r="T319" i="5"/>
  <c r="S319" i="5"/>
  <c r="R319" i="5"/>
  <c r="Q319" i="5"/>
  <c r="U318" i="5"/>
  <c r="T318" i="5"/>
  <c r="S318" i="5"/>
  <c r="R318" i="5"/>
  <c r="Q318" i="5"/>
  <c r="U317" i="5"/>
  <c r="T317" i="5"/>
  <c r="S317" i="5"/>
  <c r="R317" i="5"/>
  <c r="Q317" i="5"/>
  <c r="U316" i="5"/>
  <c r="T316" i="5"/>
  <c r="S316" i="5"/>
  <c r="R316" i="5"/>
  <c r="Q316" i="5"/>
  <c r="U315" i="5"/>
  <c r="T315" i="5"/>
  <c r="S315" i="5"/>
  <c r="R315" i="5"/>
  <c r="Q315" i="5"/>
  <c r="U314" i="5"/>
  <c r="T314" i="5"/>
  <c r="S314" i="5"/>
  <c r="R314" i="5"/>
  <c r="Q314" i="5"/>
  <c r="U313" i="5"/>
  <c r="T313" i="5"/>
  <c r="S313" i="5"/>
  <c r="R313" i="5"/>
  <c r="Q313" i="5"/>
  <c r="U312" i="5"/>
  <c r="T312" i="5"/>
  <c r="S312" i="5"/>
  <c r="R312" i="5"/>
  <c r="Q312" i="5"/>
  <c r="U311" i="5"/>
  <c r="T311" i="5"/>
  <c r="S311" i="5"/>
  <c r="R311" i="5"/>
  <c r="Q311" i="5"/>
  <c r="U310" i="5"/>
  <c r="T310" i="5"/>
  <c r="S310" i="5"/>
  <c r="R310" i="5"/>
  <c r="Q310" i="5"/>
  <c r="U309" i="5"/>
  <c r="T309" i="5"/>
  <c r="S309" i="5"/>
  <c r="R309" i="5"/>
  <c r="Q309" i="5"/>
  <c r="U308" i="5"/>
  <c r="T308" i="5"/>
  <c r="S308" i="5"/>
  <c r="R308" i="5"/>
  <c r="Q308" i="5"/>
  <c r="U307" i="5"/>
  <c r="T307" i="5"/>
  <c r="S307" i="5"/>
  <c r="R307" i="5"/>
  <c r="Q307" i="5"/>
  <c r="U306" i="5"/>
  <c r="T306" i="5"/>
  <c r="S306" i="5"/>
  <c r="R306" i="5"/>
  <c r="Q306" i="5"/>
  <c r="U305" i="5"/>
  <c r="T305" i="5"/>
  <c r="S305" i="5"/>
  <c r="R305" i="5"/>
  <c r="Q305" i="5"/>
  <c r="U304" i="5"/>
  <c r="T304" i="5"/>
  <c r="S304" i="5"/>
  <c r="R304" i="5"/>
  <c r="Q304" i="5"/>
  <c r="U303" i="5"/>
  <c r="T303" i="5"/>
  <c r="S303" i="5"/>
  <c r="R303" i="5"/>
  <c r="Q303" i="5"/>
  <c r="U302" i="5"/>
  <c r="T302" i="5"/>
  <c r="S302" i="5"/>
  <c r="R302" i="5"/>
  <c r="Q302" i="5"/>
  <c r="U301" i="5"/>
  <c r="T301" i="5"/>
  <c r="S301" i="5"/>
  <c r="R301" i="5"/>
  <c r="Q301" i="5"/>
  <c r="U300" i="5"/>
  <c r="T300" i="5"/>
  <c r="S300" i="5"/>
  <c r="R300" i="5"/>
  <c r="Q300" i="5"/>
  <c r="U299" i="5"/>
  <c r="T299" i="5"/>
  <c r="S299" i="5"/>
  <c r="R299" i="5"/>
  <c r="Q299" i="5"/>
  <c r="U298" i="5"/>
  <c r="T298" i="5"/>
  <c r="S298" i="5"/>
  <c r="R298" i="5"/>
  <c r="Q298" i="5"/>
  <c r="U297" i="5"/>
  <c r="T297" i="5"/>
  <c r="S297" i="5"/>
  <c r="R297" i="5"/>
  <c r="Q297" i="5"/>
  <c r="U296" i="5"/>
  <c r="T296" i="5"/>
  <c r="S296" i="5"/>
  <c r="R296" i="5"/>
  <c r="Q296" i="5"/>
  <c r="U295" i="5"/>
  <c r="T295" i="5"/>
  <c r="S295" i="5"/>
  <c r="R295" i="5"/>
  <c r="Q295" i="5"/>
  <c r="U294" i="5"/>
  <c r="T294" i="5"/>
  <c r="S294" i="5"/>
  <c r="R294" i="5"/>
  <c r="Q294" i="5"/>
  <c r="U293" i="5"/>
  <c r="T293" i="5"/>
  <c r="S293" i="5"/>
  <c r="R293" i="5"/>
  <c r="Q293" i="5"/>
  <c r="U292" i="5"/>
  <c r="T292" i="5"/>
  <c r="S292" i="5"/>
  <c r="R292" i="5"/>
  <c r="Q292" i="5"/>
  <c r="U291" i="5"/>
  <c r="T291" i="5"/>
  <c r="S291" i="5"/>
  <c r="R291" i="5"/>
  <c r="Q291" i="5"/>
  <c r="U290" i="5"/>
  <c r="T290" i="5"/>
  <c r="S290" i="5"/>
  <c r="R290" i="5"/>
  <c r="Q290" i="5"/>
  <c r="U289" i="5"/>
  <c r="T289" i="5"/>
  <c r="S289" i="5"/>
  <c r="R289" i="5"/>
  <c r="Q289" i="5"/>
  <c r="U288" i="5"/>
  <c r="T288" i="5"/>
  <c r="S288" i="5"/>
  <c r="R288" i="5"/>
  <c r="Q288" i="5"/>
  <c r="U287" i="5"/>
  <c r="T287" i="5"/>
  <c r="S287" i="5"/>
  <c r="R287" i="5"/>
  <c r="Q287" i="5"/>
  <c r="U286" i="5"/>
  <c r="T286" i="5"/>
  <c r="S286" i="5"/>
  <c r="R286" i="5"/>
  <c r="Q286" i="5"/>
  <c r="U285" i="5"/>
  <c r="T285" i="5"/>
  <c r="S285" i="5"/>
  <c r="R285" i="5"/>
  <c r="Q285" i="5"/>
  <c r="U284" i="5"/>
  <c r="T284" i="5"/>
  <c r="S284" i="5"/>
  <c r="R284" i="5"/>
  <c r="Q284" i="5"/>
  <c r="U283" i="5"/>
  <c r="T283" i="5"/>
  <c r="S283" i="5"/>
  <c r="R283" i="5"/>
  <c r="Q283" i="5"/>
  <c r="U282" i="5"/>
  <c r="T282" i="5"/>
  <c r="S282" i="5"/>
  <c r="R282" i="5"/>
  <c r="Q282" i="5"/>
  <c r="U281" i="5"/>
  <c r="T281" i="5"/>
  <c r="S281" i="5"/>
  <c r="R281" i="5"/>
  <c r="Q281" i="5"/>
  <c r="U280" i="5"/>
  <c r="T280" i="5"/>
  <c r="S280" i="5"/>
  <c r="R280" i="5"/>
  <c r="Q280" i="5"/>
  <c r="U279" i="5"/>
  <c r="T279" i="5"/>
  <c r="S279" i="5"/>
  <c r="R279" i="5"/>
  <c r="Q279" i="5"/>
  <c r="U278" i="5"/>
  <c r="T278" i="5"/>
  <c r="S278" i="5"/>
  <c r="R278" i="5"/>
  <c r="Q278" i="5"/>
  <c r="U277" i="5"/>
  <c r="T277" i="5"/>
  <c r="S277" i="5"/>
  <c r="R277" i="5"/>
  <c r="Q277" i="5"/>
  <c r="U276" i="5"/>
  <c r="T276" i="5"/>
  <c r="S276" i="5"/>
  <c r="R276" i="5"/>
  <c r="Q276" i="5"/>
  <c r="U275" i="5"/>
  <c r="T275" i="5"/>
  <c r="S275" i="5"/>
  <c r="R275" i="5"/>
  <c r="Q275" i="5"/>
  <c r="U274" i="5"/>
  <c r="T274" i="5"/>
  <c r="S274" i="5"/>
  <c r="R274" i="5"/>
  <c r="Q274" i="5"/>
  <c r="U273" i="5"/>
  <c r="T273" i="5"/>
  <c r="S273" i="5"/>
  <c r="R273" i="5"/>
  <c r="Q273" i="5"/>
  <c r="U272" i="5"/>
  <c r="T272" i="5"/>
  <c r="S272" i="5"/>
  <c r="R272" i="5"/>
  <c r="Q272" i="5"/>
  <c r="U271" i="5"/>
  <c r="T271" i="5"/>
  <c r="S271" i="5"/>
  <c r="R271" i="5"/>
  <c r="Q271" i="5"/>
  <c r="U270" i="5"/>
  <c r="T270" i="5"/>
  <c r="S270" i="5"/>
  <c r="R270" i="5"/>
  <c r="Q270" i="5"/>
  <c r="U269" i="5"/>
  <c r="T269" i="5"/>
  <c r="S269" i="5"/>
  <c r="R269" i="5"/>
  <c r="Q269" i="5"/>
  <c r="U268" i="5"/>
  <c r="T268" i="5"/>
  <c r="S268" i="5"/>
  <c r="R268" i="5"/>
  <c r="Q268" i="5"/>
  <c r="U267" i="5"/>
  <c r="T267" i="5"/>
  <c r="S267" i="5"/>
  <c r="R267" i="5"/>
  <c r="Q267" i="5"/>
  <c r="U266" i="5"/>
  <c r="T266" i="5"/>
  <c r="S266" i="5"/>
  <c r="R266" i="5"/>
  <c r="Q266" i="5"/>
  <c r="U265" i="5"/>
  <c r="T265" i="5"/>
  <c r="S265" i="5"/>
  <c r="R265" i="5"/>
  <c r="Q265" i="5"/>
  <c r="U264" i="5"/>
  <c r="T264" i="5"/>
  <c r="S264" i="5"/>
  <c r="R264" i="5"/>
  <c r="Q264" i="5"/>
  <c r="U263" i="5"/>
  <c r="T263" i="5"/>
  <c r="S263" i="5"/>
  <c r="R263" i="5"/>
  <c r="Q263" i="5"/>
  <c r="U262" i="5"/>
  <c r="T262" i="5"/>
  <c r="S262" i="5"/>
  <c r="R262" i="5"/>
  <c r="Q262" i="5"/>
  <c r="U261" i="5"/>
  <c r="T261" i="5"/>
  <c r="S261" i="5"/>
  <c r="R261" i="5"/>
  <c r="Q261" i="5"/>
  <c r="U260" i="5"/>
  <c r="T260" i="5"/>
  <c r="S260" i="5"/>
  <c r="R260" i="5"/>
  <c r="Q260" i="5"/>
  <c r="U259" i="5"/>
  <c r="T259" i="5"/>
  <c r="S259" i="5"/>
  <c r="R259" i="5"/>
  <c r="Q259" i="5"/>
  <c r="U258" i="5"/>
  <c r="T258" i="5"/>
  <c r="S258" i="5"/>
  <c r="R258" i="5"/>
  <c r="Q258" i="5"/>
  <c r="U257" i="5"/>
  <c r="T257" i="5"/>
  <c r="S257" i="5"/>
  <c r="R257" i="5"/>
  <c r="Q257" i="5"/>
  <c r="U256" i="5"/>
  <c r="T256" i="5"/>
  <c r="S256" i="5"/>
  <c r="R256" i="5"/>
  <c r="Q256" i="5"/>
  <c r="U255" i="5"/>
  <c r="T255" i="5"/>
  <c r="S255" i="5"/>
  <c r="R255" i="5"/>
  <c r="Q255" i="5"/>
  <c r="U254" i="5"/>
  <c r="T254" i="5"/>
  <c r="S254" i="5"/>
  <c r="R254" i="5"/>
  <c r="Q254" i="5"/>
  <c r="U253" i="5"/>
  <c r="T253" i="5"/>
  <c r="S253" i="5"/>
  <c r="R253" i="5"/>
  <c r="Q253" i="5"/>
  <c r="U252" i="5"/>
  <c r="T252" i="5"/>
  <c r="S252" i="5"/>
  <c r="R252" i="5"/>
  <c r="Q252" i="5"/>
  <c r="U251" i="5"/>
  <c r="T251" i="5"/>
  <c r="S251" i="5"/>
  <c r="R251" i="5"/>
  <c r="Q251" i="5"/>
  <c r="U250" i="5"/>
  <c r="T250" i="5"/>
  <c r="S250" i="5"/>
  <c r="R250" i="5"/>
  <c r="Q250" i="5"/>
  <c r="U249" i="5"/>
  <c r="T249" i="5"/>
  <c r="S249" i="5"/>
  <c r="R249" i="5"/>
  <c r="Q249" i="5"/>
  <c r="U248" i="5"/>
  <c r="T248" i="5"/>
  <c r="S248" i="5"/>
  <c r="R248" i="5"/>
  <c r="Q248" i="5"/>
  <c r="U247" i="5"/>
  <c r="T247" i="5"/>
  <c r="S247" i="5"/>
  <c r="R247" i="5"/>
  <c r="Q247" i="5"/>
  <c r="U246" i="5"/>
  <c r="T246" i="5"/>
  <c r="S246" i="5"/>
  <c r="R246" i="5"/>
  <c r="Q246" i="5"/>
  <c r="U245" i="5"/>
  <c r="T245" i="5"/>
  <c r="S245" i="5"/>
  <c r="R245" i="5"/>
  <c r="Q245" i="5"/>
  <c r="U244" i="5"/>
  <c r="T244" i="5"/>
  <c r="S244" i="5"/>
  <c r="R244" i="5"/>
  <c r="Q244" i="5"/>
  <c r="U243" i="5"/>
  <c r="T243" i="5"/>
  <c r="S243" i="5"/>
  <c r="R243" i="5"/>
  <c r="Q243" i="5"/>
  <c r="U242" i="5"/>
  <c r="T242" i="5"/>
  <c r="S242" i="5"/>
  <c r="R242" i="5"/>
  <c r="Q242" i="5"/>
  <c r="U241" i="5"/>
  <c r="T241" i="5"/>
  <c r="S241" i="5"/>
  <c r="R241" i="5"/>
  <c r="Q241" i="5"/>
  <c r="U240" i="5"/>
  <c r="T240" i="5"/>
  <c r="S240" i="5"/>
  <c r="R240" i="5"/>
  <c r="Q240" i="5"/>
  <c r="U239" i="5"/>
  <c r="T239" i="5"/>
  <c r="S239" i="5"/>
  <c r="R239" i="5"/>
  <c r="Q239" i="5"/>
  <c r="U238" i="5"/>
  <c r="T238" i="5"/>
  <c r="S238" i="5"/>
  <c r="R238" i="5"/>
  <c r="Q238" i="5"/>
  <c r="U237" i="5"/>
  <c r="T237" i="5"/>
  <c r="S237" i="5"/>
  <c r="R237" i="5"/>
  <c r="Q237" i="5"/>
  <c r="U236" i="5"/>
  <c r="T236" i="5"/>
  <c r="S236" i="5"/>
  <c r="R236" i="5"/>
  <c r="Q236" i="5"/>
  <c r="U235" i="5"/>
  <c r="T235" i="5"/>
  <c r="S235" i="5"/>
  <c r="R235" i="5"/>
  <c r="Q235" i="5"/>
  <c r="U234" i="5"/>
  <c r="T234" i="5"/>
  <c r="S234" i="5"/>
  <c r="R234" i="5"/>
  <c r="Q234" i="5"/>
  <c r="U233" i="5"/>
  <c r="T233" i="5"/>
  <c r="S233" i="5"/>
  <c r="R233" i="5"/>
  <c r="Q233" i="5"/>
  <c r="U232" i="5"/>
  <c r="T232" i="5"/>
  <c r="S232" i="5"/>
  <c r="R232" i="5"/>
  <c r="Q232" i="5"/>
  <c r="U231" i="5"/>
  <c r="T231" i="5"/>
  <c r="S231" i="5"/>
  <c r="R231" i="5"/>
  <c r="Q231" i="5"/>
  <c r="U230" i="5"/>
  <c r="T230" i="5"/>
  <c r="S230" i="5"/>
  <c r="R230" i="5"/>
  <c r="Q230" i="5"/>
  <c r="U229" i="5"/>
  <c r="T229" i="5"/>
  <c r="S229" i="5"/>
  <c r="R229" i="5"/>
  <c r="Q229" i="5"/>
  <c r="U228" i="5"/>
  <c r="T228" i="5"/>
  <c r="S228" i="5"/>
  <c r="R228" i="5"/>
  <c r="Q228" i="5"/>
  <c r="U227" i="5"/>
  <c r="T227" i="5"/>
  <c r="S227" i="5"/>
  <c r="R227" i="5"/>
  <c r="Q227" i="5"/>
  <c r="U226" i="5"/>
  <c r="T226" i="5"/>
  <c r="S226" i="5"/>
  <c r="R226" i="5"/>
  <c r="Q226" i="5"/>
  <c r="U225" i="5"/>
  <c r="T225" i="5"/>
  <c r="S225" i="5"/>
  <c r="R225" i="5"/>
  <c r="Q225" i="5"/>
  <c r="U224" i="5"/>
  <c r="T224" i="5"/>
  <c r="S224" i="5"/>
  <c r="R224" i="5"/>
  <c r="Q224" i="5"/>
  <c r="U223" i="5"/>
  <c r="T223" i="5"/>
  <c r="S223" i="5"/>
  <c r="R223" i="5"/>
  <c r="Q223" i="5"/>
  <c r="U222" i="5"/>
  <c r="T222" i="5"/>
  <c r="S222" i="5"/>
  <c r="R222" i="5"/>
  <c r="Q222" i="5"/>
  <c r="U221" i="5"/>
  <c r="T221" i="5"/>
  <c r="S221" i="5"/>
  <c r="R221" i="5"/>
  <c r="Q221" i="5"/>
  <c r="U220" i="5"/>
  <c r="T220" i="5"/>
  <c r="S220" i="5"/>
  <c r="R220" i="5"/>
  <c r="Q220" i="5"/>
  <c r="U219" i="5"/>
  <c r="T219" i="5"/>
  <c r="S219" i="5"/>
  <c r="R219" i="5"/>
  <c r="Q219" i="5"/>
  <c r="U218" i="5"/>
  <c r="T218" i="5"/>
  <c r="S218" i="5"/>
  <c r="R218" i="5"/>
  <c r="Q218" i="5"/>
  <c r="U217" i="5"/>
  <c r="T217" i="5"/>
  <c r="S217" i="5"/>
  <c r="R217" i="5"/>
  <c r="Q217" i="5"/>
  <c r="U216" i="5"/>
  <c r="T216" i="5"/>
  <c r="S216" i="5"/>
  <c r="R216" i="5"/>
  <c r="Q216" i="5"/>
  <c r="U215" i="5"/>
  <c r="T215" i="5"/>
  <c r="S215" i="5"/>
  <c r="R215" i="5"/>
  <c r="Q215" i="5"/>
  <c r="U214" i="5"/>
  <c r="T214" i="5"/>
  <c r="S214" i="5"/>
  <c r="R214" i="5"/>
  <c r="Q214" i="5"/>
  <c r="U213" i="5"/>
  <c r="T213" i="5"/>
  <c r="S213" i="5"/>
  <c r="R213" i="5"/>
  <c r="Q213" i="5"/>
  <c r="U212" i="5"/>
  <c r="T212" i="5"/>
  <c r="S212" i="5"/>
  <c r="R212" i="5"/>
  <c r="Q212" i="5"/>
  <c r="U211" i="5"/>
  <c r="T211" i="5"/>
  <c r="S211" i="5"/>
  <c r="R211" i="5"/>
  <c r="Q211" i="5"/>
  <c r="U210" i="5"/>
  <c r="T210" i="5"/>
  <c r="S210" i="5"/>
  <c r="R210" i="5"/>
  <c r="Q210" i="5"/>
  <c r="U209" i="5"/>
  <c r="T209" i="5"/>
  <c r="S209" i="5"/>
  <c r="R209" i="5"/>
  <c r="Q209" i="5"/>
  <c r="U208" i="5"/>
  <c r="T208" i="5"/>
  <c r="S208" i="5"/>
  <c r="R208" i="5"/>
  <c r="Q208" i="5"/>
  <c r="U207" i="5"/>
  <c r="T207" i="5"/>
  <c r="S207" i="5"/>
  <c r="R207" i="5"/>
  <c r="Q207" i="5"/>
  <c r="U206" i="5"/>
  <c r="T206" i="5"/>
  <c r="S206" i="5"/>
  <c r="R206" i="5"/>
  <c r="Q206" i="5"/>
  <c r="U205" i="5"/>
  <c r="T205" i="5"/>
  <c r="S205" i="5"/>
  <c r="R205" i="5"/>
  <c r="Q205" i="5"/>
  <c r="U204" i="5"/>
  <c r="T204" i="5"/>
  <c r="S204" i="5"/>
  <c r="R204" i="5"/>
  <c r="Q204" i="5"/>
  <c r="H4" i="5" a="1"/>
  <c r="H4" i="5" s="1"/>
  <c r="B4" i="5" a="1"/>
  <c r="B16" i="5" s="1"/>
  <c r="A4" i="5" a="1"/>
  <c r="H4" i="4" a="1"/>
  <c r="H4" i="4" s="1"/>
  <c r="B4" i="4" a="1"/>
  <c r="B10" i="4" s="1"/>
  <c r="A4" i="4" a="1"/>
  <c r="A12" i="4" s="1"/>
  <c r="H4" i="3" a="1"/>
  <c r="H8" i="3" s="1"/>
  <c r="B4" i="3" a="1"/>
  <c r="B8" i="3" s="1"/>
  <c r="A4" i="3" a="1"/>
  <c r="A20" i="3" s="1"/>
  <c r="G20" i="3" s="1"/>
  <c r="D4" i="2" a="1"/>
  <c r="D4" i="2" s="1"/>
  <c r="B28" i="1"/>
  <c r="A13" i="1"/>
  <c r="A12" i="1"/>
  <c r="A11" i="1"/>
  <c r="B7" i="1"/>
  <c r="B4" i="11" l="1"/>
  <c r="A4" i="4"/>
  <c r="E4" i="4" s="1"/>
  <c r="H4" i="11"/>
  <c r="A14" i="4"/>
  <c r="E14" i="4" s="1"/>
  <c r="A15" i="4"/>
  <c r="F15" i="4" s="1"/>
  <c r="H22" i="6"/>
  <c r="A13" i="4"/>
  <c r="A4" i="3"/>
  <c r="G4" i="3" s="1"/>
  <c r="A18" i="11"/>
  <c r="F18" i="11" s="1"/>
  <c r="H13" i="5"/>
  <c r="F4" i="3"/>
  <c r="B12" i="6"/>
  <c r="B20" i="9"/>
  <c r="A18" i="12"/>
  <c r="G18" i="12" s="1"/>
  <c r="A21" i="8"/>
  <c r="D21" i="8" s="1"/>
  <c r="H9" i="5"/>
  <c r="C4" i="8"/>
  <c r="H19" i="5"/>
  <c r="B19" i="9"/>
  <c r="B22" i="9"/>
  <c r="A19" i="12"/>
  <c r="G19" i="12" s="1"/>
  <c r="H12" i="5"/>
  <c r="D15" i="11"/>
  <c r="F15" i="11"/>
  <c r="A17" i="12"/>
  <c r="G17" i="12" s="1"/>
  <c r="H20" i="6"/>
  <c r="A20" i="12"/>
  <c r="D20" i="12" s="1"/>
  <c r="A19" i="11"/>
  <c r="E19" i="11" s="1"/>
  <c r="A21" i="11"/>
  <c r="E21" i="11" s="1"/>
  <c r="A22" i="8"/>
  <c r="C22" i="8" s="1"/>
  <c r="A22" i="11"/>
  <c r="E22" i="11" s="1"/>
  <c r="D4" i="3"/>
  <c r="E4" i="3"/>
  <c r="H21" i="6"/>
  <c r="A20" i="11"/>
  <c r="G20" i="11" s="1"/>
  <c r="H11" i="5"/>
  <c r="B20" i="7"/>
  <c r="H19" i="12"/>
  <c r="H19" i="3"/>
  <c r="H12" i="4"/>
  <c r="B21" i="7"/>
  <c r="H20" i="12"/>
  <c r="H20" i="3"/>
  <c r="H13" i="4"/>
  <c r="B11" i="6"/>
  <c r="A4" i="11"/>
  <c r="H21" i="12"/>
  <c r="H7" i="4"/>
  <c r="H9" i="4"/>
  <c r="B6" i="7"/>
  <c r="H22" i="9"/>
  <c r="H10" i="4"/>
  <c r="H11" i="4"/>
  <c r="H21" i="3"/>
  <c r="H20" i="4"/>
  <c r="B13" i="6"/>
  <c r="C21" i="8"/>
  <c r="A9" i="8"/>
  <c r="G9" i="8" s="1"/>
  <c r="A12" i="3"/>
  <c r="C12" i="3" s="1"/>
  <c r="H22" i="4"/>
  <c r="B15" i="6"/>
  <c r="A10" i="8"/>
  <c r="G10" i="8" s="1"/>
  <c r="A13" i="3"/>
  <c r="C13" i="3" s="1"/>
  <c r="A11" i="8"/>
  <c r="E11" i="8" s="1"/>
  <c r="A12" i="8"/>
  <c r="E12" i="8" s="1"/>
  <c r="A11" i="11"/>
  <c r="G11" i="11" s="1"/>
  <c r="H9" i="11"/>
  <c r="A11" i="12"/>
  <c r="D11" i="12" s="1"/>
  <c r="A15" i="3"/>
  <c r="E15" i="3" s="1"/>
  <c r="B4" i="5"/>
  <c r="B18" i="6"/>
  <c r="A13" i="8"/>
  <c r="F13" i="8" s="1"/>
  <c r="B13" i="9"/>
  <c r="A12" i="11"/>
  <c r="C12" i="11" s="1"/>
  <c r="H22" i="11"/>
  <c r="A12" i="12"/>
  <c r="D12" i="12" s="1"/>
  <c r="A6" i="11"/>
  <c r="H7" i="11"/>
  <c r="H8" i="11"/>
  <c r="A14" i="8"/>
  <c r="D14" i="8" s="1"/>
  <c r="B14" i="9"/>
  <c r="A13" i="11"/>
  <c r="D13" i="11" s="1"/>
  <c r="A13" i="12"/>
  <c r="G13" i="12" s="1"/>
  <c r="H8" i="4"/>
  <c r="B19" i="7"/>
  <c r="H15" i="4"/>
  <c r="A5" i="11"/>
  <c r="A9" i="11"/>
  <c r="F9" i="11" s="1"/>
  <c r="B17" i="6"/>
  <c r="B17" i="5"/>
  <c r="A17" i="8"/>
  <c r="F17" i="8" s="1"/>
  <c r="B15" i="9"/>
  <c r="A14" i="11"/>
  <c r="F14" i="11" s="1"/>
  <c r="A14" i="12"/>
  <c r="F14" i="12" s="1"/>
  <c r="H18" i="3"/>
  <c r="A8" i="8"/>
  <c r="C8" i="8" s="1"/>
  <c r="A11" i="3"/>
  <c r="F11" i="3" s="1"/>
  <c r="H21" i="4"/>
  <c r="B14" i="6"/>
  <c r="B16" i="6"/>
  <c r="A14" i="3"/>
  <c r="F14" i="3" s="1"/>
  <c r="B21" i="6"/>
  <c r="A21" i="3"/>
  <c r="C21" i="3" s="1"/>
  <c r="A22" i="3"/>
  <c r="F22" i="3" s="1"/>
  <c r="A18" i="8"/>
  <c r="F18" i="8" s="1"/>
  <c r="B17" i="9"/>
  <c r="A16" i="11"/>
  <c r="F16" i="11" s="1"/>
  <c r="A15" i="12"/>
  <c r="H6" i="4"/>
  <c r="H6" i="11"/>
  <c r="A8" i="11"/>
  <c r="D8" i="11" s="1"/>
  <c r="B4" i="3"/>
  <c r="A19" i="8"/>
  <c r="C19" i="8" s="1"/>
  <c r="B18" i="9"/>
  <c r="A17" i="11"/>
  <c r="C17" i="11" s="1"/>
  <c r="A16" i="12"/>
  <c r="C16" i="12" s="1"/>
  <c r="A15" i="6"/>
  <c r="C15" i="6" s="1"/>
  <c r="A21" i="6"/>
  <c r="A14" i="6"/>
  <c r="G14" i="6" s="1"/>
  <c r="A18" i="6"/>
  <c r="D18" i="6" s="1"/>
  <c r="A17" i="6"/>
  <c r="E17" i="6" s="1"/>
  <c r="A16" i="6"/>
  <c r="E16" i="6" s="1"/>
  <c r="A13" i="6"/>
  <c r="G13" i="6" s="1"/>
  <c r="A8" i="6"/>
  <c r="H5" i="8"/>
  <c r="H6" i="8"/>
  <c r="H7" i="8"/>
  <c r="A22" i="5"/>
  <c r="A12" i="5"/>
  <c r="A10" i="6"/>
  <c r="E10" i="6" s="1"/>
  <c r="B8" i="4"/>
  <c r="A13" i="5"/>
  <c r="C13" i="5" s="1"/>
  <c r="A11" i="6"/>
  <c r="F11" i="6" s="1"/>
  <c r="B4" i="10"/>
  <c r="B22" i="10"/>
  <c r="B21" i="10"/>
  <c r="B20" i="10"/>
  <c r="B19" i="10"/>
  <c r="B15" i="10"/>
  <c r="A16" i="5"/>
  <c r="B10" i="10"/>
  <c r="H4" i="7"/>
  <c r="H22" i="7"/>
  <c r="H14" i="7"/>
  <c r="H13" i="7"/>
  <c r="H11" i="7"/>
  <c r="H16" i="7"/>
  <c r="H12" i="7"/>
  <c r="H18" i="7"/>
  <c r="H15" i="7"/>
  <c r="H5" i="7"/>
  <c r="A9" i="6"/>
  <c r="B16" i="10"/>
  <c r="H4" i="8"/>
  <c r="H17" i="8"/>
  <c r="H16" i="8"/>
  <c r="H15" i="8"/>
  <c r="H22" i="8"/>
  <c r="H21" i="8"/>
  <c r="H20" i="8"/>
  <c r="H18" i="8"/>
  <c r="H14" i="8"/>
  <c r="H8" i="8"/>
  <c r="H10" i="7"/>
  <c r="B7" i="4"/>
  <c r="A5" i="5"/>
  <c r="B17" i="10"/>
  <c r="F11" i="12"/>
  <c r="A14" i="5"/>
  <c r="A12" i="6"/>
  <c r="B18" i="10"/>
  <c r="B4" i="4"/>
  <c r="B15" i="4"/>
  <c r="B14" i="4"/>
  <c r="B12" i="4"/>
  <c r="B11" i="4"/>
  <c r="B17" i="4"/>
  <c r="B18" i="4"/>
  <c r="B16" i="4"/>
  <c r="B13" i="4"/>
  <c r="B6" i="4"/>
  <c r="G4" i="6"/>
  <c r="F4" i="6"/>
  <c r="E4" i="6"/>
  <c r="D4" i="6"/>
  <c r="C4" i="6"/>
  <c r="H8" i="7"/>
  <c r="A5" i="6"/>
  <c r="C5" i="6" s="1"/>
  <c r="G15" i="4"/>
  <c r="A6" i="6"/>
  <c r="H9" i="8"/>
  <c r="H13" i="8"/>
  <c r="B9" i="4"/>
  <c r="A15" i="5"/>
  <c r="D15" i="5" s="1"/>
  <c r="B18" i="7"/>
  <c r="B12" i="7"/>
  <c r="B9" i="7"/>
  <c r="B8" i="7"/>
  <c r="B17" i="7"/>
  <c r="B7" i="7"/>
  <c r="B16" i="7"/>
  <c r="B14" i="7"/>
  <c r="B15" i="7"/>
  <c r="B13" i="7"/>
  <c r="B10" i="7"/>
  <c r="H7" i="5"/>
  <c r="H22" i="5"/>
  <c r="H21" i="5"/>
  <c r="H20" i="5"/>
  <c r="H10" i="5"/>
  <c r="B5" i="7"/>
  <c r="H5" i="11"/>
  <c r="H7" i="9"/>
  <c r="A6" i="4"/>
  <c r="B10" i="5"/>
  <c r="B5" i="9"/>
  <c r="H12" i="9"/>
  <c r="B11" i="11"/>
  <c r="H15" i="11"/>
  <c r="H4" i="3"/>
  <c r="A7" i="4"/>
  <c r="B11" i="5"/>
  <c r="H4" i="6"/>
  <c r="B7" i="9"/>
  <c r="H13" i="9"/>
  <c r="B14" i="11"/>
  <c r="H16" i="11"/>
  <c r="A5" i="12"/>
  <c r="B15" i="12"/>
  <c r="B13" i="12"/>
  <c r="B14" i="12"/>
  <c r="B12" i="5"/>
  <c r="B8" i="9"/>
  <c r="H14" i="9"/>
  <c r="B16" i="11"/>
  <c r="H17" i="11"/>
  <c r="A6" i="12"/>
  <c r="B16" i="12"/>
  <c r="H11" i="11"/>
  <c r="H5" i="3"/>
  <c r="A9" i="4"/>
  <c r="D9" i="4" s="1"/>
  <c r="B13" i="5"/>
  <c r="B4" i="6"/>
  <c r="H13" i="6"/>
  <c r="E4" i="8"/>
  <c r="B9" i="9"/>
  <c r="H15" i="9"/>
  <c r="B17" i="11"/>
  <c r="H18" i="11"/>
  <c r="A7" i="12"/>
  <c r="D7" i="12" s="1"/>
  <c r="B9" i="5"/>
  <c r="B14" i="5"/>
  <c r="H16" i="6"/>
  <c r="A5" i="8"/>
  <c r="F4" i="8"/>
  <c r="B10" i="9"/>
  <c r="H16" i="9"/>
  <c r="H19" i="11"/>
  <c r="A8" i="12"/>
  <c r="H7" i="12"/>
  <c r="A10" i="4"/>
  <c r="D10" i="4" s="1"/>
  <c r="D4" i="4"/>
  <c r="B5" i="6"/>
  <c r="H18" i="6"/>
  <c r="A6" i="8"/>
  <c r="G4" i="8"/>
  <c r="B11" i="9"/>
  <c r="H18" i="9"/>
  <c r="H20" i="11"/>
  <c r="A9" i="12"/>
  <c r="F9" i="12" s="1"/>
  <c r="H15" i="12"/>
  <c r="H8" i="9"/>
  <c r="H12" i="11"/>
  <c r="H9" i="9"/>
  <c r="H13" i="11"/>
  <c r="H10" i="9"/>
  <c r="H14" i="11"/>
  <c r="A8" i="4"/>
  <c r="G8" i="4" s="1"/>
  <c r="H6" i="3"/>
  <c r="H7" i="3"/>
  <c r="A11" i="4"/>
  <c r="B15" i="5"/>
  <c r="H19" i="6"/>
  <c r="A7" i="8"/>
  <c r="E7" i="8" s="1"/>
  <c r="A10" i="11"/>
  <c r="C10" i="11" s="1"/>
  <c r="H21" i="11"/>
  <c r="A10" i="12"/>
  <c r="G10" i="12" s="1"/>
  <c r="F17" i="10"/>
  <c r="E17" i="10"/>
  <c r="D17" i="10"/>
  <c r="C17" i="10"/>
  <c r="G17" i="10"/>
  <c r="H5" i="10"/>
  <c r="D15" i="3"/>
  <c r="D20" i="3"/>
  <c r="A16" i="9"/>
  <c r="A22" i="9"/>
  <c r="A20" i="9"/>
  <c r="A21" i="9"/>
  <c r="A19" i="9"/>
  <c r="A18" i="9"/>
  <c r="A17" i="9"/>
  <c r="A15" i="9"/>
  <c r="A12" i="9"/>
  <c r="A10" i="9"/>
  <c r="A9" i="9"/>
  <c r="A8" i="9"/>
  <c r="A13" i="9"/>
  <c r="A11" i="9"/>
  <c r="A7" i="9"/>
  <c r="A5" i="9"/>
  <c r="A6" i="9"/>
  <c r="A4" i="9"/>
  <c r="F4" i="7"/>
  <c r="D4" i="7"/>
  <c r="C4" i="7"/>
  <c r="A14" i="9"/>
  <c r="A22" i="7"/>
  <c r="A10" i="7"/>
  <c r="A21" i="7"/>
  <c r="A20" i="7"/>
  <c r="A19" i="7"/>
  <c r="A13" i="7"/>
  <c r="A12" i="7"/>
  <c r="A7" i="7"/>
  <c r="A11" i="7"/>
  <c r="A8" i="7"/>
  <c r="A9" i="7"/>
  <c r="A14" i="7"/>
  <c r="F14" i="4"/>
  <c r="A15" i="7"/>
  <c r="C10" i="6"/>
  <c r="G10" i="6"/>
  <c r="F10" i="6"/>
  <c r="H22" i="10"/>
  <c r="H10" i="10"/>
  <c r="H9" i="10"/>
  <c r="H8" i="10"/>
  <c r="H7" i="10"/>
  <c r="H12" i="10"/>
  <c r="H11" i="10"/>
  <c r="H15" i="10"/>
  <c r="H14" i="10"/>
  <c r="H13" i="10"/>
  <c r="H6" i="10"/>
  <c r="H21" i="10"/>
  <c r="H19" i="10"/>
  <c r="H18" i="10"/>
  <c r="H17" i="10"/>
  <c r="H4" i="10"/>
  <c r="F13" i="4"/>
  <c r="G13" i="4"/>
  <c r="C13" i="4"/>
  <c r="D13" i="4"/>
  <c r="H20" i="10"/>
  <c r="B6" i="3"/>
  <c r="A7" i="10"/>
  <c r="A13" i="10"/>
  <c r="A12" i="10"/>
  <c r="A11" i="10"/>
  <c r="A10" i="10"/>
  <c r="A5" i="10"/>
  <c r="A4" i="10"/>
  <c r="A14" i="10"/>
  <c r="A9" i="10"/>
  <c r="A8" i="10"/>
  <c r="A6" i="10"/>
  <c r="A21" i="10"/>
  <c r="A20" i="10"/>
  <c r="A19" i="10"/>
  <c r="A18" i="10"/>
  <c r="A22" i="10"/>
  <c r="B7" i="3"/>
  <c r="E13" i="4"/>
  <c r="C14" i="4"/>
  <c r="A16" i="7"/>
  <c r="C20" i="3"/>
  <c r="A15" i="10"/>
  <c r="A6" i="7"/>
  <c r="A17" i="7"/>
  <c r="E4" i="7"/>
  <c r="G12" i="4"/>
  <c r="F12" i="4"/>
  <c r="E12" i="4"/>
  <c r="D12" i="4"/>
  <c r="E20" i="3"/>
  <c r="B19" i="3"/>
  <c r="B18" i="3"/>
  <c r="B17" i="3"/>
  <c r="B16" i="3"/>
  <c r="B14" i="3"/>
  <c r="B13" i="3"/>
  <c r="B10" i="3"/>
  <c r="B12" i="3"/>
  <c r="B11" i="3"/>
  <c r="B22" i="3"/>
  <c r="B9" i="3"/>
  <c r="B21" i="3"/>
  <c r="B20" i="3"/>
  <c r="B15" i="3"/>
  <c r="F20" i="3"/>
  <c r="B5" i="3"/>
  <c r="A16" i="10"/>
  <c r="C12" i="4"/>
  <c r="A5" i="7"/>
  <c r="A18" i="7"/>
  <c r="G4" i="7"/>
  <c r="H14" i="3"/>
  <c r="H13" i="3"/>
  <c r="H12" i="3"/>
  <c r="H11" i="3"/>
  <c r="H17" i="3"/>
  <c r="H9" i="3"/>
  <c r="H16" i="3"/>
  <c r="H15" i="3"/>
  <c r="H10" i="3"/>
  <c r="H22" i="3"/>
  <c r="A19" i="5"/>
  <c r="A21" i="5"/>
  <c r="A20" i="5"/>
  <c r="A18" i="5"/>
  <c r="A17" i="5"/>
  <c r="A4" i="5"/>
  <c r="A11" i="5"/>
  <c r="A6" i="5"/>
  <c r="A10" i="5"/>
  <c r="A9" i="5"/>
  <c r="A8" i="5"/>
  <c r="A7" i="5"/>
  <c r="B16" i="8"/>
  <c r="B15" i="8"/>
  <c r="B22" i="8"/>
  <c r="B9" i="8"/>
  <c r="B8" i="8"/>
  <c r="B7" i="8"/>
  <c r="B6" i="8"/>
  <c r="B21" i="8"/>
  <c r="B19" i="8"/>
  <c r="B18" i="8"/>
  <c r="B17" i="8"/>
  <c r="B14" i="8"/>
  <c r="B13" i="8"/>
  <c r="B12" i="8"/>
  <c r="B5" i="8"/>
  <c r="B11" i="8"/>
  <c r="B10" i="8"/>
  <c r="B20" i="8"/>
  <c r="D6" i="2"/>
  <c r="C4" i="4"/>
  <c r="F4" i="4"/>
  <c r="G4" i="4"/>
  <c r="D5" i="2"/>
  <c r="A19" i="3"/>
  <c r="A18" i="3"/>
  <c r="A17" i="3"/>
  <c r="A16" i="3"/>
  <c r="A10" i="3"/>
  <c r="A9" i="3"/>
  <c r="A8" i="3"/>
  <c r="A7" i="3"/>
  <c r="A6" i="3"/>
  <c r="A19" i="4"/>
  <c r="A22" i="4"/>
  <c r="A21" i="4"/>
  <c r="A20" i="4"/>
  <c r="A18" i="4"/>
  <c r="A17" i="4"/>
  <c r="A16" i="4"/>
  <c r="A5" i="3"/>
  <c r="C4" i="3"/>
  <c r="A5" i="4"/>
  <c r="B19" i="5"/>
  <c r="B22" i="5"/>
  <c r="B21" i="5"/>
  <c r="B20" i="5"/>
  <c r="B18" i="5"/>
  <c r="B5" i="5"/>
  <c r="H5" i="5"/>
  <c r="H9" i="6"/>
  <c r="B6" i="5"/>
  <c r="H6" i="5"/>
  <c r="B22" i="6"/>
  <c r="B20" i="6"/>
  <c r="B19" i="6"/>
  <c r="B10" i="6"/>
  <c r="B9" i="6"/>
  <c r="B8" i="6"/>
  <c r="B7" i="6"/>
  <c r="H10" i="6"/>
  <c r="B19" i="4"/>
  <c r="B22" i="4"/>
  <c r="B21" i="4"/>
  <c r="B20" i="4"/>
  <c r="H14" i="4"/>
  <c r="H19" i="4"/>
  <c r="H18" i="4"/>
  <c r="H17" i="4"/>
  <c r="H16" i="4"/>
  <c r="B7" i="5"/>
  <c r="H14" i="5"/>
  <c r="H18" i="5"/>
  <c r="H17" i="5"/>
  <c r="H16" i="5"/>
  <c r="H15" i="5"/>
  <c r="H17" i="6"/>
  <c r="H15" i="6"/>
  <c r="H14" i="6"/>
  <c r="H8" i="6"/>
  <c r="H7" i="6"/>
  <c r="H6" i="6"/>
  <c r="H5" i="6"/>
  <c r="B5" i="4"/>
  <c r="H5" i="4"/>
  <c r="B8" i="5"/>
  <c r="H8" i="5"/>
  <c r="H12" i="6"/>
  <c r="A22" i="6"/>
  <c r="A20" i="6"/>
  <c r="A19" i="6"/>
  <c r="H17" i="7"/>
  <c r="H7" i="7"/>
  <c r="H21" i="7"/>
  <c r="H20" i="7"/>
  <c r="H19" i="7"/>
  <c r="A7" i="6"/>
  <c r="H6" i="7"/>
  <c r="B22" i="7"/>
  <c r="B11" i="7"/>
  <c r="G10" i="11"/>
  <c r="H11" i="8"/>
  <c r="H10" i="8"/>
  <c r="H19" i="8"/>
  <c r="A16" i="8"/>
  <c r="A15" i="8"/>
  <c r="A20" i="8"/>
  <c r="H11" i="9"/>
  <c r="H20" i="9"/>
  <c r="H19" i="9"/>
  <c r="H17" i="9"/>
  <c r="H5" i="9"/>
  <c r="H4" i="9"/>
  <c r="H6" i="9"/>
  <c r="B22" i="12"/>
  <c r="B21" i="12"/>
  <c r="B6" i="12"/>
  <c r="B5" i="12"/>
  <c r="B4" i="12"/>
  <c r="B12" i="12"/>
  <c r="B11" i="12"/>
  <c r="B10" i="12"/>
  <c r="B20" i="12"/>
  <c r="B19" i="12"/>
  <c r="B18" i="12"/>
  <c r="B17" i="12"/>
  <c r="B16" i="9"/>
  <c r="B4" i="9"/>
  <c r="B21" i="9"/>
  <c r="B8" i="12"/>
  <c r="B6" i="9"/>
  <c r="G4" i="12"/>
  <c r="E4" i="12"/>
  <c r="F4" i="12"/>
  <c r="D4" i="12"/>
  <c r="C4" i="12"/>
  <c r="B9" i="12"/>
  <c r="B15" i="11"/>
  <c r="B8" i="11"/>
  <c r="B7" i="11"/>
  <c r="B5" i="11"/>
  <c r="B21" i="11"/>
  <c r="B20" i="11"/>
  <c r="B19" i="11"/>
  <c r="B18" i="11"/>
  <c r="B10" i="11"/>
  <c r="B9" i="11"/>
  <c r="B6" i="11"/>
  <c r="B7" i="10"/>
  <c r="B14" i="10"/>
  <c r="B13" i="10"/>
  <c r="B12" i="10"/>
  <c r="B11" i="10"/>
  <c r="B8" i="10"/>
  <c r="B6" i="10"/>
  <c r="B5" i="10"/>
  <c r="B12" i="11"/>
  <c r="B9" i="10"/>
  <c r="B13" i="11"/>
  <c r="H17" i="12"/>
  <c r="H16" i="12"/>
  <c r="H4" i="12"/>
  <c r="H22" i="12"/>
  <c r="H12" i="12"/>
  <c r="H11" i="12"/>
  <c r="H10" i="12"/>
  <c r="H14" i="12"/>
  <c r="H13" i="12"/>
  <c r="H9" i="12"/>
  <c r="H8" i="12"/>
  <c r="H5" i="12"/>
  <c r="H6" i="12"/>
  <c r="C15" i="11"/>
  <c r="A7" i="11"/>
  <c r="G15" i="11"/>
  <c r="A22" i="12"/>
  <c r="A21" i="12"/>
  <c r="F20" i="12" l="1"/>
  <c r="G14" i="4"/>
  <c r="G9" i="11"/>
  <c r="E20" i="12"/>
  <c r="C18" i="12"/>
  <c r="E18" i="12"/>
  <c r="F21" i="11"/>
  <c r="F18" i="12"/>
  <c r="C9" i="11"/>
  <c r="E9" i="11"/>
  <c r="E17" i="11"/>
  <c r="C21" i="11"/>
  <c r="C20" i="11"/>
  <c r="E18" i="8"/>
  <c r="D15" i="4"/>
  <c r="E15" i="4"/>
  <c r="C15" i="4"/>
  <c r="D14" i="4"/>
  <c r="G13" i="3"/>
  <c r="Q174" i="3"/>
  <c r="C7" i="12"/>
  <c r="F18" i="6"/>
  <c r="C18" i="6"/>
  <c r="G14" i="3"/>
  <c r="Q143" i="12"/>
  <c r="D18" i="11"/>
  <c r="C17" i="6"/>
  <c r="E18" i="11"/>
  <c r="D17" i="6"/>
  <c r="C14" i="11"/>
  <c r="E14" i="3"/>
  <c r="U169" i="3"/>
  <c r="C18" i="11"/>
  <c r="G17" i="6"/>
  <c r="G18" i="11"/>
  <c r="E14" i="8"/>
  <c r="F17" i="6"/>
  <c r="Q72" i="4"/>
  <c r="U70" i="3"/>
  <c r="G16" i="12"/>
  <c r="E16" i="12"/>
  <c r="R168" i="3"/>
  <c r="F14" i="6"/>
  <c r="G15" i="6"/>
  <c r="Q162" i="3"/>
  <c r="T181" i="11"/>
  <c r="F12" i="11"/>
  <c r="G12" i="11"/>
  <c r="G11" i="3"/>
  <c r="F20" i="11"/>
  <c r="F17" i="11"/>
  <c r="Q81" i="6"/>
  <c r="D18" i="12"/>
  <c r="G17" i="11"/>
  <c r="C14" i="6"/>
  <c r="D14" i="6"/>
  <c r="E14" i="6"/>
  <c r="F16" i="12"/>
  <c r="Q186" i="11"/>
  <c r="R11" i="4"/>
  <c r="G8" i="8"/>
  <c r="D10" i="6"/>
  <c r="D8" i="8"/>
  <c r="E8" i="8"/>
  <c r="R88" i="12"/>
  <c r="C8" i="4"/>
  <c r="E10" i="12"/>
  <c r="E8" i="11"/>
  <c r="Q152" i="8"/>
  <c r="D22" i="11"/>
  <c r="F8" i="11"/>
  <c r="E10" i="4"/>
  <c r="F21" i="8"/>
  <c r="E20" i="11"/>
  <c r="D21" i="11"/>
  <c r="G8" i="11"/>
  <c r="F10" i="4"/>
  <c r="D20" i="11"/>
  <c r="G21" i="11"/>
  <c r="G22" i="8"/>
  <c r="F15" i="3"/>
  <c r="C13" i="8"/>
  <c r="R95" i="11"/>
  <c r="D22" i="8"/>
  <c r="R188" i="7"/>
  <c r="G15" i="3"/>
  <c r="G13" i="8"/>
  <c r="Q12" i="6"/>
  <c r="R88" i="11"/>
  <c r="D21" i="3"/>
  <c r="F17" i="12"/>
  <c r="G19" i="11"/>
  <c r="D17" i="12"/>
  <c r="R198" i="6"/>
  <c r="U87" i="11"/>
  <c r="D9" i="12"/>
  <c r="F13" i="6"/>
  <c r="D13" i="12"/>
  <c r="R11" i="11"/>
  <c r="G9" i="12"/>
  <c r="C4" i="11"/>
  <c r="E13" i="12"/>
  <c r="F10" i="8"/>
  <c r="U7" i="8"/>
  <c r="U43" i="3"/>
  <c r="F8" i="8"/>
  <c r="C19" i="12"/>
  <c r="R112" i="11"/>
  <c r="E11" i="12"/>
  <c r="F22" i="11"/>
  <c r="Q22" i="8"/>
  <c r="G12" i="3"/>
  <c r="C11" i="3"/>
  <c r="G21" i="8"/>
  <c r="C16" i="6"/>
  <c r="E15" i="5"/>
  <c r="R200" i="7"/>
  <c r="C19" i="11"/>
  <c r="R175" i="3"/>
  <c r="G22" i="3"/>
  <c r="F19" i="11"/>
  <c r="U45" i="6"/>
  <c r="Q56" i="8"/>
  <c r="C17" i="12"/>
  <c r="F21" i="3"/>
  <c r="C12" i="8"/>
  <c r="T18" i="11"/>
  <c r="C9" i="12"/>
  <c r="T59" i="12"/>
  <c r="E10" i="8"/>
  <c r="R122" i="8"/>
  <c r="F13" i="11"/>
  <c r="F4" i="11"/>
  <c r="E9" i="12"/>
  <c r="S121" i="8"/>
  <c r="E13" i="11"/>
  <c r="U172" i="11"/>
  <c r="E9" i="8"/>
  <c r="S192" i="8"/>
  <c r="Q12" i="8"/>
  <c r="R177" i="11"/>
  <c r="F9" i="8"/>
  <c r="T14" i="8"/>
  <c r="C15" i="5"/>
  <c r="D19" i="12"/>
  <c r="G11" i="12"/>
  <c r="G22" i="11"/>
  <c r="Q169" i="6"/>
  <c r="U25" i="8"/>
  <c r="E22" i="8"/>
  <c r="D11" i="3"/>
  <c r="E21" i="8"/>
  <c r="G11" i="8"/>
  <c r="Q39" i="11"/>
  <c r="R115" i="12"/>
  <c r="D19" i="11"/>
  <c r="E17" i="12"/>
  <c r="Q106" i="6"/>
  <c r="G21" i="3"/>
  <c r="D16" i="6"/>
  <c r="D10" i="8"/>
  <c r="E11" i="3"/>
  <c r="E19" i="12"/>
  <c r="C22" i="11"/>
  <c r="U42" i="8"/>
  <c r="R15" i="3"/>
  <c r="F22" i="8"/>
  <c r="D11" i="8"/>
  <c r="T101" i="11"/>
  <c r="G20" i="12"/>
  <c r="R167" i="3"/>
  <c r="U193" i="6"/>
  <c r="C10" i="8"/>
  <c r="F19" i="12"/>
  <c r="R47" i="3"/>
  <c r="D13" i="3"/>
  <c r="R75" i="4"/>
  <c r="C20" i="12"/>
  <c r="U127" i="3"/>
  <c r="E13" i="3"/>
  <c r="F15" i="6"/>
  <c r="E15" i="6"/>
  <c r="C11" i="12"/>
  <c r="S77" i="8"/>
  <c r="C13" i="11"/>
  <c r="D17" i="11"/>
  <c r="S13" i="6"/>
  <c r="Q183" i="3"/>
  <c r="Q132" i="3"/>
  <c r="F13" i="3"/>
  <c r="D22" i="3"/>
  <c r="D15" i="6"/>
  <c r="U74" i="12"/>
  <c r="G13" i="11"/>
  <c r="R122" i="12"/>
  <c r="R80" i="11"/>
  <c r="U21" i="11"/>
  <c r="Q9" i="12"/>
  <c r="Q87" i="8"/>
  <c r="S47" i="8"/>
  <c r="T136" i="8"/>
  <c r="D17" i="8"/>
  <c r="Q52" i="8"/>
  <c r="G17" i="8"/>
  <c r="S33" i="8"/>
  <c r="S103" i="3"/>
  <c r="U31" i="3"/>
  <c r="E17" i="8"/>
  <c r="R38" i="8"/>
  <c r="U117" i="3"/>
  <c r="S96" i="11"/>
  <c r="S11" i="12"/>
  <c r="F11" i="11"/>
  <c r="R101" i="11"/>
  <c r="F10" i="12"/>
  <c r="R180" i="8"/>
  <c r="U27" i="8"/>
  <c r="R178" i="8"/>
  <c r="U87" i="6"/>
  <c r="T191" i="3"/>
  <c r="R171" i="11"/>
  <c r="S174" i="8"/>
  <c r="C11" i="8"/>
  <c r="R34" i="8"/>
  <c r="D16" i="12"/>
  <c r="R111" i="11"/>
  <c r="Q79" i="12"/>
  <c r="G12" i="8"/>
  <c r="G8" i="12"/>
  <c r="T40" i="8"/>
  <c r="U186" i="8"/>
  <c r="Q65" i="11"/>
  <c r="E9" i="4"/>
  <c r="D11" i="11"/>
  <c r="G13" i="5"/>
  <c r="S116" i="8"/>
  <c r="Q199" i="7"/>
  <c r="F11" i="8"/>
  <c r="D12" i="8"/>
  <c r="C9" i="8"/>
  <c r="Q26" i="4"/>
  <c r="S105" i="8"/>
  <c r="T36" i="11"/>
  <c r="C17" i="8"/>
  <c r="S122" i="8"/>
  <c r="U187" i="8"/>
  <c r="S132" i="8"/>
  <c r="D19" i="8"/>
  <c r="T141" i="8"/>
  <c r="Q189" i="6"/>
  <c r="R25" i="3"/>
  <c r="G19" i="8"/>
  <c r="R43" i="8"/>
  <c r="Q124" i="3"/>
  <c r="S21" i="3"/>
  <c r="D12" i="11"/>
  <c r="U110" i="11"/>
  <c r="R191" i="12"/>
  <c r="G14" i="12"/>
  <c r="F19" i="8"/>
  <c r="S170" i="3"/>
  <c r="S13" i="11"/>
  <c r="F12" i="8"/>
  <c r="S182" i="8"/>
  <c r="U54" i="4"/>
  <c r="R38" i="3"/>
  <c r="U141" i="11"/>
  <c r="C11" i="11"/>
  <c r="U147" i="8"/>
  <c r="T121" i="11"/>
  <c r="C8" i="12"/>
  <c r="D13" i="8"/>
  <c r="T48" i="8"/>
  <c r="T90" i="8"/>
  <c r="Q7" i="3"/>
  <c r="T48" i="3"/>
  <c r="G11" i="6"/>
  <c r="F9" i="4"/>
  <c r="E11" i="11"/>
  <c r="D13" i="5"/>
  <c r="S14" i="7"/>
  <c r="D9" i="8"/>
  <c r="G14" i="8"/>
  <c r="F14" i="8"/>
  <c r="C14" i="8"/>
  <c r="U57" i="4"/>
  <c r="R72" i="11"/>
  <c r="R25" i="11"/>
  <c r="S190" i="11"/>
  <c r="R30" i="4"/>
  <c r="S64" i="11"/>
  <c r="R31" i="11"/>
  <c r="U183" i="11"/>
  <c r="U127" i="12"/>
  <c r="S127" i="8"/>
  <c r="T57" i="11"/>
  <c r="S12" i="11"/>
  <c r="S43" i="11"/>
  <c r="E12" i="11"/>
  <c r="G16" i="11"/>
  <c r="D16" i="11"/>
  <c r="C16" i="11"/>
  <c r="U9" i="11"/>
  <c r="S60" i="11"/>
  <c r="Q164" i="12"/>
  <c r="S64" i="8"/>
  <c r="E14" i="11"/>
  <c r="U97" i="8"/>
  <c r="G14" i="11"/>
  <c r="U171" i="11"/>
  <c r="D14" i="11"/>
  <c r="Q186" i="12"/>
  <c r="Q151" i="8"/>
  <c r="S145" i="8"/>
  <c r="D4" i="11"/>
  <c r="G4" i="11"/>
  <c r="E4" i="11"/>
  <c r="E19" i="8"/>
  <c r="Q19" i="8"/>
  <c r="U47" i="8"/>
  <c r="U47" i="3"/>
  <c r="U22" i="8"/>
  <c r="R203" i="8"/>
  <c r="E16" i="11"/>
  <c r="C12" i="12"/>
  <c r="E22" i="3"/>
  <c r="C14" i="3"/>
  <c r="D14" i="3"/>
  <c r="F13" i="12"/>
  <c r="C13" i="12"/>
  <c r="R106" i="11"/>
  <c r="E13" i="5"/>
  <c r="C22" i="3"/>
  <c r="T181" i="7"/>
  <c r="S62" i="11"/>
  <c r="T92" i="12"/>
  <c r="F8" i="12"/>
  <c r="E13" i="8"/>
  <c r="U61" i="8"/>
  <c r="T94" i="8"/>
  <c r="S85" i="3"/>
  <c r="S197" i="3"/>
  <c r="T63" i="11"/>
  <c r="C9" i="4"/>
  <c r="C15" i="3"/>
  <c r="T200" i="8"/>
  <c r="S20" i="7"/>
  <c r="D12" i="3"/>
  <c r="E12" i="3"/>
  <c r="F12" i="3"/>
  <c r="E12" i="12"/>
  <c r="G12" i="12"/>
  <c r="F12" i="12"/>
  <c r="C14" i="12"/>
  <c r="E14" i="12"/>
  <c r="D14" i="12"/>
  <c r="Q115" i="8"/>
  <c r="G15" i="12"/>
  <c r="F15" i="12"/>
  <c r="E15" i="12"/>
  <c r="D15" i="12"/>
  <c r="C15" i="12"/>
  <c r="T157" i="12"/>
  <c r="Q180" i="12"/>
  <c r="G18" i="8"/>
  <c r="C18" i="8"/>
  <c r="E5" i="11"/>
  <c r="G5" i="11"/>
  <c r="F5" i="11"/>
  <c r="D5" i="11"/>
  <c r="C5" i="11"/>
  <c r="R116" i="11"/>
  <c r="U57" i="12"/>
  <c r="R168" i="12"/>
  <c r="C8" i="11"/>
  <c r="D9" i="11"/>
  <c r="R201" i="8"/>
  <c r="T98" i="8"/>
  <c r="T39" i="3"/>
  <c r="T54" i="3"/>
  <c r="G9" i="4"/>
  <c r="E21" i="3"/>
  <c r="R101" i="8"/>
  <c r="S193" i="7"/>
  <c r="S168" i="11"/>
  <c r="U106" i="12"/>
  <c r="T172" i="12"/>
  <c r="D18" i="8"/>
  <c r="R5" i="8"/>
  <c r="Q51" i="8"/>
  <c r="G6" i="11"/>
  <c r="F6" i="11"/>
  <c r="E6" i="11"/>
  <c r="D6" i="11"/>
  <c r="C6" i="11"/>
  <c r="D12" i="6"/>
  <c r="G12" i="6"/>
  <c r="F12" i="6"/>
  <c r="E12" i="6"/>
  <c r="C12" i="6"/>
  <c r="D16" i="5"/>
  <c r="G16" i="5"/>
  <c r="F16" i="5"/>
  <c r="E16" i="5"/>
  <c r="C16" i="5"/>
  <c r="R17" i="4"/>
  <c r="S137" i="12"/>
  <c r="R167" i="8"/>
  <c r="S159" i="8"/>
  <c r="U162" i="8"/>
  <c r="Q31" i="8"/>
  <c r="U89" i="8"/>
  <c r="U102" i="8"/>
  <c r="S76" i="6"/>
  <c r="U78" i="4"/>
  <c r="R63" i="4"/>
  <c r="R8" i="8"/>
  <c r="R40" i="12"/>
  <c r="R170" i="8"/>
  <c r="T64" i="8"/>
  <c r="T47" i="8"/>
  <c r="U64" i="4"/>
  <c r="R71" i="4"/>
  <c r="Q153" i="7"/>
  <c r="U171" i="7"/>
  <c r="U182" i="7"/>
  <c r="U24" i="7"/>
  <c r="T58" i="7"/>
  <c r="Q25" i="7"/>
  <c r="U111" i="7"/>
  <c r="R170" i="7"/>
  <c r="T9" i="7"/>
  <c r="S109" i="7"/>
  <c r="U115" i="7"/>
  <c r="Q177" i="7"/>
  <c r="T16" i="7"/>
  <c r="T48" i="7"/>
  <c r="Q43" i="7"/>
  <c r="U62" i="7"/>
  <c r="U107" i="7"/>
  <c r="Q188" i="7"/>
  <c r="T52" i="7"/>
  <c r="U97" i="7"/>
  <c r="Q117" i="7"/>
  <c r="Q151" i="7"/>
  <c r="Q19" i="7"/>
  <c r="U112" i="7"/>
  <c r="Q70" i="7"/>
  <c r="Q127" i="7"/>
  <c r="Q58" i="7"/>
  <c r="T64" i="7"/>
  <c r="T118" i="7"/>
  <c r="U53" i="7"/>
  <c r="R58" i="7"/>
  <c r="T111" i="7"/>
  <c r="T49" i="7"/>
  <c r="S52" i="7"/>
  <c r="R103" i="7"/>
  <c r="U78" i="7"/>
  <c r="Q23" i="7"/>
  <c r="T61" i="7"/>
  <c r="T194" i="7"/>
  <c r="R193" i="7"/>
  <c r="U159" i="7"/>
  <c r="Q62" i="7"/>
  <c r="U66" i="7"/>
  <c r="Q185" i="7"/>
  <c r="Q187" i="7"/>
  <c r="R197" i="7"/>
  <c r="T180" i="7"/>
  <c r="S179" i="7"/>
  <c r="R176" i="7"/>
  <c r="Q93" i="7"/>
  <c r="S62" i="7"/>
  <c r="T74" i="7"/>
  <c r="S4" i="7"/>
  <c r="T78" i="7"/>
  <c r="S70" i="7"/>
  <c r="U165" i="7"/>
  <c r="T102" i="7"/>
  <c r="R66" i="7"/>
  <c r="S111" i="7"/>
  <c r="S121" i="7"/>
  <c r="T201" i="7"/>
  <c r="T198" i="7"/>
  <c r="U57" i="7"/>
  <c r="R30" i="7"/>
  <c r="S90" i="7"/>
  <c r="S48" i="7"/>
  <c r="R89" i="7"/>
  <c r="R7" i="7"/>
  <c r="T50" i="7"/>
  <c r="T202" i="7"/>
  <c r="R77" i="7"/>
  <c r="U41" i="7"/>
  <c r="U70" i="7"/>
  <c r="T56" i="7"/>
  <c r="T29" i="7"/>
  <c r="R70" i="7"/>
  <c r="S23" i="8"/>
  <c r="T193" i="7"/>
  <c r="T181" i="8"/>
  <c r="S176" i="8"/>
  <c r="U197" i="12"/>
  <c r="T160" i="12"/>
  <c r="Q141" i="12"/>
  <c r="Q127" i="12"/>
  <c r="Q180" i="8"/>
  <c r="T187" i="8"/>
  <c r="S125" i="8"/>
  <c r="R196" i="8"/>
  <c r="S196" i="3"/>
  <c r="T65" i="3"/>
  <c r="U28" i="4"/>
  <c r="U159" i="3"/>
  <c r="S127" i="3"/>
  <c r="Q112" i="6"/>
  <c r="T7" i="6"/>
  <c r="R15" i="4"/>
  <c r="T110" i="12"/>
  <c r="R137" i="12"/>
  <c r="G5" i="8"/>
  <c r="R39" i="8"/>
  <c r="Q39" i="8"/>
  <c r="R112" i="8"/>
  <c r="R33" i="8"/>
  <c r="T192" i="8"/>
  <c r="S100" i="8"/>
  <c r="R31" i="8"/>
  <c r="S188" i="8"/>
  <c r="T185" i="8"/>
  <c r="D5" i="8"/>
  <c r="U99" i="8"/>
  <c r="C5" i="8"/>
  <c r="R124" i="8"/>
  <c r="U39" i="8"/>
  <c r="S11" i="8"/>
  <c r="R100" i="8"/>
  <c r="U121" i="8"/>
  <c r="T39" i="8"/>
  <c r="U11" i="8"/>
  <c r="T121" i="8"/>
  <c r="T11" i="8"/>
  <c r="Q116" i="8"/>
  <c r="Q23" i="8"/>
  <c r="R22" i="8"/>
  <c r="Q164" i="8"/>
  <c r="Q81" i="8"/>
  <c r="S185" i="8"/>
  <c r="S99" i="8"/>
  <c r="R77" i="8"/>
  <c r="Q65" i="8"/>
  <c r="U64" i="8"/>
  <c r="S171" i="8"/>
  <c r="R171" i="8"/>
  <c r="U157" i="8"/>
  <c r="T157" i="8"/>
  <c r="Q157" i="8"/>
  <c r="T156" i="8"/>
  <c r="U98" i="8"/>
  <c r="R88" i="8"/>
  <c r="R64" i="8"/>
  <c r="U17" i="8"/>
  <c r="Q59" i="8"/>
  <c r="T164" i="8"/>
  <c r="S4" i="8"/>
  <c r="R194" i="8"/>
  <c r="U116" i="8"/>
  <c r="U120" i="8"/>
  <c r="U174" i="8"/>
  <c r="U90" i="8"/>
  <c r="T186" i="8"/>
  <c r="Q187" i="8"/>
  <c r="T82" i="8"/>
  <c r="Q153" i="8"/>
  <c r="S62" i="8"/>
  <c r="Q140" i="8"/>
  <c r="Q50" i="8"/>
  <c r="R119" i="8"/>
  <c r="S17" i="8"/>
  <c r="S118" i="8"/>
  <c r="S202" i="8"/>
  <c r="U93" i="8"/>
  <c r="U131" i="8"/>
  <c r="R12" i="8"/>
  <c r="S80" i="8"/>
  <c r="T125" i="8"/>
  <c r="T195" i="8"/>
  <c r="S63" i="8"/>
  <c r="U104" i="8"/>
  <c r="Q133" i="8"/>
  <c r="Q169" i="8"/>
  <c r="Q7" i="8"/>
  <c r="Q13" i="8"/>
  <c r="U36" i="8"/>
  <c r="Q28" i="8"/>
  <c r="U167" i="8"/>
  <c r="U176" i="8"/>
  <c r="U81" i="8"/>
  <c r="U48" i="8"/>
  <c r="U59" i="8"/>
  <c r="T178" i="8"/>
  <c r="T78" i="8"/>
  <c r="U148" i="8"/>
  <c r="S58" i="8"/>
  <c r="U135" i="8"/>
  <c r="Q46" i="8"/>
  <c r="Q15" i="8"/>
  <c r="T113" i="8"/>
  <c r="T197" i="8"/>
  <c r="R89" i="8"/>
  <c r="S5" i="8"/>
  <c r="U74" i="8"/>
  <c r="S189" i="8"/>
  <c r="T57" i="8"/>
  <c r="T117" i="8"/>
  <c r="Q162" i="8"/>
  <c r="Q10" i="8"/>
  <c r="S21" i="8"/>
  <c r="T167" i="8"/>
  <c r="S59" i="8"/>
  <c r="T72" i="8"/>
  <c r="S134" i="8"/>
  <c r="U201" i="8"/>
  <c r="U198" i="8"/>
  <c r="R175" i="8"/>
  <c r="U92" i="8"/>
  <c r="U137" i="8"/>
  <c r="U45" i="8"/>
  <c r="R103" i="8"/>
  <c r="Q194" i="8"/>
  <c r="U126" i="8"/>
  <c r="T45" i="8"/>
  <c r="S167" i="8"/>
  <c r="S88" i="8"/>
  <c r="U182" i="8"/>
  <c r="Q114" i="8"/>
  <c r="Q126" i="8"/>
  <c r="R120" i="8"/>
  <c r="S97" i="8"/>
  <c r="S197" i="8"/>
  <c r="T21" i="8"/>
  <c r="R159" i="8"/>
  <c r="Q93" i="8"/>
  <c r="U37" i="8"/>
  <c r="Q73" i="8"/>
  <c r="R51" i="8"/>
  <c r="S18" i="8"/>
  <c r="Q163" i="8"/>
  <c r="T41" i="8"/>
  <c r="Q197" i="8"/>
  <c r="U53" i="8"/>
  <c r="S73" i="8"/>
  <c r="T166" i="8"/>
  <c r="U165" i="8"/>
  <c r="T50" i="8"/>
  <c r="R115" i="8"/>
  <c r="R186" i="8"/>
  <c r="Q78" i="8"/>
  <c r="U143" i="8"/>
  <c r="Q29" i="8"/>
  <c r="Q124" i="8"/>
  <c r="Q188" i="8"/>
  <c r="T65" i="8"/>
  <c r="R86" i="8"/>
  <c r="T149" i="8"/>
  <c r="U195" i="8"/>
  <c r="Q41" i="8"/>
  <c r="S96" i="8"/>
  <c r="S126" i="8"/>
  <c r="Q147" i="8"/>
  <c r="U146" i="8"/>
  <c r="U168" i="8"/>
  <c r="S151" i="8"/>
  <c r="U122" i="8"/>
  <c r="T87" i="8"/>
  <c r="R44" i="8"/>
  <c r="S24" i="8"/>
  <c r="U83" i="8"/>
  <c r="Q160" i="8"/>
  <c r="U145" i="8"/>
  <c r="U185" i="8"/>
  <c r="U12" i="8"/>
  <c r="S79" i="8"/>
  <c r="T67" i="8"/>
  <c r="U8" i="8"/>
  <c r="U100" i="8"/>
  <c r="Q32" i="8"/>
  <c r="T162" i="8"/>
  <c r="S157" i="8"/>
  <c r="T34" i="8"/>
  <c r="Q111" i="8"/>
  <c r="Q182" i="8"/>
  <c r="Q74" i="8"/>
  <c r="Q139" i="8"/>
  <c r="T24" i="8"/>
  <c r="U108" i="8"/>
  <c r="R183" i="8"/>
  <c r="Q61" i="8"/>
  <c r="U80" i="8"/>
  <c r="Q143" i="8"/>
  <c r="T189" i="8"/>
  <c r="U35" i="8"/>
  <c r="R91" i="8"/>
  <c r="Q118" i="8"/>
  <c r="Q89" i="8"/>
  <c r="U139" i="8"/>
  <c r="U161" i="8"/>
  <c r="Q142" i="8"/>
  <c r="T115" i="8"/>
  <c r="U78" i="8"/>
  <c r="Q27" i="8"/>
  <c r="Q37" i="8"/>
  <c r="T93" i="8"/>
  <c r="U164" i="8"/>
  <c r="Q91" i="8"/>
  <c r="Q110" i="8"/>
  <c r="Q136" i="8"/>
  <c r="R75" i="8"/>
  <c r="T107" i="8"/>
  <c r="S32" i="8"/>
  <c r="U134" i="8"/>
  <c r="T32" i="8"/>
  <c r="S164" i="8"/>
  <c r="T158" i="8"/>
  <c r="R153" i="8"/>
  <c r="T30" i="8"/>
  <c r="U106" i="8"/>
  <c r="U177" i="8"/>
  <c r="Q70" i="8"/>
  <c r="Q134" i="8"/>
  <c r="U19" i="8"/>
  <c r="R94" i="8"/>
  <c r="T177" i="8"/>
  <c r="S56" i="8"/>
  <c r="Q75" i="8"/>
  <c r="S131" i="8"/>
  <c r="R184" i="8"/>
  <c r="T19" i="8"/>
  <c r="T79" i="8"/>
  <c r="U111" i="8"/>
  <c r="Q83" i="8"/>
  <c r="U132" i="8"/>
  <c r="U153" i="8"/>
  <c r="R134" i="8"/>
  <c r="T105" i="8"/>
  <c r="R71" i="8"/>
  <c r="Q21" i="8"/>
  <c r="Q48" i="8"/>
  <c r="U24" i="8"/>
  <c r="R49" i="8"/>
  <c r="S107" i="8"/>
  <c r="U34" i="8"/>
  <c r="S12" i="8"/>
  <c r="Q4" i="8"/>
  <c r="S112" i="8"/>
  <c r="R23" i="8"/>
  <c r="Q138" i="8"/>
  <c r="S84" i="8"/>
  <c r="T193" i="8"/>
  <c r="Q175" i="8"/>
  <c r="T154" i="8"/>
  <c r="U144" i="8"/>
  <c r="T26" i="8"/>
  <c r="S102" i="8"/>
  <c r="T173" i="8"/>
  <c r="Q66" i="8"/>
  <c r="R129" i="8"/>
  <c r="U10" i="8"/>
  <c r="S89" i="8"/>
  <c r="U172" i="8"/>
  <c r="U51" i="8"/>
  <c r="Q64" i="8"/>
  <c r="U125" i="8"/>
  <c r="S177" i="8"/>
  <c r="S14" i="8"/>
  <c r="U73" i="8"/>
  <c r="S83" i="8"/>
  <c r="S76" i="8"/>
  <c r="Q125" i="8"/>
  <c r="S146" i="8"/>
  <c r="Q123" i="8"/>
  <c r="R97" i="8"/>
  <c r="T60" i="8"/>
  <c r="U9" i="8"/>
  <c r="R59" i="8"/>
  <c r="S106" i="8"/>
  <c r="T59" i="8"/>
  <c r="U119" i="8"/>
  <c r="S139" i="8"/>
  <c r="S181" i="8"/>
  <c r="Q127" i="8"/>
  <c r="U86" i="8"/>
  <c r="Q158" i="8"/>
  <c r="T171" i="8"/>
  <c r="T172" i="8"/>
  <c r="Q121" i="8"/>
  <c r="S69" i="8"/>
  <c r="T150" i="8"/>
  <c r="T140" i="8"/>
  <c r="T203" i="8"/>
  <c r="S98" i="8"/>
  <c r="S169" i="8"/>
  <c r="Q62" i="8"/>
  <c r="S124" i="8"/>
  <c r="S8" i="8"/>
  <c r="U84" i="8"/>
  <c r="Q168" i="8"/>
  <c r="R47" i="8"/>
  <c r="U58" i="8"/>
  <c r="S120" i="8"/>
  <c r="Q172" i="8"/>
  <c r="T7" i="8"/>
  <c r="T68" i="8"/>
  <c r="U76" i="8"/>
  <c r="S68" i="8"/>
  <c r="S117" i="8"/>
  <c r="R117" i="8"/>
  <c r="U115" i="8"/>
  <c r="U87" i="8"/>
  <c r="S44" i="8"/>
  <c r="R6" i="8"/>
  <c r="Q72" i="8"/>
  <c r="U117" i="8"/>
  <c r="S72" i="8"/>
  <c r="Q130" i="8"/>
  <c r="F5" i="8"/>
  <c r="Q9" i="8"/>
  <c r="R128" i="8"/>
  <c r="R92" i="8"/>
  <c r="Q40" i="8"/>
  <c r="Q129" i="8"/>
  <c r="T146" i="8"/>
  <c r="S136" i="8"/>
  <c r="S199" i="8"/>
  <c r="S94" i="8"/>
  <c r="Q161" i="8"/>
  <c r="Q58" i="8"/>
  <c r="R109" i="8"/>
  <c r="Q112" i="8"/>
  <c r="T76" i="8"/>
  <c r="Q14" i="8"/>
  <c r="T49" i="8"/>
  <c r="Q84" i="8"/>
  <c r="S135" i="8"/>
  <c r="T116" i="8"/>
  <c r="U55" i="8"/>
  <c r="T142" i="8"/>
  <c r="Q128" i="8"/>
  <c r="R195" i="8"/>
  <c r="S90" i="8"/>
  <c r="U156" i="8"/>
  <c r="Q54" i="8"/>
  <c r="S104" i="8"/>
  <c r="U202" i="8"/>
  <c r="Q71" i="8"/>
  <c r="S153" i="8"/>
  <c r="S37" i="8"/>
  <c r="S41" i="8"/>
  <c r="R108" i="8"/>
  <c r="S160" i="8"/>
  <c r="Q201" i="8"/>
  <c r="R46" i="8"/>
  <c r="T55" i="8"/>
  <c r="R55" i="8"/>
  <c r="T103" i="8"/>
  <c r="U75" i="8"/>
  <c r="T97" i="8"/>
  <c r="T71" i="8"/>
  <c r="S6" i="8"/>
  <c r="Q186" i="8"/>
  <c r="Q117" i="8"/>
  <c r="Q144" i="8"/>
  <c r="S93" i="8"/>
  <c r="R156" i="8"/>
  <c r="U140" i="8"/>
  <c r="U94" i="8"/>
  <c r="U18" i="8"/>
  <c r="T138" i="8"/>
  <c r="T86" i="8"/>
  <c r="S78" i="8"/>
  <c r="R106" i="8"/>
  <c r="R85" i="8"/>
  <c r="R148" i="8"/>
  <c r="Q148" i="8"/>
  <c r="U149" i="8"/>
  <c r="R155" i="8"/>
  <c r="U101" i="8"/>
  <c r="Q120" i="8"/>
  <c r="Q35" i="8"/>
  <c r="S10" i="8"/>
  <c r="Q68" i="8"/>
  <c r="U6" i="8"/>
  <c r="T95" i="8"/>
  <c r="Q122" i="8"/>
  <c r="R9" i="8"/>
  <c r="Q191" i="8"/>
  <c r="S52" i="8"/>
  <c r="U91" i="8"/>
  <c r="Q30" i="8"/>
  <c r="S27" i="8"/>
  <c r="T9" i="8"/>
  <c r="R145" i="8"/>
  <c r="T111" i="8"/>
  <c r="R32" i="8"/>
  <c r="T175" i="8"/>
  <c r="R45" i="8"/>
  <c r="R164" i="8"/>
  <c r="U173" i="8"/>
  <c r="T134" i="8"/>
  <c r="T74" i="8"/>
  <c r="S74" i="8"/>
  <c r="Q98" i="8"/>
  <c r="Q76" i="8"/>
  <c r="S143" i="8"/>
  <c r="R143" i="8"/>
  <c r="T143" i="8"/>
  <c r="R114" i="8"/>
  <c r="T96" i="8"/>
  <c r="R113" i="8"/>
  <c r="R28" i="8"/>
  <c r="Q198" i="8"/>
  <c r="U60" i="8"/>
  <c r="T196" i="8"/>
  <c r="R27" i="8"/>
  <c r="U77" i="8"/>
  <c r="T83" i="8"/>
  <c r="E5" i="8"/>
  <c r="Q43" i="8"/>
  <c r="S128" i="8"/>
  <c r="S20" i="8"/>
  <c r="R147" i="8"/>
  <c r="U28" i="8"/>
  <c r="T130" i="8"/>
  <c r="T70" i="8"/>
  <c r="S70" i="8"/>
  <c r="Q94" i="8"/>
  <c r="S71" i="8"/>
  <c r="S138" i="8"/>
  <c r="R138" i="8"/>
  <c r="T120" i="8"/>
  <c r="R102" i="8"/>
  <c r="S91" i="8"/>
  <c r="T101" i="8"/>
  <c r="S16" i="8"/>
  <c r="S191" i="8"/>
  <c r="U54" i="8"/>
  <c r="T169" i="8"/>
  <c r="Q195" i="8"/>
  <c r="U69" i="8"/>
  <c r="R107" i="8"/>
  <c r="U199" i="8"/>
  <c r="S30" i="8"/>
  <c r="U65" i="8"/>
  <c r="Q69" i="8"/>
  <c r="T183" i="8"/>
  <c r="R133" i="8"/>
  <c r="T155" i="8"/>
  <c r="S81" i="8"/>
  <c r="T109" i="8"/>
  <c r="U20" i="8"/>
  <c r="T118" i="8"/>
  <c r="T62" i="8"/>
  <c r="S54" i="8"/>
  <c r="Q86" i="8"/>
  <c r="U66" i="8"/>
  <c r="T133" i="8"/>
  <c r="S133" i="8"/>
  <c r="S114" i="8"/>
  <c r="U96" i="8"/>
  <c r="T85" i="8"/>
  <c r="R52" i="8"/>
  <c r="U13" i="8"/>
  <c r="Q176" i="8"/>
  <c r="R48" i="8"/>
  <c r="T159" i="8"/>
  <c r="Q177" i="8"/>
  <c r="Q44" i="8"/>
  <c r="U118" i="8"/>
  <c r="Q38" i="8"/>
  <c r="R118" i="8"/>
  <c r="U68" i="8"/>
  <c r="Q96" i="8"/>
  <c r="U130" i="8"/>
  <c r="S31" i="8"/>
  <c r="U16" i="8"/>
  <c r="R54" i="8"/>
  <c r="S152" i="8"/>
  <c r="T43" i="8"/>
  <c r="Q92" i="8"/>
  <c r="Q200" i="8"/>
  <c r="T114" i="8"/>
  <c r="T58" i="8"/>
  <c r="S42" i="8"/>
  <c r="Q82" i="8"/>
  <c r="T61" i="8"/>
  <c r="U128" i="8"/>
  <c r="T128" i="8"/>
  <c r="Q103" i="8"/>
  <c r="T91" i="8"/>
  <c r="U79" i="8"/>
  <c r="U40" i="8"/>
  <c r="S198" i="8"/>
  <c r="R154" i="8"/>
  <c r="R40" i="8"/>
  <c r="R151" i="8"/>
  <c r="U150" i="8"/>
  <c r="R35" i="8"/>
  <c r="U129" i="8"/>
  <c r="U203" i="8"/>
  <c r="Q156" i="8"/>
  <c r="U67" i="8"/>
  <c r="T104" i="8"/>
  <c r="Q60" i="8"/>
  <c r="T29" i="8"/>
  <c r="U31" i="8"/>
  <c r="T110" i="8"/>
  <c r="T54" i="8"/>
  <c r="S38" i="8"/>
  <c r="Q42" i="8"/>
  <c r="Q57" i="8"/>
  <c r="T75" i="8"/>
  <c r="S123" i="8"/>
  <c r="Q97" i="8"/>
  <c r="U85" i="8"/>
  <c r="R74" i="8"/>
  <c r="T35" i="8"/>
  <c r="T191" i="8"/>
  <c r="U110" i="8"/>
  <c r="T33" i="8"/>
  <c r="U141" i="8"/>
  <c r="S141" i="8"/>
  <c r="U26" i="8"/>
  <c r="T129" i="8"/>
  <c r="S144" i="8"/>
  <c r="U43" i="8"/>
  <c r="R18" i="8"/>
  <c r="R130" i="8"/>
  <c r="S45" i="8"/>
  <c r="T100" i="8"/>
  <c r="U181" i="8"/>
  <c r="T202" i="8"/>
  <c r="U169" i="8"/>
  <c r="Q119" i="8"/>
  <c r="Q6" i="8"/>
  <c r="U192" i="8"/>
  <c r="R17" i="8"/>
  <c r="Q108" i="8"/>
  <c r="U155" i="8"/>
  <c r="U88" i="8"/>
  <c r="Q88" i="8"/>
  <c r="Q113" i="8"/>
  <c r="U41" i="8"/>
  <c r="T23" i="8"/>
  <c r="R135" i="8"/>
  <c r="T44" i="8"/>
  <c r="T56" i="8"/>
  <c r="R182" i="8"/>
  <c r="T20" i="8"/>
  <c r="Q135" i="8"/>
  <c r="T17" i="8"/>
  <c r="T198" i="8"/>
  <c r="S161" i="8"/>
  <c r="U114" i="8"/>
  <c r="U197" i="8"/>
  <c r="R163" i="8"/>
  <c r="U14" i="8"/>
  <c r="T63" i="8"/>
  <c r="S147" i="8"/>
  <c r="U82" i="8"/>
  <c r="R79" i="8"/>
  <c r="R105" i="8"/>
  <c r="T51" i="8"/>
  <c r="S101" i="8"/>
  <c r="U29" i="8"/>
  <c r="S178" i="8"/>
  <c r="T123" i="8"/>
  <c r="Q179" i="8"/>
  <c r="S158" i="8"/>
  <c r="U70" i="8"/>
  <c r="U166" i="8"/>
  <c r="R176" i="8"/>
  <c r="R62" i="8"/>
  <c r="R174" i="8"/>
  <c r="S119" i="8"/>
  <c r="S173" i="8"/>
  <c r="T153" i="8"/>
  <c r="R42" i="8"/>
  <c r="R160" i="8"/>
  <c r="R169" i="8"/>
  <c r="S53" i="8"/>
  <c r="U158" i="8"/>
  <c r="Q20" i="8"/>
  <c r="R41" i="8"/>
  <c r="S26" i="8"/>
  <c r="S154" i="8"/>
  <c r="R181" i="8"/>
  <c r="U193" i="8"/>
  <c r="T89" i="8"/>
  <c r="T194" i="8"/>
  <c r="T144" i="8"/>
  <c r="S110" i="8"/>
  <c r="R188" i="8"/>
  <c r="T108" i="8"/>
  <c r="S201" i="8"/>
  <c r="U57" i="8"/>
  <c r="Q141" i="8"/>
  <c r="S61" i="8"/>
  <c r="U71" i="8"/>
  <c r="S95" i="8"/>
  <c r="R191" i="8"/>
  <c r="U56" i="8"/>
  <c r="R10" i="8"/>
  <c r="R146" i="8"/>
  <c r="R61" i="8"/>
  <c r="U190" i="8"/>
  <c r="Q26" i="8"/>
  <c r="Q36" i="8"/>
  <c r="S165" i="8"/>
  <c r="T163" i="8"/>
  <c r="S200" i="8"/>
  <c r="U151" i="8"/>
  <c r="T170" i="8"/>
  <c r="S140" i="8"/>
  <c r="Q34" i="8"/>
  <c r="Q178" i="8"/>
  <c r="U103" i="8"/>
  <c r="Q196" i="8"/>
  <c r="Q5" i="8"/>
  <c r="U133" i="8"/>
  <c r="S48" i="8"/>
  <c r="Q63" i="8"/>
  <c r="S87" i="8"/>
  <c r="S163" i="8"/>
  <c r="Q171" i="8"/>
  <c r="U138" i="8"/>
  <c r="T73" i="8"/>
  <c r="Q170" i="8"/>
  <c r="T168" i="8"/>
  <c r="U154" i="8"/>
  <c r="S150" i="8"/>
  <c r="T15" i="8"/>
  <c r="T201" i="8"/>
  <c r="T36" i="8"/>
  <c r="Q146" i="8"/>
  <c r="T135" i="8"/>
  <c r="Q181" i="8"/>
  <c r="U184" i="8"/>
  <c r="T199" i="8"/>
  <c r="R136" i="8"/>
  <c r="S203" i="8"/>
  <c r="Q173" i="8"/>
  <c r="Q99" i="8"/>
  <c r="U189" i="8"/>
  <c r="Q184" i="8"/>
  <c r="U62" i="8"/>
  <c r="S40" i="8"/>
  <c r="T53" i="8"/>
  <c r="R70" i="8"/>
  <c r="Q166" i="8"/>
  <c r="U109" i="8"/>
  <c r="U127" i="8"/>
  <c r="U183" i="8"/>
  <c r="S75" i="8"/>
  <c r="R172" i="8"/>
  <c r="U171" i="8"/>
  <c r="T22" i="8"/>
  <c r="Q203" i="8"/>
  <c r="R166" i="8"/>
  <c r="R13" i="8"/>
  <c r="S194" i="8"/>
  <c r="Q11" i="8"/>
  <c r="U63" i="8"/>
  <c r="S86" i="8"/>
  <c r="U32" i="8"/>
  <c r="R162" i="8"/>
  <c r="U136" i="8"/>
  <c r="U123" i="8"/>
  <c r="U163" i="8"/>
  <c r="S142" i="8"/>
  <c r="R141" i="8"/>
  <c r="S109" i="8"/>
  <c r="U180" i="8"/>
  <c r="S195" i="8"/>
  <c r="Q132" i="8"/>
  <c r="R198" i="8"/>
  <c r="R168" i="8"/>
  <c r="Q80" i="8"/>
  <c r="U178" i="8"/>
  <c r="R177" i="8"/>
  <c r="Q49" i="8"/>
  <c r="T27" i="8"/>
  <c r="U44" i="8"/>
  <c r="S60" i="8"/>
  <c r="S180" i="8"/>
  <c r="R193" i="8"/>
  <c r="Q79" i="8"/>
  <c r="S162" i="12"/>
  <c r="C9" i="6"/>
  <c r="G9" i="6"/>
  <c r="E9" i="6"/>
  <c r="F9" i="6"/>
  <c r="D9" i="6"/>
  <c r="R8" i="6"/>
  <c r="S198" i="6"/>
  <c r="S145" i="6"/>
  <c r="R154" i="6"/>
  <c r="Q162" i="6"/>
  <c r="S117" i="6"/>
  <c r="U9" i="6"/>
  <c r="R35" i="6"/>
  <c r="Q203" i="6"/>
  <c r="U198" i="6"/>
  <c r="U19" i="6"/>
  <c r="R105" i="6"/>
  <c r="U74" i="6"/>
  <c r="U13" i="6"/>
  <c r="T100" i="6"/>
  <c r="U11" i="6"/>
  <c r="Q118" i="12"/>
  <c r="U194" i="11"/>
  <c r="S153" i="12"/>
  <c r="U110" i="12"/>
  <c r="U179" i="8"/>
  <c r="S172" i="8"/>
  <c r="R72" i="3"/>
  <c r="U78" i="3"/>
  <c r="S28" i="11"/>
  <c r="U28" i="12"/>
  <c r="T166" i="12"/>
  <c r="U149" i="12"/>
  <c r="U161" i="12"/>
  <c r="Q165" i="8"/>
  <c r="U196" i="8"/>
  <c r="Q131" i="8"/>
  <c r="Q17" i="8"/>
  <c r="T131" i="8"/>
  <c r="S189" i="3"/>
  <c r="U59" i="3"/>
  <c r="U164" i="3"/>
  <c r="Q161" i="3"/>
  <c r="S92" i="8"/>
  <c r="D12" i="5"/>
  <c r="C12" i="5"/>
  <c r="G12" i="5"/>
  <c r="F12" i="5"/>
  <c r="T193" i="6"/>
  <c r="Q95" i="8"/>
  <c r="R67" i="4"/>
  <c r="R112" i="12"/>
  <c r="Q112" i="12"/>
  <c r="R15" i="12"/>
  <c r="U139" i="12"/>
  <c r="U61" i="12"/>
  <c r="Q202" i="8"/>
  <c r="S170" i="8"/>
  <c r="S7" i="8"/>
  <c r="Q167" i="8"/>
  <c r="Q159" i="8"/>
  <c r="S128" i="4"/>
  <c r="U79" i="3"/>
  <c r="R79" i="4"/>
  <c r="U74" i="3"/>
  <c r="U17" i="3"/>
  <c r="T54" i="7"/>
  <c r="S83" i="11"/>
  <c r="R141" i="11"/>
  <c r="R126" i="11"/>
  <c r="U105" i="11"/>
  <c r="R144" i="11"/>
  <c r="R94" i="11"/>
  <c r="T94" i="11"/>
  <c r="U136" i="11"/>
  <c r="U121" i="11"/>
  <c r="U100" i="11"/>
  <c r="S136" i="11"/>
  <c r="T102" i="11"/>
  <c r="Q150" i="11"/>
  <c r="S117" i="11"/>
  <c r="Q33" i="11"/>
  <c r="Q92" i="11"/>
  <c r="Q200" i="11"/>
  <c r="R127" i="11"/>
  <c r="U23" i="11"/>
  <c r="S78" i="11"/>
  <c r="S140" i="11"/>
  <c r="T80" i="11"/>
  <c r="U72" i="11"/>
  <c r="U195" i="11"/>
  <c r="S135" i="11"/>
  <c r="T116" i="11"/>
  <c r="T26" i="11"/>
  <c r="S116" i="11"/>
  <c r="T165" i="11"/>
  <c r="Q111" i="11"/>
  <c r="R140" i="11"/>
  <c r="S151" i="11"/>
  <c r="R33" i="11"/>
  <c r="S199" i="11"/>
  <c r="Q158" i="11"/>
  <c r="U175" i="11"/>
  <c r="U191" i="11"/>
  <c r="Q106" i="11"/>
  <c r="U187" i="11"/>
  <c r="R135" i="11"/>
  <c r="Q101" i="11"/>
  <c r="U129" i="11"/>
  <c r="U130" i="11"/>
  <c r="R96" i="11"/>
  <c r="Q110" i="11"/>
  <c r="U179" i="11"/>
  <c r="S126" i="11"/>
  <c r="T90" i="11"/>
  <c r="R103" i="11"/>
  <c r="Q122" i="11"/>
  <c r="T97" i="11"/>
  <c r="T145" i="11"/>
  <c r="U75" i="11"/>
  <c r="Q131" i="11"/>
  <c r="U70" i="11"/>
  <c r="T30" i="11"/>
  <c r="U12" i="11"/>
  <c r="T10" i="11"/>
  <c r="Q135" i="11"/>
  <c r="T130" i="11"/>
  <c r="Q140" i="11"/>
  <c r="U84" i="11"/>
  <c r="S26" i="11"/>
  <c r="S8" i="11"/>
  <c r="S49" i="11"/>
  <c r="S173" i="11"/>
  <c r="S132" i="11"/>
  <c r="Q199" i="11"/>
  <c r="R6" i="11"/>
  <c r="R67" i="11"/>
  <c r="T184" i="12"/>
  <c r="R25" i="12"/>
  <c r="R190" i="8"/>
  <c r="R19" i="8"/>
  <c r="R123" i="8"/>
  <c r="R60" i="4"/>
  <c r="U202" i="4"/>
  <c r="T59" i="4"/>
  <c r="S24" i="4"/>
  <c r="U65" i="4"/>
  <c r="Q56" i="4"/>
  <c r="S55" i="4"/>
  <c r="S21" i="4"/>
  <c r="U44" i="4"/>
  <c r="T118" i="4"/>
  <c r="R9" i="4"/>
  <c r="T18" i="4"/>
  <c r="Q68" i="4"/>
  <c r="R8" i="4"/>
  <c r="Q40" i="4"/>
  <c r="R7" i="4"/>
  <c r="S16" i="4"/>
  <c r="U63" i="4"/>
  <c r="S5" i="4"/>
  <c r="Q34" i="4"/>
  <c r="T127" i="4"/>
  <c r="R14" i="4"/>
  <c r="Q193" i="4"/>
  <c r="R192" i="4"/>
  <c r="Q29" i="4"/>
  <c r="S123" i="4"/>
  <c r="Q12" i="4"/>
  <c r="Q188" i="4"/>
  <c r="Q171" i="4"/>
  <c r="Q24" i="4"/>
  <c r="U91" i="4"/>
  <c r="Q119" i="4"/>
  <c r="S114" i="4"/>
  <c r="U182" i="4"/>
  <c r="T176" i="4"/>
  <c r="Q18" i="4"/>
  <c r="U99" i="4"/>
  <c r="S64" i="4"/>
  <c r="R110" i="4"/>
  <c r="Q177" i="4"/>
  <c r="T171" i="4"/>
  <c r="U10" i="4"/>
  <c r="T106" i="4"/>
  <c r="U51" i="4"/>
  <c r="Q106" i="4"/>
  <c r="Q172" i="4"/>
  <c r="S166" i="4"/>
  <c r="U4" i="4"/>
  <c r="S43" i="4"/>
  <c r="Q169" i="4"/>
  <c r="R50" i="4"/>
  <c r="T61" i="4"/>
  <c r="Q39" i="4"/>
  <c r="U84" i="4"/>
  <c r="R45" i="4"/>
  <c r="U34" i="4"/>
  <c r="T80" i="4"/>
  <c r="R40" i="4"/>
  <c r="Q113" i="4"/>
  <c r="U112" i="4"/>
  <c r="S76" i="4"/>
  <c r="Q35" i="4"/>
  <c r="U133" i="4"/>
  <c r="T93" i="4"/>
  <c r="R167" i="4"/>
  <c r="S89" i="4"/>
  <c r="Q108" i="4"/>
  <c r="U120" i="4"/>
  <c r="Q102" i="4"/>
  <c r="R72" i="4"/>
  <c r="Q145" i="4"/>
  <c r="T56" i="4"/>
  <c r="U127" i="4"/>
  <c r="U97" i="4"/>
  <c r="T66" i="4"/>
  <c r="Q129" i="4"/>
  <c r="T47" i="4"/>
  <c r="S136" i="4"/>
  <c r="U203" i="4"/>
  <c r="S142" i="4"/>
  <c r="Q47" i="4"/>
  <c r="U23" i="4"/>
  <c r="U42" i="4"/>
  <c r="U50" i="4"/>
  <c r="R85" i="4"/>
  <c r="U197" i="4"/>
  <c r="S149" i="4"/>
  <c r="R87" i="4"/>
  <c r="R83" i="4"/>
  <c r="Q81" i="4"/>
  <c r="T129" i="4"/>
  <c r="T38" i="4"/>
  <c r="S34" i="4"/>
  <c r="U76" i="4"/>
  <c r="S161" i="4"/>
  <c r="S51" i="4"/>
  <c r="U86" i="4"/>
  <c r="R149" i="4"/>
  <c r="R145" i="4"/>
  <c r="T72" i="4"/>
  <c r="T155" i="4"/>
  <c r="R142" i="4"/>
  <c r="T154" i="3"/>
  <c r="S11" i="3"/>
  <c r="U167" i="11"/>
  <c r="S90" i="11"/>
  <c r="T113" i="12"/>
  <c r="R194" i="12"/>
  <c r="Q13" i="12"/>
  <c r="S129" i="8"/>
  <c r="S22" i="8"/>
  <c r="Q137" i="8"/>
  <c r="S19" i="8"/>
  <c r="S148" i="8"/>
  <c r="U4" i="3"/>
  <c r="U81" i="4"/>
  <c r="Q53" i="3"/>
  <c r="R165" i="3"/>
  <c r="R197" i="8"/>
  <c r="U202" i="6"/>
  <c r="R13" i="4"/>
  <c r="Q15" i="12"/>
  <c r="T71" i="12"/>
  <c r="R37" i="12"/>
  <c r="S179" i="12"/>
  <c r="Q22" i="12"/>
  <c r="T130" i="12"/>
  <c r="U75" i="12"/>
  <c r="U79" i="12"/>
  <c r="R158" i="12"/>
  <c r="U159" i="8"/>
  <c r="Q106" i="8"/>
  <c r="U95" i="8"/>
  <c r="U113" i="8"/>
  <c r="U21" i="8"/>
  <c r="T152" i="8"/>
  <c r="U102" i="4"/>
  <c r="U57" i="3"/>
  <c r="Q203" i="3"/>
  <c r="E12" i="5"/>
  <c r="R4" i="8"/>
  <c r="G14" i="5"/>
  <c r="F14" i="5"/>
  <c r="D14" i="5"/>
  <c r="C14" i="5"/>
  <c r="E14" i="5"/>
  <c r="G22" i="5"/>
  <c r="F22" i="5"/>
  <c r="C22" i="5"/>
  <c r="E22" i="5"/>
  <c r="D22" i="5"/>
  <c r="G6" i="12"/>
  <c r="F6" i="12"/>
  <c r="C6" i="12"/>
  <c r="E6" i="12"/>
  <c r="D6" i="12"/>
  <c r="R179" i="12"/>
  <c r="S26" i="12"/>
  <c r="U43" i="12"/>
  <c r="T43" i="12"/>
  <c r="T185" i="12"/>
  <c r="U140" i="12"/>
  <c r="S109" i="12"/>
  <c r="T98" i="12"/>
  <c r="S60" i="12"/>
  <c r="S66" i="12"/>
  <c r="R176" i="12"/>
  <c r="S24" i="12"/>
  <c r="R63" i="12"/>
  <c r="S143" i="12"/>
  <c r="Q179" i="12"/>
  <c r="R10" i="12"/>
  <c r="U39" i="12"/>
  <c r="T31" i="12"/>
  <c r="S172" i="12"/>
  <c r="Q132" i="12"/>
  <c r="T41" i="12"/>
  <c r="T93" i="12"/>
  <c r="R54" i="12"/>
  <c r="Q60" i="12"/>
  <c r="R166" i="12"/>
  <c r="R175" i="12"/>
  <c r="R162" i="12"/>
  <c r="R165" i="12"/>
  <c r="U17" i="12"/>
  <c r="T23" i="12"/>
  <c r="T145" i="12"/>
  <c r="R127" i="12"/>
  <c r="R31" i="12"/>
  <c r="T88" i="12"/>
  <c r="S48" i="12"/>
  <c r="S40" i="12"/>
  <c r="R82" i="12"/>
  <c r="T165" i="12"/>
  <c r="Q124" i="12"/>
  <c r="R39" i="12"/>
  <c r="R148" i="12"/>
  <c r="R138" i="12"/>
  <c r="U7" i="12"/>
  <c r="S181" i="12"/>
  <c r="R123" i="12"/>
  <c r="Q114" i="12"/>
  <c r="R14" i="12"/>
  <c r="T82" i="12"/>
  <c r="U40" i="12"/>
  <c r="T22" i="12"/>
  <c r="Q66" i="12"/>
  <c r="Q140" i="12"/>
  <c r="Q113" i="12"/>
  <c r="T28" i="12"/>
  <c r="R111" i="12"/>
  <c r="T190" i="12"/>
  <c r="U5" i="12"/>
  <c r="Q177" i="12"/>
  <c r="Q110" i="12"/>
  <c r="T109" i="12"/>
  <c r="R125" i="12"/>
  <c r="U16" i="12"/>
  <c r="R34" i="12"/>
  <c r="S15" i="12"/>
  <c r="Q50" i="12"/>
  <c r="U130" i="12"/>
  <c r="T102" i="12"/>
  <c r="S184" i="12"/>
  <c r="U142" i="12"/>
  <c r="S173" i="12"/>
  <c r="U48" i="12"/>
  <c r="S110" i="12"/>
  <c r="T126" i="12"/>
  <c r="T123" i="12"/>
  <c r="S13" i="12"/>
  <c r="R145" i="12"/>
  <c r="U98" i="12"/>
  <c r="S88" i="12"/>
  <c r="R146" i="12"/>
  <c r="Q116" i="12"/>
  <c r="S156" i="12"/>
  <c r="Q171" i="12"/>
  <c r="Q82" i="12"/>
  <c r="Q69" i="12"/>
  <c r="T119" i="12"/>
  <c r="Q11" i="12"/>
  <c r="U82" i="12"/>
  <c r="U93" i="12"/>
  <c r="S82" i="12"/>
  <c r="S12" i="12"/>
  <c r="U144" i="12"/>
  <c r="S159" i="12"/>
  <c r="S45" i="12"/>
  <c r="T115" i="12"/>
  <c r="R203" i="12"/>
  <c r="S56" i="12"/>
  <c r="S57" i="12"/>
  <c r="S77" i="12"/>
  <c r="U49" i="12"/>
  <c r="U134" i="12"/>
  <c r="S117" i="12"/>
  <c r="U164" i="12"/>
  <c r="T111" i="12"/>
  <c r="U198" i="12"/>
  <c r="Q52" i="12"/>
  <c r="S46" i="12"/>
  <c r="T30" i="12"/>
  <c r="Q146" i="12"/>
  <c r="R42" i="12"/>
  <c r="S124" i="12"/>
  <c r="T104" i="12"/>
  <c r="T137" i="12"/>
  <c r="S187" i="12"/>
  <c r="T107" i="12"/>
  <c r="S194" i="12"/>
  <c r="R47" i="12"/>
  <c r="S36" i="12"/>
  <c r="R174" i="12"/>
  <c r="U138" i="12"/>
  <c r="S175" i="12"/>
  <c r="S113" i="12"/>
  <c r="R68" i="12"/>
  <c r="U203" i="12"/>
  <c r="T99" i="12"/>
  <c r="Q70" i="12"/>
  <c r="Q34" i="12"/>
  <c r="Q6" i="12"/>
  <c r="T125" i="12"/>
  <c r="R140" i="12"/>
  <c r="R178" i="12"/>
  <c r="T161" i="12"/>
  <c r="T103" i="12"/>
  <c r="Q190" i="12"/>
  <c r="S38" i="12"/>
  <c r="Q31" i="12"/>
  <c r="R126" i="12"/>
  <c r="U132" i="12"/>
  <c r="U165" i="12"/>
  <c r="T94" i="12"/>
  <c r="T38" i="12"/>
  <c r="R28" i="12"/>
  <c r="U45" i="12"/>
  <c r="U186" i="12"/>
  <c r="U71" i="12"/>
  <c r="R30" i="12"/>
  <c r="S125" i="12"/>
  <c r="U12" i="12"/>
  <c r="Q201" i="12"/>
  <c r="R94" i="12"/>
  <c r="Q55" i="12"/>
  <c r="R202" i="12"/>
  <c r="U97" i="12"/>
  <c r="U67" i="12"/>
  <c r="U56" i="12"/>
  <c r="S120" i="12"/>
  <c r="Q193" i="12"/>
  <c r="R84" i="12"/>
  <c r="S34" i="12"/>
  <c r="Q100" i="12"/>
  <c r="R33" i="12"/>
  <c r="S80" i="12"/>
  <c r="Q35" i="12"/>
  <c r="Q196" i="12"/>
  <c r="R13" i="12"/>
  <c r="Q195" i="12"/>
  <c r="Q198" i="12"/>
  <c r="T75" i="12"/>
  <c r="S39" i="12"/>
  <c r="U51" i="12"/>
  <c r="Q48" i="12"/>
  <c r="Q115" i="12"/>
  <c r="R139" i="12"/>
  <c r="R184" i="12"/>
  <c r="U52" i="12"/>
  <c r="T96" i="12"/>
  <c r="T183" i="12"/>
  <c r="R104" i="12"/>
  <c r="T159" i="12"/>
  <c r="Q131" i="12"/>
  <c r="R130" i="12"/>
  <c r="Q120" i="12"/>
  <c r="S155" i="12"/>
  <c r="U47" i="12"/>
  <c r="U38" i="12"/>
  <c r="R120" i="12"/>
  <c r="T112" i="12"/>
  <c r="S42" i="12"/>
  <c r="S171" i="12"/>
  <c r="T25" i="12"/>
  <c r="T122" i="12"/>
  <c r="R96" i="12"/>
  <c r="U173" i="12"/>
  <c r="T203" i="12"/>
  <c r="U114" i="12"/>
  <c r="R144" i="12"/>
  <c r="R22" i="12"/>
  <c r="Q29" i="12"/>
  <c r="T83" i="12"/>
  <c r="S115" i="12"/>
  <c r="R4" i="12"/>
  <c r="S196" i="12"/>
  <c r="T195" i="12"/>
  <c r="Q30" i="12"/>
  <c r="R109" i="12"/>
  <c r="R86" i="12"/>
  <c r="R157" i="12"/>
  <c r="U68" i="12"/>
  <c r="R142" i="12"/>
  <c r="Q145" i="8"/>
  <c r="Q107" i="8"/>
  <c r="Q129" i="12"/>
  <c r="U123" i="12"/>
  <c r="R193" i="12"/>
  <c r="R149" i="8"/>
  <c r="U86" i="12"/>
  <c r="U38" i="8"/>
  <c r="Q185" i="8"/>
  <c r="S155" i="8"/>
  <c r="Q154" i="8"/>
  <c r="S93" i="12"/>
  <c r="U142" i="8"/>
  <c r="Q24" i="8"/>
  <c r="S121" i="11"/>
  <c r="T178" i="12"/>
  <c r="S98" i="12"/>
  <c r="T52" i="12"/>
  <c r="R202" i="8"/>
  <c r="U5" i="8"/>
  <c r="S13" i="8"/>
  <c r="S149" i="8"/>
  <c r="Q33" i="8"/>
  <c r="U194" i="8"/>
  <c r="U186" i="6"/>
  <c r="T11" i="3"/>
  <c r="T50" i="4"/>
  <c r="R108" i="3"/>
  <c r="R81" i="8"/>
  <c r="R5" i="12"/>
  <c r="R189" i="8"/>
  <c r="G7" i="4"/>
  <c r="F7" i="4"/>
  <c r="D7" i="4"/>
  <c r="E7" i="4"/>
  <c r="C7" i="4"/>
  <c r="Q104" i="12"/>
  <c r="T148" i="12"/>
  <c r="R187" i="12"/>
  <c r="T10" i="8"/>
  <c r="R36" i="8"/>
  <c r="S49" i="8"/>
  <c r="U105" i="8"/>
  <c r="T176" i="8"/>
  <c r="R111" i="8"/>
  <c r="Q135" i="12"/>
  <c r="T156" i="12"/>
  <c r="S43" i="12"/>
  <c r="S9" i="8"/>
  <c r="U175" i="8"/>
  <c r="T28" i="8"/>
  <c r="S190" i="8"/>
  <c r="T174" i="3"/>
  <c r="R163" i="3"/>
  <c r="R99" i="3"/>
  <c r="Q178" i="3"/>
  <c r="Q21" i="3"/>
  <c r="Q123" i="3"/>
  <c r="T156" i="3"/>
  <c r="S176" i="3"/>
  <c r="S128" i="3"/>
  <c r="Q78" i="3"/>
  <c r="U128" i="3"/>
  <c r="U191" i="3"/>
  <c r="Q48" i="3"/>
  <c r="U146" i="3"/>
  <c r="Q189" i="3"/>
  <c r="T85" i="3"/>
  <c r="R162" i="3"/>
  <c r="U185" i="3"/>
  <c r="R92" i="3"/>
  <c r="S168" i="3"/>
  <c r="R4" i="3"/>
  <c r="U188" i="3"/>
  <c r="R119" i="3"/>
  <c r="R91" i="3"/>
  <c r="T169" i="3"/>
  <c r="Q17" i="3"/>
  <c r="U82" i="3"/>
  <c r="R148" i="3"/>
  <c r="R166" i="3"/>
  <c r="T72" i="3"/>
  <c r="T182" i="3"/>
  <c r="R123" i="3"/>
  <c r="R95" i="3"/>
  <c r="U173" i="3"/>
  <c r="Q19" i="3"/>
  <c r="U118" i="3"/>
  <c r="S152" i="3"/>
  <c r="S171" i="3"/>
  <c r="S97" i="3"/>
  <c r="R73" i="3"/>
  <c r="U123" i="3"/>
  <c r="S42" i="3"/>
  <c r="U161" i="3"/>
  <c r="T153" i="3"/>
  <c r="T203" i="3"/>
  <c r="R43" i="3"/>
  <c r="Q103" i="3"/>
  <c r="U156" i="3"/>
  <c r="T177" i="3"/>
  <c r="S187" i="3"/>
  <c r="U15" i="3"/>
  <c r="T185" i="3"/>
  <c r="R48" i="3"/>
  <c r="T97" i="3"/>
  <c r="Q92" i="3"/>
  <c r="S32" i="3"/>
  <c r="T161" i="3"/>
  <c r="S199" i="3"/>
  <c r="R39" i="3"/>
  <c r="Q95" i="3"/>
  <c r="T152" i="3"/>
  <c r="S173" i="3"/>
  <c r="S181" i="3"/>
  <c r="R202" i="3"/>
  <c r="T159" i="3"/>
  <c r="S43" i="3"/>
  <c r="U92" i="3"/>
  <c r="T99" i="3"/>
  <c r="Q40" i="3"/>
  <c r="U167" i="3"/>
  <c r="Q195" i="3"/>
  <c r="R31" i="3"/>
  <c r="Q91" i="3"/>
  <c r="S148" i="3"/>
  <c r="R169" i="3"/>
  <c r="S160" i="3"/>
  <c r="R197" i="3"/>
  <c r="T143" i="3"/>
  <c r="U37" i="3"/>
  <c r="Q88" i="3"/>
  <c r="S105" i="3"/>
  <c r="U45" i="3"/>
  <c r="U195" i="3"/>
  <c r="U190" i="3"/>
  <c r="R27" i="3"/>
  <c r="Q87" i="3"/>
  <c r="R144" i="3"/>
  <c r="Q165" i="3"/>
  <c r="S155" i="3"/>
  <c r="R192" i="3"/>
  <c r="S122" i="3"/>
  <c r="Q33" i="3"/>
  <c r="S82" i="3"/>
  <c r="Q112" i="3"/>
  <c r="S52" i="3"/>
  <c r="T186" i="3"/>
  <c r="R23" i="3"/>
  <c r="Q83" i="3"/>
  <c r="Q140" i="3"/>
  <c r="U160" i="3"/>
  <c r="R150" i="3"/>
  <c r="Q187" i="3"/>
  <c r="U107" i="3"/>
  <c r="R28" i="3"/>
  <c r="T77" i="3"/>
  <c r="U119" i="3"/>
  <c r="Q60" i="3"/>
  <c r="S182" i="3"/>
  <c r="R21" i="3"/>
  <c r="Q79" i="3"/>
  <c r="U135" i="3"/>
  <c r="Q144" i="3"/>
  <c r="R145" i="3"/>
  <c r="R181" i="3"/>
  <c r="R82" i="3"/>
  <c r="S23" i="3"/>
  <c r="U72" i="3"/>
  <c r="U125" i="3"/>
  <c r="T14" i="3"/>
  <c r="U65" i="3"/>
  <c r="U7" i="3"/>
  <c r="R178" i="3"/>
  <c r="R17" i="3"/>
  <c r="Q75" i="3"/>
  <c r="T131" i="3"/>
  <c r="U139" i="3"/>
  <c r="S139" i="3"/>
  <c r="Q129" i="3"/>
  <c r="S57" i="3"/>
  <c r="U20" i="3"/>
  <c r="Q68" i="3"/>
  <c r="U132" i="3"/>
  <c r="U21" i="3"/>
  <c r="Q80" i="3"/>
  <c r="T132" i="3"/>
  <c r="T123" i="3"/>
  <c r="Q111" i="3"/>
  <c r="U62" i="3"/>
  <c r="S192" i="3"/>
  <c r="R93" i="3"/>
  <c r="Q18" i="3"/>
  <c r="U87" i="3"/>
  <c r="R189" i="3"/>
  <c r="U14" i="3"/>
  <c r="Q15" i="3"/>
  <c r="U175" i="3"/>
  <c r="T140" i="3"/>
  <c r="S119" i="3"/>
  <c r="Q107" i="3"/>
  <c r="U58" i="3"/>
  <c r="S93" i="3"/>
  <c r="S88" i="3"/>
  <c r="S13" i="3"/>
  <c r="U67" i="3"/>
  <c r="R196" i="3"/>
  <c r="U25" i="3"/>
  <c r="T146" i="3"/>
  <c r="R115" i="3"/>
  <c r="Q71" i="3"/>
  <c r="U54" i="3"/>
  <c r="T88" i="3"/>
  <c r="T83" i="3"/>
  <c r="U10" i="3"/>
  <c r="T52" i="3"/>
  <c r="R133" i="3"/>
  <c r="R87" i="3"/>
  <c r="R58" i="3"/>
  <c r="U140" i="3"/>
  <c r="R111" i="3"/>
  <c r="Q67" i="3"/>
  <c r="U50" i="3"/>
  <c r="U83" i="3"/>
  <c r="T23" i="3"/>
  <c r="U201" i="3"/>
  <c r="T32" i="3"/>
  <c r="R141" i="3"/>
  <c r="U38" i="3"/>
  <c r="R8" i="3"/>
  <c r="S175" i="3"/>
  <c r="R203" i="3"/>
  <c r="R51" i="3"/>
  <c r="Q13" i="3"/>
  <c r="U181" i="3"/>
  <c r="S53" i="3"/>
  <c r="T170" i="3"/>
  <c r="S183" i="3"/>
  <c r="R107" i="3"/>
  <c r="Q27" i="3"/>
  <c r="U46" i="3"/>
  <c r="S73" i="3"/>
  <c r="R18" i="3"/>
  <c r="U196" i="3"/>
  <c r="Q72" i="3"/>
  <c r="S147" i="3"/>
  <c r="S37" i="3"/>
  <c r="R103" i="3"/>
  <c r="Q23" i="3"/>
  <c r="U42" i="3"/>
  <c r="U63" i="3"/>
  <c r="T13" i="3"/>
  <c r="U180" i="3"/>
  <c r="T79" i="3"/>
  <c r="R154" i="3"/>
  <c r="S39" i="3"/>
  <c r="Q199" i="3"/>
  <c r="U66" i="3"/>
  <c r="Q118" i="3"/>
  <c r="T149" i="3"/>
  <c r="T58" i="3"/>
  <c r="R45" i="3"/>
  <c r="U194" i="3"/>
  <c r="T135" i="3"/>
  <c r="R113" i="3"/>
  <c r="U143" i="3"/>
  <c r="R191" i="3"/>
  <c r="U152" i="3"/>
  <c r="T70" i="3"/>
  <c r="U149" i="3"/>
  <c r="T112" i="3"/>
  <c r="T25" i="3"/>
  <c r="R187" i="3"/>
  <c r="Q115" i="3"/>
  <c r="T66" i="3"/>
  <c r="U144" i="3"/>
  <c r="R102" i="3"/>
  <c r="R32" i="3"/>
  <c r="R183" i="3"/>
  <c r="U51" i="3"/>
  <c r="T190" i="3"/>
  <c r="T94" i="3"/>
  <c r="S108" i="3"/>
  <c r="S62" i="3"/>
  <c r="T62" i="3"/>
  <c r="T119" i="3"/>
  <c r="S186" i="3"/>
  <c r="T90" i="3"/>
  <c r="T103" i="3"/>
  <c r="T57" i="3"/>
  <c r="Q11" i="3"/>
  <c r="Q9" i="3"/>
  <c r="T125" i="3"/>
  <c r="R182" i="3"/>
  <c r="T86" i="3"/>
  <c r="Q98" i="3"/>
  <c r="U52" i="3"/>
  <c r="R195" i="3"/>
  <c r="Q157" i="3"/>
  <c r="T74" i="3"/>
  <c r="U154" i="3"/>
  <c r="S138" i="3"/>
  <c r="U138" i="3"/>
  <c r="U39" i="3"/>
  <c r="R179" i="3"/>
  <c r="U133" i="3"/>
  <c r="T45" i="3"/>
  <c r="R199" i="3"/>
  <c r="R161" i="3"/>
  <c r="T82" i="3"/>
  <c r="Q160" i="3"/>
  <c r="S149" i="3"/>
  <c r="Q118" i="4"/>
  <c r="Q5" i="3"/>
  <c r="R200" i="12"/>
  <c r="S103" i="12"/>
  <c r="T74" i="12"/>
  <c r="U191" i="8"/>
  <c r="S130" i="8"/>
  <c r="Q16" i="8"/>
  <c r="S166" i="8"/>
  <c r="T37" i="8"/>
  <c r="Q199" i="8"/>
  <c r="U194" i="6"/>
  <c r="U22" i="4"/>
  <c r="Q113" i="3"/>
  <c r="S203" i="3"/>
  <c r="S95" i="12"/>
  <c r="R65" i="8"/>
  <c r="F5" i="5"/>
  <c r="C5" i="5"/>
  <c r="G5" i="5"/>
  <c r="E5" i="5"/>
  <c r="D5" i="5"/>
  <c r="D6" i="8"/>
  <c r="C6" i="8"/>
  <c r="E6" i="8"/>
  <c r="G6" i="8"/>
  <c r="F6" i="8"/>
  <c r="D7" i="8"/>
  <c r="C7" i="8"/>
  <c r="F7" i="8"/>
  <c r="G6" i="4"/>
  <c r="F6" i="4"/>
  <c r="E6" i="4"/>
  <c r="D6" i="4"/>
  <c r="C6" i="4"/>
  <c r="G7" i="8"/>
  <c r="U103" i="6"/>
  <c r="S7" i="6"/>
  <c r="S14" i="6"/>
  <c r="U93" i="6"/>
  <c r="U110" i="6"/>
  <c r="U179" i="6"/>
  <c r="S5" i="6"/>
  <c r="Q7" i="6"/>
  <c r="S88" i="6"/>
  <c r="Q30" i="6"/>
  <c r="U175" i="6"/>
  <c r="R203" i="6"/>
  <c r="T202" i="6"/>
  <c r="U192" i="6"/>
  <c r="Q37" i="6"/>
  <c r="U171" i="6"/>
  <c r="R199" i="6"/>
  <c r="Q198" i="6"/>
  <c r="U44" i="6"/>
  <c r="U167" i="6"/>
  <c r="R55" i="6"/>
  <c r="S193" i="6"/>
  <c r="R82" i="6"/>
  <c r="T53" i="6"/>
  <c r="U163" i="6"/>
  <c r="R51" i="6"/>
  <c r="T122" i="6"/>
  <c r="Q176" i="6"/>
  <c r="T60" i="6"/>
  <c r="U159" i="6"/>
  <c r="R47" i="6"/>
  <c r="Q118" i="6"/>
  <c r="R140" i="6"/>
  <c r="S68" i="6"/>
  <c r="S163" i="6"/>
  <c r="S184" i="6"/>
  <c r="T163" i="6"/>
  <c r="S122" i="6"/>
  <c r="S159" i="6"/>
  <c r="S202" i="6"/>
  <c r="R134" i="6"/>
  <c r="S155" i="6"/>
  <c r="U197" i="6"/>
  <c r="Q58" i="6"/>
  <c r="S11" i="6"/>
  <c r="S59" i="6"/>
  <c r="U136" i="6"/>
  <c r="T186" i="6"/>
  <c r="U116" i="6"/>
  <c r="U117" i="6"/>
  <c r="S55" i="6"/>
  <c r="R132" i="6"/>
  <c r="T199" i="6"/>
  <c r="S9" i="6"/>
  <c r="R77" i="6"/>
  <c r="Q127" i="6"/>
  <c r="R122" i="6"/>
  <c r="T108" i="6"/>
  <c r="F7" i="12"/>
  <c r="E7" i="12"/>
  <c r="G7" i="12"/>
  <c r="G11" i="4"/>
  <c r="F11" i="4"/>
  <c r="D11" i="4"/>
  <c r="C11" i="4"/>
  <c r="E11" i="4"/>
  <c r="R131" i="8"/>
  <c r="R113" i="6"/>
  <c r="G15" i="5"/>
  <c r="F15" i="5"/>
  <c r="C8" i="6"/>
  <c r="E8" i="6"/>
  <c r="D8" i="6"/>
  <c r="G8" i="6"/>
  <c r="F8" i="6"/>
  <c r="E8" i="4"/>
  <c r="C10" i="4"/>
  <c r="G10" i="4"/>
  <c r="F8" i="4"/>
  <c r="D8" i="4"/>
  <c r="T150" i="12"/>
  <c r="Q27" i="12"/>
  <c r="T180" i="12"/>
  <c r="U183" i="6"/>
  <c r="R88" i="6"/>
  <c r="D13" i="6"/>
  <c r="E13" i="6"/>
  <c r="F13" i="5"/>
  <c r="C13" i="6"/>
  <c r="E11" i="6"/>
  <c r="D11" i="6"/>
  <c r="C11" i="6"/>
  <c r="F16" i="6"/>
  <c r="G16" i="6"/>
  <c r="E8" i="12"/>
  <c r="D8" i="12"/>
  <c r="U89" i="12"/>
  <c r="Q81" i="12"/>
  <c r="R77" i="12"/>
  <c r="S89" i="12"/>
  <c r="R64" i="12"/>
  <c r="D5" i="12"/>
  <c r="Q37" i="12"/>
  <c r="C5" i="12"/>
  <c r="Q59" i="12"/>
  <c r="U58" i="12"/>
  <c r="G5" i="12"/>
  <c r="Q49" i="12"/>
  <c r="E5" i="12"/>
  <c r="U36" i="12"/>
  <c r="F5" i="12"/>
  <c r="T26" i="12"/>
  <c r="Q23" i="12"/>
  <c r="T182" i="12"/>
  <c r="S50" i="12"/>
  <c r="T193" i="12"/>
  <c r="S55" i="12"/>
  <c r="U147" i="12"/>
  <c r="T139" i="12"/>
  <c r="Q159" i="12"/>
  <c r="T105" i="12"/>
  <c r="U122" i="12"/>
  <c r="T57" i="12"/>
  <c r="R114" i="12"/>
  <c r="S72" i="12"/>
  <c r="R188" i="12"/>
  <c r="Q106" i="12"/>
  <c r="S65" i="12"/>
  <c r="U41" i="12"/>
  <c r="R71" i="12"/>
  <c r="R143" i="12"/>
  <c r="S108" i="12"/>
  <c r="U143" i="12"/>
  <c r="T131" i="12"/>
  <c r="R83" i="12"/>
  <c r="S118" i="12"/>
  <c r="T46" i="12"/>
  <c r="Q109" i="12"/>
  <c r="U181" i="12"/>
  <c r="R73" i="12"/>
  <c r="R58" i="12"/>
  <c r="U62" i="12"/>
  <c r="R129" i="12"/>
  <c r="R121" i="12"/>
  <c r="T120" i="12"/>
  <c r="Q97" i="12"/>
  <c r="Q67" i="12"/>
  <c r="R24" i="12"/>
  <c r="Q150" i="8"/>
  <c r="Q128" i="12"/>
  <c r="R158" i="8"/>
  <c r="G6" i="6"/>
  <c r="D6" i="6"/>
  <c r="F6" i="6"/>
  <c r="E6" i="6"/>
  <c r="C6" i="6"/>
  <c r="G18" i="6"/>
  <c r="E18" i="6"/>
  <c r="U177" i="12"/>
  <c r="R21" i="12"/>
  <c r="R39" i="6"/>
  <c r="Q103" i="12"/>
  <c r="R121" i="7"/>
  <c r="C10" i="12"/>
  <c r="D10" i="12"/>
  <c r="S85" i="12"/>
  <c r="F10" i="11"/>
  <c r="E10" i="11"/>
  <c r="D10" i="11"/>
  <c r="F5" i="6"/>
  <c r="G5" i="6"/>
  <c r="E5" i="6"/>
  <c r="G21" i="6"/>
  <c r="C21" i="6"/>
  <c r="E21" i="6"/>
  <c r="D21" i="6"/>
  <c r="F21" i="6"/>
  <c r="T110" i="6"/>
  <c r="T116" i="6"/>
  <c r="T127" i="6"/>
  <c r="U15" i="6"/>
  <c r="T185" i="6"/>
  <c r="D5" i="6"/>
  <c r="Q122" i="6"/>
  <c r="S152" i="6"/>
  <c r="U188" i="6"/>
  <c r="R43" i="6"/>
  <c r="U17" i="6"/>
  <c r="U177" i="6"/>
  <c r="D16" i="9"/>
  <c r="C16" i="9"/>
  <c r="F16" i="9"/>
  <c r="G16" i="9"/>
  <c r="E16" i="9"/>
  <c r="S98" i="7"/>
  <c r="S125" i="7"/>
  <c r="T155" i="7"/>
  <c r="T165" i="7"/>
  <c r="R139" i="7"/>
  <c r="G22" i="4"/>
  <c r="F22" i="4"/>
  <c r="E22" i="4"/>
  <c r="C22" i="4"/>
  <c r="D22" i="4"/>
  <c r="E6" i="5"/>
  <c r="D6" i="5"/>
  <c r="C6" i="5"/>
  <c r="G6" i="5"/>
  <c r="F6" i="5"/>
  <c r="S144" i="7"/>
  <c r="Q166" i="7"/>
  <c r="G14" i="9"/>
  <c r="D14" i="9"/>
  <c r="C14" i="9"/>
  <c r="F14" i="9"/>
  <c r="E14" i="9"/>
  <c r="R109" i="7"/>
  <c r="Q146" i="7"/>
  <c r="S201" i="7"/>
  <c r="R159" i="7"/>
  <c r="S50" i="7"/>
  <c r="S148" i="7"/>
  <c r="E16" i="7"/>
  <c r="C16" i="7"/>
  <c r="F16" i="7"/>
  <c r="G16" i="7"/>
  <c r="D16" i="7"/>
  <c r="U145" i="7"/>
  <c r="S188" i="7"/>
  <c r="U201" i="9"/>
  <c r="U197" i="9"/>
  <c r="U193" i="9"/>
  <c r="U189" i="9"/>
  <c r="U185" i="9"/>
  <c r="U181" i="9"/>
  <c r="U177" i="9"/>
  <c r="U173" i="9"/>
  <c r="U169" i="9"/>
  <c r="U165" i="9"/>
  <c r="U161" i="9"/>
  <c r="U157" i="9"/>
  <c r="U153" i="9"/>
  <c r="U149" i="9"/>
  <c r="U145" i="9"/>
  <c r="U141" i="9"/>
  <c r="U137" i="9"/>
  <c r="U133" i="9"/>
  <c r="U129" i="9"/>
  <c r="U125" i="9"/>
  <c r="U121" i="9"/>
  <c r="U117" i="9"/>
  <c r="U113" i="9"/>
  <c r="U109" i="9"/>
  <c r="U105" i="9"/>
  <c r="U101" i="9"/>
  <c r="U97" i="9"/>
  <c r="U93" i="9"/>
  <c r="U89" i="9"/>
  <c r="U85" i="9"/>
  <c r="U81" i="9"/>
  <c r="U77" i="9"/>
  <c r="U73" i="9"/>
  <c r="U69" i="9"/>
  <c r="U65" i="9"/>
  <c r="U61" i="9"/>
  <c r="U57" i="9"/>
  <c r="U53" i="9"/>
  <c r="U49" i="9"/>
  <c r="U45" i="9"/>
  <c r="U41" i="9"/>
  <c r="U37" i="9"/>
  <c r="U33" i="9"/>
  <c r="U29" i="9"/>
  <c r="U25" i="9"/>
  <c r="U22" i="9"/>
  <c r="U20" i="9"/>
  <c r="U18" i="9"/>
  <c r="U16" i="9"/>
  <c r="U14" i="9"/>
  <c r="U12" i="9"/>
  <c r="T201" i="9"/>
  <c r="T197" i="9"/>
  <c r="T193" i="9"/>
  <c r="S201" i="9"/>
  <c r="S197" i="9"/>
  <c r="S193" i="9"/>
  <c r="S189" i="9"/>
  <c r="S185" i="9"/>
  <c r="S181" i="9"/>
  <c r="S177" i="9"/>
  <c r="S173" i="9"/>
  <c r="S169" i="9"/>
  <c r="S165" i="9"/>
  <c r="S161" i="9"/>
  <c r="S157" i="9"/>
  <c r="S153" i="9"/>
  <c r="S149" i="9"/>
  <c r="S145" i="9"/>
  <c r="S141" i="9"/>
  <c r="S137" i="9"/>
  <c r="S133" i="9"/>
  <c r="S129" i="9"/>
  <c r="S125" i="9"/>
  <c r="S121" i="9"/>
  <c r="S117" i="9"/>
  <c r="S113" i="9"/>
  <c r="S109" i="9"/>
  <c r="S105" i="9"/>
  <c r="S101" i="9"/>
  <c r="S97" i="9"/>
  <c r="S93" i="9"/>
  <c r="S89" i="9"/>
  <c r="S85" i="9"/>
  <c r="S81" i="9"/>
  <c r="S77" i="9"/>
  <c r="S73" i="9"/>
  <c r="S69" i="9"/>
  <c r="S65" i="9"/>
  <c r="S61" i="9"/>
  <c r="S57" i="9"/>
  <c r="S53" i="9"/>
  <c r="S49" i="9"/>
  <c r="S45" i="9"/>
  <c r="S41" i="9"/>
  <c r="S37" i="9"/>
  <c r="S33" i="9"/>
  <c r="S29" i="9"/>
  <c r="S25" i="9"/>
  <c r="S22" i="9"/>
  <c r="S20" i="9"/>
  <c r="S18" i="9"/>
  <c r="S16" i="9"/>
  <c r="S14" i="9"/>
  <c r="S12" i="9"/>
  <c r="S10" i="9"/>
  <c r="R201" i="9"/>
  <c r="R197" i="9"/>
  <c r="R193" i="9"/>
  <c r="R189" i="9"/>
  <c r="R185" i="9"/>
  <c r="R181" i="9"/>
  <c r="R177" i="9"/>
  <c r="R173" i="9"/>
  <c r="R169" i="9"/>
  <c r="R165" i="9"/>
  <c r="R161" i="9"/>
  <c r="R157" i="9"/>
  <c r="R153" i="9"/>
  <c r="R149" i="9"/>
  <c r="R145" i="9"/>
  <c r="R141" i="9"/>
  <c r="R137" i="9"/>
  <c r="R133" i="9"/>
  <c r="R129" i="9"/>
  <c r="R125" i="9"/>
  <c r="R121" i="9"/>
  <c r="R117" i="9"/>
  <c r="R113" i="9"/>
  <c r="R109" i="9"/>
  <c r="R105" i="9"/>
  <c r="R101" i="9"/>
  <c r="R97" i="9"/>
  <c r="R93" i="9"/>
  <c r="R89" i="9"/>
  <c r="R85" i="9"/>
  <c r="R81" i="9"/>
  <c r="R77" i="9"/>
  <c r="R73" i="9"/>
  <c r="R69" i="9"/>
  <c r="R65" i="9"/>
  <c r="R61" i="9"/>
  <c r="R57" i="9"/>
  <c r="R53" i="9"/>
  <c r="R49" i="9"/>
  <c r="U203" i="9"/>
  <c r="Q199" i="9"/>
  <c r="T203" i="9"/>
  <c r="U198" i="9"/>
  <c r="Q194" i="9"/>
  <c r="T188" i="9"/>
  <c r="Q184" i="9"/>
  <c r="S179" i="9"/>
  <c r="U174" i="9"/>
  <c r="R170" i="9"/>
  <c r="Q165" i="9"/>
  <c r="S160" i="9"/>
  <c r="U155" i="9"/>
  <c r="R151" i="9"/>
  <c r="T146" i="9"/>
  <c r="Q142" i="9"/>
  <c r="U136" i="9"/>
  <c r="R132" i="9"/>
  <c r="T127" i="9"/>
  <c r="Q123" i="9"/>
  <c r="S118" i="9"/>
  <c r="T113" i="9"/>
  <c r="T108" i="9"/>
  <c r="Q104" i="9"/>
  <c r="S99" i="9"/>
  <c r="U94" i="9"/>
  <c r="R90" i="9"/>
  <c r="Q85" i="9"/>
  <c r="S80" i="9"/>
  <c r="U75" i="9"/>
  <c r="R71" i="9"/>
  <c r="T66" i="9"/>
  <c r="Q62" i="9"/>
  <c r="U56" i="9"/>
  <c r="R52" i="9"/>
  <c r="T47" i="9"/>
  <c r="R43" i="9"/>
  <c r="U38" i="9"/>
  <c r="S34" i="9"/>
  <c r="Q30" i="9"/>
  <c r="R25" i="9"/>
  <c r="T15" i="9"/>
  <c r="R13" i="9"/>
  <c r="R203" i="9"/>
  <c r="Q198" i="9"/>
  <c r="R192" i="9"/>
  <c r="S187" i="9"/>
  <c r="T182" i="9"/>
  <c r="T177" i="9"/>
  <c r="S172" i="9"/>
  <c r="T167" i="9"/>
  <c r="U162" i="9"/>
  <c r="Q158" i="9"/>
  <c r="T152" i="9"/>
  <c r="U147" i="9"/>
  <c r="Q143" i="9"/>
  <c r="R138" i="9"/>
  <c r="U132" i="9"/>
  <c r="Q128" i="9"/>
  <c r="R123" i="9"/>
  <c r="R118" i="9"/>
  <c r="U112" i="9"/>
  <c r="Q108" i="9"/>
  <c r="R103" i="9"/>
  <c r="S98" i="9"/>
  <c r="Q93" i="9"/>
  <c r="R88" i="9"/>
  <c r="S83" i="9"/>
  <c r="T78" i="9"/>
  <c r="T73" i="9"/>
  <c r="S68" i="9"/>
  <c r="T63" i="9"/>
  <c r="U58" i="9"/>
  <c r="Q54" i="9"/>
  <c r="T48" i="9"/>
  <c r="Q44" i="9"/>
  <c r="S39" i="9"/>
  <c r="U34" i="9"/>
  <c r="R30" i="9"/>
  <c r="Q25" i="9"/>
  <c r="U19" i="9"/>
  <c r="R17" i="9"/>
  <c r="R10" i="9"/>
  <c r="Q8" i="9"/>
  <c r="D4" i="9"/>
  <c r="Q203" i="9"/>
  <c r="Q197" i="9"/>
  <c r="Q192" i="9"/>
  <c r="R187" i="9"/>
  <c r="S182" i="9"/>
  <c r="Q177" i="9"/>
  <c r="R172" i="9"/>
  <c r="S167" i="9"/>
  <c r="T162" i="9"/>
  <c r="T157" i="9"/>
  <c r="S152" i="9"/>
  <c r="T147" i="9"/>
  <c r="U142" i="9"/>
  <c r="Q138" i="9"/>
  <c r="T132" i="9"/>
  <c r="U127" i="9"/>
  <c r="U122" i="9"/>
  <c r="Q118" i="9"/>
  <c r="T112" i="9"/>
  <c r="U107" i="9"/>
  <c r="Q103" i="9"/>
  <c r="R98" i="9"/>
  <c r="U92" i="9"/>
  <c r="Q88" i="9"/>
  <c r="R83" i="9"/>
  <c r="S78" i="9"/>
  <c r="Q73" i="9"/>
  <c r="R68" i="9"/>
  <c r="S63" i="9"/>
  <c r="T58" i="9"/>
  <c r="T53" i="9"/>
  <c r="S48" i="9"/>
  <c r="U43" i="9"/>
  <c r="R39" i="9"/>
  <c r="T34" i="9"/>
  <c r="T29" i="9"/>
  <c r="U24" i="9"/>
  <c r="T19" i="9"/>
  <c r="Q17" i="9"/>
  <c r="T12" i="9"/>
  <c r="Q10" i="9"/>
  <c r="C4" i="9"/>
  <c r="U202" i="9"/>
  <c r="U196" i="9"/>
  <c r="U191" i="9"/>
  <c r="Q187" i="9"/>
  <c r="R182" i="9"/>
  <c r="U176" i="9"/>
  <c r="Q172" i="9"/>
  <c r="R167" i="9"/>
  <c r="S162" i="9"/>
  <c r="Q157" i="9"/>
  <c r="R152" i="9"/>
  <c r="S147" i="9"/>
  <c r="T142" i="9"/>
  <c r="T137" i="9"/>
  <c r="S132" i="9"/>
  <c r="S127" i="9"/>
  <c r="T122" i="9"/>
  <c r="T202" i="9"/>
  <c r="T196" i="9"/>
  <c r="T191" i="9"/>
  <c r="U186" i="9"/>
  <c r="Q182" i="9"/>
  <c r="T176" i="9"/>
  <c r="U171" i="9"/>
  <c r="Q167" i="9"/>
  <c r="R162" i="9"/>
  <c r="U156" i="9"/>
  <c r="Q152" i="9"/>
  <c r="R147" i="9"/>
  <c r="S142" i="9"/>
  <c r="Q137" i="9"/>
  <c r="Q132" i="9"/>
  <c r="R127" i="9"/>
  <c r="S122" i="9"/>
  <c r="Q117" i="9"/>
  <c r="R112" i="9"/>
  <c r="S107" i="9"/>
  <c r="T102" i="9"/>
  <c r="T97" i="9"/>
  <c r="S92" i="9"/>
  <c r="T87" i="9"/>
  <c r="U82" i="9"/>
  <c r="Q78" i="9"/>
  <c r="T72" i="9"/>
  <c r="U67" i="9"/>
  <c r="Q63" i="9"/>
  <c r="R58" i="9"/>
  <c r="U52" i="9"/>
  <c r="Q48" i="9"/>
  <c r="S43" i="9"/>
  <c r="T38" i="9"/>
  <c r="Q34" i="9"/>
  <c r="Q29" i="9"/>
  <c r="S24" i="9"/>
  <c r="U21" i="9"/>
  <c r="R19" i="9"/>
  <c r="Q12" i="9"/>
  <c r="S196" i="9"/>
  <c r="T190" i="9"/>
  <c r="S184" i="9"/>
  <c r="T178" i="9"/>
  <c r="T171" i="9"/>
  <c r="Q166" i="9"/>
  <c r="T159" i="9"/>
  <c r="Q154" i="9"/>
  <c r="Q147" i="9"/>
  <c r="T140" i="9"/>
  <c r="Q135" i="9"/>
  <c r="U128" i="9"/>
  <c r="R122" i="9"/>
  <c r="R116" i="9"/>
  <c r="U110" i="9"/>
  <c r="U104" i="9"/>
  <c r="R99" i="9"/>
  <c r="T93" i="9"/>
  <c r="R87" i="9"/>
  <c r="T81" i="9"/>
  <c r="T75" i="9"/>
  <c r="R70" i="9"/>
  <c r="R64" i="9"/>
  <c r="S58" i="9"/>
  <c r="Q52" i="9"/>
  <c r="T46" i="9"/>
  <c r="Q41" i="9"/>
  <c r="U35" i="9"/>
  <c r="T30" i="9"/>
  <c r="R24" i="9"/>
  <c r="Q21" i="9"/>
  <c r="T18" i="9"/>
  <c r="T10" i="9"/>
  <c r="R5" i="9"/>
  <c r="AF4" i="9" a="1"/>
  <c r="Q196" i="9"/>
  <c r="R190" i="9"/>
  <c r="U183" i="9"/>
  <c r="R178" i="9"/>
  <c r="R171" i="9"/>
  <c r="U164" i="9"/>
  <c r="R159" i="9"/>
  <c r="Q153" i="9"/>
  <c r="S146" i="9"/>
  <c r="R140" i="9"/>
  <c r="T134" i="9"/>
  <c r="S128" i="9"/>
  <c r="T121" i="9"/>
  <c r="U115" i="9"/>
  <c r="S110" i="9"/>
  <c r="S104" i="9"/>
  <c r="U98" i="9"/>
  <c r="R92" i="9"/>
  <c r="U86" i="9"/>
  <c r="U80" i="9"/>
  <c r="R75" i="9"/>
  <c r="T69" i="9"/>
  <c r="U63" i="9"/>
  <c r="T57" i="9"/>
  <c r="T51" i="9"/>
  <c r="R46" i="9"/>
  <c r="T40" i="9"/>
  <c r="S35" i="9"/>
  <c r="R29" i="9"/>
  <c r="U23" i="9"/>
  <c r="Q18" i="9"/>
  <c r="U15" i="9"/>
  <c r="T7" i="9"/>
  <c r="U4" i="9"/>
  <c r="S203" i="9"/>
  <c r="U195" i="9"/>
  <c r="Q190" i="9"/>
  <c r="T183" i="9"/>
  <c r="Q178" i="9"/>
  <c r="Q171" i="9"/>
  <c r="T164" i="9"/>
  <c r="Q159" i="9"/>
  <c r="U152" i="9"/>
  <c r="R146" i="9"/>
  <c r="Q140" i="9"/>
  <c r="S134" i="9"/>
  <c r="R128" i="9"/>
  <c r="Q121" i="9"/>
  <c r="T115" i="9"/>
  <c r="R110" i="9"/>
  <c r="R104" i="9"/>
  <c r="T98" i="9"/>
  <c r="Q92" i="9"/>
  <c r="T86" i="9"/>
  <c r="T80" i="9"/>
  <c r="Q75" i="9"/>
  <c r="Q69" i="9"/>
  <c r="R63" i="9"/>
  <c r="Q57" i="9"/>
  <c r="S51" i="9"/>
  <c r="Q46" i="9"/>
  <c r="S40" i="9"/>
  <c r="R35" i="9"/>
  <c r="U28" i="9"/>
  <c r="T23" i="9"/>
  <c r="S15" i="9"/>
  <c r="S7" i="9"/>
  <c r="T4" i="9"/>
  <c r="G4" i="9"/>
  <c r="S202" i="9"/>
  <c r="T195" i="9"/>
  <c r="T189" i="9"/>
  <c r="S183" i="9"/>
  <c r="S176" i="9"/>
  <c r="U170" i="9"/>
  <c r="S164" i="9"/>
  <c r="U158" i="9"/>
  <c r="U151" i="9"/>
  <c r="Q146" i="9"/>
  <c r="U139" i="9"/>
  <c r="R134" i="9"/>
  <c r="Q127" i="9"/>
  <c r="U120" i="9"/>
  <c r="S115" i="9"/>
  <c r="Q110" i="9"/>
  <c r="U103" i="9"/>
  <c r="Q98" i="9"/>
  <c r="U91" i="9"/>
  <c r="S86" i="9"/>
  <c r="R80" i="9"/>
  <c r="U74" i="9"/>
  <c r="U68" i="9"/>
  <c r="U62" i="9"/>
  <c r="T56" i="9"/>
  <c r="R51" i="9"/>
  <c r="R196" i="9"/>
  <c r="R188" i="9"/>
  <c r="S180" i="9"/>
  <c r="T173" i="9"/>
  <c r="T165" i="9"/>
  <c r="T156" i="9"/>
  <c r="Q150" i="9"/>
  <c r="R142" i="9"/>
  <c r="U134" i="9"/>
  <c r="R126" i="9"/>
  <c r="R119" i="9"/>
  <c r="T111" i="9"/>
  <c r="T104" i="9"/>
  <c r="S96" i="9"/>
  <c r="Q90" i="9"/>
  <c r="T82" i="9"/>
  <c r="S75" i="9"/>
  <c r="S67" i="9"/>
  <c r="S60" i="9"/>
  <c r="R54" i="9"/>
  <c r="S46" i="9"/>
  <c r="U39" i="9"/>
  <c r="U32" i="9"/>
  <c r="Q27" i="9"/>
  <c r="R15" i="9"/>
  <c r="R6" i="9"/>
  <c r="S195" i="9"/>
  <c r="Q188" i="9"/>
  <c r="R180" i="9"/>
  <c r="Q173" i="9"/>
  <c r="R164" i="9"/>
  <c r="S156" i="9"/>
  <c r="T149" i="9"/>
  <c r="T141" i="9"/>
  <c r="Q134" i="9"/>
  <c r="Q126" i="9"/>
  <c r="Q119" i="9"/>
  <c r="S111" i="9"/>
  <c r="T103" i="9"/>
  <c r="R96" i="9"/>
  <c r="T89" i="9"/>
  <c r="S82" i="9"/>
  <c r="T74" i="9"/>
  <c r="R67" i="9"/>
  <c r="R60" i="9"/>
  <c r="Q53" i="9"/>
  <c r="T45" i="9"/>
  <c r="T39" i="9"/>
  <c r="T32" i="9"/>
  <c r="U26" i="9"/>
  <c r="Q15" i="9"/>
  <c r="Q6" i="9"/>
  <c r="R195" i="9"/>
  <c r="U187" i="9"/>
  <c r="Q180" i="9"/>
  <c r="U172" i="9"/>
  <c r="Q164" i="9"/>
  <c r="R156" i="9"/>
  <c r="Q149" i="9"/>
  <c r="Q141" i="9"/>
  <c r="T133" i="9"/>
  <c r="T125" i="9"/>
  <c r="U118" i="9"/>
  <c r="R111" i="9"/>
  <c r="S103" i="9"/>
  <c r="Q96" i="9"/>
  <c r="Q89" i="9"/>
  <c r="R82" i="9"/>
  <c r="S74" i="9"/>
  <c r="Q67" i="9"/>
  <c r="Q60" i="9"/>
  <c r="T52" i="9"/>
  <c r="R45" i="9"/>
  <c r="Q39" i="9"/>
  <c r="S32" i="9"/>
  <c r="T26" i="9"/>
  <c r="T21" i="9"/>
  <c r="R18" i="9"/>
  <c r="F4" i="9"/>
  <c r="Q195" i="9"/>
  <c r="T187" i="9"/>
  <c r="U179" i="9"/>
  <c r="T172" i="9"/>
  <c r="U163" i="9"/>
  <c r="Q156" i="9"/>
  <c r="U148" i="9"/>
  <c r="U140" i="9"/>
  <c r="Q133" i="9"/>
  <c r="Q125" i="9"/>
  <c r="T118" i="9"/>
  <c r="Q111" i="9"/>
  <c r="U102" i="9"/>
  <c r="U95" i="9"/>
  <c r="U88" i="9"/>
  <c r="Q82" i="9"/>
  <c r="R74" i="9"/>
  <c r="U66" i="9"/>
  <c r="U59" i="9"/>
  <c r="S52" i="9"/>
  <c r="Q45" i="9"/>
  <c r="S38" i="9"/>
  <c r="R32" i="9"/>
  <c r="S26" i="9"/>
  <c r="S21" i="9"/>
  <c r="U11" i="9"/>
  <c r="E4" i="9"/>
  <c r="S199" i="9"/>
  <c r="S188" i="9"/>
  <c r="U178" i="9"/>
  <c r="T168" i="9"/>
  <c r="U159" i="9"/>
  <c r="R150" i="9"/>
  <c r="R139" i="9"/>
  <c r="S130" i="9"/>
  <c r="R120" i="9"/>
  <c r="U111" i="9"/>
  <c r="T101" i="9"/>
  <c r="Q94" i="9"/>
  <c r="R84" i="9"/>
  <c r="Q76" i="9"/>
  <c r="T65" i="9"/>
  <c r="Q56" i="9"/>
  <c r="U47" i="9"/>
  <c r="Q40" i="9"/>
  <c r="S31" i="9"/>
  <c r="Q23" i="9"/>
  <c r="S19" i="9"/>
  <c r="Q11" i="9"/>
  <c r="R7" i="9"/>
  <c r="T198" i="9"/>
  <c r="S186" i="9"/>
  <c r="R176" i="9"/>
  <c r="R168" i="9"/>
  <c r="T158" i="9"/>
  <c r="S148" i="9"/>
  <c r="U138" i="9"/>
  <c r="Q130" i="9"/>
  <c r="U119" i="9"/>
  <c r="T109" i="9"/>
  <c r="U100" i="9"/>
  <c r="T91" i="9"/>
  <c r="U83" i="9"/>
  <c r="U72" i="9"/>
  <c r="U64" i="9"/>
  <c r="T55" i="9"/>
  <c r="R47" i="9"/>
  <c r="Q38" i="9"/>
  <c r="Q31" i="9"/>
  <c r="R14" i="9"/>
  <c r="S198" i="9"/>
  <c r="R186" i="9"/>
  <c r="Q176" i="9"/>
  <c r="Q168" i="9"/>
  <c r="S158" i="9"/>
  <c r="R148" i="9"/>
  <c r="T138" i="9"/>
  <c r="T129" i="9"/>
  <c r="T119" i="9"/>
  <c r="Q109" i="9"/>
  <c r="T100" i="9"/>
  <c r="S91" i="9"/>
  <c r="T83" i="9"/>
  <c r="S72" i="9"/>
  <c r="T64" i="9"/>
  <c r="S55" i="9"/>
  <c r="Q47" i="9"/>
  <c r="T37" i="9"/>
  <c r="U30" i="9"/>
  <c r="Q14" i="9"/>
  <c r="R198" i="9"/>
  <c r="Q186" i="9"/>
  <c r="U175" i="9"/>
  <c r="U167" i="9"/>
  <c r="R158" i="9"/>
  <c r="Q148" i="9"/>
  <c r="S138" i="9"/>
  <c r="Q129" i="9"/>
  <c r="S119" i="9"/>
  <c r="U108" i="9"/>
  <c r="S100" i="9"/>
  <c r="R91" i="9"/>
  <c r="Q83" i="9"/>
  <c r="R72" i="9"/>
  <c r="S64" i="9"/>
  <c r="R55" i="9"/>
  <c r="U46" i="9"/>
  <c r="R37" i="9"/>
  <c r="S30" i="9"/>
  <c r="T199" i="9"/>
  <c r="U184" i="9"/>
  <c r="R174" i="9"/>
  <c r="Q161" i="9"/>
  <c r="S150" i="9"/>
  <c r="R136" i="9"/>
  <c r="S124" i="9"/>
  <c r="R114" i="9"/>
  <c r="Q102" i="9"/>
  <c r="T90" i="9"/>
  <c r="Q79" i="9"/>
  <c r="Q68" i="9"/>
  <c r="R56" i="9"/>
  <c r="S44" i="9"/>
  <c r="T35" i="9"/>
  <c r="T25" i="9"/>
  <c r="R9" i="9"/>
  <c r="R199" i="9"/>
  <c r="T184" i="9"/>
  <c r="Q174" i="9"/>
  <c r="U160" i="9"/>
  <c r="T148" i="9"/>
  <c r="Q136" i="9"/>
  <c r="R124" i="9"/>
  <c r="Q114" i="9"/>
  <c r="Q101" i="9"/>
  <c r="S90" i="9"/>
  <c r="U78" i="9"/>
  <c r="T67" i="9"/>
  <c r="U55" i="9"/>
  <c r="R44" i="9"/>
  <c r="Q35" i="9"/>
  <c r="T24" i="9"/>
  <c r="Q19" i="9"/>
  <c r="Q9" i="9"/>
  <c r="U194" i="9"/>
  <c r="R184" i="9"/>
  <c r="S171" i="9"/>
  <c r="T160" i="9"/>
  <c r="U146" i="9"/>
  <c r="U135" i="9"/>
  <c r="Q124" i="9"/>
  <c r="Q113" i="9"/>
  <c r="R100" i="9"/>
  <c r="T88" i="9"/>
  <c r="R78" i="9"/>
  <c r="S66" i="9"/>
  <c r="Q55" i="9"/>
  <c r="T43" i="9"/>
  <c r="R34" i="9"/>
  <c r="Q24" i="9"/>
  <c r="U13" i="9"/>
  <c r="U8" i="9"/>
  <c r="T194" i="9"/>
  <c r="R183" i="9"/>
  <c r="T170" i="9"/>
  <c r="R160" i="9"/>
  <c r="T145" i="9"/>
  <c r="T135" i="9"/>
  <c r="U123" i="9"/>
  <c r="S112" i="9"/>
  <c r="Q100" i="9"/>
  <c r="S88" i="9"/>
  <c r="T77" i="9"/>
  <c r="R66" i="9"/>
  <c r="U54" i="9"/>
  <c r="Q43" i="9"/>
  <c r="T33" i="9"/>
  <c r="S23" i="9"/>
  <c r="T13" i="9"/>
  <c r="T8" i="9"/>
  <c r="S194" i="9"/>
  <c r="Q183" i="9"/>
  <c r="S170" i="9"/>
  <c r="Q160" i="9"/>
  <c r="Q145" i="9"/>
  <c r="S135" i="9"/>
  <c r="T123" i="9"/>
  <c r="Q112" i="9"/>
  <c r="U99" i="9"/>
  <c r="U87" i="9"/>
  <c r="Q77" i="9"/>
  <c r="Q66" i="9"/>
  <c r="T54" i="9"/>
  <c r="U42" i="9"/>
  <c r="R33" i="9"/>
  <c r="R23" i="9"/>
  <c r="U17" i="9"/>
  <c r="S13" i="9"/>
  <c r="S8" i="9"/>
  <c r="Q193" i="9"/>
  <c r="R179" i="9"/>
  <c r="R163" i="9"/>
  <c r="T144" i="9"/>
  <c r="U130" i="9"/>
  <c r="Q115" i="9"/>
  <c r="Q99" i="9"/>
  <c r="T84" i="9"/>
  <c r="T70" i="9"/>
  <c r="U51" i="9"/>
  <c r="U40" i="9"/>
  <c r="S27" i="9"/>
  <c r="S17" i="9"/>
  <c r="S11" i="9"/>
  <c r="S5" i="9"/>
  <c r="S175" i="9"/>
  <c r="Q80" i="9"/>
  <c r="T126" i="9"/>
  <c r="U192" i="9"/>
  <c r="Q179" i="9"/>
  <c r="Q163" i="9"/>
  <c r="S144" i="9"/>
  <c r="T130" i="9"/>
  <c r="U114" i="9"/>
  <c r="Q97" i="9"/>
  <c r="S84" i="9"/>
  <c r="S70" i="9"/>
  <c r="Q51" i="9"/>
  <c r="R40" i="9"/>
  <c r="R27" i="9"/>
  <c r="R11" i="9"/>
  <c r="Q5" i="9"/>
  <c r="S191" i="9"/>
  <c r="U126" i="9"/>
  <c r="Q65" i="9"/>
  <c r="R175" i="9"/>
  <c r="Q64" i="9"/>
  <c r="T192" i="9"/>
  <c r="S178" i="9"/>
  <c r="Q162" i="9"/>
  <c r="R144" i="9"/>
  <c r="R130" i="9"/>
  <c r="T114" i="9"/>
  <c r="U96" i="9"/>
  <c r="Q84" i="9"/>
  <c r="Q70" i="9"/>
  <c r="U50" i="9"/>
  <c r="R38" i="9"/>
  <c r="R26" i="9"/>
  <c r="S159" i="9"/>
  <c r="T110" i="9"/>
  <c r="T95" i="9"/>
  <c r="U36" i="9"/>
  <c r="T155" i="9"/>
  <c r="R50" i="9"/>
  <c r="S192" i="9"/>
  <c r="T175" i="9"/>
  <c r="T161" i="9"/>
  <c r="Q144" i="9"/>
  <c r="T128" i="9"/>
  <c r="S114" i="9"/>
  <c r="T96" i="9"/>
  <c r="Q81" i="9"/>
  <c r="T68" i="9"/>
  <c r="T50" i="9"/>
  <c r="Q37" i="9"/>
  <c r="Q26" i="9"/>
  <c r="U10" i="9"/>
  <c r="U143" i="9"/>
  <c r="S50" i="9"/>
  <c r="R191" i="9"/>
  <c r="T143" i="9"/>
  <c r="S108" i="9"/>
  <c r="S95" i="9"/>
  <c r="U79" i="9"/>
  <c r="T36" i="9"/>
  <c r="T16" i="9"/>
  <c r="U200" i="9"/>
  <c r="T179" i="9"/>
  <c r="S154" i="9"/>
  <c r="S131" i="9"/>
  <c r="Q107" i="9"/>
  <c r="Q87" i="9"/>
  <c r="S62" i="9"/>
  <c r="T44" i="9"/>
  <c r="T27" i="9"/>
  <c r="T14" i="9"/>
  <c r="S6" i="9"/>
  <c r="U124" i="9"/>
  <c r="T124" i="9"/>
  <c r="S123" i="9"/>
  <c r="T200" i="9"/>
  <c r="Q175" i="9"/>
  <c r="R154" i="9"/>
  <c r="R131" i="9"/>
  <c r="U106" i="9"/>
  <c r="R86" i="9"/>
  <c r="R62" i="9"/>
  <c r="T42" i="9"/>
  <c r="T22" i="9"/>
  <c r="U5" i="9"/>
  <c r="R106" i="9"/>
  <c r="Q106" i="9"/>
  <c r="S79" i="9"/>
  <c r="S200" i="9"/>
  <c r="T174" i="9"/>
  <c r="T153" i="9"/>
  <c r="Q131" i="9"/>
  <c r="T106" i="9"/>
  <c r="Q86" i="9"/>
  <c r="T61" i="9"/>
  <c r="S42" i="9"/>
  <c r="R22" i="9"/>
  <c r="T5" i="9"/>
  <c r="T169" i="9"/>
  <c r="T60" i="9"/>
  <c r="R12" i="9"/>
  <c r="R41" i="9"/>
  <c r="R200" i="9"/>
  <c r="S174" i="9"/>
  <c r="T151" i="9"/>
  <c r="S126" i="9"/>
  <c r="S106" i="9"/>
  <c r="T85" i="9"/>
  <c r="Q61" i="9"/>
  <c r="R42" i="9"/>
  <c r="Q22" i="9"/>
  <c r="Q13" i="9"/>
  <c r="S4" i="9"/>
  <c r="Q200" i="9"/>
  <c r="Q170" i="9"/>
  <c r="S151" i="9"/>
  <c r="U84" i="9"/>
  <c r="U60" i="9"/>
  <c r="Q42" i="9"/>
  <c r="R21" i="9"/>
  <c r="R4" i="9"/>
  <c r="U199" i="9"/>
  <c r="Q151" i="9"/>
  <c r="T79" i="9"/>
  <c r="T41" i="9"/>
  <c r="Q4" i="9"/>
  <c r="R194" i="9"/>
  <c r="Q169" i="9"/>
  <c r="U150" i="9"/>
  <c r="T105" i="9"/>
  <c r="T59" i="9"/>
  <c r="T185" i="9"/>
  <c r="T150" i="9"/>
  <c r="S116" i="9"/>
  <c r="U76" i="9"/>
  <c r="Q49" i="9"/>
  <c r="R20" i="9"/>
  <c r="Q7" i="9"/>
  <c r="U182" i="9"/>
  <c r="S143" i="9"/>
  <c r="R115" i="9"/>
  <c r="S76" i="9"/>
  <c r="R48" i="9"/>
  <c r="U6" i="9"/>
  <c r="Q181" i="9"/>
  <c r="S140" i="9"/>
  <c r="T107" i="9"/>
  <c r="Q74" i="9"/>
  <c r="U44" i="9"/>
  <c r="U180" i="9"/>
  <c r="T139" i="9"/>
  <c r="R107" i="9"/>
  <c r="Q72" i="9"/>
  <c r="S36" i="9"/>
  <c r="T17" i="9"/>
  <c r="T186" i="9"/>
  <c r="Q139" i="9"/>
  <c r="Q95" i="9"/>
  <c r="Q58" i="9"/>
  <c r="T20" i="9"/>
  <c r="T120" i="9"/>
  <c r="Q33" i="9"/>
  <c r="S155" i="9"/>
  <c r="T71" i="9"/>
  <c r="S9" i="9"/>
  <c r="S28" i="9"/>
  <c r="Q185" i="9"/>
  <c r="T136" i="9"/>
  <c r="T94" i="9"/>
  <c r="S56" i="9"/>
  <c r="Q20" i="9"/>
  <c r="T163" i="9"/>
  <c r="R76" i="9"/>
  <c r="Q32" i="9"/>
  <c r="U9" i="9"/>
  <c r="R202" i="9"/>
  <c r="T116" i="9"/>
  <c r="T31" i="9"/>
  <c r="T181" i="9"/>
  <c r="S136" i="9"/>
  <c r="S94" i="9"/>
  <c r="S54" i="9"/>
  <c r="U166" i="9"/>
  <c r="Q122" i="9"/>
  <c r="U90" i="9"/>
  <c r="S47" i="9"/>
  <c r="T117" i="9"/>
  <c r="T9" i="9"/>
  <c r="Q201" i="9"/>
  <c r="Q155" i="9"/>
  <c r="R108" i="9"/>
  <c r="Q71" i="9"/>
  <c r="T28" i="9"/>
  <c r="T154" i="9"/>
  <c r="T62" i="9"/>
  <c r="U7" i="9"/>
  <c r="Q28" i="9"/>
  <c r="R143" i="9"/>
  <c r="R59" i="9"/>
  <c r="T6" i="9"/>
  <c r="T180" i="9"/>
  <c r="R135" i="9"/>
  <c r="R94" i="9"/>
  <c r="Q50" i="9"/>
  <c r="R16" i="9"/>
  <c r="U168" i="9"/>
  <c r="U131" i="9"/>
  <c r="T92" i="9"/>
  <c r="T49" i="9"/>
  <c r="Q16" i="9"/>
  <c r="S168" i="9"/>
  <c r="T131" i="9"/>
  <c r="Q91" i="9"/>
  <c r="U48" i="9"/>
  <c r="T166" i="9"/>
  <c r="S87" i="9"/>
  <c r="R36" i="9"/>
  <c r="S166" i="9"/>
  <c r="S120" i="9"/>
  <c r="R79" i="9"/>
  <c r="Q36" i="9"/>
  <c r="R166" i="9"/>
  <c r="Q120" i="9"/>
  <c r="T76" i="9"/>
  <c r="T11" i="9"/>
  <c r="S163" i="9"/>
  <c r="U116" i="9"/>
  <c r="U71" i="9"/>
  <c r="U31" i="9"/>
  <c r="Q202" i="9"/>
  <c r="R155" i="9"/>
  <c r="Q116" i="9"/>
  <c r="S71" i="9"/>
  <c r="R31" i="9"/>
  <c r="R8" i="9"/>
  <c r="Q191" i="9"/>
  <c r="U154" i="9"/>
  <c r="Q105" i="9"/>
  <c r="U70" i="9"/>
  <c r="U190" i="9"/>
  <c r="S102" i="9"/>
  <c r="R28" i="9"/>
  <c r="S190" i="9"/>
  <c r="U144" i="9"/>
  <c r="R102" i="9"/>
  <c r="S59" i="9"/>
  <c r="Q189" i="9"/>
  <c r="T99" i="9"/>
  <c r="U27" i="9"/>
  <c r="U188" i="9"/>
  <c r="S139" i="9"/>
  <c r="R95" i="9"/>
  <c r="Q59" i="9"/>
  <c r="G10" i="5"/>
  <c r="F10" i="5"/>
  <c r="E10" i="5"/>
  <c r="D10" i="5"/>
  <c r="C10" i="5"/>
  <c r="Q104" i="7"/>
  <c r="Q194" i="7"/>
  <c r="G6" i="9"/>
  <c r="F6" i="9"/>
  <c r="D6" i="9"/>
  <c r="E6" i="9"/>
  <c r="C6" i="9"/>
  <c r="U132" i="7"/>
  <c r="U155" i="7"/>
  <c r="Q116" i="7"/>
  <c r="T164" i="7"/>
  <c r="Q55" i="7"/>
  <c r="G22" i="9"/>
  <c r="E22" i="9"/>
  <c r="D22" i="9"/>
  <c r="F22" i="9"/>
  <c r="C22" i="9"/>
  <c r="D20" i="4"/>
  <c r="C20" i="4"/>
  <c r="E20" i="4"/>
  <c r="G20" i="4"/>
  <c r="F20" i="4"/>
  <c r="D5" i="7"/>
  <c r="F5" i="7"/>
  <c r="G5" i="7"/>
  <c r="C5" i="7"/>
  <c r="E5" i="7"/>
  <c r="Q169" i="7"/>
  <c r="U94" i="7"/>
  <c r="Q132" i="7"/>
  <c r="S32" i="7"/>
  <c r="R56" i="7"/>
  <c r="S192" i="7"/>
  <c r="T94" i="7"/>
  <c r="U18" i="7"/>
  <c r="T189" i="7"/>
  <c r="T168" i="7"/>
  <c r="S140" i="7"/>
  <c r="R114" i="7"/>
  <c r="S94" i="7"/>
  <c r="S76" i="7"/>
  <c r="T55" i="7"/>
  <c r="S33" i="7"/>
  <c r="T18" i="7"/>
  <c r="R189" i="7"/>
  <c r="S168" i="7"/>
  <c r="Q140" i="7"/>
  <c r="Q114" i="7"/>
  <c r="S73" i="7"/>
  <c r="R55" i="7"/>
  <c r="R33" i="7"/>
  <c r="S18" i="7"/>
  <c r="Q161" i="7"/>
  <c r="Q109" i="7"/>
  <c r="Q94" i="7"/>
  <c r="Q54" i="7"/>
  <c r="R18" i="7"/>
  <c r="U187" i="7"/>
  <c r="T160" i="7"/>
  <c r="T131" i="7"/>
  <c r="R108" i="7"/>
  <c r="R72" i="7"/>
  <c r="Q48" i="7"/>
  <c r="R32" i="7"/>
  <c r="S7" i="7"/>
  <c r="Q108" i="7"/>
  <c r="R183" i="7"/>
  <c r="Q154" i="7"/>
  <c r="R107" i="7"/>
  <c r="U85" i="7"/>
  <c r="T43" i="7"/>
  <c r="T25" i="7"/>
  <c r="Q35" i="7"/>
  <c r="U140" i="7"/>
  <c r="T76" i="7"/>
  <c r="T33" i="7"/>
  <c r="U88" i="7"/>
  <c r="R160" i="7"/>
  <c r="U68" i="7"/>
  <c r="U29" i="7"/>
  <c r="Q7" i="7"/>
  <c r="Q159" i="7"/>
  <c r="S88" i="7"/>
  <c r="S47" i="7"/>
  <c r="U154" i="7"/>
  <c r="Q86" i="7"/>
  <c r="U25" i="7"/>
  <c r="R129" i="7"/>
  <c r="R65" i="7"/>
  <c r="U14" i="7"/>
  <c r="Q197" i="7"/>
  <c r="Q141" i="7"/>
  <c r="S117" i="7"/>
  <c r="U76" i="7"/>
  <c r="U168" i="7"/>
  <c r="S114" i="7"/>
  <c r="Q56" i="7"/>
  <c r="R94" i="7"/>
  <c r="Q189" i="7"/>
  <c r="T132" i="7"/>
  <c r="T72" i="7"/>
  <c r="Q33" i="7"/>
  <c r="T188" i="7"/>
  <c r="U160" i="7"/>
  <c r="U108" i="7"/>
  <c r="U93" i="7"/>
  <c r="S72" i="7"/>
  <c r="U50" i="7"/>
  <c r="T7" i="7"/>
  <c r="T187" i="7"/>
  <c r="S131" i="7"/>
  <c r="T88" i="7"/>
  <c r="T47" i="7"/>
  <c r="R17" i="7"/>
  <c r="U183" i="7"/>
  <c r="R131" i="7"/>
  <c r="T107" i="7"/>
  <c r="Q66" i="7"/>
  <c r="T26" i="7"/>
  <c r="T183" i="7"/>
  <c r="U130" i="7"/>
  <c r="S107" i="7"/>
  <c r="S65" i="7"/>
  <c r="R47" i="7"/>
  <c r="T186" i="7"/>
  <c r="S178" i="7"/>
  <c r="S167" i="7"/>
  <c r="U83" i="7"/>
  <c r="U13" i="7"/>
  <c r="Q130" i="7"/>
  <c r="T199" i="7"/>
  <c r="T108" i="7"/>
  <c r="S24" i="7"/>
  <c r="S129" i="7"/>
  <c r="R45" i="7"/>
  <c r="Q142" i="7"/>
  <c r="U45" i="7"/>
  <c r="S147" i="7"/>
  <c r="Q50" i="7"/>
  <c r="R147" i="7"/>
  <c r="U49" i="7"/>
  <c r="R153" i="7"/>
  <c r="R54" i="7"/>
  <c r="R144" i="7"/>
  <c r="R23" i="7"/>
  <c r="S93" i="7"/>
  <c r="S164" i="7"/>
  <c r="T39" i="7"/>
  <c r="Q193" i="7"/>
  <c r="Q63" i="7"/>
  <c r="S112" i="7"/>
  <c r="T192" i="7"/>
  <c r="Q75" i="7"/>
  <c r="R174" i="7"/>
  <c r="S103" i="7"/>
  <c r="T81" i="7"/>
  <c r="R96" i="7"/>
  <c r="S95" i="7"/>
  <c r="S21" i="7"/>
  <c r="T100" i="7"/>
  <c r="S80" i="7"/>
  <c r="U191" i="7"/>
  <c r="R151" i="7"/>
  <c r="R27" i="7"/>
  <c r="Q68" i="7"/>
  <c r="T65" i="7"/>
  <c r="R145" i="7"/>
  <c r="S173" i="7"/>
  <c r="T106" i="7"/>
  <c r="U61" i="7"/>
  <c r="R43" i="7"/>
  <c r="R11" i="7"/>
  <c r="Q65" i="7"/>
  <c r="S170" i="7"/>
  <c r="U9" i="7"/>
  <c r="Q190" i="7"/>
  <c r="S15" i="7"/>
  <c r="U36" i="7"/>
  <c r="R36" i="7"/>
  <c r="S40" i="7"/>
  <c r="R40" i="7"/>
  <c r="T44" i="7"/>
  <c r="Q17" i="7"/>
  <c r="R150" i="7"/>
  <c r="R179" i="7"/>
  <c r="T97" i="7"/>
  <c r="U60" i="7"/>
  <c r="T89" i="7"/>
  <c r="U81" i="7"/>
  <c r="T10" i="7"/>
  <c r="S61" i="7"/>
  <c r="S123" i="7"/>
  <c r="Q36" i="7"/>
  <c r="R199" i="7"/>
  <c r="R42" i="7"/>
  <c r="U148" i="7"/>
  <c r="U120" i="7"/>
  <c r="Q78" i="7"/>
  <c r="Q107" i="7"/>
  <c r="T174" i="7"/>
  <c r="S166" i="7"/>
  <c r="U153" i="7"/>
  <c r="U71" i="7"/>
  <c r="U7" i="7"/>
  <c r="U199" i="7"/>
  <c r="S185" i="7"/>
  <c r="Q96" i="7"/>
  <c r="R13" i="7"/>
  <c r="U116" i="7"/>
  <c r="T32" i="7"/>
  <c r="Q126" i="7"/>
  <c r="S31" i="7"/>
  <c r="T130" i="7"/>
  <c r="T35" i="7"/>
  <c r="S130" i="7"/>
  <c r="S35" i="7"/>
  <c r="T135" i="7"/>
  <c r="Q40" i="7"/>
  <c r="T14" i="7"/>
  <c r="T75" i="7"/>
  <c r="Q143" i="7"/>
  <c r="R14" i="7"/>
  <c r="T172" i="7"/>
  <c r="R46" i="7"/>
  <c r="Q90" i="7"/>
  <c r="R95" i="7"/>
  <c r="U102" i="7"/>
  <c r="T82" i="7"/>
  <c r="Q184" i="7"/>
  <c r="S23" i="7"/>
  <c r="S37" i="7"/>
  <c r="S151" i="7"/>
  <c r="S160" i="7"/>
  <c r="T21" i="7"/>
  <c r="Q98" i="7"/>
  <c r="T173" i="7"/>
  <c r="U106" i="7"/>
  <c r="T120" i="7"/>
  <c r="Q129" i="7"/>
  <c r="S162" i="7"/>
  <c r="U67" i="7"/>
  <c r="R195" i="7"/>
  <c r="T91" i="7"/>
  <c r="T112" i="7"/>
  <c r="S120" i="7"/>
  <c r="U124" i="7"/>
  <c r="T124" i="7"/>
  <c r="R130" i="7"/>
  <c r="R117" i="7"/>
  <c r="U69" i="7"/>
  <c r="T11" i="7"/>
  <c r="S39" i="7"/>
  <c r="T66" i="7"/>
  <c r="Q89" i="7"/>
  <c r="U163" i="7"/>
  <c r="R12" i="7"/>
  <c r="Q191" i="7"/>
  <c r="Q138" i="7"/>
  <c r="R140" i="7"/>
  <c r="S13" i="7"/>
  <c r="U202" i="7"/>
  <c r="U169" i="7"/>
  <c r="S126" i="7"/>
  <c r="Q145" i="7"/>
  <c r="Q200" i="7"/>
  <c r="Q176" i="7"/>
  <c r="S199" i="7"/>
  <c r="R24" i="7"/>
  <c r="Q120" i="7"/>
  <c r="T119" i="7"/>
  <c r="S124" i="7"/>
  <c r="R111" i="7"/>
  <c r="R64" i="7"/>
  <c r="R8" i="7"/>
  <c r="Q34" i="7"/>
  <c r="T37" i="7"/>
  <c r="U73" i="7"/>
  <c r="U134" i="7"/>
  <c r="R192" i="7"/>
  <c r="Q149" i="7"/>
  <c r="T123" i="7"/>
  <c r="Q118" i="7"/>
  <c r="S36" i="7"/>
  <c r="T197" i="7"/>
  <c r="U181" i="7"/>
  <c r="T182" i="7"/>
  <c r="S174" i="7"/>
  <c r="Q163" i="7"/>
  <c r="U79" i="7"/>
  <c r="U11" i="7"/>
  <c r="U125" i="7"/>
  <c r="Q195" i="7"/>
  <c r="S104" i="7"/>
  <c r="T17" i="7"/>
  <c r="R125" i="7"/>
  <c r="Q41" i="7"/>
  <c r="T136" i="7"/>
  <c r="U40" i="7"/>
  <c r="T141" i="7"/>
  <c r="Q45" i="7"/>
  <c r="S141" i="7"/>
  <c r="U44" i="7"/>
  <c r="Q147" i="7"/>
  <c r="R49" i="7"/>
  <c r="U136" i="7"/>
  <c r="U20" i="7"/>
  <c r="T87" i="7"/>
  <c r="U156" i="7"/>
  <c r="R34" i="7"/>
  <c r="U186" i="7"/>
  <c r="R57" i="7"/>
  <c r="R105" i="7"/>
  <c r="R155" i="7"/>
  <c r="S67" i="7"/>
  <c r="S145" i="7"/>
  <c r="Q97" i="7"/>
  <c r="R60" i="7"/>
  <c r="S89" i="7"/>
  <c r="Q74" i="7"/>
  <c r="U16" i="7"/>
  <c r="S79" i="7"/>
  <c r="S71" i="7"/>
  <c r="U178" i="7"/>
  <c r="S133" i="7"/>
  <c r="U200" i="7"/>
  <c r="U54" i="7"/>
  <c r="Q51" i="7"/>
  <c r="Q171" i="7"/>
  <c r="R202" i="7"/>
  <c r="T4" i="7"/>
  <c r="R126" i="7"/>
  <c r="S78" i="7"/>
  <c r="U64" i="7"/>
  <c r="U56" i="7"/>
  <c r="S85" i="7"/>
  <c r="T178" i="7"/>
  <c r="R158" i="7"/>
  <c r="U75" i="7"/>
  <c r="T121" i="7"/>
  <c r="R100" i="7"/>
  <c r="Q121" i="7"/>
  <c r="Q131" i="7"/>
  <c r="Q136" i="7"/>
  <c r="U135" i="7"/>
  <c r="R141" i="7"/>
  <c r="U128" i="7"/>
  <c r="R81" i="7"/>
  <c r="U28" i="7"/>
  <c r="T51" i="7"/>
  <c r="R118" i="7"/>
  <c r="T126" i="7"/>
  <c r="U37" i="7"/>
  <c r="R44" i="7"/>
  <c r="S58" i="7"/>
  <c r="S163" i="7"/>
  <c r="Q182" i="7"/>
  <c r="U33" i="7"/>
  <c r="Q85" i="7"/>
  <c r="U122" i="7"/>
  <c r="R53" i="7"/>
  <c r="R74" i="7"/>
  <c r="S191" i="7"/>
  <c r="R50" i="7"/>
  <c r="R113" i="7"/>
  <c r="Q198" i="7"/>
  <c r="U144" i="7"/>
  <c r="T170" i="7"/>
  <c r="S149" i="7"/>
  <c r="U5" i="7"/>
  <c r="U180" i="7"/>
  <c r="Q11" i="7"/>
  <c r="S28" i="7"/>
  <c r="U26" i="7"/>
  <c r="Q31" i="7"/>
  <c r="U30" i="7"/>
  <c r="R35" i="7"/>
  <c r="U201" i="7"/>
  <c r="S135" i="7"/>
  <c r="R164" i="7"/>
  <c r="T83" i="7"/>
  <c r="Q46" i="7"/>
  <c r="S74" i="7"/>
  <c r="Q67" i="7"/>
  <c r="Q178" i="7"/>
  <c r="T41" i="7"/>
  <c r="T101" i="7"/>
  <c r="Q174" i="7"/>
  <c r="T169" i="7"/>
  <c r="T144" i="7"/>
  <c r="R152" i="7"/>
  <c r="T166" i="7"/>
  <c r="S158" i="7"/>
  <c r="U63" i="7"/>
  <c r="R190" i="7"/>
  <c r="S87" i="7"/>
  <c r="S108" i="7"/>
  <c r="T115" i="7"/>
  <c r="T20" i="7"/>
  <c r="S26" i="7"/>
  <c r="R26" i="7"/>
  <c r="T30" i="7"/>
  <c r="R194" i="7"/>
  <c r="S128" i="7"/>
  <c r="T156" i="7"/>
  <c r="R76" i="7"/>
  <c r="S38" i="7"/>
  <c r="R67" i="7"/>
  <c r="S60" i="7"/>
  <c r="U162" i="7"/>
  <c r="S29" i="7"/>
  <c r="U90" i="7"/>
  <c r="U158" i="7"/>
  <c r="U198" i="7"/>
  <c r="Q152" i="7"/>
  <c r="T162" i="7"/>
  <c r="S154" i="7"/>
  <c r="T140" i="7"/>
  <c r="U59" i="7"/>
  <c r="S195" i="7"/>
  <c r="T185" i="7"/>
  <c r="S171" i="7"/>
  <c r="R83" i="7"/>
  <c r="U194" i="7"/>
  <c r="R104" i="7"/>
  <c r="T19" i="7"/>
  <c r="Q111" i="7"/>
  <c r="Q18" i="7"/>
  <c r="R115" i="7"/>
  <c r="U22" i="7"/>
  <c r="Q115" i="7"/>
  <c r="T22" i="7"/>
  <c r="S119" i="7"/>
  <c r="Q26" i="7"/>
  <c r="Q105" i="7"/>
  <c r="R187" i="7"/>
  <c r="T57" i="7"/>
  <c r="S122" i="7"/>
  <c r="R201" i="7"/>
  <c r="Q150" i="7"/>
  <c r="R28" i="7"/>
  <c r="T67" i="7"/>
  <c r="T196" i="7"/>
  <c r="T31" i="7"/>
  <c r="Q60" i="7"/>
  <c r="T60" i="7"/>
  <c r="T109" i="7"/>
  <c r="U52" i="7"/>
  <c r="R180" i="7"/>
  <c r="R133" i="7"/>
  <c r="U121" i="7"/>
  <c r="R21" i="7"/>
  <c r="S113" i="7"/>
  <c r="Q80" i="7"/>
  <c r="S105" i="7"/>
  <c r="S132" i="7"/>
  <c r="S56" i="7"/>
  <c r="S181" i="7"/>
  <c r="R20" i="7"/>
  <c r="S116" i="7"/>
  <c r="Q14" i="7"/>
  <c r="T24" i="7"/>
  <c r="Q53" i="7"/>
  <c r="S44" i="7"/>
  <c r="R123" i="7"/>
  <c r="S10" i="7"/>
  <c r="Q71" i="7"/>
  <c r="S115" i="7"/>
  <c r="S146" i="7"/>
  <c r="U51" i="7"/>
  <c r="S176" i="7"/>
  <c r="U74" i="7"/>
  <c r="T95" i="7"/>
  <c r="U101" i="7"/>
  <c r="Q106" i="7"/>
  <c r="U105" i="7"/>
  <c r="R110" i="7"/>
  <c r="T93" i="7"/>
  <c r="T46" i="7"/>
  <c r="R186" i="7"/>
  <c r="S11" i="7"/>
  <c r="S175" i="7"/>
  <c r="Q30" i="7"/>
  <c r="S51" i="7"/>
  <c r="U151" i="7"/>
  <c r="R79" i="7"/>
  <c r="Q91" i="7"/>
  <c r="Q72" i="7"/>
  <c r="Q95" i="7"/>
  <c r="S142" i="7"/>
  <c r="R181" i="7"/>
  <c r="R157" i="7"/>
  <c r="S180" i="7"/>
  <c r="Q13" i="7"/>
  <c r="Q4" i="7"/>
  <c r="S6" i="7"/>
  <c r="T8" i="7"/>
  <c r="U10" i="7"/>
  <c r="R165" i="7"/>
  <c r="T104" i="7"/>
  <c r="R128" i="7"/>
  <c r="Q47" i="7"/>
  <c r="U12" i="7"/>
  <c r="R38" i="7"/>
  <c r="S30" i="7"/>
  <c r="U100" i="7"/>
  <c r="T149" i="7"/>
  <c r="U48" i="7"/>
  <c r="U84" i="7"/>
  <c r="U175" i="7"/>
  <c r="R6" i="7"/>
  <c r="Q101" i="7"/>
  <c r="S8" i="7"/>
  <c r="S81" i="7"/>
  <c r="U157" i="7"/>
  <c r="S34" i="7"/>
  <c r="S172" i="7"/>
  <c r="R122" i="7"/>
  <c r="T5" i="7"/>
  <c r="Q156" i="7"/>
  <c r="S9" i="7"/>
  <c r="R31" i="7"/>
  <c r="T23" i="7"/>
  <c r="T90" i="7"/>
  <c r="S27" i="7"/>
  <c r="Q39" i="7"/>
  <c r="U65" i="7"/>
  <c r="T195" i="7"/>
  <c r="T158" i="7"/>
  <c r="S150" i="7"/>
  <c r="R136" i="7"/>
  <c r="U55" i="7"/>
  <c r="U190" i="7"/>
  <c r="Q181" i="7"/>
  <c r="U166" i="7"/>
  <c r="Q79" i="7"/>
  <c r="U189" i="7"/>
  <c r="Q100" i="7"/>
  <c r="S17" i="7"/>
  <c r="S106" i="7"/>
  <c r="T13" i="7"/>
  <c r="T110" i="7"/>
  <c r="S110" i="7"/>
  <c r="Q20" i="7"/>
  <c r="U114" i="7"/>
  <c r="S22" i="7"/>
  <c r="Q99" i="7"/>
  <c r="T179" i="7"/>
  <c r="R52" i="7"/>
  <c r="U192" i="7"/>
  <c r="U142" i="7"/>
  <c r="Q61" i="7"/>
  <c r="U184" i="7"/>
  <c r="Q44" i="7"/>
  <c r="T80" i="7"/>
  <c r="R168" i="7"/>
  <c r="S100" i="7"/>
  <c r="Q102" i="7"/>
  <c r="T85" i="7"/>
  <c r="Q77" i="7"/>
  <c r="T154" i="7"/>
  <c r="U131" i="7"/>
  <c r="U185" i="7"/>
  <c r="U161" i="7"/>
  <c r="R185" i="7"/>
  <c r="R15" i="7"/>
  <c r="U6" i="7"/>
  <c r="U8" i="7"/>
  <c r="T15" i="7"/>
  <c r="Q15" i="7"/>
  <c r="Q173" i="7"/>
  <c r="Q110" i="7"/>
  <c r="R135" i="7"/>
  <c r="S53" i="7"/>
  <c r="S16" i="7"/>
  <c r="T45" i="7"/>
  <c r="Q38" i="7"/>
  <c r="Q113" i="7"/>
  <c r="T6" i="7"/>
  <c r="S59" i="7"/>
  <c r="R99" i="7"/>
  <c r="S99" i="7"/>
  <c r="T150" i="7"/>
  <c r="U127" i="7"/>
  <c r="U47" i="7"/>
  <c r="T171" i="7"/>
  <c r="T70" i="7"/>
  <c r="S91" i="7"/>
  <c r="R97" i="7"/>
  <c r="S101" i="7"/>
  <c r="R101" i="7"/>
  <c r="T105" i="7"/>
  <c r="R88" i="7"/>
  <c r="T40" i="7"/>
  <c r="Q179" i="7"/>
  <c r="Q8" i="7"/>
  <c r="U167" i="7"/>
  <c r="Q12" i="7"/>
  <c r="R196" i="7"/>
  <c r="T139" i="7"/>
  <c r="Q57" i="7"/>
  <c r="R80" i="7"/>
  <c r="S55" i="7"/>
  <c r="U117" i="7"/>
  <c r="T152" i="7"/>
  <c r="T142" i="7"/>
  <c r="S134" i="7"/>
  <c r="U119" i="7"/>
  <c r="U39" i="7"/>
  <c r="Q172" i="7"/>
  <c r="Q162" i="7"/>
  <c r="Q148" i="7"/>
  <c r="R62" i="7"/>
  <c r="R171" i="7"/>
  <c r="Q83" i="7"/>
  <c r="Q88" i="7"/>
  <c r="T200" i="7"/>
  <c r="R92" i="7"/>
  <c r="Q92" i="7"/>
  <c r="S96" i="7"/>
  <c r="Q6" i="7"/>
  <c r="Q76" i="7"/>
  <c r="Q29" i="7"/>
  <c r="R93" i="7"/>
  <c r="R116" i="7"/>
  <c r="Q32" i="7"/>
  <c r="S5" i="7"/>
  <c r="Q24" i="7"/>
  <c r="R19" i="7"/>
  <c r="T79" i="7"/>
  <c r="R203" i="7"/>
  <c r="T27" i="7"/>
  <c r="R51" i="7"/>
  <c r="T146" i="7"/>
  <c r="S138" i="7"/>
  <c r="U123" i="7"/>
  <c r="U43" i="7"/>
  <c r="T176" i="7"/>
  <c r="Q167" i="7"/>
  <c r="S66" i="7"/>
  <c r="R87" i="7"/>
  <c r="Q201" i="7"/>
  <c r="T92" i="7"/>
  <c r="U96" i="7"/>
  <c r="S200" i="7"/>
  <c r="U150" i="7"/>
  <c r="Q164" i="7"/>
  <c r="U196" i="7"/>
  <c r="R146" i="7"/>
  <c r="T184" i="7"/>
  <c r="Q175" i="7"/>
  <c r="U113" i="7"/>
  <c r="Q192" i="7"/>
  <c r="R61" i="7"/>
  <c r="R22" i="7"/>
  <c r="R169" i="7"/>
  <c r="T96" i="7"/>
  <c r="T98" i="7"/>
  <c r="T38" i="7"/>
  <c r="S196" i="7"/>
  <c r="S184" i="7"/>
  <c r="R124" i="7"/>
  <c r="Q27" i="7"/>
  <c r="R71" i="7"/>
  <c r="T36" i="7"/>
  <c r="U141" i="7"/>
  <c r="S202" i="7"/>
  <c r="U91" i="7"/>
  <c r="R148" i="7"/>
  <c r="U32" i="7"/>
  <c r="T177" i="7"/>
  <c r="Q165" i="7"/>
  <c r="U86" i="7"/>
  <c r="S77" i="7"/>
  <c r="R29" i="7"/>
  <c r="T69" i="7"/>
  <c r="S69" i="7"/>
  <c r="R112" i="7"/>
  <c r="Q112" i="7"/>
  <c r="Q5" i="7"/>
  <c r="Q123" i="7"/>
  <c r="Q21" i="7"/>
  <c r="R85" i="7"/>
  <c r="S194" i="7"/>
  <c r="U35" i="7"/>
  <c r="Q139" i="7"/>
  <c r="R166" i="7"/>
  <c r="S165" i="7"/>
  <c r="T153" i="7"/>
  <c r="T77" i="7"/>
  <c r="R68" i="7"/>
  <c r="S136" i="7"/>
  <c r="S57" i="7"/>
  <c r="T175" i="7"/>
  <c r="S97" i="7"/>
  <c r="R16" i="7"/>
  <c r="U174" i="7"/>
  <c r="T163" i="7"/>
  <c r="T191" i="7"/>
  <c r="U197" i="7"/>
  <c r="U42" i="7"/>
  <c r="R198" i="7"/>
  <c r="U19" i="7"/>
  <c r="R78" i="7"/>
  <c r="S54" i="7"/>
  <c r="U104" i="7"/>
  <c r="T127" i="7"/>
  <c r="Q137" i="7"/>
  <c r="R102" i="7"/>
  <c r="R98" i="7"/>
  <c r="Q22" i="7"/>
  <c r="T42" i="7"/>
  <c r="S198" i="7"/>
  <c r="U87" i="7"/>
  <c r="T143" i="7"/>
  <c r="T28" i="7"/>
  <c r="R172" i="7"/>
  <c r="T159" i="7"/>
  <c r="R82" i="7"/>
  <c r="U72" i="7"/>
  <c r="Q144" i="7"/>
  <c r="R63" i="7"/>
  <c r="Q186" i="7"/>
  <c r="T103" i="7"/>
  <c r="S19" i="7"/>
  <c r="Q196" i="7"/>
  <c r="Q180" i="7"/>
  <c r="R10" i="7"/>
  <c r="U34" i="7"/>
  <c r="R25" i="7"/>
  <c r="T68" i="7"/>
  <c r="Q133" i="7"/>
  <c r="S190" i="7"/>
  <c r="U31" i="7"/>
  <c r="Q134" i="7"/>
  <c r="T161" i="7"/>
  <c r="Q160" i="7"/>
  <c r="Q87" i="7"/>
  <c r="Q73" i="7"/>
  <c r="S63" i="7"/>
  <c r="T128" i="7"/>
  <c r="Q52" i="7"/>
  <c r="Q168" i="7"/>
  <c r="U89" i="7"/>
  <c r="T12" i="7"/>
  <c r="T145" i="7"/>
  <c r="T151" i="7"/>
  <c r="R178" i="7"/>
  <c r="U173" i="7"/>
  <c r="T62" i="7"/>
  <c r="S182" i="7"/>
  <c r="T125" i="7"/>
  <c r="T148" i="7"/>
  <c r="T63" i="7"/>
  <c r="T116" i="7"/>
  <c r="U146" i="7"/>
  <c r="R5" i="7"/>
  <c r="Q124" i="7"/>
  <c r="R132" i="7"/>
  <c r="R106" i="7"/>
  <c r="Q203" i="7"/>
  <c r="U21" i="7"/>
  <c r="S143" i="7"/>
  <c r="U147" i="7"/>
  <c r="U82" i="7"/>
  <c r="R73" i="7"/>
  <c r="Q59" i="7"/>
  <c r="U195" i="7"/>
  <c r="U110" i="7"/>
  <c r="U149" i="7"/>
  <c r="U137" i="7"/>
  <c r="U203" i="7"/>
  <c r="R184" i="7"/>
  <c r="U92" i="7"/>
  <c r="T113" i="7"/>
  <c r="R191" i="7"/>
  <c r="T114" i="7"/>
  <c r="AF4" i="7" a="1"/>
  <c r="S43" i="7"/>
  <c r="U138" i="7"/>
  <c r="S187" i="7"/>
  <c r="R142" i="7"/>
  <c r="S155" i="7"/>
  <c r="Q84" i="7"/>
  <c r="S161" i="7"/>
  <c r="T147" i="7"/>
  <c r="U4" i="7"/>
  <c r="S189" i="7"/>
  <c r="U15" i="7"/>
  <c r="T129" i="7"/>
  <c r="Q69" i="7"/>
  <c r="S186" i="7"/>
  <c r="U27" i="7"/>
  <c r="U129" i="7"/>
  <c r="Q157" i="7"/>
  <c r="R154" i="7"/>
  <c r="S82" i="7"/>
  <c r="S68" i="7"/>
  <c r="U58" i="7"/>
  <c r="T122" i="7"/>
  <c r="S46" i="7"/>
  <c r="R156" i="7"/>
  <c r="S83" i="7"/>
  <c r="R9" i="7"/>
  <c r="U126" i="7"/>
  <c r="S139" i="7"/>
  <c r="R163" i="7"/>
  <c r="Q155" i="7"/>
  <c r="R84" i="7"/>
  <c r="U23" i="7"/>
  <c r="S152" i="7"/>
  <c r="U77" i="7"/>
  <c r="Q202" i="7"/>
  <c r="S156" i="7"/>
  <c r="R4" i="7"/>
  <c r="S102" i="7"/>
  <c r="Q10" i="7"/>
  <c r="S25" i="7"/>
  <c r="Q125" i="7"/>
  <c r="R143" i="7"/>
  <c r="Q135" i="7"/>
  <c r="S118" i="7"/>
  <c r="T71" i="7"/>
  <c r="T84" i="7"/>
  <c r="T190" i="7"/>
  <c r="U103" i="7"/>
  <c r="R134" i="7"/>
  <c r="S45" i="7"/>
  <c r="S49" i="7"/>
  <c r="Q183" i="7"/>
  <c r="U164" i="7"/>
  <c r="R91" i="7"/>
  <c r="U46" i="7"/>
  <c r="S86" i="7"/>
  <c r="R86" i="7"/>
  <c r="T137" i="7"/>
  <c r="S137" i="7"/>
  <c r="Q16" i="7"/>
  <c r="S203" i="7"/>
  <c r="Q49" i="7"/>
  <c r="U139" i="7"/>
  <c r="S84" i="7"/>
  <c r="T138" i="7"/>
  <c r="U99" i="7"/>
  <c r="S157" i="7"/>
  <c r="R41" i="7"/>
  <c r="U188" i="7"/>
  <c r="R177" i="7"/>
  <c r="S159" i="7"/>
  <c r="T86" i="7"/>
  <c r="S41" i="7"/>
  <c r="Q81" i="7"/>
  <c r="U80" i="7"/>
  <c r="S127" i="7"/>
  <c r="R127" i="7"/>
  <c r="S12" i="7"/>
  <c r="U177" i="7"/>
  <c r="R39" i="7"/>
  <c r="T117" i="7"/>
  <c r="U179" i="7"/>
  <c r="T134" i="7"/>
  <c r="U95" i="7"/>
  <c r="U152" i="7"/>
  <c r="Q37" i="7"/>
  <c r="S183" i="7"/>
  <c r="U170" i="7"/>
  <c r="S153" i="7"/>
  <c r="Q82" i="7"/>
  <c r="T34" i="7"/>
  <c r="S75" i="7"/>
  <c r="R75" i="7"/>
  <c r="Q119" i="7"/>
  <c r="U118" i="7"/>
  <c r="Q9" i="7"/>
  <c r="R149" i="7"/>
  <c r="Q28" i="7"/>
  <c r="T99" i="7"/>
  <c r="U193" i="7"/>
  <c r="U17" i="7"/>
  <c r="U133" i="7"/>
  <c r="R138" i="7"/>
  <c r="T73" i="7"/>
  <c r="Q64" i="7"/>
  <c r="U98" i="7"/>
  <c r="R119" i="7"/>
  <c r="Q103" i="7"/>
  <c r="S92" i="7"/>
  <c r="T133" i="7"/>
  <c r="R48" i="7"/>
  <c r="Q158" i="7"/>
  <c r="C21" i="4"/>
  <c r="G21" i="4"/>
  <c r="F21" i="4"/>
  <c r="E21" i="4"/>
  <c r="D21" i="4"/>
  <c r="R69" i="7"/>
  <c r="U109" i="7"/>
  <c r="U116" i="12"/>
  <c r="R23" i="12"/>
  <c r="S165" i="12"/>
  <c r="T70" i="12"/>
  <c r="U6" i="12"/>
  <c r="Q122" i="12"/>
  <c r="Q76" i="12"/>
  <c r="S8" i="12"/>
  <c r="U119" i="12"/>
  <c r="S92" i="12"/>
  <c r="R197" i="12"/>
  <c r="U88" i="12"/>
  <c r="R180" i="12"/>
  <c r="Q63" i="12"/>
  <c r="S37" i="12"/>
  <c r="Q182" i="12"/>
  <c r="Q43" i="12"/>
  <c r="R18" i="12"/>
  <c r="Q92" i="12"/>
  <c r="Q42" i="12"/>
  <c r="T45" i="12"/>
  <c r="R48" i="12"/>
  <c r="R51" i="12"/>
  <c r="Q36" i="12"/>
  <c r="R106" i="12"/>
  <c r="S17" i="12"/>
  <c r="Q144" i="12"/>
  <c r="R108" i="12"/>
  <c r="T95" i="12"/>
  <c r="Q83" i="12"/>
  <c r="Q51" i="12"/>
  <c r="Q80" i="12"/>
  <c r="U184" i="12"/>
  <c r="S169" i="12"/>
  <c r="R119" i="12"/>
  <c r="S180" i="12"/>
  <c r="R164" i="12"/>
  <c r="T141" i="12"/>
  <c r="R198" i="12"/>
  <c r="U120" i="12"/>
  <c r="U179" i="12"/>
  <c r="R46" i="12"/>
  <c r="R135" i="12"/>
  <c r="Q28" i="12"/>
  <c r="S99" i="12"/>
  <c r="T129" i="12"/>
  <c r="U95" i="12"/>
  <c r="U92" i="12"/>
  <c r="R149" i="12"/>
  <c r="U10" i="12"/>
  <c r="Q175" i="12"/>
  <c r="Q158" i="12"/>
  <c r="S167" i="12"/>
  <c r="S119" i="12"/>
  <c r="R91" i="12"/>
  <c r="Q173" i="12"/>
  <c r="U37" i="12"/>
  <c r="T114" i="12"/>
  <c r="R147" i="12"/>
  <c r="U113" i="12"/>
  <c r="R27" i="12"/>
  <c r="Q24" i="12"/>
  <c r="U60" i="12"/>
  <c r="R81" i="12"/>
  <c r="Q73" i="12"/>
  <c r="Q147" i="12"/>
  <c r="S107" i="12"/>
  <c r="R44" i="12"/>
  <c r="U91" i="12"/>
  <c r="S123" i="12"/>
  <c r="Q68" i="12"/>
  <c r="S166" i="12"/>
  <c r="S33" i="12"/>
  <c r="Q17" i="12"/>
  <c r="R196" i="12"/>
  <c r="R151" i="12"/>
  <c r="U136" i="12"/>
  <c r="T149" i="12"/>
  <c r="U108" i="12"/>
  <c r="R153" i="12"/>
  <c r="R75" i="12"/>
  <c r="R183" i="12"/>
  <c r="R189" i="12"/>
  <c r="U159" i="12"/>
  <c r="T36" i="12"/>
  <c r="Q169" i="12"/>
  <c r="R101" i="12"/>
  <c r="Q14" i="12"/>
  <c r="U18" i="12"/>
  <c r="Q40" i="12"/>
  <c r="U137" i="12"/>
  <c r="T29" i="12"/>
  <c r="R19" i="12"/>
  <c r="S94" i="12"/>
  <c r="R107" i="12"/>
  <c r="R190" i="12"/>
  <c r="R6" i="12"/>
  <c r="Q197" i="12"/>
  <c r="Q10" i="12"/>
  <c r="T37" i="12"/>
  <c r="U135" i="12"/>
  <c r="U118" i="12"/>
  <c r="U20" i="12"/>
  <c r="S42" i="7"/>
  <c r="S150" i="12"/>
  <c r="S126" i="12"/>
  <c r="S182" i="12"/>
  <c r="T60" i="12"/>
  <c r="T89" i="12"/>
  <c r="Q95" i="12"/>
  <c r="S177" i="12"/>
  <c r="T76" i="12"/>
  <c r="S44" i="12"/>
  <c r="U154" i="12"/>
  <c r="S142" i="12"/>
  <c r="U178" i="12"/>
  <c r="T56" i="12"/>
  <c r="S157" i="12"/>
  <c r="S148" i="12"/>
  <c r="T86" i="12"/>
  <c r="T171" i="12"/>
  <c r="R118" i="12"/>
  <c r="R17" i="12"/>
  <c r="T87" i="12"/>
  <c r="T15" i="12"/>
  <c r="Q89" i="12"/>
  <c r="S19" i="12"/>
  <c r="S59" i="12"/>
  <c r="Q166" i="12"/>
  <c r="S63" i="12"/>
  <c r="Q162" i="12"/>
  <c r="U125" i="12"/>
  <c r="S149" i="12"/>
  <c r="U192" i="12"/>
  <c r="T91" i="12"/>
  <c r="U145" i="12"/>
  <c r="S96" i="12"/>
  <c r="Q94" i="12"/>
  <c r="S47" i="12"/>
  <c r="U146" i="12"/>
  <c r="S7" i="12"/>
  <c r="Q87" i="12"/>
  <c r="S185" i="12"/>
  <c r="U64" i="12"/>
  <c r="U69" i="12"/>
  <c r="U21" i="12"/>
  <c r="T11" i="12"/>
  <c r="T169" i="12"/>
  <c r="T192" i="12"/>
  <c r="S53" i="12"/>
  <c r="R32" i="12"/>
  <c r="T176" i="12"/>
  <c r="T7" i="12"/>
  <c r="R61" i="12"/>
  <c r="S86" i="12"/>
  <c r="R160" i="12"/>
  <c r="R8" i="12"/>
  <c r="U83" i="12"/>
  <c r="T143" i="12"/>
  <c r="U25" i="12"/>
  <c r="S52" i="12"/>
  <c r="S160" i="12"/>
  <c r="U193" i="12"/>
  <c r="Q165" i="12"/>
  <c r="R167" i="12"/>
  <c r="T153" i="12"/>
  <c r="T181" i="12"/>
  <c r="T173" i="12"/>
  <c r="Q178" i="12"/>
  <c r="S9" i="12"/>
  <c r="T32" i="12"/>
  <c r="U34" i="12"/>
  <c r="S97" i="12"/>
  <c r="T135" i="12"/>
  <c r="T55" i="12"/>
  <c r="S22" i="12"/>
  <c r="U201" i="12"/>
  <c r="S201" i="12"/>
  <c r="S116" i="12"/>
  <c r="R70" i="12"/>
  <c r="S145" i="12"/>
  <c r="U8" i="12"/>
  <c r="R124" i="12"/>
  <c r="U102" i="12"/>
  <c r="Q202" i="12"/>
  <c r="S106" i="12"/>
  <c r="U81" i="12"/>
  <c r="U185" i="12"/>
  <c r="S191" i="12"/>
  <c r="U59" i="12"/>
  <c r="S4" i="12"/>
  <c r="Q75" i="12"/>
  <c r="T27" i="12"/>
  <c r="Q20" i="12"/>
  <c r="Q98" i="12"/>
  <c r="U148" i="12"/>
  <c r="S202" i="12"/>
  <c r="S174" i="12"/>
  <c r="S134" i="12"/>
  <c r="T51" i="12"/>
  <c r="S122" i="12"/>
  <c r="Q62" i="12"/>
  <c r="T201" i="12"/>
  <c r="S189" i="12"/>
  <c r="T144" i="12"/>
  <c r="T128" i="12"/>
  <c r="Q96" i="12"/>
  <c r="U131" i="12"/>
  <c r="T191" i="12"/>
  <c r="U156" i="12"/>
  <c r="U54" i="12"/>
  <c r="T10" i="12"/>
  <c r="Q153" i="12"/>
  <c r="T196" i="12"/>
  <c r="C17" i="5"/>
  <c r="D17" i="5"/>
  <c r="E17" i="5"/>
  <c r="G17" i="5"/>
  <c r="F17" i="5"/>
  <c r="S197" i="7"/>
  <c r="R161" i="7"/>
  <c r="T167" i="7"/>
  <c r="Q122" i="7"/>
  <c r="Q170" i="7"/>
  <c r="T59" i="7"/>
  <c r="T157" i="7"/>
  <c r="E20" i="9"/>
  <c r="C20" i="9"/>
  <c r="G20" i="9"/>
  <c r="D20" i="9"/>
  <c r="F20" i="9"/>
  <c r="R137" i="7"/>
  <c r="R59" i="7"/>
  <c r="R90" i="7"/>
  <c r="U143" i="7"/>
  <c r="Q42" i="7"/>
  <c r="T116" i="12"/>
  <c r="U182" i="12"/>
  <c r="S70" i="12"/>
  <c r="R170" i="12"/>
  <c r="S5" i="12"/>
  <c r="S100" i="12"/>
  <c r="U29" i="12"/>
  <c r="U109" i="12"/>
  <c r="U199" i="12"/>
  <c r="Q203" i="12"/>
  <c r="Q133" i="12"/>
  <c r="Q176" i="12"/>
  <c r="Q5" i="12"/>
  <c r="S87" i="12"/>
  <c r="U32" i="12"/>
  <c r="Q181" i="12"/>
  <c r="S6" i="12"/>
  <c r="U100" i="12"/>
  <c r="S31" i="12"/>
  <c r="U14" i="12"/>
  <c r="U31" i="12"/>
  <c r="U77" i="12"/>
  <c r="U189" i="12"/>
  <c r="U180" i="12"/>
  <c r="S161" i="12"/>
  <c r="U103" i="12"/>
  <c r="U157" i="12"/>
  <c r="S10" i="12"/>
  <c r="T186" i="12"/>
  <c r="T152" i="12"/>
  <c r="R100" i="12"/>
  <c r="S78" i="12"/>
  <c r="T54" i="12"/>
  <c r="S158" i="12"/>
  <c r="U169" i="12"/>
  <c r="S200" i="12"/>
  <c r="S203" i="12"/>
  <c r="S41" i="12"/>
  <c r="S192" i="12"/>
  <c r="Q200" i="12"/>
  <c r="R79" i="12"/>
  <c r="T197" i="12"/>
  <c r="Q108" i="12"/>
  <c r="U80" i="12"/>
  <c r="Q64" i="12"/>
  <c r="Q150" i="12"/>
  <c r="R172" i="12"/>
  <c r="T168" i="12"/>
  <c r="U117" i="12"/>
  <c r="U11" i="12"/>
  <c r="T39" i="12"/>
  <c r="U42" i="12"/>
  <c r="Q26" i="12"/>
  <c r="Q12" i="12"/>
  <c r="S69" i="12"/>
  <c r="S30" i="12"/>
  <c r="T35" i="12"/>
  <c r="U53" i="12"/>
  <c r="R113" i="12"/>
  <c r="Q145" i="12"/>
  <c r="U153" i="12"/>
  <c r="U90" i="12"/>
  <c r="T73" i="12"/>
  <c r="R43" i="12"/>
  <c r="U96" i="12"/>
  <c r="Q167" i="12"/>
  <c r="R12" i="12"/>
  <c r="R117" i="12"/>
  <c r="S71" i="12"/>
  <c r="U190" i="12"/>
  <c r="T199" i="12"/>
  <c r="T47" i="12"/>
  <c r="R186" i="12"/>
  <c r="U168" i="12"/>
  <c r="U55" i="12"/>
  <c r="S114" i="12"/>
  <c r="Q107" i="12"/>
  <c r="T134" i="12"/>
  <c r="S79" i="12"/>
  <c r="S136" i="12"/>
  <c r="S203" i="5"/>
  <c r="S199" i="5"/>
  <c r="S195" i="5"/>
  <c r="S191" i="5"/>
  <c r="S187" i="5"/>
  <c r="S183" i="5"/>
  <c r="S179" i="5"/>
  <c r="S175" i="5"/>
  <c r="S171" i="5"/>
  <c r="S167" i="5"/>
  <c r="S163" i="5"/>
  <c r="S159" i="5"/>
  <c r="S155" i="5"/>
  <c r="S151" i="5"/>
  <c r="S147" i="5"/>
  <c r="S143" i="5"/>
  <c r="S139" i="5"/>
  <c r="S135" i="5"/>
  <c r="S131" i="5"/>
  <c r="S127" i="5"/>
  <c r="S123" i="5"/>
  <c r="S119" i="5"/>
  <c r="S115" i="5"/>
  <c r="S111" i="5"/>
  <c r="S107" i="5"/>
  <c r="S103" i="5"/>
  <c r="S99" i="5"/>
  <c r="S95" i="5"/>
  <c r="S91" i="5"/>
  <c r="S87" i="5"/>
  <c r="S83" i="5"/>
  <c r="S79" i="5"/>
  <c r="S75" i="5"/>
  <c r="S71" i="5"/>
  <c r="S67" i="5"/>
  <c r="S63" i="5"/>
  <c r="S59" i="5"/>
  <c r="S55" i="5"/>
  <c r="S51" i="5"/>
  <c r="S47" i="5"/>
  <c r="S43" i="5"/>
  <c r="S39" i="5"/>
  <c r="S35" i="5"/>
  <c r="S31" i="5"/>
  <c r="S27" i="5"/>
  <c r="S23" i="5"/>
  <c r="S21" i="5"/>
  <c r="S19" i="5"/>
  <c r="R203" i="5"/>
  <c r="R199" i="5"/>
  <c r="R195" i="5"/>
  <c r="R191" i="5"/>
  <c r="R187" i="5"/>
  <c r="R183" i="5"/>
  <c r="R179" i="5"/>
  <c r="R175" i="5"/>
  <c r="R171" i="5"/>
  <c r="R167" i="5"/>
  <c r="R163" i="5"/>
  <c r="R159" i="5"/>
  <c r="R155" i="5"/>
  <c r="R151" i="5"/>
  <c r="R147" i="5"/>
  <c r="R143" i="5"/>
  <c r="R139" i="5"/>
  <c r="R135" i="5"/>
  <c r="R131" i="5"/>
  <c r="R127" i="5"/>
  <c r="R123" i="5"/>
  <c r="R119" i="5"/>
  <c r="R115" i="5"/>
  <c r="R111" i="5"/>
  <c r="R107" i="5"/>
  <c r="R103" i="5"/>
  <c r="R99" i="5"/>
  <c r="R95" i="5"/>
  <c r="R91" i="5"/>
  <c r="R87" i="5"/>
  <c r="R83" i="5"/>
  <c r="R79" i="5"/>
  <c r="R75" i="5"/>
  <c r="R71" i="5"/>
  <c r="R67" i="5"/>
  <c r="R63" i="5"/>
  <c r="R59" i="5"/>
  <c r="R55" i="5"/>
  <c r="R51" i="5"/>
  <c r="R47" i="5"/>
  <c r="R43" i="5"/>
  <c r="R39" i="5"/>
  <c r="R35" i="5"/>
  <c r="R31" i="5"/>
  <c r="R27" i="5"/>
  <c r="R23" i="5"/>
  <c r="R21" i="5"/>
  <c r="R19" i="5"/>
  <c r="R17" i="5"/>
  <c r="R15" i="5"/>
  <c r="R13" i="5"/>
  <c r="R11" i="5"/>
  <c r="R9" i="5"/>
  <c r="R7" i="5"/>
  <c r="R5" i="5"/>
  <c r="S200" i="5"/>
  <c r="Q196" i="5"/>
  <c r="T191" i="5"/>
  <c r="U186" i="5"/>
  <c r="S182" i="5"/>
  <c r="Q178" i="5"/>
  <c r="T173" i="5"/>
  <c r="R169" i="5"/>
  <c r="U164" i="5"/>
  <c r="S160" i="5"/>
  <c r="Q156" i="5"/>
  <c r="T151" i="5"/>
  <c r="U146" i="5"/>
  <c r="S142" i="5"/>
  <c r="Q138" i="5"/>
  <c r="T133" i="5"/>
  <c r="R129" i="5"/>
  <c r="U124" i="5"/>
  <c r="S120" i="5"/>
  <c r="Q116" i="5"/>
  <c r="T111" i="5"/>
  <c r="U106" i="5"/>
  <c r="S102" i="5"/>
  <c r="Q98" i="5"/>
  <c r="T93" i="5"/>
  <c r="R89" i="5"/>
  <c r="U84" i="5"/>
  <c r="S80" i="5"/>
  <c r="Q76" i="5"/>
  <c r="T71" i="5"/>
  <c r="U66" i="5"/>
  <c r="S62" i="5"/>
  <c r="Q58" i="5"/>
  <c r="T53" i="5"/>
  <c r="R49" i="5"/>
  <c r="U44" i="5"/>
  <c r="S40" i="5"/>
  <c r="Q36" i="5"/>
  <c r="T31" i="5"/>
  <c r="U26" i="5"/>
  <c r="T18" i="5"/>
  <c r="S16" i="5"/>
  <c r="R14" i="5"/>
  <c r="Q12" i="5"/>
  <c r="R200" i="5"/>
  <c r="U195" i="5"/>
  <c r="Q191" i="5"/>
  <c r="T186" i="5"/>
  <c r="R182" i="5"/>
  <c r="U177" i="5"/>
  <c r="S173" i="5"/>
  <c r="Q169" i="5"/>
  <c r="T164" i="5"/>
  <c r="R160" i="5"/>
  <c r="U155" i="5"/>
  <c r="Q151" i="5"/>
  <c r="T146" i="5"/>
  <c r="R142" i="5"/>
  <c r="U137" i="5"/>
  <c r="S133" i="5"/>
  <c r="Q129" i="5"/>
  <c r="T124" i="5"/>
  <c r="R120" i="5"/>
  <c r="U115" i="5"/>
  <c r="Q111" i="5"/>
  <c r="T106" i="5"/>
  <c r="R102" i="5"/>
  <c r="U97" i="5"/>
  <c r="S93" i="5"/>
  <c r="Q89" i="5"/>
  <c r="T84" i="5"/>
  <c r="R80" i="5"/>
  <c r="U75" i="5"/>
  <c r="Q71" i="5"/>
  <c r="T66" i="5"/>
  <c r="R62" i="5"/>
  <c r="U57" i="5"/>
  <c r="S53" i="5"/>
  <c r="Q49" i="5"/>
  <c r="T44" i="5"/>
  <c r="R40" i="5"/>
  <c r="U35" i="5"/>
  <c r="Q31" i="5"/>
  <c r="T26" i="5"/>
  <c r="U20" i="5"/>
  <c r="S18" i="5"/>
  <c r="R16" i="5"/>
  <c r="Q14" i="5"/>
  <c r="Q200" i="5"/>
  <c r="T195" i="5"/>
  <c r="U190" i="5"/>
  <c r="S186" i="5"/>
  <c r="Q182" i="5"/>
  <c r="T177" i="5"/>
  <c r="R173" i="5"/>
  <c r="U168" i="5"/>
  <c r="S164" i="5"/>
  <c r="Q160" i="5"/>
  <c r="T155" i="5"/>
  <c r="U150" i="5"/>
  <c r="S146" i="5"/>
  <c r="Q142" i="5"/>
  <c r="T137" i="5"/>
  <c r="R133" i="5"/>
  <c r="U128" i="5"/>
  <c r="S124" i="5"/>
  <c r="Q120" i="5"/>
  <c r="T115" i="5"/>
  <c r="U110" i="5"/>
  <c r="S106" i="5"/>
  <c r="Q102" i="5"/>
  <c r="T97" i="5"/>
  <c r="R93" i="5"/>
  <c r="U88" i="5"/>
  <c r="S84" i="5"/>
  <c r="Q80" i="5"/>
  <c r="T75" i="5"/>
  <c r="U70" i="5"/>
  <c r="S66" i="5"/>
  <c r="Q62" i="5"/>
  <c r="T57" i="5"/>
  <c r="R53" i="5"/>
  <c r="U48" i="5"/>
  <c r="S44" i="5"/>
  <c r="Q40" i="5"/>
  <c r="T35" i="5"/>
  <c r="U30" i="5"/>
  <c r="S26" i="5"/>
  <c r="T20" i="5"/>
  <c r="R18" i="5"/>
  <c r="Q16" i="5"/>
  <c r="U199" i="5"/>
  <c r="Q195" i="5"/>
  <c r="T190" i="5"/>
  <c r="R186" i="5"/>
  <c r="U181" i="5"/>
  <c r="S177" i="5"/>
  <c r="Q173" i="5"/>
  <c r="T168" i="5"/>
  <c r="R164" i="5"/>
  <c r="U159" i="5"/>
  <c r="Q155" i="5"/>
  <c r="T150" i="5"/>
  <c r="R146" i="5"/>
  <c r="U141" i="5"/>
  <c r="S137" i="5"/>
  <c r="Q133" i="5"/>
  <c r="T128" i="5"/>
  <c r="R124" i="5"/>
  <c r="U119" i="5"/>
  <c r="Q115" i="5"/>
  <c r="T110" i="5"/>
  <c r="R106" i="5"/>
  <c r="U101" i="5"/>
  <c r="S97" i="5"/>
  <c r="Q93" i="5"/>
  <c r="T88" i="5"/>
  <c r="R84" i="5"/>
  <c r="U79" i="5"/>
  <c r="Q75" i="5"/>
  <c r="T70" i="5"/>
  <c r="R66" i="5"/>
  <c r="U61" i="5"/>
  <c r="S57" i="5"/>
  <c r="Q53" i="5"/>
  <c r="T48" i="5"/>
  <c r="R44" i="5"/>
  <c r="U39" i="5"/>
  <c r="Q35" i="5"/>
  <c r="T30" i="5"/>
  <c r="R26" i="5"/>
  <c r="U22" i="5"/>
  <c r="S20" i="5"/>
  <c r="Q18" i="5"/>
  <c r="U5" i="5"/>
  <c r="U203" i="5"/>
  <c r="R198" i="5"/>
  <c r="Q193" i="5"/>
  <c r="U187" i="5"/>
  <c r="S181" i="5"/>
  <c r="R176" i="5"/>
  <c r="T170" i="5"/>
  <c r="S165" i="5"/>
  <c r="Q159" i="5"/>
  <c r="U153" i="5"/>
  <c r="T148" i="5"/>
  <c r="Q143" i="5"/>
  <c r="Q137" i="5"/>
  <c r="U131" i="5"/>
  <c r="R126" i="5"/>
  <c r="Q121" i="5"/>
  <c r="T114" i="5"/>
  <c r="S109" i="5"/>
  <c r="R104" i="5"/>
  <c r="T98" i="5"/>
  <c r="T92" i="5"/>
  <c r="Q87" i="5"/>
  <c r="U81" i="5"/>
  <c r="T76" i="5"/>
  <c r="R70" i="5"/>
  <c r="Q65" i="5"/>
  <c r="U59" i="5"/>
  <c r="R54" i="5"/>
  <c r="R48" i="5"/>
  <c r="T42" i="5"/>
  <c r="S37" i="5"/>
  <c r="R32" i="5"/>
  <c r="U25" i="5"/>
  <c r="Q19" i="5"/>
  <c r="Q11" i="5"/>
  <c r="Q6" i="5"/>
  <c r="T202" i="5"/>
  <c r="T180" i="5"/>
  <c r="R158" i="5"/>
  <c r="R136" i="5"/>
  <c r="U113" i="5"/>
  <c r="R86" i="5"/>
  <c r="R64" i="5"/>
  <c r="Q47" i="5"/>
  <c r="R30" i="5"/>
  <c r="U21" i="5"/>
  <c r="R8" i="5"/>
  <c r="T203" i="5"/>
  <c r="Q198" i="5"/>
  <c r="U192" i="5"/>
  <c r="T187" i="5"/>
  <c r="R181" i="5"/>
  <c r="Q176" i="5"/>
  <c r="S170" i="5"/>
  <c r="R165" i="5"/>
  <c r="U158" i="5"/>
  <c r="T153" i="5"/>
  <c r="S148" i="5"/>
  <c r="U142" i="5"/>
  <c r="U136" i="5"/>
  <c r="T131" i="5"/>
  <c r="Q126" i="5"/>
  <c r="U120" i="5"/>
  <c r="S114" i="5"/>
  <c r="R109" i="5"/>
  <c r="Q104" i="5"/>
  <c r="S98" i="5"/>
  <c r="S92" i="5"/>
  <c r="U86" i="5"/>
  <c r="T81" i="5"/>
  <c r="S76" i="5"/>
  <c r="Q70" i="5"/>
  <c r="U64" i="5"/>
  <c r="T59" i="5"/>
  <c r="Q54" i="5"/>
  <c r="Q48" i="5"/>
  <c r="S42" i="5"/>
  <c r="R37" i="5"/>
  <c r="Q32" i="5"/>
  <c r="T25" i="5"/>
  <c r="U16" i="5"/>
  <c r="U8" i="5"/>
  <c r="R192" i="5"/>
  <c r="Q175" i="5"/>
  <c r="Q153" i="5"/>
  <c r="S141" i="5"/>
  <c r="S125" i="5"/>
  <c r="Q119" i="5"/>
  <c r="T108" i="5"/>
  <c r="U91" i="5"/>
  <c r="Q81" i="5"/>
  <c r="S69" i="5"/>
  <c r="T58" i="5"/>
  <c r="U41" i="5"/>
  <c r="Q25" i="5"/>
  <c r="S13" i="5"/>
  <c r="AF4" i="5" a="1"/>
  <c r="Q203" i="5"/>
  <c r="U197" i="5"/>
  <c r="T192" i="5"/>
  <c r="Q187" i="5"/>
  <c r="Q181" i="5"/>
  <c r="U175" i="5"/>
  <c r="R170" i="5"/>
  <c r="Q165" i="5"/>
  <c r="T158" i="5"/>
  <c r="S153" i="5"/>
  <c r="R148" i="5"/>
  <c r="T142" i="5"/>
  <c r="T136" i="5"/>
  <c r="Q131" i="5"/>
  <c r="U125" i="5"/>
  <c r="T120" i="5"/>
  <c r="R114" i="5"/>
  <c r="Q109" i="5"/>
  <c r="U103" i="5"/>
  <c r="R98" i="5"/>
  <c r="R92" i="5"/>
  <c r="T86" i="5"/>
  <c r="S81" i="5"/>
  <c r="R76" i="5"/>
  <c r="U69" i="5"/>
  <c r="T64" i="5"/>
  <c r="Q59" i="5"/>
  <c r="U53" i="5"/>
  <c r="U47" i="5"/>
  <c r="R42" i="5"/>
  <c r="Q37" i="5"/>
  <c r="U31" i="5"/>
  <c r="S25" i="5"/>
  <c r="T16" i="5"/>
  <c r="U13" i="5"/>
  <c r="T8" i="5"/>
  <c r="S197" i="5"/>
  <c r="U185" i="5"/>
  <c r="U169" i="5"/>
  <c r="U163" i="5"/>
  <c r="U147" i="5"/>
  <c r="T130" i="5"/>
  <c r="Q103" i="5"/>
  <c r="T74" i="5"/>
  <c r="T52" i="5"/>
  <c r="T36" i="5"/>
  <c r="S5" i="5"/>
  <c r="U202" i="5"/>
  <c r="T197" i="5"/>
  <c r="S192" i="5"/>
  <c r="Q186" i="5"/>
  <c r="U180" i="5"/>
  <c r="T175" i="5"/>
  <c r="Q170" i="5"/>
  <c r="Q164" i="5"/>
  <c r="S158" i="5"/>
  <c r="R153" i="5"/>
  <c r="Q148" i="5"/>
  <c r="T141" i="5"/>
  <c r="S136" i="5"/>
  <c r="U130" i="5"/>
  <c r="T125" i="5"/>
  <c r="T119" i="5"/>
  <c r="Q114" i="5"/>
  <c r="U108" i="5"/>
  <c r="T103" i="5"/>
  <c r="R97" i="5"/>
  <c r="Q92" i="5"/>
  <c r="S86" i="5"/>
  <c r="R81" i="5"/>
  <c r="U74" i="5"/>
  <c r="T69" i="5"/>
  <c r="S64" i="5"/>
  <c r="U58" i="5"/>
  <c r="U52" i="5"/>
  <c r="T47" i="5"/>
  <c r="Q42" i="5"/>
  <c r="U36" i="5"/>
  <c r="S30" i="5"/>
  <c r="R25" i="5"/>
  <c r="T13" i="5"/>
  <c r="S8" i="5"/>
  <c r="T5" i="5"/>
  <c r="Q97" i="5"/>
  <c r="S196" i="5"/>
  <c r="Q189" i="5"/>
  <c r="T181" i="5"/>
  <c r="Q174" i="5"/>
  <c r="T166" i="5"/>
  <c r="T159" i="5"/>
  <c r="Q152" i="5"/>
  <c r="T144" i="5"/>
  <c r="R137" i="5"/>
  <c r="T129" i="5"/>
  <c r="R122" i="5"/>
  <c r="U114" i="5"/>
  <c r="T107" i="5"/>
  <c r="R100" i="5"/>
  <c r="U92" i="5"/>
  <c r="R85" i="5"/>
  <c r="U77" i="5"/>
  <c r="S70" i="5"/>
  <c r="U62" i="5"/>
  <c r="U55" i="5"/>
  <c r="S48" i="5"/>
  <c r="U40" i="5"/>
  <c r="S33" i="5"/>
  <c r="Q26" i="5"/>
  <c r="S17" i="5"/>
  <c r="R10" i="5"/>
  <c r="E4" i="5"/>
  <c r="T61" i="5"/>
  <c r="R188" i="5"/>
  <c r="Q99" i="5"/>
  <c r="U38" i="5"/>
  <c r="S6" i="5"/>
  <c r="T201" i="5"/>
  <c r="R194" i="5"/>
  <c r="Q188" i="5"/>
  <c r="T179" i="5"/>
  <c r="R172" i="5"/>
  <c r="T165" i="5"/>
  <c r="T143" i="5"/>
  <c r="U134" i="5"/>
  <c r="U127" i="5"/>
  <c r="R121" i="5"/>
  <c r="U112" i="5"/>
  <c r="S105" i="5"/>
  <c r="S90" i="5"/>
  <c r="U76" i="5"/>
  <c r="S68" i="5"/>
  <c r="Q61" i="5"/>
  <c r="Q46" i="5"/>
  <c r="S32" i="5"/>
  <c r="Q24" i="5"/>
  <c r="S9" i="5"/>
  <c r="R4" i="5"/>
  <c r="S202" i="5"/>
  <c r="R196" i="5"/>
  <c r="U188" i="5"/>
  <c r="S180" i="5"/>
  <c r="U173" i="5"/>
  <c r="S166" i="5"/>
  <c r="Q158" i="5"/>
  <c r="U151" i="5"/>
  <c r="S144" i="5"/>
  <c r="Q136" i="5"/>
  <c r="S129" i="5"/>
  <c r="Q122" i="5"/>
  <c r="T113" i="5"/>
  <c r="Q107" i="5"/>
  <c r="Q100" i="5"/>
  <c r="T91" i="5"/>
  <c r="Q85" i="5"/>
  <c r="T77" i="5"/>
  <c r="R69" i="5"/>
  <c r="T62" i="5"/>
  <c r="T55" i="5"/>
  <c r="U46" i="5"/>
  <c r="T40" i="5"/>
  <c r="R33" i="5"/>
  <c r="U24" i="5"/>
  <c r="Q17" i="5"/>
  <c r="Q13" i="5"/>
  <c r="Q10" i="5"/>
  <c r="D4" i="5"/>
  <c r="R144" i="5"/>
  <c r="S121" i="5"/>
  <c r="R61" i="5"/>
  <c r="U149" i="5"/>
  <c r="Q83" i="5"/>
  <c r="T38" i="5"/>
  <c r="R202" i="5"/>
  <c r="U194" i="5"/>
  <c r="T188" i="5"/>
  <c r="R180" i="5"/>
  <c r="U172" i="5"/>
  <c r="R166" i="5"/>
  <c r="U157" i="5"/>
  <c r="S150" i="5"/>
  <c r="U135" i="5"/>
  <c r="S128" i="5"/>
  <c r="U121" i="5"/>
  <c r="S113" i="5"/>
  <c r="Q106" i="5"/>
  <c r="U99" i="5"/>
  <c r="Q91" i="5"/>
  <c r="Q84" i="5"/>
  <c r="S77" i="5"/>
  <c r="Q69" i="5"/>
  <c r="Q55" i="5"/>
  <c r="T46" i="5"/>
  <c r="T39" i="5"/>
  <c r="Q33" i="5"/>
  <c r="T24" i="5"/>
  <c r="R20" i="5"/>
  <c r="U6" i="5"/>
  <c r="U4" i="5"/>
  <c r="C4" i="5"/>
  <c r="U143" i="5"/>
  <c r="R24" i="5"/>
  <c r="R157" i="5"/>
  <c r="U98" i="5"/>
  <c r="S54" i="5"/>
  <c r="R6" i="5"/>
  <c r="Q202" i="5"/>
  <c r="T194" i="5"/>
  <c r="S188" i="5"/>
  <c r="Q180" i="5"/>
  <c r="T172" i="5"/>
  <c r="Q166" i="5"/>
  <c r="T157" i="5"/>
  <c r="R150" i="5"/>
  <c r="Q144" i="5"/>
  <c r="T135" i="5"/>
  <c r="R128" i="5"/>
  <c r="T121" i="5"/>
  <c r="R113" i="5"/>
  <c r="U105" i="5"/>
  <c r="T99" i="5"/>
  <c r="U90" i="5"/>
  <c r="U83" i="5"/>
  <c r="R77" i="5"/>
  <c r="U68" i="5"/>
  <c r="S61" i="5"/>
  <c r="U54" i="5"/>
  <c r="S46" i="5"/>
  <c r="Q39" i="5"/>
  <c r="U32" i="5"/>
  <c r="S24" i="5"/>
  <c r="Q20" i="5"/>
  <c r="U9" i="5"/>
  <c r="T6" i="5"/>
  <c r="T4" i="5"/>
  <c r="U201" i="5"/>
  <c r="S194" i="5"/>
  <c r="U179" i="5"/>
  <c r="S172" i="5"/>
  <c r="U165" i="5"/>
  <c r="S157" i="5"/>
  <c r="Q150" i="5"/>
  <c r="Q135" i="5"/>
  <c r="Q128" i="5"/>
  <c r="Q113" i="5"/>
  <c r="T105" i="5"/>
  <c r="T90" i="5"/>
  <c r="T83" i="5"/>
  <c r="Q77" i="5"/>
  <c r="T68" i="5"/>
  <c r="T54" i="5"/>
  <c r="R46" i="5"/>
  <c r="T32" i="5"/>
  <c r="T9" i="5"/>
  <c r="S4" i="5"/>
  <c r="U196" i="5"/>
  <c r="U184" i="5"/>
  <c r="U174" i="5"/>
  <c r="U162" i="5"/>
  <c r="R154" i="5"/>
  <c r="R141" i="5"/>
  <c r="T132" i="5"/>
  <c r="T122" i="5"/>
  <c r="U111" i="5"/>
  <c r="Q101" i="5"/>
  <c r="U89" i="5"/>
  <c r="Q79" i="5"/>
  <c r="R68" i="5"/>
  <c r="R58" i="5"/>
  <c r="T49" i="5"/>
  <c r="T37" i="5"/>
  <c r="Q28" i="5"/>
  <c r="Q9" i="5"/>
  <c r="G4" i="5"/>
  <c r="Q194" i="5"/>
  <c r="S184" i="5"/>
  <c r="S174" i="5"/>
  <c r="S162" i="5"/>
  <c r="U152" i="5"/>
  <c r="U140" i="5"/>
  <c r="R132" i="5"/>
  <c r="U118" i="5"/>
  <c r="R110" i="5"/>
  <c r="T100" i="5"/>
  <c r="S89" i="5"/>
  <c r="T78" i="5"/>
  <c r="U67" i="5"/>
  <c r="Q57" i="5"/>
  <c r="U45" i="5"/>
  <c r="R36" i="5"/>
  <c r="T27" i="5"/>
  <c r="T19" i="5"/>
  <c r="T193" i="5"/>
  <c r="Q184" i="5"/>
  <c r="Q172" i="5"/>
  <c r="Q162" i="5"/>
  <c r="S152" i="5"/>
  <c r="S140" i="5"/>
  <c r="S130" i="5"/>
  <c r="S118" i="5"/>
  <c r="U109" i="5"/>
  <c r="U96" i="5"/>
  <c r="R88" i="5"/>
  <c r="R78" i="5"/>
  <c r="Q67" i="5"/>
  <c r="T56" i="5"/>
  <c r="S45" i="5"/>
  <c r="T34" i="5"/>
  <c r="U23" i="5"/>
  <c r="U18" i="5"/>
  <c r="T14" i="5"/>
  <c r="S193" i="5"/>
  <c r="U183" i="5"/>
  <c r="U171" i="5"/>
  <c r="U161" i="5"/>
  <c r="R152" i="5"/>
  <c r="R140" i="5"/>
  <c r="R130" i="5"/>
  <c r="R118" i="5"/>
  <c r="T109" i="5"/>
  <c r="T96" i="5"/>
  <c r="Q78" i="5"/>
  <c r="Q66" i="5"/>
  <c r="S56" i="5"/>
  <c r="R45" i="5"/>
  <c r="S34" i="5"/>
  <c r="T23" i="5"/>
  <c r="S14" i="5"/>
  <c r="Q8" i="5"/>
  <c r="R193" i="5"/>
  <c r="Q179" i="5"/>
  <c r="U167" i="5"/>
  <c r="T154" i="5"/>
  <c r="Q140" i="5"/>
  <c r="U126" i="5"/>
  <c r="S116" i="5"/>
  <c r="S101" i="5"/>
  <c r="Q88" i="5"/>
  <c r="U73" i="5"/>
  <c r="Q63" i="5"/>
  <c r="R50" i="5"/>
  <c r="U34" i="5"/>
  <c r="T22" i="5"/>
  <c r="U10" i="5"/>
  <c r="Q190" i="5"/>
  <c r="Q163" i="5"/>
  <c r="S149" i="5"/>
  <c r="Q124" i="5"/>
  <c r="Q112" i="5"/>
  <c r="T85" i="5"/>
  <c r="U72" i="5"/>
  <c r="Q45" i="5"/>
  <c r="Q30" i="5"/>
  <c r="R149" i="5"/>
  <c r="Q44" i="5"/>
  <c r="R201" i="5"/>
  <c r="U176" i="5"/>
  <c r="Q149" i="5"/>
  <c r="T123" i="5"/>
  <c r="U95" i="5"/>
  <c r="S72" i="5"/>
  <c r="U43" i="5"/>
  <c r="T7" i="5"/>
  <c r="S189" i="5"/>
  <c r="T200" i="5"/>
  <c r="R174" i="5"/>
  <c r="Q134" i="5"/>
  <c r="T94" i="5"/>
  <c r="S52" i="5"/>
  <c r="U19" i="5"/>
  <c r="T171" i="5"/>
  <c r="T67" i="5"/>
  <c r="T145" i="5"/>
  <c r="T80" i="5"/>
  <c r="S28" i="5"/>
  <c r="U78" i="5"/>
  <c r="F4" i="5"/>
  <c r="Q90" i="5"/>
  <c r="T127" i="5"/>
  <c r="Q192" i="5"/>
  <c r="U178" i="5"/>
  <c r="T167" i="5"/>
  <c r="S154" i="5"/>
  <c r="U139" i="5"/>
  <c r="T126" i="5"/>
  <c r="R116" i="5"/>
  <c r="R101" i="5"/>
  <c r="U87" i="5"/>
  <c r="T73" i="5"/>
  <c r="U60" i="5"/>
  <c r="Q50" i="5"/>
  <c r="R34" i="5"/>
  <c r="S22" i="5"/>
  <c r="U15" i="5"/>
  <c r="T10" i="5"/>
  <c r="R190" i="5"/>
  <c r="R178" i="5"/>
  <c r="T163" i="5"/>
  <c r="U138" i="5"/>
  <c r="Q125" i="5"/>
  <c r="R112" i="5"/>
  <c r="S96" i="5"/>
  <c r="U85" i="5"/>
  <c r="Q73" i="5"/>
  <c r="R60" i="5"/>
  <c r="T45" i="5"/>
  <c r="T33" i="5"/>
  <c r="Q15" i="5"/>
  <c r="T29" i="5"/>
  <c r="Q201" i="5"/>
  <c r="T176" i="5"/>
  <c r="T161" i="5"/>
  <c r="U148" i="5"/>
  <c r="T134" i="5"/>
  <c r="Q123" i="5"/>
  <c r="S108" i="5"/>
  <c r="T95" i="5"/>
  <c r="T82" i="5"/>
  <c r="U56" i="5"/>
  <c r="T43" i="5"/>
  <c r="S29" i="5"/>
  <c r="U14" i="5"/>
  <c r="S7" i="5"/>
  <c r="T185" i="5"/>
  <c r="Q147" i="5"/>
  <c r="S122" i="5"/>
  <c r="U94" i="5"/>
  <c r="U71" i="5"/>
  <c r="U42" i="5"/>
  <c r="Q199" i="5"/>
  <c r="R185" i="5"/>
  <c r="U160" i="5"/>
  <c r="U145" i="5"/>
  <c r="U133" i="5"/>
  <c r="Q118" i="5"/>
  <c r="R105" i="5"/>
  <c r="S94" i="5"/>
  <c r="U80" i="5"/>
  <c r="R52" i="5"/>
  <c r="T28" i="5"/>
  <c r="S12" i="5"/>
  <c r="U198" i="5"/>
  <c r="Q185" i="5"/>
  <c r="Q171" i="5"/>
  <c r="T160" i="5"/>
  <c r="U132" i="5"/>
  <c r="U117" i="5"/>
  <c r="Q105" i="5"/>
  <c r="R94" i="5"/>
  <c r="Q52" i="5"/>
  <c r="R41" i="5"/>
  <c r="R12" i="5"/>
  <c r="Q5" i="5"/>
  <c r="Q157" i="5"/>
  <c r="T117" i="5"/>
  <c r="Q94" i="5"/>
  <c r="T65" i="5"/>
  <c r="R28" i="5"/>
  <c r="R184" i="5"/>
  <c r="U156" i="5"/>
  <c r="Q132" i="5"/>
  <c r="T104" i="5"/>
  <c r="S65" i="5"/>
  <c r="S38" i="5"/>
  <c r="Q130" i="5"/>
  <c r="S168" i="5"/>
  <c r="Q117" i="5"/>
  <c r="U50" i="5"/>
  <c r="T11" i="5"/>
  <c r="U116" i="5"/>
  <c r="U191" i="5"/>
  <c r="T178" i="5"/>
  <c r="Q167" i="5"/>
  <c r="Q154" i="5"/>
  <c r="T139" i="5"/>
  <c r="S126" i="5"/>
  <c r="T112" i="5"/>
  <c r="U100" i="5"/>
  <c r="T87" i="5"/>
  <c r="S73" i="5"/>
  <c r="T60" i="5"/>
  <c r="U49" i="5"/>
  <c r="Q34" i="5"/>
  <c r="R22" i="5"/>
  <c r="T15" i="5"/>
  <c r="S10" i="5"/>
  <c r="T149" i="5"/>
  <c r="R177" i="5"/>
  <c r="T138" i="5"/>
  <c r="R96" i="5"/>
  <c r="Q60" i="5"/>
  <c r="T21" i="5"/>
  <c r="U189" i="5"/>
  <c r="S110" i="5"/>
  <c r="U29" i="5"/>
  <c r="T189" i="5"/>
  <c r="R162" i="5"/>
  <c r="R138" i="5"/>
  <c r="Q110" i="5"/>
  <c r="U82" i="5"/>
  <c r="R57" i="5"/>
  <c r="S176" i="5"/>
  <c r="T174" i="5"/>
  <c r="R161" i="5"/>
  <c r="R134" i="5"/>
  <c r="Q108" i="5"/>
  <c r="R82" i="5"/>
  <c r="Q56" i="5"/>
  <c r="Q29" i="5"/>
  <c r="U12" i="5"/>
  <c r="Q146" i="5"/>
  <c r="T184" i="5"/>
  <c r="U51" i="5"/>
  <c r="S198" i="5"/>
  <c r="T169" i="5"/>
  <c r="R145" i="5"/>
  <c r="S117" i="5"/>
  <c r="U93" i="5"/>
  <c r="T51" i="5"/>
  <c r="U27" i="5"/>
  <c r="R197" i="5"/>
  <c r="S169" i="5"/>
  <c r="Q145" i="5"/>
  <c r="S104" i="5"/>
  <c r="S78" i="5"/>
  <c r="Q51" i="5"/>
  <c r="Q27" i="5"/>
  <c r="U11" i="5"/>
  <c r="Q197" i="5"/>
  <c r="S156" i="5"/>
  <c r="U129" i="5"/>
  <c r="S74" i="5"/>
  <c r="Q23" i="5"/>
  <c r="T196" i="5"/>
  <c r="U182" i="5"/>
  <c r="R168" i="5"/>
  <c r="R156" i="5"/>
  <c r="Q141" i="5"/>
  <c r="T102" i="5"/>
  <c r="T89" i="5"/>
  <c r="R74" i="5"/>
  <c r="U63" i="5"/>
  <c r="T50" i="5"/>
  <c r="U37" i="5"/>
  <c r="T17" i="5"/>
  <c r="S11" i="5"/>
  <c r="U193" i="5"/>
  <c r="S190" i="5"/>
  <c r="S178" i="5"/>
  <c r="U166" i="5"/>
  <c r="T152" i="5"/>
  <c r="Q139" i="5"/>
  <c r="R125" i="5"/>
  <c r="S112" i="5"/>
  <c r="S100" i="5"/>
  <c r="Q86" i="5"/>
  <c r="R73" i="5"/>
  <c r="S60" i="5"/>
  <c r="S49" i="5"/>
  <c r="U33" i="5"/>
  <c r="Q22" i="5"/>
  <c r="S15" i="5"/>
  <c r="Q4" i="5"/>
  <c r="S201" i="5"/>
  <c r="Q177" i="5"/>
  <c r="T162" i="5"/>
  <c r="S138" i="5"/>
  <c r="U123" i="5"/>
  <c r="Q96" i="5"/>
  <c r="S85" i="5"/>
  <c r="T72" i="5"/>
  <c r="S58" i="5"/>
  <c r="Q21" i="5"/>
  <c r="U7" i="5"/>
  <c r="R72" i="5"/>
  <c r="U200" i="5"/>
  <c r="R189" i="5"/>
  <c r="S161" i="5"/>
  <c r="T147" i="5"/>
  <c r="S134" i="5"/>
  <c r="U122" i="5"/>
  <c r="R108" i="5"/>
  <c r="Q95" i="5"/>
  <c r="S82" i="5"/>
  <c r="Q72" i="5"/>
  <c r="R56" i="5"/>
  <c r="Q43" i="5"/>
  <c r="R29" i="5"/>
  <c r="Q7" i="5"/>
  <c r="T199" i="5"/>
  <c r="S185" i="5"/>
  <c r="Q161" i="5"/>
  <c r="T118" i="5"/>
  <c r="U107" i="5"/>
  <c r="Q82" i="5"/>
  <c r="Q68" i="5"/>
  <c r="T41" i="5"/>
  <c r="U28" i="5"/>
  <c r="T12" i="5"/>
  <c r="S41" i="5"/>
  <c r="U65" i="5"/>
  <c r="T198" i="5"/>
  <c r="U170" i="5"/>
  <c r="S145" i="5"/>
  <c r="S132" i="5"/>
  <c r="U104" i="5"/>
  <c r="T79" i="5"/>
  <c r="Q41" i="5"/>
  <c r="T183" i="5"/>
  <c r="T156" i="5"/>
  <c r="R117" i="5"/>
  <c r="R90" i="5"/>
  <c r="R65" i="5"/>
  <c r="R38" i="5"/>
  <c r="Q183" i="5"/>
  <c r="U144" i="5"/>
  <c r="U102" i="5"/>
  <c r="Q64" i="5"/>
  <c r="Q38" i="5"/>
  <c r="U17" i="5"/>
  <c r="T182" i="5"/>
  <c r="Q168" i="5"/>
  <c r="U154" i="5"/>
  <c r="T140" i="5"/>
  <c r="Q127" i="5"/>
  <c r="T116" i="5"/>
  <c r="T101" i="5"/>
  <c r="S88" i="5"/>
  <c r="Q74" i="5"/>
  <c r="S50" i="5"/>
  <c r="S36" i="5"/>
  <c r="T63" i="5"/>
  <c r="R136" i="12"/>
  <c r="Q151" i="12"/>
  <c r="S138" i="12"/>
  <c r="S21" i="12"/>
  <c r="Q134" i="12"/>
  <c r="Q21" i="12"/>
  <c r="Q4" i="12"/>
  <c r="R155" i="12"/>
  <c r="S76" i="12"/>
  <c r="U126" i="12"/>
  <c r="S104" i="12"/>
  <c r="Q33" i="12"/>
  <c r="S129" i="12"/>
  <c r="U111" i="12"/>
  <c r="Q57" i="12"/>
  <c r="U84" i="12"/>
  <c r="Q56" i="12"/>
  <c r="U187" i="12"/>
  <c r="Q32" i="12"/>
  <c r="Q160" i="12"/>
  <c r="Q111" i="12"/>
  <c r="S74" i="12"/>
  <c r="U166" i="12"/>
  <c r="U158" i="12"/>
  <c r="S151" i="12"/>
  <c r="U195" i="12"/>
  <c r="U176" i="12"/>
  <c r="Q99" i="12"/>
  <c r="S188" i="12"/>
  <c r="Q38" i="12"/>
  <c r="S128" i="12"/>
  <c r="S141" i="12"/>
  <c r="Q168" i="12"/>
  <c r="U174" i="12"/>
  <c r="U194" i="12"/>
  <c r="T78" i="12"/>
  <c r="Q117" i="12"/>
  <c r="U99" i="12"/>
  <c r="Q188" i="12"/>
  <c r="Q185" i="12"/>
  <c r="S68" i="12"/>
  <c r="Q138" i="12"/>
  <c r="Q187" i="12"/>
  <c r="U162" i="12"/>
  <c r="S199" i="12"/>
  <c r="U150" i="12"/>
  <c r="T67" i="12"/>
  <c r="T62" i="12"/>
  <c r="U163" i="12"/>
  <c r="T164" i="12"/>
  <c r="S73" i="12"/>
  <c r="Q156" i="12"/>
  <c r="U129" i="12"/>
  <c r="S81" i="12"/>
  <c r="Q142" i="12"/>
  <c r="U66" i="12"/>
  <c r="S144" i="12"/>
  <c r="T194" i="12"/>
  <c r="S154" i="12"/>
  <c r="T117" i="12"/>
  <c r="R36" i="12"/>
  <c r="S146" i="12"/>
  <c r="S140" i="12"/>
  <c r="Q16" i="12"/>
  <c r="R85" i="12"/>
  <c r="S190" i="12"/>
  <c r="Q126" i="12"/>
  <c r="U155" i="12"/>
  <c r="Q199" i="12"/>
  <c r="T158" i="12"/>
  <c r="T187" i="12"/>
  <c r="S195" i="12"/>
  <c r="T118" i="12"/>
  <c r="Q19" i="12"/>
  <c r="T136" i="12"/>
  <c r="U196" i="12"/>
  <c r="R182" i="12"/>
  <c r="U63" i="12"/>
  <c r="S198" i="12"/>
  <c r="S90" i="12"/>
  <c r="S178" i="12"/>
  <c r="Q136" i="12"/>
  <c r="S130" i="12"/>
  <c r="S139" i="12"/>
  <c r="S127" i="12"/>
  <c r="S84" i="12"/>
  <c r="U202" i="12"/>
  <c r="Q161" i="12"/>
  <c r="Q93" i="12"/>
  <c r="S27" i="12"/>
  <c r="U26" i="12"/>
  <c r="S83" i="12"/>
  <c r="U24" i="12"/>
  <c r="R156" i="12"/>
  <c r="S105" i="12"/>
  <c r="Q139" i="12"/>
  <c r="R92" i="12"/>
  <c r="T146" i="12"/>
  <c r="S16" i="12"/>
  <c r="S14" i="12"/>
  <c r="S58" i="12"/>
  <c r="S132" i="12"/>
  <c r="S163" i="12"/>
  <c r="Q152" i="12"/>
  <c r="U172" i="12"/>
  <c r="S169" i="7"/>
  <c r="S177" i="7"/>
  <c r="R175" i="7"/>
  <c r="Q128" i="7"/>
  <c r="U176" i="7"/>
  <c r="S64" i="7"/>
  <c r="R162" i="7"/>
  <c r="R37" i="7"/>
  <c r="R173" i="7"/>
  <c r="E19" i="4"/>
  <c r="D19" i="4"/>
  <c r="C19" i="4"/>
  <c r="G19" i="4"/>
  <c r="F19" i="4"/>
  <c r="S13" i="4"/>
  <c r="D11" i="5"/>
  <c r="G11" i="5"/>
  <c r="F11" i="5"/>
  <c r="E11" i="5"/>
  <c r="C11" i="5"/>
  <c r="S101" i="12"/>
  <c r="Q61" i="12"/>
  <c r="R177" i="12"/>
  <c r="R50" i="12"/>
  <c r="U70" i="12"/>
  <c r="Q102" i="12"/>
  <c r="R38" i="12"/>
  <c r="U44" i="12"/>
  <c r="S75" i="12"/>
  <c r="Q101" i="12"/>
  <c r="T179" i="12"/>
  <c r="T154" i="12"/>
  <c r="R105" i="12"/>
  <c r="T6" i="12"/>
  <c r="T72" i="12"/>
  <c r="U200" i="12"/>
  <c r="T84" i="12"/>
  <c r="T42" i="12"/>
  <c r="R185" i="12"/>
  <c r="R62" i="12"/>
  <c r="Q46" i="12"/>
  <c r="Q184" i="12"/>
  <c r="T81" i="12"/>
  <c r="U27" i="12"/>
  <c r="R72" i="12"/>
  <c r="T132" i="12"/>
  <c r="R150" i="12"/>
  <c r="Q88" i="12"/>
  <c r="Q192" i="12"/>
  <c r="R67" i="12"/>
  <c r="Q54" i="12"/>
  <c r="U107" i="12"/>
  <c r="S197" i="12"/>
  <c r="R16" i="12"/>
  <c r="R53" i="12"/>
  <c r="T13" i="12"/>
  <c r="T106" i="12"/>
  <c r="Q183" i="12"/>
  <c r="R97" i="12"/>
  <c r="T79" i="12"/>
  <c r="R7" i="12"/>
  <c r="T9" i="12"/>
  <c r="S49" i="12"/>
  <c r="T12" i="12"/>
  <c r="U167" i="12"/>
  <c r="U15" i="12"/>
  <c r="T147" i="12"/>
  <c r="T5" i="12"/>
  <c r="T69" i="12"/>
  <c r="U152" i="12"/>
  <c r="R11" i="12"/>
  <c r="S25" i="12"/>
  <c r="R133" i="12"/>
  <c r="R110" i="12"/>
  <c r="R20" i="12"/>
  <c r="T85" i="12"/>
  <c r="S102" i="12"/>
  <c r="Q25" i="12"/>
  <c r="U22" i="12"/>
  <c r="S35" i="12"/>
  <c r="T170" i="12"/>
  <c r="R56" i="12"/>
  <c r="T151" i="12"/>
  <c r="S51" i="12"/>
  <c r="T16" i="12"/>
  <c r="S193" i="12"/>
  <c r="T80" i="12"/>
  <c r="R131" i="12"/>
  <c r="Q189" i="12"/>
  <c r="T68" i="12"/>
  <c r="T133" i="12"/>
  <c r="U9" i="12"/>
  <c r="U105" i="12"/>
  <c r="Q18" i="12"/>
  <c r="Q149" i="12"/>
  <c r="U170" i="12"/>
  <c r="T188" i="12"/>
  <c r="R90" i="12"/>
  <c r="R159" i="12"/>
  <c r="T18" i="12"/>
  <c r="R26" i="12"/>
  <c r="Q47" i="12"/>
  <c r="T66" i="12"/>
  <c r="R132" i="12"/>
  <c r="T33" i="12"/>
  <c r="T124" i="12"/>
  <c r="Q85" i="12"/>
  <c r="T127" i="12"/>
  <c r="T14" i="12"/>
  <c r="T77" i="12"/>
  <c r="R99" i="12"/>
  <c r="R154" i="12"/>
  <c r="S91" i="12"/>
  <c r="R78" i="12"/>
  <c r="R169" i="12"/>
  <c r="T162" i="12"/>
  <c r="S147" i="12"/>
  <c r="U151" i="12"/>
  <c r="G17" i="3"/>
  <c r="F17" i="3"/>
  <c r="E17" i="3"/>
  <c r="D17" i="3"/>
  <c r="C17" i="3"/>
  <c r="R14" i="3"/>
  <c r="R78" i="3"/>
  <c r="S117" i="3"/>
  <c r="R127" i="3"/>
  <c r="T98" i="3"/>
  <c r="S154" i="3"/>
  <c r="S77" i="3"/>
  <c r="R19" i="3"/>
  <c r="T78" i="3"/>
  <c r="R171" i="3"/>
  <c r="S72" i="3"/>
  <c r="R42" i="3"/>
  <c r="T68" i="3"/>
  <c r="R35" i="3"/>
  <c r="S59" i="3"/>
  <c r="AF4" i="4" a="1"/>
  <c r="R120" i="7"/>
  <c r="U38" i="7"/>
  <c r="T203" i="7"/>
  <c r="U172" i="7"/>
  <c r="R182" i="7"/>
  <c r="T53" i="7"/>
  <c r="R167" i="7"/>
  <c r="T34" i="11"/>
  <c r="R90" i="11"/>
  <c r="R26" i="11"/>
  <c r="T139" i="11"/>
  <c r="T93" i="6"/>
  <c r="T85" i="6"/>
  <c r="U21" i="6"/>
  <c r="G19" i="3"/>
  <c r="F19" i="3"/>
  <c r="E19" i="3"/>
  <c r="D19" i="3"/>
  <c r="C19" i="3"/>
  <c r="T111" i="11"/>
  <c r="Q119" i="11"/>
  <c r="Q173" i="11"/>
  <c r="U43" i="11"/>
  <c r="S187" i="11"/>
  <c r="R195" i="11"/>
  <c r="S21" i="11"/>
  <c r="U28" i="11"/>
  <c r="R104" i="11"/>
  <c r="U108" i="11"/>
  <c r="U117" i="11"/>
  <c r="S103" i="11"/>
  <c r="U111" i="11"/>
  <c r="S108" i="8"/>
  <c r="Q195" i="6"/>
  <c r="R93" i="6"/>
  <c r="Q117" i="6"/>
  <c r="S34" i="6"/>
  <c r="U37" i="6"/>
  <c r="R104" i="6"/>
  <c r="T113" i="6"/>
  <c r="Q180" i="6"/>
  <c r="R139" i="6"/>
  <c r="S143" i="6"/>
  <c r="U99" i="6"/>
  <c r="G5" i="4"/>
  <c r="F5" i="4"/>
  <c r="U36" i="4"/>
  <c r="U183" i="4"/>
  <c r="U147" i="4"/>
  <c r="T120" i="4"/>
  <c r="T91" i="4"/>
  <c r="S57" i="4"/>
  <c r="S22" i="4"/>
  <c r="T196" i="4"/>
  <c r="T175" i="4"/>
  <c r="T147" i="4"/>
  <c r="S133" i="4"/>
  <c r="S112" i="4"/>
  <c r="S84" i="4"/>
  <c r="S63" i="4"/>
  <c r="R36" i="4"/>
  <c r="Q15" i="4"/>
  <c r="C5" i="4"/>
  <c r="U85" i="4"/>
  <c r="U189" i="4"/>
  <c r="T162" i="4"/>
  <c r="T141" i="4"/>
  <c r="T112" i="4"/>
  <c r="S78" i="4"/>
  <c r="S36" i="4"/>
  <c r="T189" i="4"/>
  <c r="T168" i="4"/>
  <c r="S141" i="4"/>
  <c r="S120" i="4"/>
  <c r="S99" i="4"/>
  <c r="R78" i="4"/>
  <c r="R57" i="4"/>
  <c r="R42" i="4"/>
  <c r="Q19" i="4"/>
  <c r="U175" i="4"/>
  <c r="T126" i="4"/>
  <c r="T99" i="4"/>
  <c r="S70" i="4"/>
  <c r="S42" i="4"/>
  <c r="S19" i="4"/>
  <c r="D5" i="4"/>
  <c r="T183" i="4"/>
  <c r="S154" i="4"/>
  <c r="S126" i="4"/>
  <c r="S105" i="4"/>
  <c r="S91" i="4"/>
  <c r="R70" i="4"/>
  <c r="R49" i="4"/>
  <c r="R28" i="4"/>
  <c r="E5" i="4"/>
  <c r="U196" i="4"/>
  <c r="U168" i="4"/>
  <c r="T154" i="4"/>
  <c r="T133" i="4"/>
  <c r="T105" i="4"/>
  <c r="T84" i="4"/>
  <c r="T63" i="4"/>
  <c r="S49" i="4"/>
  <c r="S28" i="4"/>
  <c r="S15" i="4"/>
  <c r="S162" i="4"/>
  <c r="R22" i="4"/>
  <c r="Q194" i="4"/>
  <c r="U184" i="4"/>
  <c r="R174" i="4"/>
  <c r="R164" i="4"/>
  <c r="T153" i="4"/>
  <c r="T143" i="4"/>
  <c r="Q133" i="4"/>
  <c r="U123" i="4"/>
  <c r="T115" i="4"/>
  <c r="R104" i="4"/>
  <c r="U94" i="4"/>
  <c r="T83" i="4"/>
  <c r="R74" i="4"/>
  <c r="U62" i="4"/>
  <c r="T53" i="4"/>
  <c r="S44" i="4"/>
  <c r="Q33" i="4"/>
  <c r="U24" i="4"/>
  <c r="T8" i="4"/>
  <c r="U201" i="4"/>
  <c r="T193" i="4"/>
  <c r="Q183" i="4"/>
  <c r="Q173" i="4"/>
  <c r="U163" i="4"/>
  <c r="R153" i="4"/>
  <c r="Q143" i="4"/>
  <c r="T132" i="4"/>
  <c r="S122" i="4"/>
  <c r="Q112" i="4"/>
  <c r="T102" i="4"/>
  <c r="S94" i="4"/>
  <c r="Q83" i="4"/>
  <c r="U73" i="4"/>
  <c r="S62" i="4"/>
  <c r="R53" i="4"/>
  <c r="U41" i="4"/>
  <c r="T32" i="4"/>
  <c r="S23" i="4"/>
  <c r="U13" i="4"/>
  <c r="S7" i="4"/>
  <c r="S201" i="4"/>
  <c r="R193" i="4"/>
  <c r="U180" i="4"/>
  <c r="T172" i="4"/>
  <c r="Q162" i="4"/>
  <c r="Q152" i="4"/>
  <c r="T142" i="4"/>
  <c r="R132" i="4"/>
  <c r="Q122" i="4"/>
  <c r="T111" i="4"/>
  <c r="S101" i="4"/>
  <c r="U90" i="4"/>
  <c r="T81" i="4"/>
  <c r="S73" i="4"/>
  <c r="Q62" i="4"/>
  <c r="U52" i="4"/>
  <c r="S41" i="4"/>
  <c r="R32" i="4"/>
  <c r="T17" i="4"/>
  <c r="R201" i="4"/>
  <c r="Q192" i="4"/>
  <c r="T180" i="4"/>
  <c r="S172" i="4"/>
  <c r="Q160" i="4"/>
  <c r="U151" i="4"/>
  <c r="R141" i="4"/>
  <c r="Q132" i="4"/>
  <c r="U121" i="4"/>
  <c r="S111" i="4"/>
  <c r="S200" i="4"/>
  <c r="R188" i="4"/>
  <c r="U174" i="4"/>
  <c r="R162" i="4"/>
  <c r="U149" i="4"/>
  <c r="T137" i="4"/>
  <c r="S125" i="4"/>
  <c r="U111" i="4"/>
  <c r="T100" i="4"/>
  <c r="T88" i="4"/>
  <c r="T75" i="4"/>
  <c r="T65" i="4"/>
  <c r="S53" i="4"/>
  <c r="Q41" i="4"/>
  <c r="Q28" i="4"/>
  <c r="R20" i="4"/>
  <c r="S9" i="4"/>
  <c r="R196" i="4"/>
  <c r="R172" i="4"/>
  <c r="U158" i="4"/>
  <c r="T136" i="4"/>
  <c r="S109" i="4"/>
  <c r="S86" i="4"/>
  <c r="U61" i="4"/>
  <c r="Q38" i="4"/>
  <c r="Q196" i="4"/>
  <c r="R133" i="4"/>
  <c r="Q74" i="4"/>
  <c r="U37" i="4"/>
  <c r="S183" i="4"/>
  <c r="S158" i="4"/>
  <c r="U132" i="4"/>
  <c r="Q109" i="4"/>
  <c r="Q84" i="4"/>
  <c r="S60" i="4"/>
  <c r="S48" i="4"/>
  <c r="T25" i="4"/>
  <c r="Q70" i="4"/>
  <c r="Q180" i="4"/>
  <c r="T157" i="4"/>
  <c r="Q95" i="4"/>
  <c r="S69" i="4"/>
  <c r="T33" i="4"/>
  <c r="Q17" i="4"/>
  <c r="U179" i="4"/>
  <c r="U142" i="4"/>
  <c r="U104" i="4"/>
  <c r="S58" i="4"/>
  <c r="Q22" i="4"/>
  <c r="Q154" i="4"/>
  <c r="R80" i="4"/>
  <c r="R33" i="4"/>
  <c r="S179" i="4"/>
  <c r="R189" i="4"/>
  <c r="Q179" i="4"/>
  <c r="U165" i="4"/>
  <c r="S153" i="4"/>
  <c r="T138" i="4"/>
  <c r="T128" i="4"/>
  <c r="S116" i="4"/>
  <c r="Q104" i="4"/>
  <c r="U79" i="4"/>
  <c r="U67" i="4"/>
  <c r="T54" i="4"/>
  <c r="U45" i="4"/>
  <c r="S32" i="4"/>
  <c r="R10" i="4"/>
  <c r="Q201" i="4"/>
  <c r="Q126" i="4"/>
  <c r="S67" i="4"/>
  <c r="U200" i="4"/>
  <c r="T188" i="4"/>
  <c r="S175" i="4"/>
  <c r="S164" i="4"/>
  <c r="S151" i="4"/>
  <c r="Q138" i="4"/>
  <c r="U125" i="4"/>
  <c r="U115" i="4"/>
  <c r="U89" i="4"/>
  <c r="U77" i="4"/>
  <c r="Q54" i="4"/>
  <c r="T41" i="4"/>
  <c r="T31" i="4"/>
  <c r="R200" i="4"/>
  <c r="U186" i="4"/>
  <c r="T174" i="4"/>
  <c r="U159" i="4"/>
  <c r="T149" i="4"/>
  <c r="S137" i="4"/>
  <c r="R125" i="4"/>
  <c r="Q111" i="4"/>
  <c r="Q99" i="4"/>
  <c r="S88" i="4"/>
  <c r="S75" i="4"/>
  <c r="S65" i="4"/>
  <c r="Q53" i="4"/>
  <c r="U40" i="4"/>
  <c r="U27" i="4"/>
  <c r="Q20" i="4"/>
  <c r="U14" i="4"/>
  <c r="U8" i="4"/>
  <c r="S4" i="4"/>
  <c r="S196" i="4"/>
  <c r="S185" i="4"/>
  <c r="U172" i="4"/>
  <c r="U146" i="4"/>
  <c r="U136" i="4"/>
  <c r="T109" i="4"/>
  <c r="T96" i="4"/>
  <c r="T86" i="4"/>
  <c r="T74" i="4"/>
  <c r="Q49" i="4"/>
  <c r="R38" i="4"/>
  <c r="Q27" i="4"/>
  <c r="T195" i="4"/>
  <c r="Q181" i="4"/>
  <c r="R158" i="4"/>
  <c r="Q146" i="4"/>
  <c r="S132" i="4"/>
  <c r="U117" i="4"/>
  <c r="U95" i="4"/>
  <c r="S59" i="4"/>
  <c r="S37" i="4"/>
  <c r="U6" i="4"/>
  <c r="Q48" i="4"/>
  <c r="Q195" i="4"/>
  <c r="Q168" i="4"/>
  <c r="T144" i="4"/>
  <c r="T130" i="4"/>
  <c r="R105" i="4"/>
  <c r="U82" i="4"/>
  <c r="U58" i="4"/>
  <c r="U35" i="4"/>
  <c r="S17" i="4"/>
  <c r="S6" i="4"/>
  <c r="S130" i="4"/>
  <c r="S193" i="4"/>
  <c r="T167" i="4"/>
  <c r="R154" i="4"/>
  <c r="R130" i="4"/>
  <c r="Q117" i="4"/>
  <c r="T94" i="4"/>
  <c r="R69" i="4"/>
  <c r="S46" i="4"/>
  <c r="S33" i="4"/>
  <c r="U191" i="4"/>
  <c r="T179" i="4"/>
  <c r="S167" i="4"/>
  <c r="Q130" i="4"/>
  <c r="U116" i="4"/>
  <c r="T104" i="4"/>
  <c r="Q91" i="4"/>
  <c r="Q69" i="4"/>
  <c r="Q57" i="4"/>
  <c r="R46" i="4"/>
  <c r="Q153" i="4"/>
  <c r="T67" i="4"/>
  <c r="U188" i="4"/>
  <c r="T151" i="4"/>
  <c r="Q116" i="4"/>
  <c r="Q90" i="4"/>
  <c r="Q42" i="4"/>
  <c r="U21" i="4"/>
  <c r="Q101" i="4"/>
  <c r="U9" i="4"/>
  <c r="Q200" i="4"/>
  <c r="T186" i="4"/>
  <c r="S174" i="4"/>
  <c r="T159" i="4"/>
  <c r="S147" i="4"/>
  <c r="R137" i="4"/>
  <c r="Q125" i="4"/>
  <c r="U110" i="4"/>
  <c r="U98" i="4"/>
  <c r="R88" i="4"/>
  <c r="Q75" i="4"/>
  <c r="Q63" i="4"/>
  <c r="T52" i="4"/>
  <c r="T39" i="4"/>
  <c r="T27" i="4"/>
  <c r="T14" i="4"/>
  <c r="T7" i="4"/>
  <c r="R4" i="4"/>
  <c r="Q159" i="4"/>
  <c r="R62" i="4"/>
  <c r="R185" i="4"/>
  <c r="T146" i="4"/>
  <c r="T121" i="4"/>
  <c r="S96" i="4"/>
  <c r="S74" i="4"/>
  <c r="U48" i="4"/>
  <c r="U26" i="4"/>
  <c r="U170" i="4"/>
  <c r="R120" i="4"/>
  <c r="R84" i="4"/>
  <c r="T48" i="4"/>
  <c r="U195" i="4"/>
  <c r="T170" i="4"/>
  <c r="R146" i="4"/>
  <c r="Q120" i="4"/>
  <c r="Q96" i="4"/>
  <c r="T73" i="4"/>
  <c r="T37" i="4"/>
  <c r="U83" i="4"/>
  <c r="Q158" i="4"/>
  <c r="T107" i="4"/>
  <c r="U69" i="4"/>
  <c r="R25" i="4"/>
  <c r="T6" i="4"/>
  <c r="R180" i="4"/>
  <c r="U157" i="4"/>
  <c r="S117" i="4"/>
  <c r="S95" i="4"/>
  <c r="T69" i="4"/>
  <c r="U47" i="4"/>
  <c r="Q25" i="4"/>
  <c r="S11" i="4"/>
  <c r="R117" i="4"/>
  <c r="T46" i="4"/>
  <c r="R6" i="4"/>
  <c r="S189" i="4"/>
  <c r="Q167" i="4"/>
  <c r="U153" i="4"/>
  <c r="U138" i="4"/>
  <c r="U128" i="4"/>
  <c r="T116" i="4"/>
  <c r="S104" i="4"/>
  <c r="T90" i="4"/>
  <c r="Q80" i="4"/>
  <c r="U68" i="4"/>
  <c r="U56" i="4"/>
  <c r="Q46" i="4"/>
  <c r="U32" i="4"/>
  <c r="S10" i="4"/>
  <c r="T201" i="4"/>
  <c r="Q189" i="4"/>
  <c r="U178" i="4"/>
  <c r="T165" i="4"/>
  <c r="S138" i="4"/>
  <c r="R126" i="4"/>
  <c r="R116" i="4"/>
  <c r="S102" i="4"/>
  <c r="R90" i="4"/>
  <c r="T79" i="4"/>
  <c r="S54" i="4"/>
  <c r="T44" i="4"/>
  <c r="Q32" i="4"/>
  <c r="T178" i="4"/>
  <c r="T164" i="4"/>
  <c r="R138" i="4"/>
  <c r="R101" i="4"/>
  <c r="Q78" i="4"/>
  <c r="R54" i="4"/>
  <c r="U31" i="4"/>
  <c r="U199" i="4"/>
  <c r="T185" i="4"/>
  <c r="Q174" i="4"/>
  <c r="S159" i="4"/>
  <c r="Q147" i="4"/>
  <c r="Q137" i="4"/>
  <c r="T123" i="4"/>
  <c r="U109" i="4"/>
  <c r="U96" i="4"/>
  <c r="Q88" i="4"/>
  <c r="U74" i="4"/>
  <c r="T62" i="4"/>
  <c r="S52" i="4"/>
  <c r="S39" i="4"/>
  <c r="S27" i="4"/>
  <c r="Q7" i="4"/>
  <c r="R122" i="4"/>
  <c r="Q185" i="4"/>
  <c r="T158" i="4"/>
  <c r="S146" i="4"/>
  <c r="R109" i="4"/>
  <c r="R96" i="4"/>
  <c r="T60" i="4"/>
  <c r="T26" i="4"/>
  <c r="S168" i="4"/>
  <c r="U107" i="4"/>
  <c r="R48" i="4"/>
  <c r="S25" i="4"/>
  <c r="U11" i="4"/>
  <c r="S195" i="4"/>
  <c r="S180" i="4"/>
  <c r="R168" i="4"/>
  <c r="U144" i="4"/>
  <c r="U130" i="4"/>
  <c r="T117" i="4"/>
  <c r="T95" i="4"/>
  <c r="S83" i="4"/>
  <c r="Q59" i="4"/>
  <c r="Q36" i="4"/>
  <c r="U17" i="4"/>
  <c r="T11" i="4"/>
  <c r="U193" i="4"/>
  <c r="U167" i="4"/>
  <c r="S143" i="4"/>
  <c r="Q105" i="4"/>
  <c r="S81" i="4"/>
  <c r="T58" i="4"/>
  <c r="T23" i="4"/>
  <c r="Q11" i="4"/>
  <c r="S80" i="4"/>
  <c r="Q141" i="4"/>
  <c r="Q202" i="4"/>
  <c r="S90" i="4"/>
  <c r="Q67" i="4"/>
  <c r="T200" i="4"/>
  <c r="S188" i="4"/>
  <c r="Q175" i="4"/>
  <c r="Q164" i="4"/>
  <c r="Q151" i="4"/>
  <c r="T125" i="4"/>
  <c r="T9" i="4"/>
  <c r="U100" i="4"/>
  <c r="U88" i="4"/>
  <c r="U75" i="4"/>
  <c r="U66" i="4"/>
  <c r="R41" i="4"/>
  <c r="S31" i="4"/>
  <c r="U137" i="4"/>
  <c r="R112" i="4"/>
  <c r="U53" i="4"/>
  <c r="S12" i="4"/>
  <c r="U148" i="4"/>
  <c r="R139" i="4"/>
  <c r="R59" i="4"/>
  <c r="Q199" i="4"/>
  <c r="U114" i="4"/>
  <c r="T30" i="4"/>
  <c r="U156" i="4"/>
  <c r="S68" i="4"/>
  <c r="Q186" i="4"/>
  <c r="U101" i="4"/>
  <c r="T20" i="4"/>
  <c r="S135" i="4"/>
  <c r="Q51" i="4"/>
  <c r="U150" i="4"/>
  <c r="T45" i="4"/>
  <c r="U192" i="4"/>
  <c r="T87" i="4"/>
  <c r="Q150" i="4"/>
  <c r="S134" i="4"/>
  <c r="R29" i="4"/>
  <c r="U7" i="4"/>
  <c r="Q103" i="4"/>
  <c r="Q134" i="4"/>
  <c r="Q114" i="4"/>
  <c r="U12" i="4"/>
  <c r="R157" i="4"/>
  <c r="Q9" i="4"/>
  <c r="S157" i="4"/>
  <c r="T19" i="4"/>
  <c r="U162" i="4"/>
  <c r="R131" i="4"/>
  <c r="R51" i="4"/>
  <c r="T190" i="4"/>
  <c r="S106" i="4"/>
  <c r="U18" i="4"/>
  <c r="R144" i="4"/>
  <c r="Q60" i="4"/>
  <c r="T177" i="4"/>
  <c r="R16" i="4"/>
  <c r="U126" i="4"/>
  <c r="T42" i="4"/>
  <c r="U140" i="4"/>
  <c r="T35" i="4"/>
  <c r="T182" i="4"/>
  <c r="S77" i="4"/>
  <c r="Q97" i="4"/>
  <c r="S124" i="4"/>
  <c r="Q21" i="4"/>
  <c r="R92" i="4"/>
  <c r="Q76" i="4"/>
  <c r="Q135" i="4"/>
  <c r="R170" i="4"/>
  <c r="S170" i="4"/>
  <c r="U169" i="4"/>
  <c r="R47" i="4"/>
  <c r="R102" i="4"/>
  <c r="Q140" i="4"/>
  <c r="S173" i="4"/>
  <c r="Q14" i="4"/>
  <c r="S38" i="4"/>
  <c r="T29" i="4"/>
  <c r="T71" i="4"/>
  <c r="S119" i="4"/>
  <c r="S192" i="4"/>
  <c r="U60" i="4"/>
  <c r="Q37" i="4"/>
  <c r="Q121" i="4"/>
  <c r="R37" i="4"/>
  <c r="S178" i="4"/>
  <c r="T202" i="4"/>
  <c r="Q82" i="4"/>
  <c r="R44" i="4"/>
  <c r="R12" i="4"/>
  <c r="T166" i="4"/>
  <c r="Q5" i="4"/>
  <c r="U39" i="4"/>
  <c r="Q52" i="4"/>
  <c r="R52" i="4"/>
  <c r="T191" i="4"/>
  <c r="T15" i="4"/>
  <c r="U154" i="4"/>
  <c r="R135" i="4"/>
  <c r="R55" i="4"/>
  <c r="U194" i="4"/>
  <c r="T110" i="4"/>
  <c r="S26" i="4"/>
  <c r="S148" i="4"/>
  <c r="R64" i="4"/>
  <c r="U181" i="4"/>
  <c r="T97" i="4"/>
  <c r="S18" i="4"/>
  <c r="Q131" i="4"/>
  <c r="U46" i="4"/>
  <c r="U145" i="4"/>
  <c r="T40" i="4"/>
  <c r="U187" i="4"/>
  <c r="S82" i="4"/>
  <c r="Q124" i="4"/>
  <c r="S129" i="4"/>
  <c r="R24" i="4"/>
  <c r="S202" i="4"/>
  <c r="R97" i="4"/>
  <c r="Q92" i="4"/>
  <c r="Q128" i="4"/>
  <c r="U16" i="4"/>
  <c r="S163" i="4"/>
  <c r="Q23" i="4"/>
  <c r="T163" i="4"/>
  <c r="S93" i="4"/>
  <c r="S197" i="4"/>
  <c r="U30" i="4"/>
  <c r="Q31" i="4"/>
  <c r="T28" i="4"/>
  <c r="R127" i="4"/>
  <c r="S186" i="4"/>
  <c r="T16" i="4"/>
  <c r="U55" i="4"/>
  <c r="R89" i="4"/>
  <c r="T122" i="4"/>
  <c r="U134" i="4"/>
  <c r="U176" i="4"/>
  <c r="U70" i="4"/>
  <c r="Q13" i="4"/>
  <c r="Q87" i="4"/>
  <c r="Q142" i="4"/>
  <c r="R178" i="4"/>
  <c r="T36" i="4"/>
  <c r="Q176" i="4"/>
  <c r="R203" i="4"/>
  <c r="R123" i="4"/>
  <c r="R43" i="4"/>
  <c r="R182" i="4"/>
  <c r="Q98" i="4"/>
  <c r="S14" i="4"/>
  <c r="U135" i="4"/>
  <c r="T51" i="4"/>
  <c r="R169" i="4"/>
  <c r="Q85" i="4"/>
  <c r="S118" i="4"/>
  <c r="R34" i="4"/>
  <c r="U129" i="4"/>
  <c r="T24" i="4"/>
  <c r="U171" i="4"/>
  <c r="S66" i="4"/>
  <c r="U33" i="4"/>
  <c r="S113" i="4"/>
  <c r="Q8" i="4"/>
  <c r="S187" i="4"/>
  <c r="U49" i="4"/>
  <c r="Q149" i="4"/>
  <c r="Q44" i="4"/>
  <c r="S184" i="4"/>
  <c r="T184" i="4"/>
  <c r="T43" i="4"/>
  <c r="Q184" i="4"/>
  <c r="R199" i="4"/>
  <c r="R119" i="4"/>
  <c r="R39" i="4"/>
  <c r="Q178" i="4"/>
  <c r="U93" i="4"/>
  <c r="T131" i="4"/>
  <c r="S47" i="4"/>
  <c r="Q165" i="4"/>
  <c r="U80" i="4"/>
  <c r="S198" i="4"/>
  <c r="R114" i="4"/>
  <c r="Q30" i="4"/>
  <c r="U124" i="4"/>
  <c r="T21" i="4"/>
  <c r="S61" i="4"/>
  <c r="U15" i="4"/>
  <c r="S108" i="4"/>
  <c r="S181" i="4"/>
  <c r="R76" i="4"/>
  <c r="R156" i="4"/>
  <c r="S191" i="4"/>
  <c r="R35" i="4"/>
  <c r="S127" i="4"/>
  <c r="U160" i="4"/>
  <c r="R194" i="4"/>
  <c r="U25" i="4"/>
  <c r="T13" i="4"/>
  <c r="S56" i="4"/>
  <c r="S103" i="4"/>
  <c r="S176" i="4"/>
  <c r="T10" i="4"/>
  <c r="Q58" i="4"/>
  <c r="R58" i="4"/>
  <c r="T57" i="4"/>
  <c r="R191" i="4"/>
  <c r="R111" i="4"/>
  <c r="R31" i="4"/>
  <c r="T169" i="4"/>
  <c r="S85" i="4"/>
  <c r="R65" i="4"/>
  <c r="R27" i="4"/>
  <c r="T152" i="4"/>
  <c r="T34" i="4"/>
  <c r="R68" i="4"/>
  <c r="T101" i="4"/>
  <c r="U108" i="4"/>
  <c r="T150" i="4"/>
  <c r="T197" i="4"/>
  <c r="Q187" i="4"/>
  <c r="Q61" i="4"/>
  <c r="R177" i="4"/>
  <c r="R73" i="4"/>
  <c r="R103" i="4"/>
  <c r="R161" i="4"/>
  <c r="Q203" i="4"/>
  <c r="S30" i="4"/>
  <c r="Q64" i="4"/>
  <c r="S97" i="4"/>
  <c r="U103" i="4"/>
  <c r="T145" i="4"/>
  <c r="T192" i="4"/>
  <c r="R176" i="4"/>
  <c r="Q55" i="4"/>
  <c r="R184" i="4"/>
  <c r="U59" i="4"/>
  <c r="R82" i="4"/>
  <c r="R86" i="4"/>
  <c r="T85" i="4"/>
  <c r="R175" i="4"/>
  <c r="R95" i="4"/>
  <c r="U152" i="4"/>
  <c r="T194" i="4"/>
  <c r="U20" i="4"/>
  <c r="T55" i="4"/>
  <c r="Q89" i="4"/>
  <c r="U92" i="4"/>
  <c r="T134" i="4"/>
  <c r="S182" i="4"/>
  <c r="Q155" i="4"/>
  <c r="Q45" i="4"/>
  <c r="R198" i="4"/>
  <c r="R94" i="4"/>
  <c r="T49" i="4"/>
  <c r="U190" i="4"/>
  <c r="R195" i="4"/>
  <c r="R115" i="4"/>
  <c r="U173" i="4"/>
  <c r="T89" i="4"/>
  <c r="Q10" i="4"/>
  <c r="Q43" i="4"/>
  <c r="T76" i="4"/>
  <c r="Q110" i="4"/>
  <c r="U119" i="4"/>
  <c r="T161" i="4"/>
  <c r="T4" i="4"/>
  <c r="R202" i="4"/>
  <c r="Q71" i="4"/>
  <c r="Q163" i="4"/>
  <c r="S199" i="4"/>
  <c r="T199" i="4"/>
  <c r="Q123" i="4"/>
  <c r="U38" i="4"/>
  <c r="T156" i="4"/>
  <c r="S72" i="4"/>
  <c r="Q190" i="4"/>
  <c r="U105" i="4"/>
  <c r="T22" i="4"/>
  <c r="U113" i="4"/>
  <c r="S8" i="4"/>
  <c r="U155" i="4"/>
  <c r="S50" i="4"/>
  <c r="T203" i="4"/>
  <c r="R98" i="4"/>
  <c r="R197" i="4"/>
  <c r="S171" i="4"/>
  <c r="Q66" i="4"/>
  <c r="U5" i="4"/>
  <c r="Q170" i="4"/>
  <c r="Q65" i="4"/>
  <c r="T64" i="4"/>
  <c r="R187" i="4"/>
  <c r="R107" i="4"/>
  <c r="S165" i="4"/>
  <c r="R81" i="4"/>
  <c r="U118" i="4"/>
  <c r="S152" i="4"/>
  <c r="U185" i="4"/>
  <c r="S20" i="4"/>
  <c r="T5" i="4"/>
  <c r="S45" i="4"/>
  <c r="S92" i="4"/>
  <c r="R166" i="4"/>
  <c r="T12" i="4"/>
  <c r="Q73" i="4"/>
  <c r="T70" i="4"/>
  <c r="R183" i="4"/>
  <c r="R23" i="4"/>
  <c r="Q77" i="4"/>
  <c r="T114" i="4"/>
  <c r="R148" i="4"/>
  <c r="T181" i="4"/>
  <c r="R18" i="4"/>
  <c r="R181" i="4"/>
  <c r="S40" i="4"/>
  <c r="S87" i="4"/>
  <c r="S160" i="4"/>
  <c r="U19" i="4"/>
  <c r="Q79" i="4"/>
  <c r="S79" i="4"/>
  <c r="T78" i="4"/>
  <c r="R21" i="4"/>
  <c r="U198" i="4"/>
  <c r="Q144" i="4"/>
  <c r="Q16" i="4"/>
  <c r="T140" i="4"/>
  <c r="Q166" i="4"/>
  <c r="U29" i="4"/>
  <c r="Q86" i="4"/>
  <c r="R19" i="4"/>
  <c r="T68" i="4"/>
  <c r="R106" i="4"/>
  <c r="U139" i="4"/>
  <c r="R173" i="4"/>
  <c r="Q198" i="4"/>
  <c r="Q139" i="4"/>
  <c r="S29" i="4"/>
  <c r="R77" i="4"/>
  <c r="R150" i="4"/>
  <c r="U43" i="4"/>
  <c r="R99" i="4"/>
  <c r="U72" i="4"/>
  <c r="R26" i="4"/>
  <c r="R93" i="4"/>
  <c r="R160" i="4"/>
  <c r="T187" i="4"/>
  <c r="Q50" i="4"/>
  <c r="Q197" i="4"/>
  <c r="Q94" i="4"/>
  <c r="R179" i="4"/>
  <c r="Q157" i="4"/>
  <c r="S110" i="4"/>
  <c r="S177" i="4"/>
  <c r="T98" i="4"/>
  <c r="S35" i="4"/>
  <c r="S155" i="4"/>
  <c r="Q191" i="4"/>
  <c r="F16" i="4"/>
  <c r="E16" i="4"/>
  <c r="D16" i="4"/>
  <c r="C16" i="4"/>
  <c r="G16" i="4"/>
  <c r="Q93" i="4"/>
  <c r="S139" i="4"/>
  <c r="S150" i="4"/>
  <c r="T124" i="4"/>
  <c r="U166" i="4"/>
  <c r="U164" i="4"/>
  <c r="T198" i="4"/>
  <c r="R186" i="4"/>
  <c r="R5" i="4"/>
  <c r="R163" i="4"/>
  <c r="D7" i="5"/>
  <c r="C7" i="5"/>
  <c r="E7" i="5"/>
  <c r="G7" i="5"/>
  <c r="F7" i="5"/>
  <c r="G11" i="10"/>
  <c r="F11" i="10"/>
  <c r="C11" i="10"/>
  <c r="E11" i="10"/>
  <c r="D11" i="10"/>
  <c r="Q127" i="11"/>
  <c r="F18" i="3"/>
  <c r="G18" i="3"/>
  <c r="E18" i="3"/>
  <c r="D18" i="3"/>
  <c r="C18" i="3"/>
  <c r="U48" i="11"/>
  <c r="U60" i="11"/>
  <c r="R132" i="11"/>
  <c r="T38" i="11"/>
  <c r="Q18" i="11"/>
  <c r="S111" i="11"/>
  <c r="R180" i="11"/>
  <c r="R117" i="11"/>
  <c r="Q195" i="11"/>
  <c r="Q201" i="11"/>
  <c r="Q24" i="11"/>
  <c r="S33" i="11"/>
  <c r="T108" i="11"/>
  <c r="R113" i="11"/>
  <c r="R122" i="11"/>
  <c r="T107" i="11"/>
  <c r="U115" i="11"/>
  <c r="S34" i="8"/>
  <c r="T161" i="8"/>
  <c r="U185" i="6"/>
  <c r="T98" i="6"/>
  <c r="T123" i="6"/>
  <c r="Q64" i="6"/>
  <c r="S42" i="6"/>
  <c r="U108" i="6"/>
  <c r="R118" i="6"/>
  <c r="T184" i="6"/>
  <c r="R143" i="6"/>
  <c r="S147" i="6"/>
  <c r="C17" i="4"/>
  <c r="D17" i="4"/>
  <c r="G17" i="4"/>
  <c r="E17" i="4"/>
  <c r="F17" i="4"/>
  <c r="S190" i="4"/>
  <c r="U141" i="4"/>
  <c r="F8" i="5"/>
  <c r="E8" i="5"/>
  <c r="D8" i="5"/>
  <c r="C8" i="5"/>
  <c r="G8" i="5"/>
  <c r="G12" i="10"/>
  <c r="F12" i="10"/>
  <c r="E12" i="10"/>
  <c r="D12" i="10"/>
  <c r="C12" i="10"/>
  <c r="S119" i="11"/>
  <c r="R15" i="11"/>
  <c r="R102" i="11"/>
  <c r="U186" i="11"/>
  <c r="T123" i="11"/>
  <c r="S202" i="11"/>
  <c r="R21" i="11"/>
  <c r="T28" i="11"/>
  <c r="U90" i="11"/>
  <c r="Q113" i="11"/>
  <c r="T117" i="11"/>
  <c r="T126" i="11"/>
  <c r="Q112" i="11"/>
  <c r="U163" i="11"/>
  <c r="G7" i="6"/>
  <c r="F7" i="6"/>
  <c r="R192" i="6"/>
  <c r="R177" i="6"/>
  <c r="T153" i="6"/>
  <c r="Q130" i="6"/>
  <c r="S106" i="6"/>
  <c r="T90" i="6"/>
  <c r="S50" i="6"/>
  <c r="U26" i="6"/>
  <c r="U184" i="6"/>
  <c r="R161" i="6"/>
  <c r="T144" i="6"/>
  <c r="Q121" i="6"/>
  <c r="R106" i="6"/>
  <c r="S90" i="6"/>
  <c r="U73" i="6"/>
  <c r="Q59" i="6"/>
  <c r="T43" i="6"/>
  <c r="T183" i="6"/>
  <c r="T175" i="6"/>
  <c r="R152" i="6"/>
  <c r="T128" i="6"/>
  <c r="Q113" i="6"/>
  <c r="S81" i="6"/>
  <c r="U57" i="6"/>
  <c r="R34" i="6"/>
  <c r="R98" i="6"/>
  <c r="T91" i="6"/>
  <c r="Q84" i="6"/>
  <c r="T74" i="6"/>
  <c r="R68" i="6"/>
  <c r="S60" i="6"/>
  <c r="Q51" i="6"/>
  <c r="T44" i="6"/>
  <c r="U36" i="6"/>
  <c r="Q28" i="6"/>
  <c r="Q22" i="6"/>
  <c r="R18" i="6"/>
  <c r="S10" i="6"/>
  <c r="T6" i="6"/>
  <c r="S201" i="6"/>
  <c r="S168" i="6"/>
  <c r="U144" i="6"/>
  <c r="R114" i="6"/>
  <c r="U82" i="6"/>
  <c r="Q44" i="6"/>
  <c r="Q6" i="6"/>
  <c r="R201" i="6"/>
  <c r="Q13" i="6"/>
  <c r="T191" i="6"/>
  <c r="Q168" i="6"/>
  <c r="S144" i="6"/>
  <c r="U120" i="6"/>
  <c r="S89" i="6"/>
  <c r="U65" i="6"/>
  <c r="S26" i="6"/>
  <c r="U201" i="6"/>
  <c r="T194" i="6"/>
  <c r="S185" i="6"/>
  <c r="T177" i="6"/>
  <c r="U168" i="6"/>
  <c r="U161" i="6"/>
  <c r="Q154" i="6"/>
  <c r="R145" i="6"/>
  <c r="R138" i="6"/>
  <c r="S130" i="6"/>
  <c r="T114" i="6"/>
  <c r="U106" i="6"/>
  <c r="Q98" i="6"/>
  <c r="Q91" i="6"/>
  <c r="T83" i="6"/>
  <c r="S74" i="6"/>
  <c r="Q68" i="6"/>
  <c r="R60" i="6"/>
  <c r="U50" i="6"/>
  <c r="S44" i="6"/>
  <c r="T36" i="6"/>
  <c r="T27" i="6"/>
  <c r="Q18" i="6"/>
  <c r="R10" i="6"/>
  <c r="S6" i="6"/>
  <c r="Q67" i="6"/>
  <c r="Q177" i="6"/>
  <c r="Q201" i="6"/>
  <c r="R160" i="6"/>
  <c r="T136" i="6"/>
  <c r="Q105" i="6"/>
  <c r="T73" i="6"/>
  <c r="Q50" i="6"/>
  <c r="T201" i="6"/>
  <c r="S192" i="6"/>
  <c r="R185" i="6"/>
  <c r="S177" i="6"/>
  <c r="T168" i="6"/>
  <c r="T161" i="6"/>
  <c r="U153" i="6"/>
  <c r="Q145" i="6"/>
  <c r="Q138" i="6"/>
  <c r="R130" i="6"/>
  <c r="S121" i="6"/>
  <c r="S114" i="6"/>
  <c r="T106" i="6"/>
  <c r="U97" i="6"/>
  <c r="U90" i="6"/>
  <c r="Q83" i="6"/>
  <c r="R74" i="6"/>
  <c r="T67" i="6"/>
  <c r="Q60" i="6"/>
  <c r="T50" i="6"/>
  <c r="R44" i="6"/>
  <c r="S36" i="6"/>
  <c r="Q27" i="6"/>
  <c r="Q10" i="6"/>
  <c r="R6" i="6"/>
  <c r="Q185" i="6"/>
  <c r="S161" i="6"/>
  <c r="U137" i="6"/>
  <c r="R121" i="6"/>
  <c r="T97" i="6"/>
  <c r="Q74" i="6"/>
  <c r="T59" i="6"/>
  <c r="R36" i="6"/>
  <c r="T13" i="6"/>
  <c r="Q192" i="6"/>
  <c r="R168" i="6"/>
  <c r="S153" i="6"/>
  <c r="T137" i="6"/>
  <c r="U129" i="6"/>
  <c r="Q114" i="6"/>
  <c r="S97" i="6"/>
  <c r="T82" i="6"/>
  <c r="U66" i="6"/>
  <c r="R50" i="6"/>
  <c r="Q36" i="6"/>
  <c r="T26" i="6"/>
  <c r="R97" i="6"/>
  <c r="R42" i="6"/>
  <c r="T198" i="6"/>
  <c r="S188" i="6"/>
  <c r="T173" i="6"/>
  <c r="U162" i="6"/>
  <c r="U149" i="6"/>
  <c r="Q139" i="6"/>
  <c r="Q126" i="6"/>
  <c r="T115" i="6"/>
  <c r="R102" i="6"/>
  <c r="R89" i="6"/>
  <c r="S78" i="6"/>
  <c r="S65" i="6"/>
  <c r="T54" i="6"/>
  <c r="T41" i="6"/>
  <c r="U30" i="6"/>
  <c r="T15" i="6"/>
  <c r="U4" i="6"/>
  <c r="S197" i="6"/>
  <c r="R186" i="6"/>
  <c r="R173" i="6"/>
  <c r="S162" i="6"/>
  <c r="S149" i="6"/>
  <c r="S136" i="6"/>
  <c r="T125" i="6"/>
  <c r="T112" i="6"/>
  <c r="U101" i="6"/>
  <c r="U88" i="6"/>
  <c r="Q78" i="6"/>
  <c r="R54" i="6"/>
  <c r="R40" i="6"/>
  <c r="S30" i="6"/>
  <c r="S4" i="6"/>
  <c r="Q197" i="6"/>
  <c r="Q183" i="6"/>
  <c r="U172" i="6"/>
  <c r="T159" i="6"/>
  <c r="Q149" i="6"/>
  <c r="Q136" i="6"/>
  <c r="R125" i="6"/>
  <c r="R112" i="6"/>
  <c r="S101" i="6"/>
  <c r="U86" i="6"/>
  <c r="T77" i="6"/>
  <c r="Q63" i="6"/>
  <c r="U53" i="6"/>
  <c r="T39" i="6"/>
  <c r="R26" i="6"/>
  <c r="Q4" i="6"/>
  <c r="U196" i="6"/>
  <c r="U182" i="6"/>
  <c r="T172" i="6"/>
  <c r="Q159" i="6"/>
  <c r="U148" i="6"/>
  <c r="T135" i="6"/>
  <c r="Q125" i="6"/>
  <c r="S110" i="6"/>
  <c r="R101" i="6"/>
  <c r="T86" i="6"/>
  <c r="S77" i="6"/>
  <c r="U62" i="6"/>
  <c r="U49" i="6"/>
  <c r="Q26" i="6"/>
  <c r="U190" i="6"/>
  <c r="R178" i="6"/>
  <c r="T162" i="6"/>
  <c r="R148" i="6"/>
  <c r="Q132" i="6"/>
  <c r="T117" i="6"/>
  <c r="Q102" i="6"/>
  <c r="Q86" i="6"/>
  <c r="R72" i="6"/>
  <c r="Q56" i="6"/>
  <c r="S41" i="6"/>
  <c r="S25" i="6"/>
  <c r="Q173" i="6"/>
  <c r="S112" i="6"/>
  <c r="Q54" i="6"/>
  <c r="S172" i="6"/>
  <c r="R110" i="6"/>
  <c r="T68" i="6"/>
  <c r="R37" i="6"/>
  <c r="Q8" i="6"/>
  <c r="S189" i="6"/>
  <c r="R126" i="6"/>
  <c r="T65" i="6"/>
  <c r="T22" i="6"/>
  <c r="Q155" i="6"/>
  <c r="Q79" i="6"/>
  <c r="S32" i="6"/>
  <c r="D7" i="6"/>
  <c r="S48" i="6"/>
  <c r="U77" i="6"/>
  <c r="U104" i="6"/>
  <c r="Q61" i="6"/>
  <c r="T12" i="6"/>
  <c r="U165" i="6"/>
  <c r="T72" i="6"/>
  <c r="T190" i="6"/>
  <c r="Q175" i="6"/>
  <c r="Q160" i="6"/>
  <c r="R144" i="6"/>
  <c r="T131" i="6"/>
  <c r="S116" i="6"/>
  <c r="U85" i="6"/>
  <c r="Q72" i="6"/>
  <c r="T55" i="6"/>
  <c r="Q40" i="6"/>
  <c r="R25" i="6"/>
  <c r="S16" i="6"/>
  <c r="T4" i="6"/>
  <c r="S84" i="6"/>
  <c r="U189" i="6"/>
  <c r="U142" i="6"/>
  <c r="T126" i="6"/>
  <c r="T96" i="6"/>
  <c r="U68" i="6"/>
  <c r="S37" i="6"/>
  <c r="T167" i="6"/>
  <c r="T62" i="6"/>
  <c r="T200" i="6"/>
  <c r="S182" i="6"/>
  <c r="Q167" i="6"/>
  <c r="T154" i="6"/>
  <c r="T139" i="6"/>
  <c r="T124" i="6"/>
  <c r="S108" i="6"/>
  <c r="Q94" i="6"/>
  <c r="T48" i="6"/>
  <c r="T197" i="6"/>
  <c r="R181" i="6"/>
  <c r="U166" i="6"/>
  <c r="T120" i="6"/>
  <c r="R78" i="6"/>
  <c r="R32" i="6"/>
  <c r="S150" i="6"/>
  <c r="R61" i="6"/>
  <c r="U20" i="6"/>
  <c r="U12" i="6"/>
  <c r="T180" i="6"/>
  <c r="R73" i="6"/>
  <c r="Q31" i="6"/>
  <c r="Q119" i="6"/>
  <c r="S148" i="6"/>
  <c r="R86" i="6"/>
  <c r="U41" i="6"/>
  <c r="S190" i="6"/>
  <c r="Q174" i="6"/>
  <c r="U158" i="6"/>
  <c r="Q144" i="6"/>
  <c r="Q131" i="6"/>
  <c r="R116" i="6"/>
  <c r="Q101" i="6"/>
  <c r="U84" i="6"/>
  <c r="S70" i="6"/>
  <c r="Q55" i="6"/>
  <c r="U38" i="6"/>
  <c r="Q25" i="6"/>
  <c r="R16" i="6"/>
  <c r="U10" i="6"/>
  <c r="R4" i="6"/>
  <c r="R157" i="6"/>
  <c r="R81" i="6"/>
  <c r="T189" i="6"/>
  <c r="Q157" i="6"/>
  <c r="S126" i="6"/>
  <c r="S96" i="6"/>
  <c r="R80" i="6"/>
  <c r="T49" i="6"/>
  <c r="R172" i="6"/>
  <c r="R96" i="6"/>
  <c r="Q34" i="6"/>
  <c r="Q140" i="6"/>
  <c r="U48" i="6"/>
  <c r="E7" i="6"/>
  <c r="S196" i="6"/>
  <c r="R166" i="6"/>
  <c r="Q150" i="6"/>
  <c r="Q120" i="6"/>
  <c r="T103" i="6"/>
  <c r="R92" i="6"/>
  <c r="U60" i="6"/>
  <c r="S45" i="6"/>
  <c r="T19" i="6"/>
  <c r="S180" i="6"/>
  <c r="T149" i="6"/>
  <c r="T119" i="6"/>
  <c r="Q89" i="6"/>
  <c r="T57" i="6"/>
  <c r="T30" i="6"/>
  <c r="S12" i="6"/>
  <c r="R180" i="6"/>
  <c r="S133" i="6"/>
  <c r="T88" i="6"/>
  <c r="T56" i="6"/>
  <c r="R30" i="6"/>
  <c r="T178" i="6"/>
  <c r="T148" i="6"/>
  <c r="U118" i="6"/>
  <c r="S86" i="6"/>
  <c r="Q42" i="6"/>
  <c r="U18" i="6"/>
  <c r="Q5" i="6"/>
  <c r="Q191" i="6"/>
  <c r="S178" i="6"/>
  <c r="Q163" i="6"/>
  <c r="Q133" i="6"/>
  <c r="T118" i="6"/>
  <c r="S102" i="6"/>
  <c r="S72" i="6"/>
  <c r="R56" i="6"/>
  <c r="T25" i="6"/>
  <c r="R190" i="6"/>
  <c r="U173" i="6"/>
  <c r="T157" i="6"/>
  <c r="T143" i="6"/>
  <c r="S128" i="6"/>
  <c r="Q116" i="6"/>
  <c r="Q97" i="6"/>
  <c r="T84" i="6"/>
  <c r="R69" i="6"/>
  <c r="U54" i="6"/>
  <c r="T38" i="6"/>
  <c r="U24" i="6"/>
  <c r="Q16" i="6"/>
  <c r="Q9" i="6"/>
  <c r="Q190" i="6"/>
  <c r="S173" i="6"/>
  <c r="S157" i="6"/>
  <c r="Q143" i="6"/>
  <c r="U126" i="6"/>
  <c r="U112" i="6"/>
  <c r="U96" i="6"/>
  <c r="Q69" i="6"/>
  <c r="S54" i="6"/>
  <c r="T37" i="6"/>
  <c r="T23" i="6"/>
  <c r="T142" i="6"/>
  <c r="U22" i="6"/>
  <c r="U156" i="6"/>
  <c r="S142" i="6"/>
  <c r="Q110" i="6"/>
  <c r="Q80" i="6"/>
  <c r="S49" i="6"/>
  <c r="S186" i="6"/>
  <c r="Q172" i="6"/>
  <c r="T156" i="6"/>
  <c r="R142" i="6"/>
  <c r="U125" i="6"/>
  <c r="U109" i="6"/>
  <c r="Q96" i="6"/>
  <c r="T79" i="6"/>
  <c r="R65" i="6"/>
  <c r="R49" i="6"/>
  <c r="Q33" i="6"/>
  <c r="S22" i="6"/>
  <c r="T203" i="6"/>
  <c r="Q186" i="6"/>
  <c r="T171" i="6"/>
  <c r="R141" i="6"/>
  <c r="S125" i="6"/>
  <c r="T109" i="6"/>
  <c r="T95" i="6"/>
  <c r="Q49" i="6"/>
  <c r="U32" i="6"/>
  <c r="Q15" i="6"/>
  <c r="U200" i="6"/>
  <c r="T182" i="6"/>
  <c r="U154" i="6"/>
  <c r="U124" i="6"/>
  <c r="S109" i="6"/>
  <c r="Q95" i="6"/>
  <c r="U78" i="6"/>
  <c r="T32" i="6"/>
  <c r="T78" i="6"/>
  <c r="Q152" i="6"/>
  <c r="U138" i="6"/>
  <c r="R108" i="6"/>
  <c r="U92" i="6"/>
  <c r="R62" i="6"/>
  <c r="C7" i="6"/>
  <c r="R197" i="6"/>
  <c r="Q181" i="6"/>
  <c r="T166" i="6"/>
  <c r="R136" i="6"/>
  <c r="S120" i="6"/>
  <c r="Q108" i="6"/>
  <c r="T92" i="6"/>
  <c r="U46" i="6"/>
  <c r="Q32" i="6"/>
  <c r="T196" i="6"/>
  <c r="U180" i="6"/>
  <c r="S166" i="6"/>
  <c r="R150" i="6"/>
  <c r="Q134" i="6"/>
  <c r="R120" i="6"/>
  <c r="S92" i="6"/>
  <c r="S73" i="6"/>
  <c r="T45" i="6"/>
  <c r="T31" i="6"/>
  <c r="U133" i="6"/>
  <c r="R196" i="6"/>
  <c r="Q166" i="6"/>
  <c r="T133" i="6"/>
  <c r="Q103" i="6"/>
  <c r="Q73" i="6"/>
  <c r="R45" i="6"/>
  <c r="Q19" i="6"/>
  <c r="Q196" i="6"/>
  <c r="R149" i="6"/>
  <c r="U102" i="6"/>
  <c r="U72" i="6"/>
  <c r="Q45" i="6"/>
  <c r="R12" i="6"/>
  <c r="T195" i="6"/>
  <c r="U164" i="6"/>
  <c r="R133" i="6"/>
  <c r="T102" i="6"/>
  <c r="S56" i="6"/>
  <c r="U25" i="6"/>
  <c r="T18" i="6"/>
  <c r="U151" i="6"/>
  <c r="U71" i="6"/>
  <c r="U7" i="6"/>
  <c r="S131" i="6"/>
  <c r="S51" i="6"/>
  <c r="R191" i="6"/>
  <c r="R111" i="6"/>
  <c r="T165" i="6"/>
  <c r="T71" i="6"/>
  <c r="T174" i="6"/>
  <c r="U80" i="6"/>
  <c r="R184" i="6"/>
  <c r="U89" i="6"/>
  <c r="R193" i="6"/>
  <c r="U98" i="6"/>
  <c r="S200" i="6"/>
  <c r="S82" i="6"/>
  <c r="R194" i="6"/>
  <c r="U76" i="6"/>
  <c r="Q194" i="6"/>
  <c r="T76" i="6"/>
  <c r="Q193" i="6"/>
  <c r="Q75" i="6"/>
  <c r="S98" i="6"/>
  <c r="Q92" i="6"/>
  <c r="U63" i="6"/>
  <c r="S123" i="6"/>
  <c r="R183" i="6"/>
  <c r="R23" i="6"/>
  <c r="Q62" i="6"/>
  <c r="Q71" i="6"/>
  <c r="T80" i="6"/>
  <c r="T89" i="6"/>
  <c r="R70" i="6"/>
  <c r="T64" i="6"/>
  <c r="S64" i="6"/>
  <c r="R64" i="6"/>
  <c r="T107" i="6"/>
  <c r="U59" i="6"/>
  <c r="S66" i="6"/>
  <c r="Q85" i="6"/>
  <c r="T176" i="6"/>
  <c r="S176" i="6"/>
  <c r="R176" i="6"/>
  <c r="S69" i="6"/>
  <c r="U135" i="6"/>
  <c r="S115" i="6"/>
  <c r="R175" i="6"/>
  <c r="R19" i="6"/>
  <c r="U52" i="6"/>
  <c r="U61" i="6"/>
  <c r="U70" i="6"/>
  <c r="S80" i="6"/>
  <c r="U58" i="6"/>
  <c r="R53" i="6"/>
  <c r="Q53" i="6"/>
  <c r="Q52" i="6"/>
  <c r="S124" i="6"/>
  <c r="U51" i="6"/>
  <c r="S111" i="6"/>
  <c r="R17" i="6"/>
  <c r="R48" i="6"/>
  <c r="R57" i="6"/>
  <c r="R66" i="6"/>
  <c r="T75" i="6"/>
  <c r="S53" i="6"/>
  <c r="S46" i="6"/>
  <c r="R46" i="6"/>
  <c r="Q46" i="6"/>
  <c r="U130" i="6"/>
  <c r="U147" i="6"/>
  <c r="U67" i="6"/>
  <c r="U5" i="6"/>
  <c r="S127" i="6"/>
  <c r="S47" i="6"/>
  <c r="R187" i="6"/>
  <c r="R107" i="6"/>
  <c r="R27" i="6"/>
  <c r="Q161" i="6"/>
  <c r="T66" i="6"/>
  <c r="Q170" i="6"/>
  <c r="R76" i="6"/>
  <c r="Q179" i="6"/>
  <c r="R85" i="6"/>
  <c r="T188" i="6"/>
  <c r="R94" i="6"/>
  <c r="S194" i="6"/>
  <c r="Q77" i="6"/>
  <c r="Q188" i="6"/>
  <c r="Q70" i="6"/>
  <c r="T187" i="6"/>
  <c r="U69" i="6"/>
  <c r="Q187" i="6"/>
  <c r="T69" i="6"/>
  <c r="Q93" i="6"/>
  <c r="U100" i="6"/>
  <c r="U143" i="6"/>
  <c r="S203" i="6"/>
  <c r="S43" i="6"/>
  <c r="R103" i="6"/>
  <c r="S156" i="6"/>
  <c r="S165" i="6"/>
  <c r="S174" i="6"/>
  <c r="Q184" i="6"/>
  <c r="R188" i="6"/>
  <c r="Q182" i="6"/>
  <c r="U181" i="6"/>
  <c r="T181" i="6"/>
  <c r="T81" i="6"/>
  <c r="U139" i="6"/>
  <c r="S199" i="6"/>
  <c r="S119" i="6"/>
  <c r="S39" i="6"/>
  <c r="R179" i="6"/>
  <c r="R99" i="6"/>
  <c r="R21" i="6"/>
  <c r="T151" i="6"/>
  <c r="S57" i="6"/>
  <c r="U160" i="6"/>
  <c r="U169" i="6"/>
  <c r="Q76" i="6"/>
  <c r="U178" i="6"/>
  <c r="R182" i="6"/>
  <c r="U64" i="6"/>
  <c r="T58" i="6"/>
  <c r="S58" i="6"/>
  <c r="R58" i="6"/>
  <c r="Q115" i="6"/>
  <c r="U55" i="6"/>
  <c r="S195" i="6"/>
  <c r="S35" i="6"/>
  <c r="R95" i="6"/>
  <c r="T146" i="6"/>
  <c r="R156" i="6"/>
  <c r="R165" i="6"/>
  <c r="R174" i="6"/>
  <c r="U176" i="6"/>
  <c r="T170" i="6"/>
  <c r="S170" i="6"/>
  <c r="S169" i="6"/>
  <c r="T51" i="6"/>
  <c r="U131" i="6"/>
  <c r="S191" i="6"/>
  <c r="S31" i="6"/>
  <c r="R91" i="6"/>
  <c r="Q142" i="6"/>
  <c r="Q151" i="6"/>
  <c r="T160" i="6"/>
  <c r="T169" i="6"/>
  <c r="U170" i="6"/>
  <c r="S164" i="6"/>
  <c r="R164" i="6"/>
  <c r="Q164" i="6"/>
  <c r="S40" i="6"/>
  <c r="U127" i="6"/>
  <c r="S187" i="6"/>
  <c r="S27" i="6"/>
  <c r="R87" i="6"/>
  <c r="S137" i="6"/>
  <c r="S146" i="6"/>
  <c r="Q156" i="6"/>
  <c r="Q165" i="6"/>
  <c r="T164" i="6"/>
  <c r="S158" i="6"/>
  <c r="R158" i="6"/>
  <c r="Q158" i="6"/>
  <c r="R28" i="6"/>
  <c r="S103" i="6"/>
  <c r="R83" i="6"/>
  <c r="U132" i="6"/>
  <c r="Q57" i="6"/>
  <c r="Q66" i="6"/>
  <c r="R41" i="6"/>
  <c r="Q35" i="6"/>
  <c r="U34" i="6"/>
  <c r="T34" i="6"/>
  <c r="Q148" i="6"/>
  <c r="U114" i="6"/>
  <c r="U199" i="6"/>
  <c r="U119" i="6"/>
  <c r="U39" i="6"/>
  <c r="S179" i="6"/>
  <c r="S99" i="6"/>
  <c r="S21" i="6"/>
  <c r="R159" i="6"/>
  <c r="R79" i="6"/>
  <c r="R11" i="6"/>
  <c r="R128" i="6"/>
  <c r="U33" i="6"/>
  <c r="R137" i="6"/>
  <c r="U42" i="6"/>
  <c r="R146" i="6"/>
  <c r="S52" i="6"/>
  <c r="T155" i="6"/>
  <c r="S61" i="6"/>
  <c r="R153" i="6"/>
  <c r="T35" i="6"/>
  <c r="Q147" i="6"/>
  <c r="T29" i="6"/>
  <c r="U146" i="6"/>
  <c r="S29" i="6"/>
  <c r="U145" i="6"/>
  <c r="S28" i="6"/>
  <c r="S154" i="6"/>
  <c r="U121" i="6"/>
  <c r="U115" i="6"/>
  <c r="S95" i="6"/>
  <c r="R155" i="6"/>
  <c r="R9" i="6"/>
  <c r="R29" i="6"/>
  <c r="R38" i="6"/>
  <c r="T47" i="6"/>
  <c r="U56" i="6"/>
  <c r="U29" i="6"/>
  <c r="S20" i="6"/>
  <c r="R20" i="6"/>
  <c r="Q20" i="6"/>
  <c r="R162" i="6"/>
  <c r="S171" i="6"/>
  <c r="R151" i="6"/>
  <c r="T24" i="6"/>
  <c r="T42" i="6"/>
  <c r="Q23" i="6"/>
  <c r="T17" i="6"/>
  <c r="Q171" i="6"/>
  <c r="U107" i="6"/>
  <c r="S167" i="6"/>
  <c r="S15" i="6"/>
  <c r="R67" i="6"/>
  <c r="T14" i="6"/>
  <c r="Q29" i="6"/>
  <c r="S141" i="6"/>
  <c r="Q135" i="6"/>
  <c r="R129" i="6"/>
  <c r="S8" i="6"/>
  <c r="U47" i="6"/>
  <c r="S107" i="6"/>
  <c r="R167" i="6"/>
  <c r="R15" i="6"/>
  <c r="Q43" i="6"/>
  <c r="T52" i="6"/>
  <c r="T61" i="6"/>
  <c r="T70" i="6"/>
  <c r="T46" i="6"/>
  <c r="Q41" i="6"/>
  <c r="U40" i="6"/>
  <c r="T40" i="6"/>
  <c r="T138" i="6"/>
  <c r="Q107" i="6"/>
  <c r="U203" i="6"/>
  <c r="U123" i="6"/>
  <c r="U43" i="6"/>
  <c r="S183" i="6"/>
  <c r="S23" i="6"/>
  <c r="R163" i="6"/>
  <c r="R13" i="6"/>
  <c r="S38" i="6"/>
  <c r="Q48" i="6"/>
  <c r="U150" i="6"/>
  <c r="S160" i="6"/>
  <c r="T158" i="6"/>
  <c r="Q153" i="6"/>
  <c r="U152" i="6"/>
  <c r="T152" i="6"/>
  <c r="T5" i="6"/>
  <c r="U6" i="6"/>
  <c r="Q202" i="6"/>
  <c r="U195" i="6"/>
  <c r="U35" i="6"/>
  <c r="S175" i="6"/>
  <c r="S19" i="6"/>
  <c r="R75" i="6"/>
  <c r="Q123" i="6"/>
  <c r="T132" i="6"/>
  <c r="T141" i="6"/>
  <c r="T150" i="6"/>
  <c r="T147" i="6"/>
  <c r="U140" i="6"/>
  <c r="T140" i="6"/>
  <c r="S140" i="6"/>
  <c r="T10" i="6"/>
  <c r="U111" i="6"/>
  <c r="R71" i="6"/>
  <c r="Q128" i="6"/>
  <c r="Q146" i="6"/>
  <c r="U134" i="6"/>
  <c r="S134" i="6"/>
  <c r="S138" i="6"/>
  <c r="U187" i="6"/>
  <c r="U27" i="6"/>
  <c r="S87" i="6"/>
  <c r="R147" i="6"/>
  <c r="U113" i="6"/>
  <c r="U122" i="6"/>
  <c r="S132" i="6"/>
  <c r="Q47" i="6"/>
  <c r="U8" i="6"/>
  <c r="Q129" i="6"/>
  <c r="Q178" i="6"/>
  <c r="S91" i="6"/>
  <c r="S118" i="6"/>
  <c r="Q137" i="6"/>
  <c r="Q141" i="6"/>
  <c r="T134" i="6"/>
  <c r="S18" i="6"/>
  <c r="R5" i="6"/>
  <c r="Q38" i="6"/>
  <c r="S129" i="6"/>
  <c r="U14" i="6"/>
  <c r="R22" i="6"/>
  <c r="T130" i="6"/>
  <c r="U191" i="6"/>
  <c r="U31" i="6"/>
  <c r="S17" i="6"/>
  <c r="R7" i="6"/>
  <c r="T33" i="6"/>
  <c r="R52" i="6"/>
  <c r="T11" i="6"/>
  <c r="Q17" i="6"/>
  <c r="T20" i="6"/>
  <c r="R84" i="6"/>
  <c r="S105" i="6"/>
  <c r="Q200" i="6"/>
  <c r="Q87" i="6"/>
  <c r="Q104" i="6"/>
  <c r="S113" i="6"/>
  <c r="T179" i="6"/>
  <c r="R189" i="6"/>
  <c r="R195" i="6"/>
  <c r="S151" i="6"/>
  <c r="U155" i="6"/>
  <c r="G18" i="4"/>
  <c r="E18" i="4"/>
  <c r="C18" i="4"/>
  <c r="D18" i="4"/>
  <c r="F18" i="4"/>
  <c r="R171" i="4"/>
  <c r="C9" i="5"/>
  <c r="F9" i="5"/>
  <c r="D9" i="5"/>
  <c r="E9" i="5"/>
  <c r="G9" i="5"/>
  <c r="G13" i="10"/>
  <c r="F13" i="10"/>
  <c r="E13" i="10"/>
  <c r="D13" i="10"/>
  <c r="C13" i="10"/>
  <c r="F21" i="9"/>
  <c r="E21" i="9"/>
  <c r="G21" i="9"/>
  <c r="D21" i="9"/>
  <c r="C21" i="9"/>
  <c r="S57" i="8"/>
  <c r="U128" i="6"/>
  <c r="R14" i="6"/>
  <c r="S63" i="6"/>
  <c r="U170" i="11"/>
  <c r="Q202" i="11"/>
  <c r="Q95" i="11"/>
  <c r="R30" i="11"/>
  <c r="T42" i="11"/>
  <c r="T187" i="11"/>
  <c r="T145" i="6"/>
  <c r="S100" i="6"/>
  <c r="S24" i="6"/>
  <c r="S67" i="6"/>
  <c r="S162" i="11"/>
  <c r="S6" i="11"/>
  <c r="T100" i="11"/>
  <c r="S4" i="11"/>
  <c r="S42" i="11"/>
  <c r="T46" i="11"/>
  <c r="T191" i="11"/>
  <c r="T148" i="8"/>
  <c r="Q82" i="6"/>
  <c r="T9" i="6"/>
  <c r="S85" i="6"/>
  <c r="S71" i="6"/>
  <c r="R108" i="4"/>
  <c r="T92" i="4"/>
  <c r="T139" i="4"/>
  <c r="Q161" i="4"/>
  <c r="U131" i="4"/>
  <c r="G14" i="7"/>
  <c r="E14" i="7"/>
  <c r="C14" i="7"/>
  <c r="F14" i="7"/>
  <c r="D14" i="7"/>
  <c r="S175" i="8"/>
  <c r="R153" i="11"/>
  <c r="T11" i="11"/>
  <c r="U6" i="11"/>
  <c r="R169" i="6"/>
  <c r="Q88" i="6"/>
  <c r="T111" i="6"/>
  <c r="R24" i="6"/>
  <c r="Q90" i="6"/>
  <c r="Q100" i="6"/>
  <c r="R119" i="6"/>
  <c r="S75" i="6"/>
  <c r="U79" i="6"/>
  <c r="S115" i="4"/>
  <c r="R128" i="4"/>
  <c r="R113" i="4"/>
  <c r="R61" i="4"/>
  <c r="S98" i="4"/>
  <c r="T77" i="4"/>
  <c r="U143" i="4"/>
  <c r="Q127" i="4"/>
  <c r="R165" i="4"/>
  <c r="Q136" i="4"/>
  <c r="R143" i="4"/>
  <c r="G9" i="10"/>
  <c r="F9" i="10"/>
  <c r="E9" i="10"/>
  <c r="D9" i="10"/>
  <c r="C9" i="10"/>
  <c r="E7" i="11"/>
  <c r="C7" i="11"/>
  <c r="D7" i="11"/>
  <c r="U197" i="11"/>
  <c r="T188" i="11"/>
  <c r="Q179" i="11"/>
  <c r="S170" i="11"/>
  <c r="Q162" i="11"/>
  <c r="U152" i="11"/>
  <c r="S142" i="11"/>
  <c r="R134" i="11"/>
  <c r="U125" i="11"/>
  <c r="U118" i="11"/>
  <c r="R197" i="11"/>
  <c r="U185" i="11"/>
  <c r="R175" i="11"/>
  <c r="Q163" i="11"/>
  <c r="R152" i="11"/>
  <c r="T140" i="11"/>
  <c r="R130" i="11"/>
  <c r="Q120" i="11"/>
  <c r="R109" i="11"/>
  <c r="T99" i="11"/>
  <c r="Q90" i="11"/>
  <c r="R82" i="11"/>
  <c r="T73" i="11"/>
  <c r="U63" i="11"/>
  <c r="T55" i="11"/>
  <c r="Q46" i="11"/>
  <c r="R39" i="11"/>
  <c r="T29" i="11"/>
  <c r="S22" i="11"/>
  <c r="S14" i="11"/>
  <c r="U7" i="11"/>
  <c r="Q197" i="11"/>
  <c r="S185" i="11"/>
  <c r="Q175" i="11"/>
  <c r="U162" i="11"/>
  <c r="U150" i="11"/>
  <c r="S139" i="11"/>
  <c r="R129" i="11"/>
  <c r="T119" i="11"/>
  <c r="S108" i="11"/>
  <c r="R99" i="11"/>
  <c r="U89" i="11"/>
  <c r="Q82" i="11"/>
  <c r="S73" i="11"/>
  <c r="Q54" i="11"/>
  <c r="U45" i="11"/>
  <c r="S29" i="11"/>
  <c r="R22" i="11"/>
  <c r="R14" i="11"/>
  <c r="T7" i="11"/>
  <c r="U196" i="11"/>
  <c r="R185" i="11"/>
  <c r="R174" i="11"/>
  <c r="U161" i="11"/>
  <c r="T150" i="11"/>
  <c r="R139" i="11"/>
  <c r="Q129" i="11"/>
  <c r="T118" i="11"/>
  <c r="R108" i="11"/>
  <c r="Q99" i="11"/>
  <c r="T89" i="11"/>
  <c r="U81" i="11"/>
  <c r="S72" i="11"/>
  <c r="S63" i="11"/>
  <c r="U53" i="11"/>
  <c r="T45" i="11"/>
  <c r="U38" i="11"/>
  <c r="R29" i="11"/>
  <c r="Q14" i="11"/>
  <c r="U10" i="11"/>
  <c r="S7" i="11"/>
  <c r="T196" i="11"/>
  <c r="Q185" i="11"/>
  <c r="Q174" i="11"/>
  <c r="T161" i="11"/>
  <c r="S149" i="11"/>
  <c r="Q139" i="11"/>
  <c r="T128" i="11"/>
  <c r="S118" i="11"/>
  <c r="Q108" i="11"/>
  <c r="U98" i="11"/>
  <c r="S89" i="11"/>
  <c r="T81" i="11"/>
  <c r="Q70" i="11"/>
  <c r="R63" i="11"/>
  <c r="T53" i="11"/>
  <c r="S45" i="11"/>
  <c r="S36" i="11"/>
  <c r="Q29" i="11"/>
  <c r="U17" i="11"/>
  <c r="S10" i="11"/>
  <c r="R7" i="11"/>
  <c r="S191" i="11"/>
  <c r="S176" i="11"/>
  <c r="S161" i="11"/>
  <c r="R147" i="11"/>
  <c r="T133" i="11"/>
  <c r="S122" i="11"/>
  <c r="S107" i="11"/>
  <c r="Q97" i="11"/>
  <c r="R86" i="11"/>
  <c r="Q75" i="11"/>
  <c r="Q63" i="11"/>
  <c r="T52" i="11"/>
  <c r="U40" i="11"/>
  <c r="Q31" i="11"/>
  <c r="U16" i="11"/>
  <c r="S203" i="11"/>
  <c r="R191" i="11"/>
  <c r="R176" i="11"/>
  <c r="S159" i="11"/>
  <c r="Q147" i="11"/>
  <c r="S133" i="11"/>
  <c r="U120" i="11"/>
  <c r="R107" i="11"/>
  <c r="U96" i="11"/>
  <c r="S84" i="11"/>
  <c r="R74" i="11"/>
  <c r="U62" i="11"/>
  <c r="T51" i="11"/>
  <c r="T40" i="11"/>
  <c r="U30" i="11"/>
  <c r="U20" i="11"/>
  <c r="T16" i="11"/>
  <c r="Q203" i="11"/>
  <c r="S188" i="11"/>
  <c r="Q176" i="11"/>
  <c r="Q159" i="11"/>
  <c r="U146" i="11"/>
  <c r="R133" i="11"/>
  <c r="T120" i="11"/>
  <c r="Q107" i="11"/>
  <c r="T96" i="11"/>
  <c r="R84" i="11"/>
  <c r="Q74" i="11"/>
  <c r="Q62" i="11"/>
  <c r="S51" i="11"/>
  <c r="S40" i="11"/>
  <c r="Q30" i="11"/>
  <c r="T20" i="11"/>
  <c r="S16" i="11"/>
  <c r="Q12" i="11"/>
  <c r="U202" i="11"/>
  <c r="R188" i="11"/>
  <c r="S175" i="11"/>
  <c r="T158" i="11"/>
  <c r="T146" i="11"/>
  <c r="U132" i="11"/>
  <c r="R120" i="11"/>
  <c r="U106" i="11"/>
  <c r="U94" i="11"/>
  <c r="Q84" i="11"/>
  <c r="U73" i="11"/>
  <c r="U61" i="11"/>
  <c r="R51" i="11"/>
  <c r="R40" i="11"/>
  <c r="U29" i="11"/>
  <c r="S20" i="11"/>
  <c r="T202" i="11"/>
  <c r="Q188" i="11"/>
  <c r="U173" i="11"/>
  <c r="S158" i="11"/>
  <c r="S146" i="11"/>
  <c r="T132" i="11"/>
  <c r="R118" i="11"/>
  <c r="T106" i="11"/>
  <c r="Q94" i="11"/>
  <c r="U83" i="11"/>
  <c r="U69" i="11"/>
  <c r="Q60" i="11"/>
  <c r="Q51" i="11"/>
  <c r="Q40" i="11"/>
  <c r="Q28" i="11"/>
  <c r="R20" i="11"/>
  <c r="S200" i="11"/>
  <c r="R182" i="11"/>
  <c r="S164" i="11"/>
  <c r="Q142" i="11"/>
  <c r="R125" i="11"/>
  <c r="S112" i="11"/>
  <c r="S93" i="11"/>
  <c r="T77" i="11"/>
  <c r="S48" i="11"/>
  <c r="U34" i="11"/>
  <c r="Q11" i="11"/>
  <c r="U5" i="11"/>
  <c r="R200" i="11"/>
  <c r="Q182" i="11"/>
  <c r="R164" i="11"/>
  <c r="Q125" i="11"/>
  <c r="T109" i="11"/>
  <c r="R93" i="11"/>
  <c r="S77" i="11"/>
  <c r="U64" i="11"/>
  <c r="R48" i="11"/>
  <c r="Q34" i="11"/>
  <c r="U22" i="11"/>
  <c r="U15" i="11"/>
  <c r="R10" i="11"/>
  <c r="T5" i="11"/>
  <c r="T198" i="11"/>
  <c r="U178" i="11"/>
  <c r="S163" i="11"/>
  <c r="S141" i="11"/>
  <c r="U124" i="11"/>
  <c r="S109" i="11"/>
  <c r="Q93" i="11"/>
  <c r="R77" i="11"/>
  <c r="T64" i="11"/>
  <c r="Q48" i="11"/>
  <c r="U33" i="11"/>
  <c r="T22" i="11"/>
  <c r="T15" i="11"/>
  <c r="Q10" i="11"/>
  <c r="S5" i="11"/>
  <c r="T197" i="11"/>
  <c r="T178" i="11"/>
  <c r="S157" i="11"/>
  <c r="Q141" i="11"/>
  <c r="S124" i="11"/>
  <c r="S106" i="11"/>
  <c r="U92" i="11"/>
  <c r="Q77" i="11"/>
  <c r="U59" i="11"/>
  <c r="Q47" i="11"/>
  <c r="T33" i="11"/>
  <c r="Q20" i="11"/>
  <c r="R5" i="11"/>
  <c r="U200" i="11"/>
  <c r="Q177" i="11"/>
  <c r="Q156" i="11"/>
  <c r="R131" i="11"/>
  <c r="U112" i="11"/>
  <c r="Q89" i="11"/>
  <c r="R69" i="11"/>
  <c r="S53" i="11"/>
  <c r="U35" i="11"/>
  <c r="Q7" i="11"/>
  <c r="T200" i="11"/>
  <c r="T176" i="11"/>
  <c r="T153" i="11"/>
  <c r="S197" i="11"/>
  <c r="T152" i="11"/>
  <c r="S128" i="11"/>
  <c r="S105" i="11"/>
  <c r="T88" i="11"/>
  <c r="U68" i="11"/>
  <c r="Q53" i="11"/>
  <c r="T32" i="11"/>
  <c r="U13" i="11"/>
  <c r="F7" i="11"/>
  <c r="S196" i="11"/>
  <c r="R170" i="11"/>
  <c r="S152" i="11"/>
  <c r="R128" i="11"/>
  <c r="R105" i="11"/>
  <c r="S88" i="11"/>
  <c r="T68" i="11"/>
  <c r="U52" i="11"/>
  <c r="S32" i="11"/>
  <c r="U19" i="11"/>
  <c r="T13" i="11"/>
  <c r="R193" i="11"/>
  <c r="S169" i="11"/>
  <c r="R149" i="11"/>
  <c r="T125" i="11"/>
  <c r="Q105" i="11"/>
  <c r="U86" i="11"/>
  <c r="S68" i="11"/>
  <c r="U50" i="11"/>
  <c r="R32" i="11"/>
  <c r="T19" i="11"/>
  <c r="S177" i="11"/>
  <c r="R142" i="11"/>
  <c r="U114" i="11"/>
  <c r="T93" i="11"/>
  <c r="R68" i="11"/>
  <c r="U44" i="11"/>
  <c r="S24" i="11"/>
  <c r="R8" i="11"/>
  <c r="R169" i="11"/>
  <c r="U140" i="11"/>
  <c r="T114" i="11"/>
  <c r="T92" i="11"/>
  <c r="Q68" i="11"/>
  <c r="T44" i="11"/>
  <c r="S23" i="11"/>
  <c r="Q8" i="11"/>
  <c r="Q169" i="11"/>
  <c r="U138" i="11"/>
  <c r="S114" i="11"/>
  <c r="R89" i="11"/>
  <c r="U67" i="11"/>
  <c r="S44" i="11"/>
  <c r="R23" i="11"/>
  <c r="U14" i="11"/>
  <c r="G7" i="11"/>
  <c r="U168" i="11"/>
  <c r="T138" i="11"/>
  <c r="R114" i="11"/>
  <c r="U88" i="11"/>
  <c r="S65" i="11"/>
  <c r="R44" i="11"/>
  <c r="Q23" i="11"/>
  <c r="T14" i="11"/>
  <c r="T168" i="11"/>
  <c r="S138" i="11"/>
  <c r="Q114" i="11"/>
  <c r="T86" i="11"/>
  <c r="R65" i="11"/>
  <c r="U41" i="11"/>
  <c r="Q193" i="11"/>
  <c r="Q157" i="11"/>
  <c r="T122" i="11"/>
  <c r="T83" i="11"/>
  <c r="U57" i="11"/>
  <c r="Q26" i="11"/>
  <c r="U192" i="11"/>
  <c r="U156" i="11"/>
  <c r="S115" i="11"/>
  <c r="T82" i="11"/>
  <c r="R56" i="11"/>
  <c r="Q25" i="11"/>
  <c r="T192" i="11"/>
  <c r="T156" i="11"/>
  <c r="R115" i="11"/>
  <c r="S82" i="11"/>
  <c r="Q56" i="11"/>
  <c r="U24" i="11"/>
  <c r="Q5" i="11"/>
  <c r="Q13" i="11"/>
  <c r="S192" i="11"/>
  <c r="S156" i="11"/>
  <c r="Q115" i="11"/>
  <c r="S81" i="11"/>
  <c r="U55" i="11"/>
  <c r="T24" i="11"/>
  <c r="R192" i="11"/>
  <c r="R156" i="11"/>
  <c r="U113" i="11"/>
  <c r="S80" i="11"/>
  <c r="R53" i="11"/>
  <c r="R13" i="11"/>
  <c r="Q192" i="11"/>
  <c r="R148" i="11"/>
  <c r="T113" i="11"/>
  <c r="Q78" i="11"/>
  <c r="T48" i="11"/>
  <c r="R184" i="11"/>
  <c r="S130" i="11"/>
  <c r="U76" i="11"/>
  <c r="R36" i="11"/>
  <c r="Q27" i="11"/>
  <c r="S167" i="11"/>
  <c r="U104" i="11"/>
  <c r="U26" i="11"/>
  <c r="U182" i="11"/>
  <c r="S125" i="11"/>
  <c r="T76" i="11"/>
  <c r="Q36" i="11"/>
  <c r="T112" i="11"/>
  <c r="Q69" i="11"/>
  <c r="T182" i="11"/>
  <c r="R124" i="11"/>
  <c r="T75" i="11"/>
  <c r="T35" i="11"/>
  <c r="R168" i="11"/>
  <c r="S69" i="11"/>
  <c r="S182" i="11"/>
  <c r="Q123" i="11"/>
  <c r="R75" i="11"/>
  <c r="Q32" i="11"/>
  <c r="S178" i="11"/>
  <c r="U122" i="11"/>
  <c r="T69" i="11"/>
  <c r="R27" i="11"/>
  <c r="R167" i="11"/>
  <c r="S98" i="11"/>
  <c r="AF4" i="11" a="1"/>
  <c r="U166" i="11"/>
  <c r="R97" i="11"/>
  <c r="U4" i="11"/>
  <c r="Q148" i="11"/>
  <c r="S86" i="11"/>
  <c r="S19" i="11"/>
  <c r="Q4" i="11"/>
  <c r="S147" i="11"/>
  <c r="U77" i="11"/>
  <c r="S18" i="11"/>
  <c r="T135" i="11"/>
  <c r="R45" i="11"/>
  <c r="S100" i="11"/>
  <c r="T186" i="11"/>
  <c r="U93" i="11"/>
  <c r="R9" i="11"/>
  <c r="Q134" i="11"/>
  <c r="Q45" i="11"/>
  <c r="U101" i="11"/>
  <c r="T17" i="11"/>
  <c r="U133" i="11"/>
  <c r="Q41" i="11"/>
  <c r="S9" i="11"/>
  <c r="R186" i="11"/>
  <c r="S59" i="11"/>
  <c r="R17" i="11"/>
  <c r="Q167" i="11"/>
  <c r="R59" i="11"/>
  <c r="S131" i="11"/>
  <c r="U39" i="11"/>
  <c r="U102" i="11"/>
  <c r="T39" i="11"/>
  <c r="Q102" i="11"/>
  <c r="S39" i="11"/>
  <c r="T4" i="11"/>
  <c r="S101" i="11"/>
  <c r="T98" i="11"/>
  <c r="R98" i="11"/>
  <c r="S186" i="11"/>
  <c r="T59" i="11"/>
  <c r="S17" i="11"/>
  <c r="T8" i="11"/>
  <c r="R157" i="11"/>
  <c r="Q59" i="11"/>
  <c r="R146" i="11"/>
  <c r="U58" i="11"/>
  <c r="R138" i="11"/>
  <c r="Q58" i="11"/>
  <c r="Q138" i="11"/>
  <c r="U46" i="11"/>
  <c r="U159" i="11"/>
  <c r="T183" i="11"/>
  <c r="Q164" i="11"/>
  <c r="S79" i="11"/>
  <c r="T194" i="11"/>
  <c r="R100" i="11"/>
  <c r="R194" i="11"/>
  <c r="Q100" i="11"/>
  <c r="Q194" i="11"/>
  <c r="U99" i="11"/>
  <c r="R196" i="11"/>
  <c r="Q86" i="11"/>
  <c r="Q196" i="11"/>
  <c r="U85" i="11"/>
  <c r="S195" i="11"/>
  <c r="T85" i="11"/>
  <c r="S171" i="11"/>
  <c r="T65" i="11"/>
  <c r="T173" i="11"/>
  <c r="Q44" i="11"/>
  <c r="R110" i="11"/>
  <c r="Q187" i="11"/>
  <c r="Q55" i="11"/>
  <c r="R123" i="11"/>
  <c r="T9" i="11"/>
  <c r="R162" i="11"/>
  <c r="T27" i="11"/>
  <c r="U190" i="11"/>
  <c r="Q128" i="11"/>
  <c r="U155" i="11"/>
  <c r="T179" i="11"/>
  <c r="R159" i="11"/>
  <c r="S75" i="11"/>
  <c r="T189" i="11"/>
  <c r="Q96" i="11"/>
  <c r="S189" i="11"/>
  <c r="U95" i="11"/>
  <c r="R189" i="11"/>
  <c r="T95" i="11"/>
  <c r="R190" i="11"/>
  <c r="R81" i="11"/>
  <c r="U189" i="11"/>
  <c r="Q81" i="11"/>
  <c r="Q189" i="11"/>
  <c r="U80" i="11"/>
  <c r="Q166" i="11"/>
  <c r="Q61" i="11"/>
  <c r="U165" i="11"/>
  <c r="R37" i="11"/>
  <c r="T103" i="11"/>
  <c r="S180" i="11"/>
  <c r="U116" i="11"/>
  <c r="R12" i="11"/>
  <c r="T170" i="11"/>
  <c r="R35" i="11"/>
  <c r="R198" i="11"/>
  <c r="U134" i="11"/>
  <c r="U151" i="11"/>
  <c r="T175" i="11"/>
  <c r="S71" i="11"/>
  <c r="U184" i="11"/>
  <c r="U91" i="11"/>
  <c r="T184" i="11"/>
  <c r="T91" i="11"/>
  <c r="R91" i="11"/>
  <c r="S76" i="11"/>
  <c r="R76" i="11"/>
  <c r="Q76" i="11"/>
  <c r="S56" i="11"/>
  <c r="U31" i="11"/>
  <c r="R173" i="11"/>
  <c r="U109" i="11"/>
  <c r="Q181" i="11"/>
  <c r="U145" i="11"/>
  <c r="U147" i="11"/>
  <c r="S150" i="11"/>
  <c r="T87" i="11"/>
  <c r="R87" i="11"/>
  <c r="Q87" i="11"/>
  <c r="T71" i="11"/>
  <c r="R71" i="11"/>
  <c r="Q71" i="11"/>
  <c r="U51" i="11"/>
  <c r="U25" i="11"/>
  <c r="S165" i="11"/>
  <c r="Q103" i="11"/>
  <c r="T190" i="11"/>
  <c r="T12" i="11"/>
  <c r="Q49" i="11"/>
  <c r="U154" i="11"/>
  <c r="S184" i="11"/>
  <c r="Q184" i="11"/>
  <c r="S183" i="11"/>
  <c r="R183" i="11"/>
  <c r="T160" i="11"/>
  <c r="R158" i="11"/>
  <c r="U97" i="11"/>
  <c r="T43" i="11"/>
  <c r="Q15" i="11"/>
  <c r="S41" i="11"/>
  <c r="T171" i="11"/>
  <c r="R203" i="11"/>
  <c r="Q180" i="11"/>
  <c r="S179" i="11"/>
  <c r="R179" i="11"/>
  <c r="R178" i="11"/>
  <c r="Q178" i="11"/>
  <c r="U177" i="11"/>
  <c r="U153" i="11"/>
  <c r="Q152" i="11"/>
  <c r="R92" i="11"/>
  <c r="U36" i="11"/>
  <c r="S27" i="11"/>
  <c r="U49" i="11"/>
  <c r="S153" i="11"/>
  <c r="U143" i="11"/>
  <c r="T167" i="11"/>
  <c r="Q146" i="11"/>
  <c r="U198" i="11"/>
  <c r="U174" i="11"/>
  <c r="R83" i="11"/>
  <c r="T174" i="11"/>
  <c r="Q83" i="11"/>
  <c r="S174" i="11"/>
  <c r="U82" i="11"/>
  <c r="T172" i="11"/>
  <c r="U66" i="11"/>
  <c r="R172" i="11"/>
  <c r="Q66" i="11"/>
  <c r="Q172" i="11"/>
  <c r="U65" i="11"/>
  <c r="S148" i="11"/>
  <c r="R47" i="11"/>
  <c r="S144" i="11"/>
  <c r="R16" i="11"/>
  <c r="Q85" i="11"/>
  <c r="U157" i="11"/>
  <c r="S31" i="11"/>
  <c r="S97" i="11"/>
  <c r="Q35" i="11"/>
  <c r="Q198" i="11"/>
  <c r="S57" i="11"/>
  <c r="S15" i="11"/>
  <c r="T162" i="11"/>
  <c r="U139" i="11"/>
  <c r="T163" i="11"/>
  <c r="T141" i="11"/>
  <c r="S194" i="11"/>
  <c r="Q170" i="11"/>
  <c r="Q79" i="11"/>
  <c r="U169" i="11"/>
  <c r="U78" i="11"/>
  <c r="T169" i="11"/>
  <c r="T78" i="11"/>
  <c r="T166" i="11"/>
  <c r="T61" i="11"/>
  <c r="S166" i="11"/>
  <c r="R166" i="11"/>
  <c r="R61" i="11"/>
  <c r="T142" i="11"/>
  <c r="Q42" i="11"/>
  <c r="U11" i="11"/>
  <c r="R151" i="11"/>
  <c r="Q91" i="11"/>
  <c r="R18" i="11"/>
  <c r="S61" i="11"/>
  <c r="T136" i="11"/>
  <c r="R79" i="11"/>
  <c r="S25" i="11"/>
  <c r="R41" i="11"/>
  <c r="R64" i="11"/>
  <c r="Q171" i="11"/>
  <c r="T159" i="11"/>
  <c r="R137" i="11"/>
  <c r="R165" i="11"/>
  <c r="Q165" i="11"/>
  <c r="U164" i="11"/>
  <c r="R161" i="11"/>
  <c r="Q161" i="11"/>
  <c r="U160" i="11"/>
  <c r="Q137" i="11"/>
  <c r="Q130" i="11"/>
  <c r="Q73" i="11"/>
  <c r="U18" i="11"/>
  <c r="T49" i="11"/>
  <c r="Q22" i="11"/>
  <c r="U131" i="11"/>
  <c r="T155" i="11"/>
  <c r="Q133" i="11"/>
  <c r="T185" i="11"/>
  <c r="S160" i="11"/>
  <c r="T70" i="11"/>
  <c r="R160" i="11"/>
  <c r="S70" i="11"/>
  <c r="Q160" i="11"/>
  <c r="R70" i="11"/>
  <c r="S155" i="11"/>
  <c r="S52" i="11"/>
  <c r="R154" i="11"/>
  <c r="R52" i="11"/>
  <c r="Q154" i="11"/>
  <c r="Q52" i="11"/>
  <c r="T131" i="11"/>
  <c r="U32" i="11"/>
  <c r="Q124" i="11"/>
  <c r="R202" i="11"/>
  <c r="S67" i="11"/>
  <c r="R136" i="11"/>
  <c r="S11" i="11"/>
  <c r="R78" i="11"/>
  <c r="R57" i="11"/>
  <c r="Q80" i="11"/>
  <c r="Q191" i="11"/>
  <c r="U128" i="11"/>
  <c r="T66" i="11"/>
  <c r="T154" i="11"/>
  <c r="Q149" i="11"/>
  <c r="U148" i="11"/>
  <c r="T148" i="11"/>
  <c r="Q126" i="11"/>
  <c r="Q118" i="11"/>
  <c r="T60" i="11"/>
  <c r="Q6" i="11"/>
  <c r="Q64" i="11"/>
  <c r="S35" i="11"/>
  <c r="U142" i="11"/>
  <c r="R55" i="11"/>
  <c r="Q67" i="11"/>
  <c r="T41" i="11"/>
  <c r="U119" i="11"/>
  <c r="S172" i="11"/>
  <c r="T58" i="11"/>
  <c r="S58" i="11"/>
  <c r="R58" i="11"/>
  <c r="Q38" i="11"/>
  <c r="U37" i="11"/>
  <c r="T37" i="11"/>
  <c r="Q21" i="11"/>
  <c r="T180" i="11"/>
  <c r="Q117" i="11"/>
  <c r="R60" i="11"/>
  <c r="Q50" i="11"/>
  <c r="U135" i="11"/>
  <c r="Q190" i="11"/>
  <c r="U74" i="11"/>
  <c r="T74" i="11"/>
  <c r="S74" i="11"/>
  <c r="Q57" i="11"/>
  <c r="U56" i="11"/>
  <c r="T56" i="11"/>
  <c r="S37" i="11"/>
  <c r="Q9" i="11"/>
  <c r="Q144" i="11"/>
  <c r="T84" i="11"/>
  <c r="Q72" i="11"/>
  <c r="U181" i="11"/>
  <c r="U27" i="11"/>
  <c r="U127" i="11"/>
  <c r="T151" i="11"/>
  <c r="R181" i="11"/>
  <c r="R155" i="11"/>
  <c r="Q155" i="11"/>
  <c r="S66" i="11"/>
  <c r="R66" i="11"/>
  <c r="U47" i="11"/>
  <c r="T47" i="11"/>
  <c r="S47" i="11"/>
  <c r="R28" i="11"/>
  <c r="U193" i="11"/>
  <c r="T129" i="11"/>
  <c r="T72" i="11"/>
  <c r="Q88" i="11"/>
  <c r="S198" i="11"/>
  <c r="U203" i="11"/>
  <c r="U123" i="11"/>
  <c r="T147" i="11"/>
  <c r="T124" i="11"/>
  <c r="U176" i="11"/>
  <c r="R150" i="11"/>
  <c r="T62" i="11"/>
  <c r="U149" i="11"/>
  <c r="T149" i="11"/>
  <c r="R62" i="11"/>
  <c r="R143" i="11"/>
  <c r="R43" i="11"/>
  <c r="Q143" i="11"/>
  <c r="Q43" i="11"/>
  <c r="U42" i="11"/>
  <c r="Q121" i="11"/>
  <c r="T23" i="11"/>
  <c r="R187" i="11"/>
  <c r="S123" i="11"/>
  <c r="U201" i="11"/>
  <c r="U71" i="11"/>
  <c r="S94" i="11"/>
  <c r="S110" i="11"/>
  <c r="U199" i="11"/>
  <c r="T143" i="11"/>
  <c r="S120" i="11"/>
  <c r="R145" i="11"/>
  <c r="Q145" i="11"/>
  <c r="U144" i="11"/>
  <c r="U137" i="11"/>
  <c r="T137" i="11"/>
  <c r="S137" i="11"/>
  <c r="T115" i="11"/>
  <c r="Q104" i="11"/>
  <c r="R49" i="11"/>
  <c r="S193" i="11"/>
  <c r="U79" i="11"/>
  <c r="S102" i="11"/>
  <c r="S85" i="11"/>
  <c r="T201" i="11"/>
  <c r="S154" i="11"/>
  <c r="T8" i="6"/>
  <c r="E6" i="7"/>
  <c r="D6" i="7"/>
  <c r="C6" i="7"/>
  <c r="F6" i="7"/>
  <c r="G6" i="7"/>
  <c r="U126" i="11"/>
  <c r="AF4" i="8" a="1"/>
  <c r="Q11" i="6"/>
  <c r="T129" i="6"/>
  <c r="R63" i="6"/>
  <c r="U23" i="6"/>
  <c r="S129" i="11"/>
  <c r="R73" i="11"/>
  <c r="Q132" i="11"/>
  <c r="R34" i="11"/>
  <c r="Q168" i="11"/>
  <c r="S66" i="8"/>
  <c r="U157" i="6"/>
  <c r="U105" i="6"/>
  <c r="Q21" i="6"/>
  <c r="U94" i="6"/>
  <c r="R115" i="6"/>
  <c r="U75" i="6"/>
  <c r="S121" i="4"/>
  <c r="R136" i="4"/>
  <c r="R56" i="4"/>
  <c r="U71" i="4"/>
  <c r="U122" i="4"/>
  <c r="R91" i="4"/>
  <c r="Q136" i="11"/>
  <c r="T79" i="11"/>
  <c r="T105" i="11"/>
  <c r="R201" i="11"/>
  <c r="R38" i="11"/>
  <c r="S46" i="11"/>
  <c r="T50" i="11"/>
  <c r="T195" i="11"/>
  <c r="Q14" i="6"/>
  <c r="S145" i="11"/>
  <c r="Q153" i="11"/>
  <c r="S143" i="11"/>
  <c r="Q16" i="11"/>
  <c r="R85" i="11"/>
  <c r="T110" i="11"/>
  <c r="R4" i="11"/>
  <c r="Q17" i="11"/>
  <c r="R42" i="11"/>
  <c r="S50" i="11"/>
  <c r="T54" i="11"/>
  <c r="S87" i="11"/>
  <c r="T199" i="11"/>
  <c r="T121" i="6"/>
  <c r="Q65" i="6"/>
  <c r="Q39" i="6"/>
  <c r="T101" i="6"/>
  <c r="S62" i="6"/>
  <c r="T63" i="6"/>
  <c r="R31" i="6"/>
  <c r="R171" i="6"/>
  <c r="U141" i="6"/>
  <c r="S181" i="6"/>
  <c r="S93" i="6"/>
  <c r="R117" i="6"/>
  <c r="T16" i="6"/>
  <c r="U28" i="6"/>
  <c r="T94" i="6"/>
  <c r="T104" i="6"/>
  <c r="R123" i="6"/>
  <c r="S79" i="6"/>
  <c r="U83" i="6"/>
  <c r="S107" i="4"/>
  <c r="R121" i="4"/>
  <c r="R118" i="4"/>
  <c r="R66" i="4"/>
  <c r="T103" i="4"/>
  <c r="T82" i="4"/>
  <c r="Q148" i="4"/>
  <c r="S131" i="4"/>
  <c r="S169" i="4"/>
  <c r="R140" i="4"/>
  <c r="R147" i="4"/>
  <c r="F18" i="7"/>
  <c r="E18" i="7"/>
  <c r="D18" i="7"/>
  <c r="C18" i="7"/>
  <c r="G18" i="7"/>
  <c r="D15" i="10"/>
  <c r="C15" i="10"/>
  <c r="G15" i="10"/>
  <c r="F15" i="10"/>
  <c r="E15" i="10"/>
  <c r="G14" i="10"/>
  <c r="C14" i="10"/>
  <c r="F14" i="10"/>
  <c r="E14" i="10"/>
  <c r="D14" i="10"/>
  <c r="S55" i="11"/>
  <c r="Q116" i="11"/>
  <c r="S30" i="11"/>
  <c r="R199" i="11"/>
  <c r="S181" i="11"/>
  <c r="T193" i="11"/>
  <c r="R121" i="11"/>
  <c r="S34" i="11"/>
  <c r="U158" i="11"/>
  <c r="R124" i="6"/>
  <c r="R59" i="6"/>
  <c r="U54" i="11"/>
  <c r="T67" i="11"/>
  <c r="S201" i="11"/>
  <c r="S38" i="11"/>
  <c r="R163" i="11"/>
  <c r="D20" i="8"/>
  <c r="C20" i="8"/>
  <c r="F20" i="8"/>
  <c r="G20" i="8"/>
  <c r="E20" i="8"/>
  <c r="U16" i="6"/>
  <c r="T144" i="11"/>
  <c r="T25" i="11"/>
  <c r="T177" i="11"/>
  <c r="R19" i="11"/>
  <c r="R46" i="11"/>
  <c r="T104" i="11"/>
  <c r="S91" i="11"/>
  <c r="T203" i="11"/>
  <c r="Q199" i="6"/>
  <c r="Q24" i="6"/>
  <c r="U200" i="10"/>
  <c r="U196" i="10"/>
  <c r="U192" i="10"/>
  <c r="U188" i="10"/>
  <c r="U184" i="10"/>
  <c r="U180" i="10"/>
  <c r="U176" i="10"/>
  <c r="U172" i="10"/>
  <c r="U168" i="10"/>
  <c r="U164" i="10"/>
  <c r="U160" i="10"/>
  <c r="U156" i="10"/>
  <c r="U152" i="10"/>
  <c r="U148" i="10"/>
  <c r="U144" i="10"/>
  <c r="U140" i="10"/>
  <c r="U136" i="10"/>
  <c r="U132" i="10"/>
  <c r="U128" i="10"/>
  <c r="U124" i="10"/>
  <c r="U120" i="10"/>
  <c r="U116" i="10"/>
  <c r="U112" i="10"/>
  <c r="U108" i="10"/>
  <c r="U104" i="10"/>
  <c r="U100" i="10"/>
  <c r="U96" i="10"/>
  <c r="U92" i="10"/>
  <c r="U88" i="10"/>
  <c r="U84" i="10"/>
  <c r="U80" i="10"/>
  <c r="U76" i="10"/>
  <c r="U72" i="10"/>
  <c r="U68" i="10"/>
  <c r="U64" i="10"/>
  <c r="U60" i="10"/>
  <c r="U56" i="10"/>
  <c r="U52" i="10"/>
  <c r="U48" i="10"/>
  <c r="U44" i="10"/>
  <c r="U40" i="10"/>
  <c r="U36" i="10"/>
  <c r="U32" i="10"/>
  <c r="U28" i="10"/>
  <c r="U24" i="10"/>
  <c r="G4" i="10"/>
  <c r="R200" i="10"/>
  <c r="R196" i="10"/>
  <c r="R192" i="10"/>
  <c r="R188" i="10"/>
  <c r="R184" i="10"/>
  <c r="S202" i="10"/>
  <c r="Q198" i="10"/>
  <c r="T193" i="10"/>
  <c r="R189" i="10"/>
  <c r="T184" i="10"/>
  <c r="R180" i="10"/>
  <c r="Q176" i="10"/>
  <c r="U171" i="10"/>
  <c r="T167" i="10"/>
  <c r="S163" i="10"/>
  <c r="R159" i="10"/>
  <c r="Q155" i="10"/>
  <c r="U150" i="10"/>
  <c r="T146" i="10"/>
  <c r="S142" i="10"/>
  <c r="R138" i="10"/>
  <c r="Q134" i="10"/>
  <c r="U129" i="10"/>
  <c r="T125" i="10"/>
  <c r="S121" i="10"/>
  <c r="R117" i="10"/>
  <c r="Q113" i="10"/>
  <c r="T108" i="10"/>
  <c r="S104" i="10"/>
  <c r="R100" i="10"/>
  <c r="Q96" i="10"/>
  <c r="U91" i="10"/>
  <c r="T87" i="10"/>
  <c r="S83" i="10"/>
  <c r="R79" i="10"/>
  <c r="Q75" i="10"/>
  <c r="U70" i="10"/>
  <c r="T66" i="10"/>
  <c r="S62" i="10"/>
  <c r="R58" i="10"/>
  <c r="Q54" i="10"/>
  <c r="U49" i="10"/>
  <c r="T45" i="10"/>
  <c r="S41" i="10"/>
  <c r="R37" i="10"/>
  <c r="Q33" i="10"/>
  <c r="T28" i="10"/>
  <c r="S24" i="10"/>
  <c r="U17" i="10"/>
  <c r="T15" i="10"/>
  <c r="S13" i="10"/>
  <c r="R11" i="10"/>
  <c r="Q9" i="10"/>
  <c r="R202" i="10"/>
  <c r="U197" i="10"/>
  <c r="S193" i="10"/>
  <c r="Q189" i="10"/>
  <c r="S184" i="10"/>
  <c r="Q180" i="10"/>
  <c r="U175" i="10"/>
  <c r="T171" i="10"/>
  <c r="S167" i="10"/>
  <c r="R163" i="10"/>
  <c r="Q159" i="10"/>
  <c r="U154" i="10"/>
  <c r="T150" i="10"/>
  <c r="S146" i="10"/>
  <c r="R142" i="10"/>
  <c r="Q138" i="10"/>
  <c r="U133" i="10"/>
  <c r="T129" i="10"/>
  <c r="S125" i="10"/>
  <c r="R121" i="10"/>
  <c r="Q117" i="10"/>
  <c r="T112" i="10"/>
  <c r="S108" i="10"/>
  <c r="R104" i="10"/>
  <c r="Q100" i="10"/>
  <c r="U95" i="10"/>
  <c r="T91" i="10"/>
  <c r="S87" i="10"/>
  <c r="R83" i="10"/>
  <c r="Q79" i="10"/>
  <c r="U74" i="10"/>
  <c r="T70" i="10"/>
  <c r="S66" i="10"/>
  <c r="R62" i="10"/>
  <c r="Q58" i="10"/>
  <c r="U53" i="10"/>
  <c r="T49" i="10"/>
  <c r="S45" i="10"/>
  <c r="R41" i="10"/>
  <c r="Q37" i="10"/>
  <c r="T32" i="10"/>
  <c r="S28" i="10"/>
  <c r="R24" i="10"/>
  <c r="U19" i="10"/>
  <c r="T17" i="10"/>
  <c r="S15" i="10"/>
  <c r="R13" i="10"/>
  <c r="Q11" i="10"/>
  <c r="Q202" i="10"/>
  <c r="T197" i="10"/>
  <c r="R193" i="10"/>
  <c r="T188" i="10"/>
  <c r="Q184" i="10"/>
  <c r="U179" i="10"/>
  <c r="T175" i="10"/>
  <c r="S171" i="10"/>
  <c r="R167" i="10"/>
  <c r="Q163" i="10"/>
  <c r="U158" i="10"/>
  <c r="T154" i="10"/>
  <c r="S150" i="10"/>
  <c r="R146" i="10"/>
  <c r="Q142" i="10"/>
  <c r="U137" i="10"/>
  <c r="T133" i="10"/>
  <c r="S129" i="10"/>
  <c r="R125" i="10"/>
  <c r="Q121" i="10"/>
  <c r="T116" i="10"/>
  <c r="S112" i="10"/>
  <c r="R108" i="10"/>
  <c r="Q104" i="10"/>
  <c r="U99" i="10"/>
  <c r="T95" i="10"/>
  <c r="S91" i="10"/>
  <c r="R87" i="10"/>
  <c r="Q83" i="10"/>
  <c r="U78" i="10"/>
  <c r="T74" i="10"/>
  <c r="S70" i="10"/>
  <c r="R66" i="10"/>
  <c r="Q62" i="10"/>
  <c r="U57" i="10"/>
  <c r="T53" i="10"/>
  <c r="S49" i="10"/>
  <c r="R45" i="10"/>
  <c r="Q41" i="10"/>
  <c r="T36" i="10"/>
  <c r="S32" i="10"/>
  <c r="R28" i="10"/>
  <c r="Q24" i="10"/>
  <c r="U21" i="10"/>
  <c r="T19" i="10"/>
  <c r="S17" i="10"/>
  <c r="R15" i="10"/>
  <c r="Q13" i="10"/>
  <c r="U201" i="10"/>
  <c r="S197" i="10"/>
  <c r="Q193" i="10"/>
  <c r="S188" i="10"/>
  <c r="U183" i="10"/>
  <c r="T179" i="10"/>
  <c r="S175" i="10"/>
  <c r="R171" i="10"/>
  <c r="Q167" i="10"/>
  <c r="U162" i="10"/>
  <c r="T158" i="10"/>
  <c r="S154" i="10"/>
  <c r="R150" i="10"/>
  <c r="Q146" i="10"/>
  <c r="U141" i="10"/>
  <c r="T137" i="10"/>
  <c r="S133" i="10"/>
  <c r="R129" i="10"/>
  <c r="Q125" i="10"/>
  <c r="T120" i="10"/>
  <c r="S116" i="10"/>
  <c r="R112" i="10"/>
  <c r="Q108" i="10"/>
  <c r="U103" i="10"/>
  <c r="T99" i="10"/>
  <c r="S95" i="10"/>
  <c r="R91" i="10"/>
  <c r="Q87" i="10"/>
  <c r="U82" i="10"/>
  <c r="T78" i="10"/>
  <c r="S74" i="10"/>
  <c r="R70" i="10"/>
  <c r="Q66" i="10"/>
  <c r="U61" i="10"/>
  <c r="T57" i="10"/>
  <c r="S53" i="10"/>
  <c r="R49" i="10"/>
  <c r="Q45" i="10"/>
  <c r="T40" i="10"/>
  <c r="S36" i="10"/>
  <c r="R32" i="10"/>
  <c r="Q28" i="10"/>
  <c r="U23" i="10"/>
  <c r="T21" i="10"/>
  <c r="S19" i="10"/>
  <c r="R17" i="10"/>
  <c r="Q15" i="10"/>
  <c r="R199" i="10"/>
  <c r="Q194" i="10"/>
  <c r="T187" i="10"/>
  <c r="S182" i="10"/>
  <c r="S177" i="10"/>
  <c r="R172" i="10"/>
  <c r="S166" i="10"/>
  <c r="S161" i="10"/>
  <c r="R156" i="10"/>
  <c r="R151" i="10"/>
  <c r="S145" i="10"/>
  <c r="R140" i="10"/>
  <c r="R135" i="10"/>
  <c r="R130" i="10"/>
  <c r="R124" i="10"/>
  <c r="R119" i="10"/>
  <c r="R114" i="10"/>
  <c r="R109" i="10"/>
  <c r="R103" i="10"/>
  <c r="R98" i="10"/>
  <c r="R93" i="10"/>
  <c r="Q88" i="10"/>
  <c r="R82" i="10"/>
  <c r="R77" i="10"/>
  <c r="Q72" i="10"/>
  <c r="Q67" i="10"/>
  <c r="R61" i="10"/>
  <c r="Q56" i="10"/>
  <c r="Q51" i="10"/>
  <c r="Q46" i="10"/>
  <c r="Q40" i="10"/>
  <c r="Q35" i="10"/>
  <c r="Q30" i="10"/>
  <c r="Q25" i="10"/>
  <c r="Q21" i="10"/>
  <c r="Q16" i="10"/>
  <c r="U13" i="10"/>
  <c r="Q8" i="10"/>
  <c r="U5" i="10"/>
  <c r="Q199" i="10"/>
  <c r="U193" i="10"/>
  <c r="S187" i="10"/>
  <c r="R182" i="10"/>
  <c r="R177" i="10"/>
  <c r="Q172" i="10"/>
  <c r="R166" i="10"/>
  <c r="R161" i="10"/>
  <c r="Q156" i="10"/>
  <c r="Q151" i="10"/>
  <c r="R145" i="10"/>
  <c r="Q140" i="10"/>
  <c r="Q135" i="10"/>
  <c r="Q130" i="10"/>
  <c r="Q124" i="10"/>
  <c r="Q119" i="10"/>
  <c r="Q114" i="10"/>
  <c r="Q109" i="10"/>
  <c r="Q103" i="10"/>
  <c r="Q98" i="10"/>
  <c r="Q93" i="10"/>
  <c r="U87" i="10"/>
  <c r="Q82" i="10"/>
  <c r="Q77" i="10"/>
  <c r="U71" i="10"/>
  <c r="U66" i="10"/>
  <c r="Q61" i="10"/>
  <c r="U55" i="10"/>
  <c r="U50" i="10"/>
  <c r="U45" i="10"/>
  <c r="U39" i="10"/>
  <c r="U34" i="10"/>
  <c r="U29" i="10"/>
  <c r="T24" i="10"/>
  <c r="U18" i="10"/>
  <c r="T13" i="10"/>
  <c r="U10" i="10"/>
  <c r="T5" i="10"/>
  <c r="U198" i="10"/>
  <c r="T192" i="10"/>
  <c r="R187" i="10"/>
  <c r="Q182" i="10"/>
  <c r="Q177" i="10"/>
  <c r="Q171" i="10"/>
  <c r="Q166" i="10"/>
  <c r="Q161" i="10"/>
  <c r="U155" i="10"/>
  <c r="Q150" i="10"/>
  <c r="Q145" i="10"/>
  <c r="U139" i="10"/>
  <c r="U134" i="10"/>
  <c r="Q129" i="10"/>
  <c r="U123" i="10"/>
  <c r="T198" i="10"/>
  <c r="T191" i="10"/>
  <c r="U185" i="10"/>
  <c r="Q179" i="10"/>
  <c r="S173" i="10"/>
  <c r="U166" i="10"/>
  <c r="S160" i="10"/>
  <c r="Q154" i="10"/>
  <c r="R148" i="10"/>
  <c r="T142" i="10"/>
  <c r="Q136" i="10"/>
  <c r="S130" i="10"/>
  <c r="R123" i="10"/>
  <c r="U117" i="10"/>
  <c r="S111" i="10"/>
  <c r="Q106" i="10"/>
  <c r="S100" i="10"/>
  <c r="R94" i="10"/>
  <c r="T88" i="10"/>
  <c r="S82" i="10"/>
  <c r="S76" i="10"/>
  <c r="Q71" i="10"/>
  <c r="T64" i="10"/>
  <c r="R59" i="10"/>
  <c r="Q53" i="10"/>
  <c r="S47" i="10"/>
  <c r="Q42" i="10"/>
  <c r="T35" i="10"/>
  <c r="R30" i="10"/>
  <c r="S23" i="10"/>
  <c r="R9" i="10"/>
  <c r="Q6" i="10"/>
  <c r="S198" i="10"/>
  <c r="S191" i="10"/>
  <c r="T185" i="10"/>
  <c r="U178" i="10"/>
  <c r="R173" i="10"/>
  <c r="T166" i="10"/>
  <c r="R160" i="10"/>
  <c r="U153" i="10"/>
  <c r="Q148" i="10"/>
  <c r="T141" i="10"/>
  <c r="U135" i="10"/>
  <c r="T128" i="10"/>
  <c r="Q123" i="10"/>
  <c r="T117" i="10"/>
  <c r="R111" i="10"/>
  <c r="U105" i="10"/>
  <c r="S99" i="10"/>
  <c r="Q94" i="10"/>
  <c r="S88" i="10"/>
  <c r="U81" i="10"/>
  <c r="R76" i="10"/>
  <c r="Q70" i="10"/>
  <c r="S64" i="10"/>
  <c r="Q59" i="10"/>
  <c r="T52" i="10"/>
  <c r="R47" i="10"/>
  <c r="U41" i="10"/>
  <c r="S35" i="10"/>
  <c r="T29" i="10"/>
  <c r="R23" i="10"/>
  <c r="U20" i="10"/>
  <c r="R198" i="10"/>
  <c r="R191" i="10"/>
  <c r="S185" i="10"/>
  <c r="T178" i="10"/>
  <c r="Q173" i="10"/>
  <c r="U165" i="10"/>
  <c r="Q160" i="10"/>
  <c r="T153" i="10"/>
  <c r="U147" i="10"/>
  <c r="S141" i="10"/>
  <c r="T135" i="10"/>
  <c r="S128" i="10"/>
  <c r="U122" i="10"/>
  <c r="S117" i="10"/>
  <c r="Q111" i="10"/>
  <c r="T105" i="10"/>
  <c r="R99" i="10"/>
  <c r="U93" i="10"/>
  <c r="R88" i="10"/>
  <c r="T81" i="10"/>
  <c r="Q76" i="10"/>
  <c r="U69" i="10"/>
  <c r="R64" i="10"/>
  <c r="U58" i="10"/>
  <c r="S52" i="10"/>
  <c r="Q47" i="10"/>
  <c r="T41" i="10"/>
  <c r="R35" i="10"/>
  <c r="S29" i="10"/>
  <c r="Q23" i="10"/>
  <c r="T20" i="10"/>
  <c r="U14" i="10"/>
  <c r="U203" i="10"/>
  <c r="R197" i="10"/>
  <c r="Q191" i="10"/>
  <c r="R185" i="10"/>
  <c r="S178" i="10"/>
  <c r="T172" i="10"/>
  <c r="T165" i="10"/>
  <c r="U159" i="10"/>
  <c r="S153" i="10"/>
  <c r="T147" i="10"/>
  <c r="R141" i="10"/>
  <c r="S135" i="10"/>
  <c r="R128" i="10"/>
  <c r="T122" i="10"/>
  <c r="R116" i="10"/>
  <c r="U110" i="10"/>
  <c r="S105" i="10"/>
  <c r="Q99" i="10"/>
  <c r="T93" i="10"/>
  <c r="U86" i="10"/>
  <c r="S81" i="10"/>
  <c r="U75" i="10"/>
  <c r="T69" i="10"/>
  <c r="Q64" i="10"/>
  <c r="T58" i="10"/>
  <c r="R52" i="10"/>
  <c r="U46" i="10"/>
  <c r="S40" i="10"/>
  <c r="T34" i="10"/>
  <c r="R29" i="10"/>
  <c r="S20" i="10"/>
  <c r="Q17" i="10"/>
  <c r="T14" i="10"/>
  <c r="U8" i="10"/>
  <c r="S203" i="10"/>
  <c r="T195" i="10"/>
  <c r="U187" i="10"/>
  <c r="S180" i="10"/>
  <c r="U170" i="10"/>
  <c r="R164" i="10"/>
  <c r="Q157" i="10"/>
  <c r="Q149" i="10"/>
  <c r="T140" i="10"/>
  <c r="T132" i="10"/>
  <c r="R126" i="10"/>
  <c r="S118" i="10"/>
  <c r="S110" i="10"/>
  <c r="U102" i="10"/>
  <c r="S96" i="10"/>
  <c r="S89" i="10"/>
  <c r="Q81" i="10"/>
  <c r="U73" i="10"/>
  <c r="S67" i="10"/>
  <c r="U59" i="10"/>
  <c r="U51" i="10"/>
  <c r="R44" i="10"/>
  <c r="Q38" i="10"/>
  <c r="U30" i="10"/>
  <c r="R19" i="10"/>
  <c r="S12" i="10"/>
  <c r="S8" i="10"/>
  <c r="U4" i="10"/>
  <c r="Q203" i="10"/>
  <c r="R195" i="10"/>
  <c r="U186" i="10"/>
  <c r="R179" i="10"/>
  <c r="S170" i="10"/>
  <c r="U163" i="10"/>
  <c r="S156" i="10"/>
  <c r="S148" i="10"/>
  <c r="T139" i="10"/>
  <c r="R132" i="10"/>
  <c r="U125" i="10"/>
  <c r="Q118" i="10"/>
  <c r="Q110" i="10"/>
  <c r="S102" i="10"/>
  <c r="R95" i="10"/>
  <c r="Q89" i="10"/>
  <c r="S80" i="10"/>
  <c r="S73" i="10"/>
  <c r="U65" i="10"/>
  <c r="S59" i="10"/>
  <c r="S51" i="10"/>
  <c r="U43" i="10"/>
  <c r="T37" i="10"/>
  <c r="S30" i="10"/>
  <c r="Q12" i="10"/>
  <c r="S4" i="10"/>
  <c r="U202" i="10"/>
  <c r="Q195" i="10"/>
  <c r="T186" i="10"/>
  <c r="R178" i="10"/>
  <c r="R170" i="10"/>
  <c r="T163" i="10"/>
  <c r="T155" i="10"/>
  <c r="S147" i="10"/>
  <c r="S139" i="10"/>
  <c r="Q132" i="10"/>
  <c r="T124" i="10"/>
  <c r="Q116" i="10"/>
  <c r="U109" i="10"/>
  <c r="R102" i="10"/>
  <c r="Q95" i="10"/>
  <c r="T86" i="10"/>
  <c r="R80" i="10"/>
  <c r="R73" i="10"/>
  <c r="T65" i="10"/>
  <c r="S58" i="10"/>
  <c r="R51" i="10"/>
  <c r="T43" i="10"/>
  <c r="S37" i="10"/>
  <c r="Q29" i="10"/>
  <c r="U22" i="10"/>
  <c r="U15" i="10"/>
  <c r="U11" i="10"/>
  <c r="R4" i="10"/>
  <c r="T202" i="10"/>
  <c r="U194" i="10"/>
  <c r="S186" i="10"/>
  <c r="Q178" i="10"/>
  <c r="Q170" i="10"/>
  <c r="T162" i="10"/>
  <c r="S155" i="10"/>
  <c r="R147" i="10"/>
  <c r="R139" i="10"/>
  <c r="U131" i="10"/>
  <c r="S124" i="10"/>
  <c r="U115" i="10"/>
  <c r="T109" i="10"/>
  <c r="Q102" i="10"/>
  <c r="U94" i="10"/>
  <c r="S86" i="10"/>
  <c r="Q80" i="10"/>
  <c r="Q73" i="10"/>
  <c r="S65" i="10"/>
  <c r="S57" i="10"/>
  <c r="T50" i="10"/>
  <c r="S43" i="10"/>
  <c r="R36" i="10"/>
  <c r="U27" i="10"/>
  <c r="T22" i="10"/>
  <c r="T11" i="10"/>
  <c r="Q4" i="10"/>
  <c r="S195" i="10"/>
  <c r="T183" i="10"/>
  <c r="U174" i="10"/>
  <c r="R165" i="10"/>
  <c r="T156" i="10"/>
  <c r="T145" i="10"/>
  <c r="T136" i="10"/>
  <c r="Q127" i="10"/>
  <c r="R118" i="10"/>
  <c r="S107" i="10"/>
  <c r="T98" i="10"/>
  <c r="R90" i="10"/>
  <c r="T80" i="10"/>
  <c r="T71" i="10"/>
  <c r="U62" i="10"/>
  <c r="S54" i="10"/>
  <c r="Q44" i="10"/>
  <c r="R34" i="10"/>
  <c r="R26" i="10"/>
  <c r="Q20" i="10"/>
  <c r="T10" i="10"/>
  <c r="T6" i="10"/>
  <c r="D4" i="10"/>
  <c r="T194" i="10"/>
  <c r="S183" i="10"/>
  <c r="T174" i="10"/>
  <c r="Q165" i="10"/>
  <c r="R155" i="10"/>
  <c r="T144" i="10"/>
  <c r="S136" i="10"/>
  <c r="U126" i="10"/>
  <c r="T115" i="10"/>
  <c r="R107" i="10"/>
  <c r="S98" i="10"/>
  <c r="Q90" i="10"/>
  <c r="U79" i="10"/>
  <c r="S71" i="10"/>
  <c r="T62" i="10"/>
  <c r="R54" i="10"/>
  <c r="R43" i="10"/>
  <c r="Q34" i="10"/>
  <c r="Q26" i="10"/>
  <c r="S10" i="10"/>
  <c r="S6" i="10"/>
  <c r="C4" i="10"/>
  <c r="S194" i="10"/>
  <c r="R183" i="10"/>
  <c r="S174" i="10"/>
  <c r="T164" i="10"/>
  <c r="R154" i="10"/>
  <c r="S144" i="10"/>
  <c r="R136" i="10"/>
  <c r="T126" i="10"/>
  <c r="S115" i="10"/>
  <c r="Q107" i="10"/>
  <c r="U97" i="10"/>
  <c r="U89" i="10"/>
  <c r="T79" i="10"/>
  <c r="R71" i="10"/>
  <c r="T61" i="10"/>
  <c r="R53" i="10"/>
  <c r="Q43" i="10"/>
  <c r="U33" i="10"/>
  <c r="U25" i="10"/>
  <c r="R10" i="10"/>
  <c r="R6" i="10"/>
  <c r="T203" i="10"/>
  <c r="R194" i="10"/>
  <c r="Q183" i="10"/>
  <c r="R174" i="10"/>
  <c r="S164" i="10"/>
  <c r="R153" i="10"/>
  <c r="R144" i="10"/>
  <c r="T134" i="10"/>
  <c r="S126" i="10"/>
  <c r="R115" i="10"/>
  <c r="U106" i="10"/>
  <c r="T97" i="10"/>
  <c r="T89" i="10"/>
  <c r="S79" i="10"/>
  <c r="S69" i="10"/>
  <c r="S61" i="10"/>
  <c r="Q52" i="10"/>
  <c r="U42" i="10"/>
  <c r="T33" i="10"/>
  <c r="T25" i="10"/>
  <c r="S14" i="10"/>
  <c r="Q10" i="10"/>
  <c r="S196" i="10"/>
  <c r="T182" i="10"/>
  <c r="U169" i="10"/>
  <c r="S158" i="10"/>
  <c r="Q147" i="10"/>
  <c r="R134" i="10"/>
  <c r="Q122" i="10"/>
  <c r="U111" i="10"/>
  <c r="Q101" i="10"/>
  <c r="R86" i="10"/>
  <c r="S77" i="10"/>
  <c r="R65" i="10"/>
  <c r="Q55" i="10"/>
  <c r="S42" i="10"/>
  <c r="S31" i="10"/>
  <c r="T16" i="10"/>
  <c r="U195" i="10"/>
  <c r="T181" i="10"/>
  <c r="S169" i="10"/>
  <c r="Q158" i="10"/>
  <c r="U145" i="10"/>
  <c r="Q133" i="10"/>
  <c r="T121" i="10"/>
  <c r="T110" i="10"/>
  <c r="U98" i="10"/>
  <c r="U85" i="10"/>
  <c r="T75" i="10"/>
  <c r="U63" i="10"/>
  <c r="T54" i="10"/>
  <c r="R40" i="10"/>
  <c r="Q31" i="10"/>
  <c r="R21" i="10"/>
  <c r="R16" i="10"/>
  <c r="S192" i="10"/>
  <c r="S181" i="10"/>
  <c r="R169" i="10"/>
  <c r="U157" i="10"/>
  <c r="Q144" i="10"/>
  <c r="S132" i="10"/>
  <c r="S120" i="10"/>
  <c r="R110" i="10"/>
  <c r="S97" i="10"/>
  <c r="T85" i="10"/>
  <c r="S75" i="10"/>
  <c r="T63" i="10"/>
  <c r="T51" i="10"/>
  <c r="T39" i="10"/>
  <c r="T30" i="10"/>
  <c r="R14" i="10"/>
  <c r="U9" i="10"/>
  <c r="Q192" i="10"/>
  <c r="R181" i="10"/>
  <c r="Q169" i="10"/>
  <c r="T157" i="10"/>
  <c r="U143" i="10"/>
  <c r="T131" i="10"/>
  <c r="R120" i="10"/>
  <c r="S109" i="10"/>
  <c r="R97" i="10"/>
  <c r="S85" i="10"/>
  <c r="R75" i="10"/>
  <c r="S63" i="10"/>
  <c r="S50" i="10"/>
  <c r="S39" i="10"/>
  <c r="T27" i="10"/>
  <c r="Q14" i="10"/>
  <c r="T9" i="10"/>
  <c r="Q196" i="10"/>
  <c r="U177" i="10"/>
  <c r="S162" i="10"/>
  <c r="T149" i="10"/>
  <c r="R133" i="10"/>
  <c r="S119" i="10"/>
  <c r="T104" i="10"/>
  <c r="U90" i="10"/>
  <c r="T76" i="10"/>
  <c r="S60" i="10"/>
  <c r="U47" i="10"/>
  <c r="R33" i="10"/>
  <c r="S21" i="10"/>
  <c r="Q7" i="10"/>
  <c r="U191" i="10"/>
  <c r="T177" i="10"/>
  <c r="R162" i="10"/>
  <c r="S149" i="10"/>
  <c r="S131" i="10"/>
  <c r="U118" i="10"/>
  <c r="T103" i="10"/>
  <c r="T90" i="10"/>
  <c r="R74" i="10"/>
  <c r="R60" i="10"/>
  <c r="T47" i="10"/>
  <c r="Q32" i="10"/>
  <c r="U190" i="10"/>
  <c r="T176" i="10"/>
  <c r="Q162" i="10"/>
  <c r="R149" i="10"/>
  <c r="R131" i="10"/>
  <c r="T118" i="10"/>
  <c r="S103" i="10"/>
  <c r="S90" i="10"/>
  <c r="Q74" i="10"/>
  <c r="Q60" i="10"/>
  <c r="T46" i="10"/>
  <c r="U31" i="10"/>
  <c r="R20" i="10"/>
  <c r="U6" i="10"/>
  <c r="T190" i="10"/>
  <c r="S176" i="10"/>
  <c r="U161" i="10"/>
  <c r="T148" i="10"/>
  <c r="Q131" i="10"/>
  <c r="Q115" i="10"/>
  <c r="T102" i="10"/>
  <c r="R89" i="10"/>
  <c r="T73" i="10"/>
  <c r="T59" i="10"/>
  <c r="S46" i="10"/>
  <c r="T31" i="10"/>
  <c r="Q19" i="10"/>
  <c r="S5" i="10"/>
  <c r="S190" i="10"/>
  <c r="R176" i="10"/>
  <c r="T161" i="10"/>
  <c r="U146" i="10"/>
  <c r="U130" i="10"/>
  <c r="U114" i="10"/>
  <c r="U101" i="10"/>
  <c r="Q86" i="10"/>
  <c r="T72" i="10"/>
  <c r="R57" i="10"/>
  <c r="R46" i="10"/>
  <c r="R31" i="10"/>
  <c r="R5" i="10"/>
  <c r="Q187" i="10"/>
  <c r="Q168" i="10"/>
  <c r="S143" i="10"/>
  <c r="Q126" i="10"/>
  <c r="S106" i="10"/>
  <c r="Q85" i="10"/>
  <c r="R68" i="10"/>
  <c r="T48" i="10"/>
  <c r="R27" i="10"/>
  <c r="U7" i="10"/>
  <c r="Q141" i="10"/>
  <c r="T44" i="10"/>
  <c r="T159" i="10"/>
  <c r="S101" i="10"/>
  <c r="S25" i="10"/>
  <c r="R203" i="10"/>
  <c r="R186" i="10"/>
  <c r="U167" i="10"/>
  <c r="R143" i="10"/>
  <c r="T123" i="10"/>
  <c r="R106" i="10"/>
  <c r="T84" i="10"/>
  <c r="Q68" i="10"/>
  <c r="S48" i="10"/>
  <c r="Q27" i="10"/>
  <c r="T7" i="10"/>
  <c r="U182" i="10"/>
  <c r="T101" i="10"/>
  <c r="S26" i="10"/>
  <c r="Q201" i="10"/>
  <c r="S140" i="10"/>
  <c r="Q65" i="10"/>
  <c r="S16" i="10"/>
  <c r="T201" i="10"/>
  <c r="Q186" i="10"/>
  <c r="S165" i="10"/>
  <c r="Q143" i="10"/>
  <c r="S123" i="10"/>
  <c r="R105" i="10"/>
  <c r="S84" i="10"/>
  <c r="U67" i="10"/>
  <c r="R48" i="10"/>
  <c r="U26" i="10"/>
  <c r="S7" i="10"/>
  <c r="R201" i="10"/>
  <c r="T160" i="10"/>
  <c r="R122" i="10"/>
  <c r="Q84" i="10"/>
  <c r="R67" i="10"/>
  <c r="U16" i="10"/>
  <c r="Q5" i="10"/>
  <c r="U181" i="10"/>
  <c r="U121" i="10"/>
  <c r="S44" i="10"/>
  <c r="S201" i="10"/>
  <c r="Q185" i="10"/>
  <c r="Q164" i="10"/>
  <c r="U142" i="10"/>
  <c r="S122" i="10"/>
  <c r="Q105" i="10"/>
  <c r="R84" i="10"/>
  <c r="T67" i="10"/>
  <c r="Q48" i="10"/>
  <c r="T26" i="10"/>
  <c r="R7" i="10"/>
  <c r="U83" i="10"/>
  <c r="Q174" i="10"/>
  <c r="S151" i="10"/>
  <c r="T114" i="10"/>
  <c r="S92" i="10"/>
  <c r="Q63" i="10"/>
  <c r="R38" i="10"/>
  <c r="T138" i="10"/>
  <c r="R56" i="10"/>
  <c r="T168" i="10"/>
  <c r="Q112" i="10"/>
  <c r="T55" i="10"/>
  <c r="R12" i="10"/>
  <c r="T200" i="10"/>
  <c r="U173" i="10"/>
  <c r="U149" i="10"/>
  <c r="S114" i="10"/>
  <c r="R92" i="10"/>
  <c r="T60" i="10"/>
  <c r="U37" i="10"/>
  <c r="F4" i="10"/>
  <c r="R113" i="10"/>
  <c r="S33" i="10"/>
  <c r="S199" i="10"/>
  <c r="S138" i="10"/>
  <c r="T82" i="10"/>
  <c r="S27" i="10"/>
  <c r="S200" i="10"/>
  <c r="T173" i="10"/>
  <c r="T143" i="10"/>
  <c r="U113" i="10"/>
  <c r="Q92" i="10"/>
  <c r="Q57" i="10"/>
  <c r="Q36" i="10"/>
  <c r="E4" i="10"/>
  <c r="T199" i="10"/>
  <c r="T83" i="10"/>
  <c r="T12" i="10"/>
  <c r="Q200" i="10"/>
  <c r="S172" i="10"/>
  <c r="Q139" i="10"/>
  <c r="T113" i="10"/>
  <c r="Q91" i="10"/>
  <c r="T56" i="10"/>
  <c r="U35" i="10"/>
  <c r="U199" i="10"/>
  <c r="T170" i="10"/>
  <c r="U138" i="10"/>
  <c r="S113" i="10"/>
  <c r="R85" i="10"/>
  <c r="S56" i="10"/>
  <c r="S34" i="10"/>
  <c r="U12" i="10"/>
  <c r="T169" i="10"/>
  <c r="Q188" i="10"/>
  <c r="R137" i="10"/>
  <c r="R96" i="10"/>
  <c r="U54" i="10"/>
  <c r="S18" i="10"/>
  <c r="T180" i="10"/>
  <c r="S134" i="10"/>
  <c r="S94" i="10"/>
  <c r="Q50" i="10"/>
  <c r="Q18" i="10"/>
  <c r="R175" i="10"/>
  <c r="Q128" i="10"/>
  <c r="T92" i="10"/>
  <c r="T42" i="10"/>
  <c r="S11" i="10"/>
  <c r="Q175" i="10"/>
  <c r="U127" i="10"/>
  <c r="R81" i="10"/>
  <c r="R42" i="10"/>
  <c r="S189" i="10"/>
  <c r="S127" i="10"/>
  <c r="S72" i="10"/>
  <c r="S22" i="10"/>
  <c r="Q153" i="10"/>
  <c r="R101" i="10"/>
  <c r="R50" i="10"/>
  <c r="T96" i="10"/>
  <c r="R8" i="10"/>
  <c r="Q181" i="10"/>
  <c r="R127" i="10"/>
  <c r="R72" i="10"/>
  <c r="R22" i="10"/>
  <c r="T152" i="10"/>
  <c r="Q49" i="10"/>
  <c r="S9" i="10"/>
  <c r="R152" i="10"/>
  <c r="Q39" i="10"/>
  <c r="S179" i="10"/>
  <c r="Q120" i="10"/>
  <c r="R69" i="10"/>
  <c r="Q22" i="10"/>
  <c r="R158" i="10"/>
  <c r="U107" i="10"/>
  <c r="R63" i="10"/>
  <c r="T100" i="10"/>
  <c r="S152" i="10"/>
  <c r="Q97" i="10"/>
  <c r="R39" i="10"/>
  <c r="T8" i="10"/>
  <c r="Q197" i="10"/>
  <c r="U151" i="10"/>
  <c r="S93" i="10"/>
  <c r="T38" i="10"/>
  <c r="R190" i="10"/>
  <c r="R25" i="10"/>
  <c r="Q190" i="10"/>
  <c r="Q78" i="10"/>
  <c r="U189" i="10"/>
  <c r="S168" i="10"/>
  <c r="U119" i="10"/>
  <c r="Q69" i="10"/>
  <c r="R168" i="10"/>
  <c r="T119" i="10"/>
  <c r="T68" i="10"/>
  <c r="T18" i="10"/>
  <c r="S159" i="10"/>
  <c r="T111" i="10"/>
  <c r="S68" i="10"/>
  <c r="R18" i="10"/>
  <c r="S157" i="10"/>
  <c r="T107" i="10"/>
  <c r="S55" i="10"/>
  <c r="R157" i="10"/>
  <c r="T106" i="10"/>
  <c r="R55" i="10"/>
  <c r="Q152" i="10"/>
  <c r="T94" i="10"/>
  <c r="U38" i="10"/>
  <c r="T4" i="10"/>
  <c r="T196" i="10"/>
  <c r="T151" i="10"/>
  <c r="S78" i="10"/>
  <c r="S38" i="10"/>
  <c r="S137" i="10"/>
  <c r="R78" i="10"/>
  <c r="Q137" i="10"/>
  <c r="T23" i="10"/>
  <c r="T130" i="10"/>
  <c r="U77" i="10"/>
  <c r="T189" i="10"/>
  <c r="T127" i="10"/>
  <c r="T77" i="10"/>
  <c r="T127" i="11"/>
  <c r="S134" i="11"/>
  <c r="T157" i="11"/>
  <c r="T31" i="11"/>
  <c r="Q98" i="11"/>
  <c r="Q183" i="11"/>
  <c r="U8" i="11"/>
  <c r="T21" i="11"/>
  <c r="R50" i="11"/>
  <c r="Q109" i="11"/>
  <c r="S95" i="11"/>
  <c r="U103" i="11"/>
  <c r="U81" i="6"/>
  <c r="T105" i="6"/>
  <c r="R200" i="6"/>
  <c r="T28" i="6"/>
  <c r="S94" i="6"/>
  <c r="S104" i="6"/>
  <c r="R170" i="6"/>
  <c r="R131" i="6"/>
  <c r="S135" i="6"/>
  <c r="U91" i="6"/>
  <c r="Q6" i="4"/>
  <c r="Q107" i="4"/>
  <c r="U106" i="4"/>
  <c r="R129" i="4"/>
  <c r="S140" i="4"/>
  <c r="T113" i="4"/>
  <c r="Q156" i="4"/>
  <c r="S156" i="4"/>
  <c r="R190" i="4"/>
  <c r="U177" i="4"/>
  <c r="T148" i="4"/>
  <c r="R155" i="4"/>
  <c r="F5" i="10"/>
  <c r="E5" i="10"/>
  <c r="D5" i="10"/>
  <c r="C5" i="10"/>
  <c r="G5" i="10"/>
  <c r="E15" i="7"/>
  <c r="C15" i="7"/>
  <c r="G15" i="7"/>
  <c r="F15" i="7"/>
  <c r="D15" i="7"/>
  <c r="T21" i="6"/>
  <c r="R90" i="6"/>
  <c r="T134" i="11"/>
  <c r="Q151" i="11"/>
  <c r="S92" i="11"/>
  <c r="T6" i="11"/>
  <c r="S54" i="11"/>
  <c r="R100" i="6"/>
  <c r="Q124" i="6"/>
  <c r="S33" i="6"/>
  <c r="T99" i="6"/>
  <c r="R109" i="6"/>
  <c r="R127" i="6"/>
  <c r="S83" i="6"/>
  <c r="S100" i="4"/>
  <c r="Q115" i="4"/>
  <c r="R124" i="4"/>
  <c r="S71" i="4"/>
  <c r="T108" i="4"/>
  <c r="U87" i="4"/>
  <c r="R152" i="4"/>
  <c r="T135" i="4"/>
  <c r="T173" i="4"/>
  <c r="S144" i="4"/>
  <c r="R151" i="4"/>
  <c r="S29" i="8"/>
  <c r="R119" i="11"/>
  <c r="S127" i="11"/>
  <c r="T164" i="11"/>
  <c r="Q37" i="11"/>
  <c r="U180" i="11"/>
  <c r="U188" i="11"/>
  <c r="Q19" i="11"/>
  <c r="R24" i="11"/>
  <c r="R54" i="11"/>
  <c r="S104" i="11"/>
  <c r="S113" i="11"/>
  <c r="S99" i="11"/>
  <c r="U107" i="11"/>
  <c r="R202" i="6"/>
  <c r="T87" i="6"/>
  <c r="Q111" i="6"/>
  <c r="T192" i="6"/>
  <c r="R33" i="6"/>
  <c r="Q99" i="6"/>
  <c r="Q109" i="6"/>
  <c r="U174" i="6"/>
  <c r="R135" i="6"/>
  <c r="S139" i="6"/>
  <c r="U95" i="6"/>
  <c r="Q4" i="4"/>
  <c r="R100" i="4"/>
  <c r="Q100" i="4"/>
  <c r="R134" i="4"/>
  <c r="S145" i="4"/>
  <c r="T119" i="4"/>
  <c r="U161" i="4"/>
  <c r="T160" i="4"/>
  <c r="S194" i="4"/>
  <c r="Q182" i="4"/>
  <c r="S203" i="4"/>
  <c r="R159" i="4"/>
  <c r="G17" i="7"/>
  <c r="F17" i="7"/>
  <c r="E17" i="7"/>
  <c r="D17" i="7"/>
  <c r="C17" i="7"/>
  <c r="G10" i="10"/>
  <c r="E10" i="10"/>
  <c r="C10" i="10"/>
  <c r="F10" i="10"/>
  <c r="D10" i="10"/>
  <c r="R52" i="12"/>
  <c r="T4" i="8"/>
  <c r="S46" i="8"/>
  <c r="S43" i="8"/>
  <c r="Q125" i="12"/>
  <c r="S50" i="8"/>
  <c r="S115" i="8"/>
  <c r="F20" i="5"/>
  <c r="G20" i="5"/>
  <c r="C20" i="5"/>
  <c r="D20" i="5"/>
  <c r="E20" i="5"/>
  <c r="F7" i="9"/>
  <c r="G7" i="9"/>
  <c r="E7" i="9"/>
  <c r="D7" i="9"/>
  <c r="C7" i="9"/>
  <c r="T137" i="8"/>
  <c r="F9" i="7"/>
  <c r="D9" i="7"/>
  <c r="E9" i="7"/>
  <c r="C9" i="7"/>
  <c r="G9" i="7"/>
  <c r="F5" i="9"/>
  <c r="G5" i="9"/>
  <c r="E5" i="9"/>
  <c r="D5" i="9"/>
  <c r="C5" i="9"/>
  <c r="S85" i="8"/>
  <c r="T174" i="8"/>
  <c r="T101" i="12"/>
  <c r="T121" i="12"/>
  <c r="Q7" i="12"/>
  <c r="S168" i="8"/>
  <c r="R82" i="8"/>
  <c r="T119" i="8"/>
  <c r="C21" i="5"/>
  <c r="E21" i="5"/>
  <c r="D21" i="5"/>
  <c r="G21" i="5"/>
  <c r="F21" i="5"/>
  <c r="G16" i="10"/>
  <c r="F16" i="10"/>
  <c r="E16" i="10"/>
  <c r="C16" i="10"/>
  <c r="D16" i="10"/>
  <c r="G11" i="9"/>
  <c r="E11" i="9"/>
  <c r="D11" i="9"/>
  <c r="C11" i="9"/>
  <c r="F11" i="9"/>
  <c r="S135" i="12"/>
  <c r="S51" i="8"/>
  <c r="S137" i="8"/>
  <c r="T84" i="8"/>
  <c r="R80" i="8"/>
  <c r="T42" i="8"/>
  <c r="G19" i="5"/>
  <c r="F19" i="5"/>
  <c r="D19" i="5"/>
  <c r="E19" i="5"/>
  <c r="C19" i="5"/>
  <c r="E7" i="7"/>
  <c r="C7" i="7"/>
  <c r="G7" i="7"/>
  <c r="D7" i="7"/>
  <c r="F7" i="7"/>
  <c r="C13" i="9"/>
  <c r="G13" i="9"/>
  <c r="E13" i="9"/>
  <c r="D13" i="9"/>
  <c r="F13" i="9"/>
  <c r="Q105" i="12"/>
  <c r="S32" i="12"/>
  <c r="R98" i="12"/>
  <c r="Q74" i="12"/>
  <c r="U171" i="12"/>
  <c r="Q67" i="8"/>
  <c r="S156" i="8"/>
  <c r="Q100" i="8"/>
  <c r="R93" i="8"/>
  <c r="R60" i="8"/>
  <c r="U33" i="8"/>
  <c r="R96" i="8"/>
  <c r="Q192" i="8"/>
  <c r="U30" i="8"/>
  <c r="G5" i="3"/>
  <c r="F5" i="3"/>
  <c r="T195" i="3"/>
  <c r="T160" i="3"/>
  <c r="S132" i="3"/>
  <c r="T91" i="3"/>
  <c r="Q65" i="3"/>
  <c r="S38" i="3"/>
  <c r="Q14" i="3"/>
  <c r="S201" i="3"/>
  <c r="R174" i="3"/>
  <c r="R153" i="3"/>
  <c r="R125" i="3"/>
  <c r="R97" i="3"/>
  <c r="U64" i="3"/>
  <c r="U44" i="3"/>
  <c r="R20" i="3"/>
  <c r="S4" i="3"/>
  <c r="T202" i="3"/>
  <c r="S174" i="3"/>
  <c r="S146" i="3"/>
  <c r="S125" i="3"/>
  <c r="S98" i="3"/>
  <c r="T71" i="3"/>
  <c r="T51" i="3"/>
  <c r="T17" i="3"/>
  <c r="S180" i="3"/>
  <c r="S159" i="3"/>
  <c r="R132" i="3"/>
  <c r="U104" i="3"/>
  <c r="U84" i="3"/>
  <c r="R57" i="3"/>
  <c r="S31" i="3"/>
  <c r="S7" i="3"/>
  <c r="T188" i="3"/>
  <c r="S153" i="3"/>
  <c r="T111" i="3"/>
  <c r="S78" i="3"/>
  <c r="Q45" i="3"/>
  <c r="Q25" i="3"/>
  <c r="Q4" i="3"/>
  <c r="S195" i="3"/>
  <c r="S167" i="3"/>
  <c r="R138" i="3"/>
  <c r="S111" i="3"/>
  <c r="R77" i="3"/>
  <c r="U24" i="3"/>
  <c r="T181" i="3"/>
  <c r="T167" i="3"/>
  <c r="T139" i="3"/>
  <c r="S118" i="3"/>
  <c r="Q105" i="3"/>
  <c r="Q85" i="3"/>
  <c r="S58" i="3"/>
  <c r="T31" i="3"/>
  <c r="T7" i="3"/>
  <c r="S188" i="3"/>
  <c r="R146" i="3"/>
  <c r="R117" i="3"/>
  <c r="S91" i="3"/>
  <c r="S71" i="3"/>
  <c r="S51" i="3"/>
  <c r="R37" i="3"/>
  <c r="S17" i="3"/>
  <c r="R10" i="3"/>
  <c r="U197" i="3"/>
  <c r="S185" i="3"/>
  <c r="R177" i="3"/>
  <c r="T166" i="3"/>
  <c r="S157" i="3"/>
  <c r="Q146" i="3"/>
  <c r="U136" i="3"/>
  <c r="T126" i="3"/>
  <c r="R116" i="3"/>
  <c r="S107" i="3"/>
  <c r="T96" i="3"/>
  <c r="U88" i="3"/>
  <c r="Q77" i="3"/>
  <c r="R69" i="3"/>
  <c r="S60" i="3"/>
  <c r="T49" i="3"/>
  <c r="U40" i="3"/>
  <c r="Q30" i="3"/>
  <c r="R22" i="3"/>
  <c r="T12" i="3"/>
  <c r="U8" i="3"/>
  <c r="R194" i="3"/>
  <c r="Q185" i="3"/>
  <c r="U176" i="3"/>
  <c r="S164" i="3"/>
  <c r="R156" i="3"/>
  <c r="T145" i="3"/>
  <c r="S136" i="3"/>
  <c r="Q125" i="3"/>
  <c r="U115" i="3"/>
  <c r="R106" i="3"/>
  <c r="R96" i="3"/>
  <c r="S87" i="3"/>
  <c r="T76" i="3"/>
  <c r="U193" i="3"/>
  <c r="T184" i="3"/>
  <c r="R173" i="3"/>
  <c r="Q164" i="3"/>
  <c r="U155" i="3"/>
  <c r="S143" i="3"/>
  <c r="Q135" i="3"/>
  <c r="T124" i="3"/>
  <c r="S115" i="3"/>
  <c r="T104" i="3"/>
  <c r="U95" i="3"/>
  <c r="R86" i="3"/>
  <c r="R76" i="3"/>
  <c r="S67" i="3"/>
  <c r="T56" i="3"/>
  <c r="U48" i="3"/>
  <c r="Q37" i="3"/>
  <c r="R29" i="3"/>
  <c r="T16" i="3"/>
  <c r="R193" i="3"/>
  <c r="R180" i="3"/>
  <c r="R170" i="3"/>
  <c r="R158" i="3"/>
  <c r="T147" i="3"/>
  <c r="U134" i="3"/>
  <c r="U121" i="3"/>
  <c r="R110" i="3"/>
  <c r="U100" i="3"/>
  <c r="S89" i="3"/>
  <c r="U76" i="3"/>
  <c r="S66" i="3"/>
  <c r="Q56" i="3"/>
  <c r="Q46" i="3"/>
  <c r="T35" i="3"/>
  <c r="S24" i="3"/>
  <c r="U142" i="3"/>
  <c r="S109" i="3"/>
  <c r="S64" i="3"/>
  <c r="U22" i="3"/>
  <c r="U6" i="3"/>
  <c r="Q201" i="3"/>
  <c r="Q179" i="3"/>
  <c r="Q167" i="3"/>
  <c r="Q156" i="3"/>
  <c r="T142" i="3"/>
  <c r="T130" i="3"/>
  <c r="U120" i="3"/>
  <c r="R109" i="3"/>
  <c r="U96" i="3"/>
  <c r="Q86" i="3"/>
  <c r="S75" i="3"/>
  <c r="R64" i="3"/>
  <c r="R54" i="3"/>
  <c r="Q42" i="3"/>
  <c r="U33" i="3"/>
  <c r="T22" i="3"/>
  <c r="Q12" i="3"/>
  <c r="T6" i="3"/>
  <c r="T200" i="3"/>
  <c r="S166" i="3"/>
  <c r="R130" i="3"/>
  <c r="U108" i="3"/>
  <c r="S84" i="3"/>
  <c r="Q62" i="3"/>
  <c r="T41" i="3"/>
  <c r="Q22" i="3"/>
  <c r="Q130" i="3"/>
  <c r="S106" i="3"/>
  <c r="T116" i="3"/>
  <c r="U187" i="3"/>
  <c r="S151" i="3"/>
  <c r="S116" i="3"/>
  <c r="U81" i="3"/>
  <c r="T40" i="3"/>
  <c r="T199" i="3"/>
  <c r="T187" i="3"/>
  <c r="Q163" i="3"/>
  <c r="Q151" i="3"/>
  <c r="R128" i="3"/>
  <c r="R104" i="3"/>
  <c r="T81" i="3"/>
  <c r="Q61" i="3"/>
  <c r="S40" i="3"/>
  <c r="S198" i="3"/>
  <c r="U172" i="3"/>
  <c r="U162" i="3"/>
  <c r="U137" i="3"/>
  <c r="Q128" i="3"/>
  <c r="Q104" i="3"/>
  <c r="S81" i="3"/>
  <c r="Q70" i="3"/>
  <c r="S49" i="3"/>
  <c r="D5" i="3"/>
  <c r="U184" i="3"/>
  <c r="R81" i="3"/>
  <c r="Q198" i="3"/>
  <c r="S172" i="3"/>
  <c r="S150" i="3"/>
  <c r="S126" i="3"/>
  <c r="U101" i="3"/>
  <c r="Q81" i="3"/>
  <c r="R60" i="3"/>
  <c r="S27" i="3"/>
  <c r="U9" i="3"/>
  <c r="R184" i="3"/>
  <c r="Q193" i="3"/>
  <c r="Q180" i="3"/>
  <c r="Q170" i="3"/>
  <c r="Q158" i="3"/>
  <c r="U145" i="3"/>
  <c r="T134" i="3"/>
  <c r="T121" i="3"/>
  <c r="Q110" i="3"/>
  <c r="T100" i="3"/>
  <c r="R89" i="3"/>
  <c r="S76" i="3"/>
  <c r="R66" i="3"/>
  <c r="U55" i="3"/>
  <c r="T44" i="3"/>
  <c r="S35" i="3"/>
  <c r="R24" i="3"/>
  <c r="T8" i="3"/>
  <c r="R201" i="3"/>
  <c r="S191" i="3"/>
  <c r="S179" i="3"/>
  <c r="S156" i="3"/>
  <c r="U130" i="3"/>
  <c r="Q121" i="3"/>
  <c r="Q97" i="3"/>
  <c r="T75" i="3"/>
  <c r="S54" i="3"/>
  <c r="Q34" i="3"/>
  <c r="R12" i="3"/>
  <c r="Q191" i="3"/>
  <c r="S130" i="3"/>
  <c r="S200" i="3"/>
  <c r="S178" i="3"/>
  <c r="Q152" i="3"/>
  <c r="Q117" i="3"/>
  <c r="T95" i="3"/>
  <c r="U61" i="3"/>
  <c r="R30" i="3"/>
  <c r="R41" i="3"/>
  <c r="Q200" i="3"/>
  <c r="Q177" i="3"/>
  <c r="T141" i="3"/>
  <c r="Q106" i="3"/>
  <c r="Q82" i="3"/>
  <c r="S61" i="3"/>
  <c r="Q41" i="3"/>
  <c r="Q16" i="3"/>
  <c r="T5" i="3"/>
  <c r="U36" i="3"/>
  <c r="T197" i="3"/>
  <c r="R172" i="3"/>
  <c r="Q159" i="3"/>
  <c r="R149" i="3"/>
  <c r="R137" i="3"/>
  <c r="U124" i="3"/>
  <c r="Q114" i="3"/>
  <c r="T101" i="3"/>
  <c r="R90" i="3"/>
  <c r="U80" i="3"/>
  <c r="S69" i="3"/>
  <c r="Q57" i="3"/>
  <c r="T47" i="3"/>
  <c r="S36" i="3"/>
  <c r="T9" i="3"/>
  <c r="Q194" i="3"/>
  <c r="Q184" i="3"/>
  <c r="Q172" i="3"/>
  <c r="U158" i="3"/>
  <c r="Q149" i="3"/>
  <c r="Q137" i="3"/>
  <c r="S124" i="3"/>
  <c r="U113" i="3"/>
  <c r="S101" i="3"/>
  <c r="Q90" i="3"/>
  <c r="T80" i="3"/>
  <c r="Q69" i="3"/>
  <c r="U56" i="3"/>
  <c r="S47" i="3"/>
  <c r="R36" i="3"/>
  <c r="R26" i="3"/>
  <c r="U19" i="3"/>
  <c r="T193" i="3"/>
  <c r="U183" i="3"/>
  <c r="T158" i="3"/>
  <c r="Q148" i="3"/>
  <c r="R122" i="3"/>
  <c r="T113" i="3"/>
  <c r="U89" i="3"/>
  <c r="S80" i="3"/>
  <c r="S56" i="3"/>
  <c r="S46" i="3"/>
  <c r="Q26" i="3"/>
  <c r="U192" i="3"/>
  <c r="U179" i="3"/>
  <c r="Q169" i="3"/>
  <c r="U157" i="3"/>
  <c r="S145" i="3"/>
  <c r="S134" i="3"/>
  <c r="S121" i="3"/>
  <c r="U109" i="3"/>
  <c r="S100" i="3"/>
  <c r="Q89" i="3"/>
  <c r="Q76" i="3"/>
  <c r="Q66" i="3"/>
  <c r="T55" i="3"/>
  <c r="S44" i="3"/>
  <c r="S34" i="3"/>
  <c r="Q24" i="3"/>
  <c r="U12" i="3"/>
  <c r="Q190" i="3"/>
  <c r="T155" i="3"/>
  <c r="T120" i="3"/>
  <c r="S96" i="3"/>
  <c r="Q64" i="3"/>
  <c r="U41" i="3"/>
  <c r="S6" i="3"/>
  <c r="U189" i="3"/>
  <c r="T178" i="3"/>
  <c r="R152" i="3"/>
  <c r="S120" i="3"/>
  <c r="Q96" i="3"/>
  <c r="R74" i="3"/>
  <c r="U53" i="3"/>
  <c r="S30" i="3"/>
  <c r="U16" i="3"/>
  <c r="R6" i="3"/>
  <c r="R200" i="3"/>
  <c r="U163" i="3"/>
  <c r="U129" i="3"/>
  <c r="S95" i="3"/>
  <c r="T61" i="3"/>
  <c r="Q10" i="3"/>
  <c r="Q188" i="3"/>
  <c r="T163" i="3"/>
  <c r="T151" i="3"/>
  <c r="T129" i="3"/>
  <c r="S94" i="3"/>
  <c r="T73" i="3"/>
  <c r="R50" i="3"/>
  <c r="T29" i="3"/>
  <c r="T176" i="3"/>
  <c r="S129" i="3"/>
  <c r="R94" i="3"/>
  <c r="Q50" i="3"/>
  <c r="R40" i="3"/>
  <c r="R198" i="3"/>
  <c r="T172" i="3"/>
  <c r="T162" i="3"/>
  <c r="T150" i="3"/>
  <c r="T137" i="3"/>
  <c r="U126" i="3"/>
  <c r="S114" i="3"/>
  <c r="Q102" i="3"/>
  <c r="T93" i="3"/>
  <c r="U69" i="3"/>
  <c r="T60" i="3"/>
  <c r="R49" i="3"/>
  <c r="T27" i="3"/>
  <c r="Q49" i="3"/>
  <c r="T136" i="3"/>
  <c r="T192" i="3"/>
  <c r="T179" i="3"/>
  <c r="U168" i="3"/>
  <c r="T157" i="3"/>
  <c r="Q143" i="3"/>
  <c r="Q131" i="3"/>
  <c r="R121" i="3"/>
  <c r="T109" i="3"/>
  <c r="R100" i="3"/>
  <c r="T87" i="3"/>
  <c r="U75" i="3"/>
  <c r="T64" i="3"/>
  <c r="S55" i="3"/>
  <c r="R44" i="3"/>
  <c r="R34" i="3"/>
  <c r="U18" i="3"/>
  <c r="S12" i="3"/>
  <c r="T168" i="3"/>
  <c r="S86" i="3"/>
  <c r="Q44" i="3"/>
  <c r="T18" i="3"/>
  <c r="U200" i="3"/>
  <c r="U178" i="3"/>
  <c r="U166" i="3"/>
  <c r="S142" i="3"/>
  <c r="Q109" i="3"/>
  <c r="T84" i="3"/>
  <c r="S74" i="3"/>
  <c r="Q54" i="3"/>
  <c r="T33" i="3"/>
  <c r="S22" i="3"/>
  <c r="R142" i="3"/>
  <c r="T189" i="3"/>
  <c r="R164" i="3"/>
  <c r="Q142" i="3"/>
  <c r="T107" i="3"/>
  <c r="R84" i="3"/>
  <c r="Q74" i="3"/>
  <c r="T53" i="3"/>
  <c r="S41" i="3"/>
  <c r="S16" i="3"/>
  <c r="Q6" i="3"/>
  <c r="R188" i="3"/>
  <c r="S177" i="3"/>
  <c r="U151" i="3"/>
  <c r="U141" i="3"/>
  <c r="U116" i="3"/>
  <c r="Q84" i="3"/>
  <c r="U73" i="3"/>
  <c r="S50" i="3"/>
  <c r="U29" i="3"/>
  <c r="R16" i="3"/>
  <c r="U199" i="3"/>
  <c r="S163" i="3"/>
  <c r="S141" i="3"/>
  <c r="S104" i="3"/>
  <c r="S70" i="3"/>
  <c r="R61" i="3"/>
  <c r="S29" i="3"/>
  <c r="Q20" i="3"/>
  <c r="S5" i="3"/>
  <c r="Q173" i="3"/>
  <c r="Q138" i="3"/>
  <c r="Q116" i="3"/>
  <c r="Q94" i="3"/>
  <c r="R70" i="3"/>
  <c r="U49" i="3"/>
  <c r="Q29" i="3"/>
  <c r="T15" i="3"/>
  <c r="E5" i="3"/>
  <c r="R185" i="3"/>
  <c r="U150" i="3"/>
  <c r="T115" i="3"/>
  <c r="U93" i="3"/>
  <c r="U60" i="3"/>
  <c r="U28" i="3"/>
  <c r="S15" i="3"/>
  <c r="C5" i="3"/>
  <c r="S184" i="3"/>
  <c r="S162" i="3"/>
  <c r="S137" i="3"/>
  <c r="R114" i="3"/>
  <c r="S90" i="3"/>
  <c r="T69" i="3"/>
  <c r="T36" i="3"/>
  <c r="S26" i="3"/>
  <c r="S9" i="3"/>
  <c r="U171" i="3"/>
  <c r="R101" i="3"/>
  <c r="U68" i="3"/>
  <c r="Q36" i="3"/>
  <c r="T19" i="3"/>
  <c r="Q101" i="3"/>
  <c r="R80" i="3"/>
  <c r="T89" i="3"/>
  <c r="T67" i="3"/>
  <c r="R56" i="3"/>
  <c r="R46" i="3"/>
  <c r="U35" i="3"/>
  <c r="T24" i="3"/>
  <c r="S158" i="3"/>
  <c r="S193" i="3"/>
  <c r="T183" i="3"/>
  <c r="T171" i="3"/>
  <c r="U147" i="3"/>
  <c r="S135" i="3"/>
  <c r="Q122" i="3"/>
  <c r="S110" i="3"/>
  <c r="S19" i="3"/>
  <c r="Q154" i="3"/>
  <c r="U11" i="3"/>
  <c r="R121" i="8"/>
  <c r="R173" i="8"/>
  <c r="G8" i="9"/>
  <c r="E8" i="9"/>
  <c r="C8" i="9"/>
  <c r="F8" i="9"/>
  <c r="D8" i="9"/>
  <c r="T145" i="8"/>
  <c r="R57" i="8"/>
  <c r="R95" i="12"/>
  <c r="R102" i="12"/>
  <c r="R161" i="12"/>
  <c r="U188" i="12"/>
  <c r="S183" i="12"/>
  <c r="R41" i="12"/>
  <c r="S164" i="12"/>
  <c r="R152" i="12"/>
  <c r="Q191" i="12"/>
  <c r="U152" i="8"/>
  <c r="S35" i="8"/>
  <c r="S196" i="8"/>
  <c r="Q183" i="8"/>
  <c r="U107" i="8"/>
  <c r="R126" i="3"/>
  <c r="Q147" i="3"/>
  <c r="Q52" i="3"/>
  <c r="T180" i="3"/>
  <c r="Q108" i="3"/>
  <c r="U27" i="3"/>
  <c r="R68" i="3"/>
  <c r="R33" i="3"/>
  <c r="Q139" i="3"/>
  <c r="Q145" i="3"/>
  <c r="U103" i="3"/>
  <c r="T26" i="3"/>
  <c r="T106" i="3"/>
  <c r="R190" i="3"/>
  <c r="U90" i="3"/>
  <c r="T173" i="3"/>
  <c r="Q35" i="3"/>
  <c r="S123" i="3"/>
  <c r="Q99" i="3"/>
  <c r="R59" i="3"/>
  <c r="S140" i="3"/>
  <c r="R135" i="3"/>
  <c r="R105" i="3"/>
  <c r="G22" i="10"/>
  <c r="D22" i="10"/>
  <c r="C22" i="10"/>
  <c r="E22" i="10"/>
  <c r="F22" i="10"/>
  <c r="F15" i="8"/>
  <c r="E15" i="8"/>
  <c r="D15" i="8"/>
  <c r="G15" i="8"/>
  <c r="C15" i="8"/>
  <c r="S39" i="8"/>
  <c r="S67" i="8"/>
  <c r="R144" i="8"/>
  <c r="G18" i="5"/>
  <c r="F18" i="5"/>
  <c r="D18" i="5"/>
  <c r="E18" i="5"/>
  <c r="C18" i="5"/>
  <c r="G7" i="10"/>
  <c r="F7" i="10"/>
  <c r="E7" i="10"/>
  <c r="D7" i="10"/>
  <c r="C7" i="10"/>
  <c r="S23" i="12"/>
  <c r="Q77" i="12"/>
  <c r="U50" i="12"/>
  <c r="T138" i="12"/>
  <c r="R134" i="12"/>
  <c r="R29" i="12"/>
  <c r="U101" i="12"/>
  <c r="U4" i="12"/>
  <c r="Q170" i="12"/>
  <c r="Q155" i="12"/>
  <c r="R45" i="12"/>
  <c r="Q45" i="12"/>
  <c r="R76" i="12"/>
  <c r="G16" i="8"/>
  <c r="F16" i="8"/>
  <c r="C16" i="8"/>
  <c r="D16" i="8"/>
  <c r="E16" i="8"/>
  <c r="G8" i="7"/>
  <c r="E8" i="7"/>
  <c r="D8" i="7"/>
  <c r="F8" i="7"/>
  <c r="C8" i="7"/>
  <c r="U76" i="12"/>
  <c r="T50" i="12"/>
  <c r="T177" i="12"/>
  <c r="S18" i="12"/>
  <c r="Q71" i="12"/>
  <c r="T61" i="12"/>
  <c r="Q121" i="12"/>
  <c r="S170" i="12"/>
  <c r="R89" i="12"/>
  <c r="T142" i="12"/>
  <c r="T44" i="12"/>
  <c r="T100" i="12"/>
  <c r="U121" i="12"/>
  <c r="S121" i="12"/>
  <c r="Q157" i="12"/>
  <c r="U73" i="12"/>
  <c r="T8" i="12"/>
  <c r="R65" i="12"/>
  <c r="Q154" i="12"/>
  <c r="Q163" i="12"/>
  <c r="R141" i="12"/>
  <c r="T63" i="12"/>
  <c r="U13" i="12"/>
  <c r="S186" i="8"/>
  <c r="T38" i="8"/>
  <c r="G11" i="7"/>
  <c r="F11" i="7"/>
  <c r="D11" i="7"/>
  <c r="C11" i="7"/>
  <c r="E11" i="7"/>
  <c r="T112" i="8"/>
  <c r="T64" i="12"/>
  <c r="S168" i="12"/>
  <c r="T90" i="12"/>
  <c r="R80" i="12"/>
  <c r="U30" i="12"/>
  <c r="Q119" i="12"/>
  <c r="U87" i="12"/>
  <c r="T81" i="8"/>
  <c r="T5" i="8"/>
  <c r="U200" i="8"/>
  <c r="T92" i="8"/>
  <c r="T18" i="8"/>
  <c r="Q189" i="8"/>
  <c r="T77" i="8"/>
  <c r="T13" i="8"/>
  <c r="T127" i="8"/>
  <c r="R20" i="8"/>
  <c r="T12" i="8"/>
  <c r="R67" i="8"/>
  <c r="U49" i="8"/>
  <c r="R26" i="8"/>
  <c r="R50" i="8"/>
  <c r="T151" i="8"/>
  <c r="R150" i="8"/>
  <c r="Q85" i="8"/>
  <c r="T16" i="8"/>
  <c r="U15" i="8"/>
  <c r="R11" i="8"/>
  <c r="R56" i="8"/>
  <c r="R16" i="8"/>
  <c r="T147" i="8"/>
  <c r="U170" i="8"/>
  <c r="Q101" i="8"/>
  <c r="T124" i="8"/>
  <c r="S65" i="8"/>
  <c r="Q18" i="8"/>
  <c r="R185" i="8"/>
  <c r="T48" i="12"/>
  <c r="R35" i="12"/>
  <c r="Q25" i="8"/>
  <c r="S179" i="8"/>
  <c r="T88" i="8"/>
  <c r="T25" i="8"/>
  <c r="T102" i="8"/>
  <c r="T182" i="8"/>
  <c r="R73" i="8"/>
  <c r="R49" i="12"/>
  <c r="Q86" i="12"/>
  <c r="U124" i="12"/>
  <c r="U141" i="12"/>
  <c r="T34" i="12"/>
  <c r="S64" i="12"/>
  <c r="R15" i="8"/>
  <c r="R187" i="8"/>
  <c r="U160" i="8"/>
  <c r="S183" i="8"/>
  <c r="T46" i="8"/>
  <c r="T106" i="8"/>
  <c r="T59" i="3"/>
  <c r="T164" i="3"/>
  <c r="S102" i="3"/>
  <c r="S10" i="3"/>
  <c r="S63" i="3"/>
  <c r="U165" i="3"/>
  <c r="S28" i="3"/>
  <c r="Q134" i="3"/>
  <c r="T63" i="3"/>
  <c r="R98" i="3"/>
  <c r="S202" i="3"/>
  <c r="T102" i="3"/>
  <c r="Q186" i="3"/>
  <c r="U86" i="3"/>
  <c r="S169" i="3"/>
  <c r="Q31" i="3"/>
  <c r="Q119" i="3"/>
  <c r="Q39" i="3"/>
  <c r="R55" i="3"/>
  <c r="R136" i="3"/>
  <c r="R131" i="3"/>
  <c r="U111" i="3"/>
  <c r="U203" i="3"/>
  <c r="R200" i="8"/>
  <c r="D12" i="7"/>
  <c r="C12" i="7"/>
  <c r="E12" i="7"/>
  <c r="G12" i="7"/>
  <c r="F12" i="7"/>
  <c r="Q8" i="12"/>
  <c r="S20" i="12"/>
  <c r="U46" i="12"/>
  <c r="R93" i="12"/>
  <c r="Q130" i="12"/>
  <c r="T65" i="12"/>
  <c r="Q39" i="12"/>
  <c r="R128" i="12"/>
  <c r="T155" i="12"/>
  <c r="U19" i="12"/>
  <c r="U175" i="12"/>
  <c r="R83" i="8"/>
  <c r="R21" i="8"/>
  <c r="S103" i="8"/>
  <c r="R104" i="8"/>
  <c r="R199" i="8"/>
  <c r="Q53" i="8"/>
  <c r="R165" i="8"/>
  <c r="R132" i="8"/>
  <c r="T190" i="8"/>
  <c r="Q175" i="3"/>
  <c r="T4" i="3"/>
  <c r="U170" i="3"/>
  <c r="U50" i="8"/>
  <c r="G13" i="7"/>
  <c r="F13" i="7"/>
  <c r="E13" i="7"/>
  <c r="C13" i="7"/>
  <c r="D13" i="7"/>
  <c r="F9" i="9"/>
  <c r="G9" i="9"/>
  <c r="E9" i="9"/>
  <c r="D9" i="9"/>
  <c r="C9" i="9"/>
  <c r="U72" i="8"/>
  <c r="S162" i="8"/>
  <c r="R126" i="8"/>
  <c r="R199" i="12"/>
  <c r="R116" i="12"/>
  <c r="T53" i="12"/>
  <c r="U160" i="12"/>
  <c r="S62" i="12"/>
  <c r="Q78" i="12"/>
  <c r="Q172" i="12"/>
  <c r="S15" i="8"/>
  <c r="R142" i="8"/>
  <c r="T6" i="8"/>
  <c r="R110" i="8"/>
  <c r="R137" i="8"/>
  <c r="Q193" i="8"/>
  <c r="R120" i="3"/>
  <c r="Q141" i="3"/>
  <c r="S45" i="3"/>
  <c r="T201" i="3"/>
  <c r="U112" i="3"/>
  <c r="R62" i="3"/>
  <c r="Q73" i="3"/>
  <c r="Q176" i="3"/>
  <c r="Q38" i="3"/>
  <c r="Q150" i="3"/>
  <c r="S8" i="3"/>
  <c r="T108" i="3"/>
  <c r="T30" i="3"/>
  <c r="T110" i="3"/>
  <c r="S194" i="3"/>
  <c r="U94" i="3"/>
  <c r="U177" i="3"/>
  <c r="Q43" i="3"/>
  <c r="T127" i="3"/>
  <c r="S165" i="3"/>
  <c r="R63" i="3"/>
  <c r="T144" i="3"/>
  <c r="R139" i="3"/>
  <c r="S99" i="3"/>
  <c r="G18" i="10"/>
  <c r="E18" i="10"/>
  <c r="D18" i="10"/>
  <c r="C18" i="10"/>
  <c r="F18" i="10"/>
  <c r="G19" i="7"/>
  <c r="F19" i="7"/>
  <c r="E19" i="7"/>
  <c r="D19" i="7"/>
  <c r="C19" i="7"/>
  <c r="F10" i="9"/>
  <c r="E10" i="9"/>
  <c r="D10" i="9"/>
  <c r="G10" i="9"/>
  <c r="C10" i="9"/>
  <c r="R66" i="8"/>
  <c r="Q44" i="12"/>
  <c r="T200" i="12"/>
  <c r="Q123" i="12"/>
  <c r="U33" i="12"/>
  <c r="R87" i="12"/>
  <c r="R163" i="12"/>
  <c r="Q137" i="12"/>
  <c r="T163" i="12"/>
  <c r="S111" i="12"/>
  <c r="R87" i="8"/>
  <c r="S187" i="8"/>
  <c r="T160" i="8"/>
  <c r="R179" i="8"/>
  <c r="R157" i="8"/>
  <c r="S112" i="3"/>
  <c r="G7" i="3"/>
  <c r="F7" i="3"/>
  <c r="C7" i="3"/>
  <c r="E7" i="3"/>
  <c r="D7" i="3"/>
  <c r="Q32" i="3"/>
  <c r="T10" i="3"/>
  <c r="T117" i="3"/>
  <c r="T92" i="3"/>
  <c r="U77" i="3"/>
  <c r="Q181" i="3"/>
  <c r="T43" i="3"/>
  <c r="Q155" i="3"/>
  <c r="U13" i="3"/>
  <c r="S113" i="3"/>
  <c r="T34" i="3"/>
  <c r="T114" i="3"/>
  <c r="T198" i="3"/>
  <c r="U98" i="3"/>
  <c r="Q182" i="3"/>
  <c r="Q47" i="3"/>
  <c r="U131" i="3"/>
  <c r="R5" i="3"/>
  <c r="R67" i="3"/>
  <c r="U148" i="3"/>
  <c r="R143" i="3"/>
  <c r="U91" i="3"/>
  <c r="C19" i="10"/>
  <c r="G19" i="10"/>
  <c r="F19" i="10"/>
  <c r="E19" i="10"/>
  <c r="D19" i="10"/>
  <c r="C20" i="7"/>
  <c r="G20" i="7"/>
  <c r="F20" i="7"/>
  <c r="E20" i="7"/>
  <c r="D20" i="7"/>
  <c r="E12" i="9"/>
  <c r="D12" i="9"/>
  <c r="C12" i="9"/>
  <c r="G12" i="9"/>
  <c r="F12" i="9"/>
  <c r="R116" i="8"/>
  <c r="R161" i="8"/>
  <c r="R98" i="8"/>
  <c r="G22" i="12"/>
  <c r="F22" i="12"/>
  <c r="E22" i="12"/>
  <c r="D22" i="12"/>
  <c r="C22" i="12"/>
  <c r="Q91" i="12"/>
  <c r="R74" i="12"/>
  <c r="S131" i="12"/>
  <c r="R201" i="12"/>
  <c r="T40" i="12"/>
  <c r="U112" i="12"/>
  <c r="T167" i="12"/>
  <c r="R69" i="12"/>
  <c r="R95" i="8"/>
  <c r="U124" i="8"/>
  <c r="R7" i="8"/>
  <c r="T184" i="8"/>
  <c r="Q104" i="8"/>
  <c r="T122" i="8"/>
  <c r="U105" i="3"/>
  <c r="Q126" i="3"/>
  <c r="T21" i="3"/>
  <c r="T122" i="3"/>
  <c r="S83" i="3"/>
  <c r="S48" i="3"/>
  <c r="S18" i="3"/>
  <c r="T38" i="3"/>
  <c r="U202" i="3"/>
  <c r="R186" i="3"/>
  <c r="Q136" i="3"/>
  <c r="R71" i="3"/>
  <c r="R147" i="3"/>
  <c r="C21" i="7"/>
  <c r="F21" i="7"/>
  <c r="E21" i="7"/>
  <c r="D21" i="7"/>
  <c r="G21" i="7"/>
  <c r="S152" i="12"/>
  <c r="U133" i="12"/>
  <c r="Q148" i="12"/>
  <c r="C22" i="6"/>
  <c r="D22" i="6"/>
  <c r="G22" i="6"/>
  <c r="F22" i="6"/>
  <c r="E22" i="6"/>
  <c r="R192" i="8"/>
  <c r="R68" i="8"/>
  <c r="R58" i="8"/>
  <c r="S113" i="8"/>
  <c r="S82" i="8"/>
  <c r="T66" i="8"/>
  <c r="T126" i="8"/>
  <c r="U153" i="3"/>
  <c r="G9" i="3"/>
  <c r="F9" i="3"/>
  <c r="C9" i="3"/>
  <c r="E9" i="3"/>
  <c r="D9" i="3"/>
  <c r="Q109" i="8"/>
  <c r="Q77" i="8"/>
  <c r="Q8" i="8"/>
  <c r="U23" i="8"/>
  <c r="Q53" i="12"/>
  <c r="Q72" i="12"/>
  <c r="U94" i="12"/>
  <c r="Q90" i="12"/>
  <c r="Q58" i="12"/>
  <c r="T24" i="12"/>
  <c r="AF4" i="12" a="1"/>
  <c r="T174" i="12"/>
  <c r="T189" i="12"/>
  <c r="T198" i="12"/>
  <c r="S61" i="12"/>
  <c r="T19" i="12"/>
  <c r="T175" i="12"/>
  <c r="U35" i="12"/>
  <c r="U115" i="12"/>
  <c r="T58" i="12"/>
  <c r="R59" i="12"/>
  <c r="U112" i="8"/>
  <c r="R78" i="8"/>
  <c r="T139" i="8"/>
  <c r="R76" i="8"/>
  <c r="R140" i="8"/>
  <c r="R90" i="8"/>
  <c r="R25" i="8"/>
  <c r="U46" i="8"/>
  <c r="S193" i="8"/>
  <c r="Q102" i="8"/>
  <c r="S92" i="3"/>
  <c r="S65" i="3"/>
  <c r="T105" i="3"/>
  <c r="F10" i="3"/>
  <c r="E10" i="3"/>
  <c r="D10" i="3"/>
  <c r="G10" i="3"/>
  <c r="C10" i="3"/>
  <c r="U174" i="3"/>
  <c r="U5" i="3"/>
  <c r="U32" i="3"/>
  <c r="T133" i="3"/>
  <c r="T196" i="3"/>
  <c r="Q93" i="3"/>
  <c r="Q197" i="3"/>
  <c r="Q58" i="3"/>
  <c r="Q171" i="3"/>
  <c r="T28" i="3"/>
  <c r="R129" i="3"/>
  <c r="T46" i="3"/>
  <c r="Q127" i="3"/>
  <c r="U30" i="3"/>
  <c r="U110" i="3"/>
  <c r="T194" i="3"/>
  <c r="Q59" i="3"/>
  <c r="S144" i="3"/>
  <c r="R11" i="3"/>
  <c r="R79" i="3"/>
  <c r="S161" i="3"/>
  <c r="R155" i="3"/>
  <c r="U71" i="3"/>
  <c r="G6" i="10"/>
  <c r="F6" i="10"/>
  <c r="E6" i="10"/>
  <c r="D6" i="10"/>
  <c r="C6" i="10"/>
  <c r="R29" i="8"/>
  <c r="D22" i="7"/>
  <c r="C22" i="7"/>
  <c r="G22" i="7"/>
  <c r="E22" i="7"/>
  <c r="F22" i="7"/>
  <c r="C18" i="9"/>
  <c r="G18" i="9"/>
  <c r="F18" i="9"/>
  <c r="E18" i="9"/>
  <c r="D18" i="9"/>
  <c r="R72" i="8"/>
  <c r="T179" i="8"/>
  <c r="S111" i="8"/>
  <c r="U4" i="8"/>
  <c r="S25" i="8"/>
  <c r="R112" i="3"/>
  <c r="F6" i="3"/>
  <c r="E6" i="3"/>
  <c r="D6" i="3"/>
  <c r="C6" i="3"/>
  <c r="G6" i="3"/>
  <c r="S55" i="8"/>
  <c r="R84" i="8"/>
  <c r="F21" i="12"/>
  <c r="E21" i="12"/>
  <c r="D21" i="12"/>
  <c r="C21" i="12"/>
  <c r="G21" i="12"/>
  <c r="T4" i="12"/>
  <c r="S29" i="12"/>
  <c r="S67" i="12"/>
  <c r="Q84" i="12"/>
  <c r="R192" i="12"/>
  <c r="S176" i="12"/>
  <c r="U23" i="12"/>
  <c r="U183" i="12"/>
  <c r="R55" i="12"/>
  <c r="G19" i="6"/>
  <c r="F19" i="6"/>
  <c r="E19" i="6"/>
  <c r="D19" i="6"/>
  <c r="C19" i="6"/>
  <c r="S36" i="8"/>
  <c r="Q55" i="8"/>
  <c r="T69" i="8"/>
  <c r="R30" i="8"/>
  <c r="Q47" i="8"/>
  <c r="R99" i="8"/>
  <c r="T80" i="8"/>
  <c r="Q90" i="8"/>
  <c r="R52" i="3"/>
  <c r="Q133" i="3"/>
  <c r="Q45" i="8"/>
  <c r="R66" i="12"/>
  <c r="S112" i="12"/>
  <c r="Q174" i="12"/>
  <c r="Q41" i="12"/>
  <c r="R57" i="12"/>
  <c r="U72" i="12"/>
  <c r="U78" i="12"/>
  <c r="T108" i="12"/>
  <c r="U128" i="12"/>
  <c r="G20" i="6"/>
  <c r="F20" i="6"/>
  <c r="D20" i="6"/>
  <c r="C20" i="6"/>
  <c r="E20" i="6"/>
  <c r="R125" i="8"/>
  <c r="R14" i="8"/>
  <c r="U52" i="8"/>
  <c r="R69" i="8"/>
  <c r="F8" i="3"/>
  <c r="G8" i="3"/>
  <c r="E8" i="3"/>
  <c r="D8" i="3"/>
  <c r="C8" i="3"/>
  <c r="Q196" i="3"/>
  <c r="T20" i="3"/>
  <c r="S133" i="3"/>
  <c r="U186" i="3"/>
  <c r="R160" i="3"/>
  <c r="R118" i="3"/>
  <c r="T118" i="3"/>
  <c r="U102" i="3"/>
  <c r="Q51" i="3"/>
  <c r="R7" i="3"/>
  <c r="Q153" i="3"/>
  <c r="R85" i="3"/>
  <c r="G20" i="10"/>
  <c r="C20" i="10"/>
  <c r="F20" i="10"/>
  <c r="E20" i="10"/>
  <c r="D20" i="10"/>
  <c r="R139" i="8"/>
  <c r="F15" i="9"/>
  <c r="E15" i="9"/>
  <c r="C15" i="9"/>
  <c r="G15" i="9"/>
  <c r="D15" i="9"/>
  <c r="U188" i="8"/>
  <c r="R63" i="8"/>
  <c r="S28" i="12"/>
  <c r="U104" i="12"/>
  <c r="R171" i="12"/>
  <c r="T49" i="12"/>
  <c r="T20" i="12"/>
  <c r="T140" i="12"/>
  <c r="S186" i="12"/>
  <c r="T202" i="12"/>
  <c r="T17" i="12"/>
  <c r="U191" i="12"/>
  <c r="R37" i="8"/>
  <c r="Q105" i="8"/>
  <c r="R53" i="8"/>
  <c r="T132" i="8"/>
  <c r="Q155" i="8"/>
  <c r="Q190" i="8"/>
  <c r="T188" i="8"/>
  <c r="T165" i="8"/>
  <c r="Q149" i="8"/>
  <c r="Q100" i="3"/>
  <c r="Q120" i="3"/>
  <c r="U182" i="3"/>
  <c r="S14" i="3"/>
  <c r="Q28" i="3"/>
  <c r="T128" i="3"/>
  <c r="T175" i="3"/>
  <c r="R88" i="3"/>
  <c r="Q192" i="3"/>
  <c r="R53" i="3"/>
  <c r="Q166" i="3"/>
  <c r="U23" i="3"/>
  <c r="R124" i="3"/>
  <c r="T42" i="3"/>
  <c r="U122" i="3"/>
  <c r="U26" i="3"/>
  <c r="U106" i="3"/>
  <c r="S190" i="3"/>
  <c r="Q55" i="3"/>
  <c r="R140" i="3"/>
  <c r="R9" i="3"/>
  <c r="R75" i="3"/>
  <c r="R157" i="3"/>
  <c r="R151" i="3"/>
  <c r="S79" i="3"/>
  <c r="G21" i="10"/>
  <c r="C21" i="10"/>
  <c r="F21" i="10"/>
  <c r="E21" i="10"/>
  <c r="D21" i="10"/>
  <c r="T8" i="8"/>
  <c r="G10" i="7"/>
  <c r="E10" i="7"/>
  <c r="F10" i="7"/>
  <c r="C10" i="7"/>
  <c r="D10" i="7"/>
  <c r="F17" i="9"/>
  <c r="G17" i="9"/>
  <c r="C17" i="9"/>
  <c r="E17" i="9"/>
  <c r="D17" i="9"/>
  <c r="S54" i="12"/>
  <c r="R103" i="12"/>
  <c r="T97" i="12"/>
  <c r="Q65" i="12"/>
  <c r="U85" i="12"/>
  <c r="R9" i="12"/>
  <c r="R60" i="12"/>
  <c r="R195" i="12"/>
  <c r="S133" i="12"/>
  <c r="Q194" i="12"/>
  <c r="R181" i="12"/>
  <c r="U65" i="12"/>
  <c r="T21" i="12"/>
  <c r="R173" i="12"/>
  <c r="T180" i="8"/>
  <c r="S28" i="8"/>
  <c r="T52" i="8"/>
  <c r="S184" i="8"/>
  <c r="R24" i="8"/>
  <c r="T99" i="8"/>
  <c r="Q174" i="8"/>
  <c r="U85" i="3"/>
  <c r="S25" i="3"/>
  <c r="U99" i="3"/>
  <c r="F16" i="3"/>
  <c r="E16" i="3"/>
  <c r="D16" i="3"/>
  <c r="C16" i="3"/>
  <c r="G16" i="3"/>
  <c r="Q168" i="3"/>
  <c r="S20" i="3"/>
  <c r="T37" i="3"/>
  <c r="T138" i="3"/>
  <c r="Q8" i="3"/>
  <c r="U97" i="3"/>
  <c r="Q202" i="3"/>
  <c r="S68" i="3"/>
  <c r="R176" i="3"/>
  <c r="S33" i="3"/>
  <c r="R134" i="3"/>
  <c r="T50" i="3"/>
  <c r="S131" i="3"/>
  <c r="U34" i="3"/>
  <c r="U114" i="3"/>
  <c r="U198" i="3"/>
  <c r="Q63" i="3"/>
  <c r="T148" i="3"/>
  <c r="R13" i="3"/>
  <c r="R83" i="3"/>
  <c r="T165" i="3"/>
  <c r="R159" i="3"/>
  <c r="R65" i="3"/>
  <c r="G8" i="10"/>
  <c r="F8" i="10"/>
  <c r="E8" i="10"/>
  <c r="D8" i="10"/>
  <c r="C8" i="10"/>
  <c r="D19" i="9"/>
  <c r="C19" i="9"/>
  <c r="G19" i="9"/>
  <c r="F19" i="9"/>
  <c r="E19" i="9"/>
  <c r="R127" i="8"/>
  <c r="T31" i="8"/>
  <c r="R152" i="8"/>
  <c r="G23" i="12" l="1"/>
  <c r="C23" i="4"/>
  <c r="D23" i="12"/>
  <c r="D23" i="11"/>
  <c r="C23" i="11"/>
  <c r="E23" i="11"/>
  <c r="F23" i="4"/>
  <c r="F23" i="11"/>
  <c r="G23" i="11"/>
  <c r="E23" i="7"/>
  <c r="E23" i="4"/>
  <c r="C23" i="3"/>
  <c r="C23" i="6"/>
  <c r="G23" i="3"/>
  <c r="F23" i="12"/>
  <c r="G23" i="8"/>
  <c r="G23" i="4"/>
  <c r="F23" i="9"/>
  <c r="C23" i="7"/>
  <c r="E23" i="12"/>
  <c r="D23" i="8"/>
  <c r="F23" i="5"/>
  <c r="G23" i="7"/>
  <c r="C23" i="12"/>
  <c r="F23" i="7"/>
  <c r="E23" i="8"/>
  <c r="F23" i="8"/>
  <c r="D23" i="7"/>
  <c r="F23" i="3"/>
  <c r="D23" i="10"/>
  <c r="AF9" i="4"/>
  <c r="AF15" i="4"/>
  <c r="AF14" i="4"/>
  <c r="AF13" i="4"/>
  <c r="AF12" i="4"/>
  <c r="AF5" i="4"/>
  <c r="AF4" i="4"/>
  <c r="AF11" i="4"/>
  <c r="AF8" i="4"/>
  <c r="AF6" i="4"/>
  <c r="AF7" i="4"/>
  <c r="AF22" i="4"/>
  <c r="AF21" i="4"/>
  <c r="AF18" i="4"/>
  <c r="AF17" i="4"/>
  <c r="AF16" i="4"/>
  <c r="AF20" i="4"/>
  <c r="AF19" i="4"/>
  <c r="AF10" i="4"/>
  <c r="E23" i="10"/>
  <c r="G23" i="5"/>
  <c r="F23" i="6"/>
  <c r="G23" i="9"/>
  <c r="C23" i="9"/>
  <c r="AF5" i="11"/>
  <c r="AF21" i="11"/>
  <c r="AF20" i="11"/>
  <c r="AF18" i="11"/>
  <c r="AF16" i="11"/>
  <c r="AF15" i="11"/>
  <c r="AF14" i="11"/>
  <c r="AF13" i="11"/>
  <c r="AF10" i="11"/>
  <c r="AF9" i="11"/>
  <c r="AF8" i="11"/>
  <c r="AF22" i="11"/>
  <c r="AF19" i="11"/>
  <c r="AF17" i="11"/>
  <c r="AF12" i="11"/>
  <c r="AF11" i="11"/>
  <c r="AF7" i="11"/>
  <c r="AF6" i="11"/>
  <c r="AF4" i="11"/>
  <c r="G23" i="6"/>
  <c r="D23" i="9"/>
  <c r="E23" i="3"/>
  <c r="G23" i="10"/>
  <c r="E23" i="5"/>
  <c r="AF12" i="7"/>
  <c r="AF4" i="7"/>
  <c r="AF20" i="7"/>
  <c r="AF18" i="7"/>
  <c r="AF17" i="7"/>
  <c r="AF16" i="7"/>
  <c r="AF8" i="7"/>
  <c r="AF7" i="7"/>
  <c r="AF6" i="7"/>
  <c r="AF5" i="7"/>
  <c r="AF22" i="7"/>
  <c r="AF21" i="7"/>
  <c r="AF19" i="7"/>
  <c r="AF13" i="7"/>
  <c r="AF11" i="7"/>
  <c r="AF14" i="7"/>
  <c r="AF10" i="7"/>
  <c r="AF9" i="7"/>
  <c r="AF15" i="7"/>
  <c r="D23" i="3"/>
  <c r="D23" i="5"/>
  <c r="AF6" i="9"/>
  <c r="AF16" i="9"/>
  <c r="AF15" i="9"/>
  <c r="AF13" i="9"/>
  <c r="AF9" i="9"/>
  <c r="AF8" i="9"/>
  <c r="AF7" i="9"/>
  <c r="AF5" i="9"/>
  <c r="AF17" i="9"/>
  <c r="AF12" i="9"/>
  <c r="AF11" i="9"/>
  <c r="AF10" i="9"/>
  <c r="AF22" i="9"/>
  <c r="AF21" i="9"/>
  <c r="AF20" i="9"/>
  <c r="AF19" i="9"/>
  <c r="AF18" i="9"/>
  <c r="AF14" i="9"/>
  <c r="AF4" i="9"/>
  <c r="C23" i="8"/>
  <c r="E23" i="9"/>
  <c r="F23" i="10"/>
  <c r="E23" i="6"/>
  <c r="D23" i="4"/>
  <c r="AF9" i="5"/>
  <c r="AF14" i="5"/>
  <c r="AF13" i="5"/>
  <c r="AF12" i="5"/>
  <c r="AF11" i="5"/>
  <c r="AF8" i="5"/>
  <c r="AF7" i="5"/>
  <c r="AF6" i="5"/>
  <c r="AF5" i="5"/>
  <c r="AF10" i="5"/>
  <c r="AF4" i="5"/>
  <c r="AF22" i="5"/>
  <c r="AF20" i="5"/>
  <c r="AF18" i="5"/>
  <c r="AF17" i="5"/>
  <c r="AF19" i="5"/>
  <c r="AF16" i="5"/>
  <c r="AF15" i="5"/>
  <c r="AF21" i="5"/>
  <c r="C23" i="10"/>
  <c r="C23" i="5"/>
  <c r="AF12" i="12"/>
  <c r="AF11" i="12"/>
  <c r="AF22" i="12"/>
  <c r="AF21" i="12"/>
  <c r="AF19" i="12"/>
  <c r="AF14" i="12"/>
  <c r="AF13" i="12"/>
  <c r="AF10" i="12"/>
  <c r="AF6" i="12"/>
  <c r="AF5" i="12"/>
  <c r="AF4" i="12"/>
  <c r="AF20" i="12"/>
  <c r="AF17" i="12"/>
  <c r="AF16" i="12"/>
  <c r="AF15" i="12"/>
  <c r="AF9" i="12"/>
  <c r="AF8" i="12"/>
  <c r="AF18" i="12"/>
  <c r="AF7" i="12"/>
  <c r="AF6" i="8"/>
  <c r="AF5" i="8"/>
  <c r="AF16" i="8"/>
  <c r="AF7" i="8"/>
  <c r="AF4" i="8"/>
  <c r="AF22" i="8"/>
  <c r="AF20" i="8"/>
  <c r="AF19" i="8"/>
  <c r="AF18" i="8"/>
  <c r="AF10" i="8"/>
  <c r="AF9" i="8"/>
  <c r="AF8" i="8"/>
  <c r="AF11" i="8"/>
  <c r="AF13" i="8"/>
  <c r="AF12" i="8"/>
  <c r="AF14" i="8"/>
  <c r="AF21" i="8"/>
  <c r="AF17" i="8"/>
  <c r="AF15" i="8"/>
  <c r="D23" i="6"/>
</calcChain>
</file>

<file path=xl/sharedStrings.xml><?xml version="1.0" encoding="utf-8"?>
<sst xmlns="http://schemas.openxmlformats.org/spreadsheetml/2006/main" count="10517" uniqueCount="80">
  <si>
    <t>Model:</t>
  </si>
  <si>
    <t>H0161</t>
  </si>
  <si>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</si>
  <si>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</si>
  <si>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</si>
  <si>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</si>
  <si>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</si>
  <si>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</si>
  <si>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</si>
  <si>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</si>
  <si>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Super Feature</t>
  </si>
  <si>
    <t>Reel #</t>
  </si>
  <si>
    <t>Visible Window Size</t>
  </si>
  <si>
    <t>Free Spins Setting</t>
  </si>
  <si>
    <t>C1 Num</t>
  </si>
  <si>
    <t>Initial Free Spins</t>
  </si>
  <si>
    <t>Retrigger</t>
  </si>
  <si>
    <t>The maximum of free spins is 50.</t>
  </si>
  <si>
    <t>Pay Table：</t>
  </si>
  <si>
    <t>Symbol</t>
  </si>
  <si>
    <t>Description</t>
  </si>
  <si>
    <t>Id</t>
  </si>
  <si>
    <t>WW</t>
  </si>
  <si>
    <t>Wild</t>
  </si>
  <si>
    <t>W2</t>
  </si>
  <si>
    <t>Super Wild</t>
  </si>
  <si>
    <t>C1</t>
  </si>
  <si>
    <t>Scatter</t>
  </si>
  <si>
    <t>M1</t>
  </si>
  <si>
    <t>M2</t>
  </si>
  <si>
    <t>M3</t>
  </si>
  <si>
    <t>M4</t>
  </si>
  <si>
    <t>A</t>
  </si>
  <si>
    <t>K</t>
  </si>
  <si>
    <t>Q</t>
  </si>
  <si>
    <t>J</t>
  </si>
  <si>
    <t>G1</t>
  </si>
  <si>
    <t>Golden M1</t>
  </si>
  <si>
    <t>G2</t>
  </si>
  <si>
    <t>Golden M2</t>
  </si>
  <si>
    <t>G3</t>
  </si>
  <si>
    <t>Golden M3</t>
  </si>
  <si>
    <t>G4</t>
  </si>
  <si>
    <t>Golden M4</t>
  </si>
  <si>
    <t>GA</t>
  </si>
  <si>
    <t>Golden A</t>
  </si>
  <si>
    <t>GK</t>
  </si>
  <si>
    <t>Golden K</t>
  </si>
  <si>
    <t>GQ</t>
  </si>
  <si>
    <t>Golden Q</t>
  </si>
  <si>
    <t>GJ</t>
  </si>
  <si>
    <t>Golden J</t>
  </si>
  <si>
    <t>Table Selection Weight - Base Game (Weight/Total)</t>
  </si>
  <si>
    <t>Worksheet Name</t>
  </si>
  <si>
    <t>Weight</t>
  </si>
  <si>
    <t>BG_Symbol</t>
  </si>
  <si>
    <t>BG_Symbol (2)</t>
  </si>
  <si>
    <t>BG_Symbol (3)</t>
  </si>
  <si>
    <t>Table Selection Weight - Free Game (Weight/Total)</t>
  </si>
  <si>
    <t>FG_Symbol</t>
  </si>
  <si>
    <t>FG_Symbol (2)</t>
  </si>
  <si>
    <t>FG_Symbol (3)</t>
  </si>
  <si>
    <t>Table Selection Weight - Retrigger (Weight/Total)</t>
  </si>
  <si>
    <t>Table Selection Weight - SF Free Game (Weight/Total)</t>
  </si>
  <si>
    <t>SF_Symbol</t>
  </si>
  <si>
    <t>SF_Symbol (2)</t>
  </si>
  <si>
    <t>SF_Symbol (3)</t>
  </si>
  <si>
    <t>Table Selection Weight - SF Retrigger (Weight/Total)</t>
  </si>
  <si>
    <t>Symbol ID</t>
  </si>
  <si>
    <t>Symbol Weight</t>
  </si>
  <si>
    <t>Random Wild Trigger Weight</t>
  </si>
  <si>
    <t>Symbol Drop Weight</t>
  </si>
  <si>
    <t>R1</t>
  </si>
  <si>
    <t>R2</t>
  </si>
  <si>
    <t>R3</t>
  </si>
  <si>
    <t>R4</t>
  </si>
  <si>
    <t>R5</t>
  </si>
  <si>
    <t>ID</t>
  </si>
  <si>
    <t>Line #</t>
  </si>
  <si>
    <t>Random Wild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</si>
</sst>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0_);[Red]\(0\)"/>
  </numFmts>
  <fonts count="27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 tint="-0.14999847407452621"/>
      <name val="Courier New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1099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</cellStyleXfs>
  <cellXfs count="53">
    <xf numFmtId="0" fontId="0" fillId="0" borderId="0" xfId="0"/>
    <xf numFmtId="0" fontId="19" fillId="0" borderId="0" xfId="0" applyFont="1" applyAlignment="1">
      <alignment vertical="center" wrapText="1"/>
    </xf>
    <xf numFmtId="0" fontId="19" fillId="0" borderId="11" xfId="0" applyFont="1" applyBorder="1" applyAlignment="1">
      <alignment horizontal="center" vertical="top" wrapText="1"/>
    </xf>
    <xf numFmtId="0" fontId="23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24" fillId="0" borderId="0" xfId="0" applyFont="1"/>
    <xf numFmtId="0" fontId="19" fillId="0" borderId="10" xfId="0" applyFont="1" applyBorder="1" applyAlignment="1">
      <alignment horizontal="center" vertical="top" wrapText="1"/>
    </xf>
    <xf numFmtId="0" fontId="24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33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25" fillId="0" borderId="0" xfId="0" applyFont="1"/>
    <xf numFmtId="0" fontId="19" fillId="0" borderId="0" xfId="0" applyFont="1" applyAlignment="1">
      <alignment horizontal="left" vertical="center"/>
    </xf>
    <xf numFmtId="1" fontId="19" fillId="0" borderId="10" xfId="0" applyNumberFormat="1" applyFont="1" applyBorder="1" applyAlignment="1">
      <alignment horizontal="center" vertical="top" wrapText="1"/>
    </xf>
    <xf numFmtId="0" fontId="0" fillId="0" borderId="0" xfId="0"/>
    <xf numFmtId="0" fontId="26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0" fontId="2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left" vertical="center"/>
    </xf>
    <xf numFmtId="0" fontId="19" fillId="33" borderId="10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19" fillId="36" borderId="11" xfId="0" applyFont="1" applyFill="1" applyBorder="1" applyAlignment="1">
      <alignment horizontal="center" vertical="center"/>
    </xf>
    <xf numFmtId="0" fontId="24" fillId="36" borderId="11" xfId="0" applyFont="1" applyFill="1" applyBorder="1" applyAlignment="1">
      <alignment horizontal="center"/>
    </xf>
    <xf numFmtId="0" fontId="19" fillId="36" borderId="11" xfId="0" quotePrefix="1" applyFont="1" applyFill="1" applyBorder="1" applyAlignment="1">
      <alignment horizontal="center" vertical="center"/>
    </xf>
    <xf numFmtId="10" fontId="19" fillId="0" borderId="1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24" fillId="0" borderId="11" xfId="0" applyFont="1" applyBorder="1" applyAlignment="1">
      <alignment horizontal="center"/>
    </xf>
    <xf numFmtId="0" fontId="19" fillId="34" borderId="13" xfId="0" applyFont="1" applyFill="1" applyBorder="1" applyAlignment="1">
      <alignment horizontal="center" vertical="center"/>
    </xf>
    <xf numFmtId="0" fontId="19" fillId="0" borderId="11" xfId="0" applyFont="1" applyBorder="1"/>
    <xf numFmtId="0" fontId="19" fillId="35" borderId="10" xfId="0" applyFont="1" applyFill="1" applyBorder="1"/>
    <xf numFmtId="0" fontId="19" fillId="35" borderId="11" xfId="0" applyFont="1" applyFill="1" applyBorder="1"/>
    <xf numFmtId="0" fontId="24" fillId="0" borderId="0" xfId="0" applyFont="1" applyAlignment="1">
      <alignment horizontal="left"/>
    </xf>
    <xf numFmtId="10" fontId="24" fillId="0" borderId="0" xfId="0" applyNumberFormat="1" applyFont="1"/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9" fontId="19" fillId="0" borderId="0" xfId="0" applyNumberFormat="1" applyFont="1" applyAlignment="1">
      <alignment horizontal="center" vertical="center"/>
    </xf>
  </cellXfs>
  <cellStyles count="61099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221"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ont>
        <color theme="0" tint="-0.24994659260841701"/>
      </font>
      <numFmt numFmtId="1" formatCode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06"/>
  <sheetViews>
    <sheetView tabSelected="1" zoomScale="85" zoomScaleNormal="85" workbookViewId="0">
      <selection activeCell="H17" sqref="H17"/>
    </sheetView>
  </sheetViews>
  <sheetFormatPr defaultColWidth="8.88671875" defaultRowHeight="16.2" x14ac:dyDescent="0.3"/>
  <cols>
    <col min="1" max="1" width="24" style="11" customWidth="1"/>
    <col min="2" max="2" width="28.33203125" style="11" customWidth="1"/>
    <col min="3" max="3" width="19.88671875" style="11" bestFit="1" customWidth="1"/>
    <col min="4" max="4" width="16" style="11" customWidth="1"/>
    <col min="5" max="7" width="16" style="18" customWidth="1"/>
    <col min="8" max="8" width="16" style="11" customWidth="1"/>
    <col min="9" max="9" width="16" style="18" customWidth="1"/>
    <col min="10" max="10" width="14.77734375" style="11" bestFit="1" customWidth="1"/>
    <col min="11" max="38" width="8.88671875" style="11" customWidth="1"/>
    <col min="39" max="16384" width="8.88671875" style="11"/>
  </cols>
  <sheetData>
    <row r="1" spans="1:10" ht="15.6" customHeight="1" x14ac:dyDescent="0.3">
      <c r="A1" s="21"/>
      <c r="B1" s="21"/>
      <c r="C1" s="21"/>
      <c r="D1" s="21"/>
      <c r="E1" s="21"/>
      <c r="F1" s="21"/>
      <c r="G1" s="21"/>
      <c r="H1" s="21"/>
      <c r="I1" s="21"/>
      <c r="J1" s="21"/>
    </row>
    <row r="2" spans="1:10" ht="15.6" customHeight="1" x14ac:dyDescent="0.3">
      <c r="A2" s="22" t="s">
        <v>0</v>
      </c>
      <c r="B2" s="13" t="s">
        <v>1</v>
      </c>
      <c r="C2" s="21"/>
      <c r="D2" s="21"/>
      <c r="E2" s="21"/>
      <c r="F2" s="21"/>
      <c r="G2" s="21"/>
      <c r="H2" s="21"/>
      <c r="I2" s="21"/>
      <c r="J2" s="21"/>
    </row>
    <row r="3" spans="1:10" ht="15.6" customHeight="1" x14ac:dyDescent="0.3">
      <c r="A3" s="22" t="s">
        <v>2</v>
      </c>
      <c r="B3" s="20">
        <v>8</v>
      </c>
      <c r="C3" s="20"/>
      <c r="D3" s="21"/>
      <c r="E3" s="21"/>
      <c r="F3" s="21"/>
      <c r="G3" s="21"/>
      <c r="H3" s="21"/>
      <c r="I3" s="21"/>
      <c r="J3" s="21"/>
    </row>
    <row r="4" spans="1:10" ht="15.6" customHeight="1" x14ac:dyDescent="0.3">
      <c r="A4" s="21"/>
      <c r="B4" s="21"/>
      <c r="C4" s="21"/>
      <c r="D4" s="21"/>
      <c r="E4" s="21"/>
      <c r="F4" s="21"/>
      <c r="G4" s="21"/>
      <c r="H4" s="21"/>
      <c r="I4" s="21"/>
      <c r="J4" s="21"/>
    </row>
    <row r="5" spans="1:10" ht="15.6" customHeight="1" x14ac:dyDescent="0.3">
      <c r="A5" s="22"/>
      <c r="B5" s="23"/>
      <c r="C5" s="23"/>
      <c r="D5" s="21"/>
      <c r="E5" s="21"/>
      <c r="F5" s="21"/>
      <c r="G5" s="21"/>
      <c r="H5" s="21"/>
      <c r="I5" s="21"/>
      <c r="J5" s="21"/>
    </row>
    <row r="6" spans="1:10" ht="15.6" customHeight="1" x14ac:dyDescent="0.3">
      <c r="A6" s="5" t="s">
        <v>3</v>
      </c>
      <c r="B6" s="5" t="s">
        <v>4</v>
      </c>
      <c r="E6" s="48"/>
      <c r="F6" s="48"/>
      <c r="G6" s="49"/>
      <c r="H6" s="49"/>
      <c r="I6" s="49"/>
      <c r="J6" s="48"/>
    </row>
    <row r="7" spans="1:10" ht="15.6" customHeight="1" x14ac:dyDescent="0.3">
      <c r="A7" s="24">
        <v>100</v>
      </c>
      <c r="B7" s="24">
        <f>PRODUCT(B17:F17)</f>
        <v>1024</v>
      </c>
      <c r="E7" s="11"/>
      <c r="F7" s="11"/>
      <c r="G7" s="21"/>
      <c r="H7" s="25"/>
      <c r="I7" s="50"/>
      <c r="J7" s="51"/>
    </row>
    <row r="8" spans="1:10" ht="15.6" customHeight="1" x14ac:dyDescent="0.3">
      <c r="E8" s="11"/>
      <c r="F8" s="11"/>
      <c r="G8" s="21"/>
      <c r="H8" s="25"/>
      <c r="I8" s="50"/>
      <c r="J8" s="51"/>
    </row>
    <row r="9" spans="1:10" ht="15.6" customHeight="1" x14ac:dyDescent="0.3">
      <c r="E9" s="11"/>
      <c r="F9" s="11"/>
      <c r="G9" s="21"/>
      <c r="H9" s="25"/>
      <c r="I9" s="50"/>
      <c r="J9" s="51"/>
    </row>
    <row r="10" spans="1:10" ht="15.6" customHeight="1" x14ac:dyDescent="0.3">
      <c r="A10" s="5" t="s">
        <v>5</v>
      </c>
      <c r="B10" s="5" t="s">
        <v>6</v>
      </c>
      <c r="C10" s="26" t="s">
        <v>7</v>
      </c>
      <c r="D10" s="21"/>
      <c r="E10" s="11"/>
      <c r="F10" s="11"/>
      <c r="G10" s="21"/>
      <c r="H10" s="25"/>
      <c r="I10" s="50"/>
      <c r="J10" s="51"/>
    </row>
    <row r="11" spans="1:10" ht="15.6" customHeight="1" x14ac:dyDescent="0.3">
      <c r="A11" s="27">
        <f>A7*B11</f>
        <v>100</v>
      </c>
      <c r="B11" s="24">
        <v>1</v>
      </c>
      <c r="C11" s="28" t="s">
        <v>8</v>
      </c>
      <c r="D11" s="21"/>
      <c r="E11" s="11"/>
      <c r="F11" s="11"/>
      <c r="G11" s="21"/>
      <c r="H11" s="25"/>
      <c r="I11" s="50"/>
      <c r="J11" s="51"/>
    </row>
    <row r="12" spans="1:10" ht="15.6" customHeight="1" x14ac:dyDescent="0.3">
      <c r="A12" s="27">
        <f>A7*B12</f>
        <v>4050</v>
      </c>
      <c r="B12" s="24">
        <v>40.5</v>
      </c>
      <c r="C12" s="34" t="s">
        <v>9</v>
      </c>
      <c r="D12" s="21"/>
      <c r="E12" s="21"/>
      <c r="F12" s="11"/>
      <c r="G12" s="21"/>
      <c r="H12" s="25"/>
      <c r="I12" s="50"/>
      <c r="J12" s="51"/>
    </row>
    <row r="13" spans="1:10" ht="15.6" customHeight="1" x14ac:dyDescent="0.3">
      <c r="A13" s="27">
        <f>A7*B13</f>
        <v>25000</v>
      </c>
      <c r="B13" s="24">
        <v>250</v>
      </c>
      <c r="C13" s="34" t="s">
        <v>10</v>
      </c>
      <c r="D13" s="21"/>
      <c r="E13" s="21"/>
      <c r="F13" s="11"/>
      <c r="G13" s="21"/>
      <c r="H13" s="25"/>
      <c r="I13" s="50"/>
      <c r="J13" s="51"/>
    </row>
    <row r="14" spans="1:10" ht="15.6" customHeight="1" x14ac:dyDescent="0.3">
      <c r="A14" s="35"/>
      <c r="B14" s="21"/>
      <c r="C14" s="36"/>
      <c r="D14" s="21"/>
      <c r="E14" s="21"/>
      <c r="F14" s="11"/>
      <c r="G14" s="21"/>
      <c r="H14" s="25"/>
      <c r="I14" s="50"/>
      <c r="J14" s="51"/>
    </row>
    <row r="15" spans="1:10" ht="15.6" customHeight="1" x14ac:dyDescent="0.3">
      <c r="A15" s="21"/>
      <c r="B15" s="21"/>
      <c r="C15" s="21"/>
      <c r="D15" s="21"/>
      <c r="E15" s="21"/>
      <c r="F15" s="11"/>
      <c r="G15" s="21"/>
      <c r="H15" s="25"/>
      <c r="I15" s="50"/>
      <c r="J15" s="51"/>
    </row>
    <row r="16" spans="1:10" ht="15.6" customHeight="1" x14ac:dyDescent="0.3">
      <c r="A16" s="5" t="s">
        <v>11</v>
      </c>
      <c r="B16" s="5">
        <v>1</v>
      </c>
      <c r="C16" s="5">
        <v>2</v>
      </c>
      <c r="D16" s="5">
        <v>3</v>
      </c>
      <c r="E16" s="5">
        <v>4</v>
      </c>
      <c r="F16" s="5">
        <v>5</v>
      </c>
      <c r="G16" s="21"/>
      <c r="H16" s="21"/>
      <c r="I16" s="21"/>
      <c r="J16" s="21"/>
    </row>
    <row r="17" spans="1:10" ht="31.2" customHeight="1" x14ac:dyDescent="0.3">
      <c r="A17" s="27" t="s">
        <v>12</v>
      </c>
      <c r="B17" s="37">
        <v>4</v>
      </c>
      <c r="C17" s="37">
        <v>4</v>
      </c>
      <c r="D17" s="37">
        <v>4</v>
      </c>
      <c r="E17" s="37">
        <v>4</v>
      </c>
      <c r="F17" s="37">
        <v>4</v>
      </c>
      <c r="G17" s="21"/>
      <c r="H17" s="21"/>
      <c r="I17" s="21"/>
      <c r="J17" s="21"/>
    </row>
    <row r="18" spans="1:10" ht="15.6" customHeight="1" x14ac:dyDescent="0.3">
      <c r="A18" s="21"/>
      <c r="B18" s="21"/>
      <c r="C18" s="21"/>
      <c r="D18" s="21"/>
      <c r="E18" s="21"/>
      <c r="F18" s="21"/>
      <c r="G18" s="21"/>
      <c r="H18" s="21"/>
      <c r="I18" s="21"/>
      <c r="J18" s="21"/>
    </row>
    <row r="19" spans="1:10" ht="15.6" customHeight="1" x14ac:dyDescent="0.3">
      <c r="A19" s="21"/>
      <c r="B19" s="21"/>
      <c r="C19" s="21"/>
      <c r="D19" s="21"/>
      <c r="E19" s="21"/>
      <c r="F19" s="21"/>
      <c r="G19" s="21"/>
      <c r="H19" s="21"/>
      <c r="I19" s="21"/>
      <c r="J19" s="21"/>
    </row>
    <row r="20" spans="1:10" ht="15.6" customHeight="1" x14ac:dyDescent="0.3">
      <c r="A20" s="11" t="s">
        <v>13</v>
      </c>
      <c r="B20" s="21"/>
      <c r="C20" s="21"/>
      <c r="D20" s="21"/>
      <c r="E20" s="21"/>
      <c r="F20" s="21"/>
      <c r="G20" s="21"/>
      <c r="H20" s="21"/>
      <c r="I20" s="21"/>
      <c r="J20" s="21"/>
    </row>
    <row r="21" spans="1:10" ht="15.6" customHeight="1" x14ac:dyDescent="0.3">
      <c r="A21" s="5" t="s">
        <v>14</v>
      </c>
      <c r="B21" s="5" t="s">
        <v>15</v>
      </c>
      <c r="C21" s="5" t="s">
        <v>16</v>
      </c>
      <c r="D21" s="21"/>
      <c r="E21" s="21"/>
      <c r="F21" s="21"/>
      <c r="G21" s="21"/>
      <c r="H21" s="21"/>
      <c r="I21" s="21"/>
      <c r="J21" s="21"/>
    </row>
    <row r="22" spans="1:10" ht="15.6" customHeight="1" x14ac:dyDescent="0.3">
      <c r="A22" s="37">
        <v>3</v>
      </c>
      <c r="B22" s="29">
        <v>10</v>
      </c>
      <c r="C22" s="29">
        <v>5</v>
      </c>
      <c r="D22" s="21"/>
      <c r="E22" s="21"/>
      <c r="F22" s="21"/>
      <c r="G22" s="21"/>
      <c r="H22" s="21"/>
      <c r="I22" s="21"/>
      <c r="J22" s="21"/>
    </row>
    <row r="23" spans="1:10" ht="15.6" customHeight="1" x14ac:dyDescent="0.3">
      <c r="A23" s="38">
        <v>4</v>
      </c>
      <c r="B23" s="12">
        <v>10</v>
      </c>
      <c r="C23" s="12">
        <v>5</v>
      </c>
      <c r="D23" s="21"/>
      <c r="E23" s="21"/>
      <c r="F23" s="21"/>
      <c r="G23" s="21"/>
      <c r="H23" s="21"/>
      <c r="I23" s="21"/>
      <c r="J23" s="21"/>
    </row>
    <row r="24" spans="1:10" ht="15.6" customHeight="1" x14ac:dyDescent="0.3">
      <c r="A24" s="38">
        <v>5</v>
      </c>
      <c r="B24" s="12">
        <v>10</v>
      </c>
      <c r="C24" s="12">
        <v>5</v>
      </c>
      <c r="D24" s="21"/>
      <c r="E24" s="21"/>
      <c r="F24" s="21"/>
      <c r="G24" s="21"/>
      <c r="H24" s="21"/>
      <c r="I24" s="21"/>
      <c r="J24" s="21"/>
    </row>
    <row r="25" spans="1:10" ht="15.6" customHeight="1" x14ac:dyDescent="0.3">
      <c r="A25" s="30" t="s">
        <v>17</v>
      </c>
      <c r="B25" s="21"/>
      <c r="C25" s="21"/>
      <c r="D25" s="21"/>
      <c r="E25" s="21"/>
      <c r="F25" s="21"/>
      <c r="G25" s="21"/>
      <c r="H25" s="21"/>
      <c r="I25" s="21"/>
      <c r="J25" s="21"/>
    </row>
    <row r="26" spans="1:10" ht="15.6" customHeight="1" x14ac:dyDescent="0.3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7" spans="1:10" ht="15.6" customHeight="1" x14ac:dyDescent="0.3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 ht="15.6" customHeight="1" x14ac:dyDescent="0.3">
      <c r="A28" s="11" t="s">
        <v>18</v>
      </c>
      <c r="B28" s="11" t="str">
        <f>"All wins show for "&amp;A7&amp;" credit bet."</f>
        <v>All wins show for 100 credit bet.</v>
      </c>
      <c r="C28" s="21"/>
      <c r="D28" s="21"/>
      <c r="E28" s="21"/>
      <c r="F28" s="21"/>
      <c r="G28" s="21"/>
      <c r="H28" s="21"/>
      <c r="I28" s="21"/>
    </row>
    <row r="29" spans="1:10" ht="15.6" customHeight="1" x14ac:dyDescent="0.3">
      <c r="A29" s="5" t="s">
        <v>19</v>
      </c>
      <c r="B29" s="5" t="s">
        <v>20</v>
      </c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 t="s">
        <v>21</v>
      </c>
      <c r="I29" s="21"/>
    </row>
    <row r="30" spans="1:10" ht="15.6" customHeight="1" x14ac:dyDescent="0.3">
      <c r="A30" s="37" t="s">
        <v>22</v>
      </c>
      <c r="B30" s="38" t="s">
        <v>23</v>
      </c>
      <c r="C30" s="41">
        <v>0</v>
      </c>
      <c r="D30" s="41">
        <v>0</v>
      </c>
      <c r="E30" s="41">
        <v>0</v>
      </c>
      <c r="F30" s="41">
        <v>0</v>
      </c>
      <c r="G30" s="41">
        <v>0</v>
      </c>
      <c r="H30" s="39">
        <v>0</v>
      </c>
      <c r="I30" s="21"/>
    </row>
    <row r="31" spans="1:10" ht="15.6" customHeight="1" x14ac:dyDescent="0.3">
      <c r="A31" s="38" t="s">
        <v>24</v>
      </c>
      <c r="B31" s="38" t="s">
        <v>25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0">
        <v>1</v>
      </c>
      <c r="I31" s="21"/>
    </row>
    <row r="32" spans="1:10" ht="15.6" customHeight="1" x14ac:dyDescent="0.3">
      <c r="A32" s="38" t="s">
        <v>26</v>
      </c>
      <c r="B32" s="38" t="s">
        <v>27</v>
      </c>
      <c r="C32" s="41">
        <v>0</v>
      </c>
      <c r="D32" s="41">
        <v>0</v>
      </c>
      <c r="E32" s="41">
        <v>0</v>
      </c>
      <c r="F32" s="41">
        <v>0</v>
      </c>
      <c r="G32" s="41">
        <v>0</v>
      </c>
      <c r="H32" s="40">
        <v>2</v>
      </c>
      <c r="I32" s="21"/>
    </row>
    <row r="33" spans="1:10" ht="15.6" customHeight="1" x14ac:dyDescent="0.3">
      <c r="A33" s="31" t="s">
        <v>28</v>
      </c>
      <c r="B33" s="31" t="s">
        <v>28</v>
      </c>
      <c r="C33" s="32">
        <v>0</v>
      </c>
      <c r="D33" s="32">
        <v>0</v>
      </c>
      <c r="E33" s="32">
        <v>50</v>
      </c>
      <c r="F33" s="32">
        <v>150</v>
      </c>
      <c r="G33" s="33">
        <v>250</v>
      </c>
      <c r="H33" s="33">
        <v>3</v>
      </c>
      <c r="I33" s="21"/>
    </row>
    <row r="34" spans="1:10" ht="15.6" customHeight="1" x14ac:dyDescent="0.3">
      <c r="A34" s="31" t="s">
        <v>29</v>
      </c>
      <c r="B34" s="31" t="s">
        <v>29</v>
      </c>
      <c r="C34" s="32">
        <v>0</v>
      </c>
      <c r="D34" s="32">
        <v>0</v>
      </c>
      <c r="E34" s="32">
        <v>40</v>
      </c>
      <c r="F34" s="32">
        <v>120</v>
      </c>
      <c r="G34" s="33">
        <v>200</v>
      </c>
      <c r="H34" s="33">
        <v>4</v>
      </c>
      <c r="I34" s="21"/>
    </row>
    <row r="35" spans="1:10" ht="15.6" customHeight="1" x14ac:dyDescent="0.3">
      <c r="A35" s="31" t="s">
        <v>30</v>
      </c>
      <c r="B35" s="31" t="s">
        <v>30</v>
      </c>
      <c r="C35" s="32">
        <v>0</v>
      </c>
      <c r="D35" s="32">
        <v>0</v>
      </c>
      <c r="E35" s="32">
        <v>30</v>
      </c>
      <c r="F35" s="32">
        <v>90</v>
      </c>
      <c r="G35" s="33">
        <v>150</v>
      </c>
      <c r="H35" s="33">
        <v>5</v>
      </c>
      <c r="I35" s="21"/>
    </row>
    <row r="36" spans="1:10" ht="15.6" customHeight="1" x14ac:dyDescent="0.3">
      <c r="A36" s="31" t="s">
        <v>31</v>
      </c>
      <c r="B36" s="31" t="s">
        <v>31</v>
      </c>
      <c r="C36" s="32">
        <v>0</v>
      </c>
      <c r="D36" s="32">
        <v>0</v>
      </c>
      <c r="E36" s="32">
        <v>20</v>
      </c>
      <c r="F36" s="32">
        <v>60</v>
      </c>
      <c r="G36" s="33">
        <v>100</v>
      </c>
      <c r="H36" s="33">
        <v>6</v>
      </c>
      <c r="I36" s="21"/>
    </row>
    <row r="37" spans="1:10" ht="15.6" customHeight="1" x14ac:dyDescent="0.3">
      <c r="A37" s="38" t="s">
        <v>32</v>
      </c>
      <c r="B37" s="38" t="s">
        <v>32</v>
      </c>
      <c r="C37" s="41">
        <v>0</v>
      </c>
      <c r="D37" s="41">
        <v>0</v>
      </c>
      <c r="E37" s="41">
        <v>10</v>
      </c>
      <c r="F37" s="41">
        <v>30</v>
      </c>
      <c r="G37" s="40">
        <v>50</v>
      </c>
      <c r="H37" s="40">
        <v>7</v>
      </c>
      <c r="I37" s="21"/>
    </row>
    <row r="38" spans="1:10" ht="15.6" customHeight="1" x14ac:dyDescent="0.3">
      <c r="A38" s="38" t="s">
        <v>33</v>
      </c>
      <c r="B38" s="38" t="s">
        <v>33</v>
      </c>
      <c r="C38" s="41">
        <v>0</v>
      </c>
      <c r="D38" s="41">
        <v>0</v>
      </c>
      <c r="E38" s="41">
        <v>10</v>
      </c>
      <c r="F38" s="41">
        <v>30</v>
      </c>
      <c r="G38" s="40">
        <v>50</v>
      </c>
      <c r="H38" s="40">
        <v>8</v>
      </c>
      <c r="I38" s="21"/>
    </row>
    <row r="39" spans="1:10" ht="15.6" customHeight="1" x14ac:dyDescent="0.3">
      <c r="A39" s="38" t="s">
        <v>34</v>
      </c>
      <c r="B39" s="38" t="s">
        <v>34</v>
      </c>
      <c r="C39" s="41">
        <v>0</v>
      </c>
      <c r="D39" s="41">
        <v>0</v>
      </c>
      <c r="E39" s="41">
        <v>5</v>
      </c>
      <c r="F39" s="41">
        <v>15</v>
      </c>
      <c r="G39" s="40">
        <v>25</v>
      </c>
      <c r="H39" s="40">
        <v>9</v>
      </c>
      <c r="I39" s="21"/>
    </row>
    <row r="40" spans="1:10" ht="15.6" customHeight="1" x14ac:dyDescent="0.3">
      <c r="A40" s="38" t="s">
        <v>35</v>
      </c>
      <c r="B40" s="38" t="s">
        <v>35</v>
      </c>
      <c r="C40" s="41">
        <v>0</v>
      </c>
      <c r="D40" s="41">
        <v>0</v>
      </c>
      <c r="E40" s="41">
        <v>5</v>
      </c>
      <c r="F40" s="41">
        <v>15</v>
      </c>
      <c r="G40" s="40">
        <v>25</v>
      </c>
      <c r="H40" s="40">
        <v>10</v>
      </c>
      <c r="I40" s="21"/>
    </row>
    <row r="41" spans="1:10" ht="15.6" customHeight="1" x14ac:dyDescent="0.3">
      <c r="A41" s="31" t="s">
        <v>36</v>
      </c>
      <c r="B41" s="31" t="s">
        <v>37</v>
      </c>
      <c r="C41" s="32">
        <v>0</v>
      </c>
      <c r="D41" s="32">
        <v>0</v>
      </c>
      <c r="E41" s="32">
        <v>50</v>
      </c>
      <c r="F41" s="32">
        <v>150</v>
      </c>
      <c r="G41" s="33">
        <v>250</v>
      </c>
      <c r="H41" s="33">
        <v>11</v>
      </c>
      <c r="I41" s="21"/>
    </row>
    <row r="42" spans="1:10" ht="15.6" customHeight="1" x14ac:dyDescent="0.3">
      <c r="A42" s="31" t="s">
        <v>38</v>
      </c>
      <c r="B42" s="31" t="s">
        <v>39</v>
      </c>
      <c r="C42" s="32">
        <v>0</v>
      </c>
      <c r="D42" s="32">
        <v>0</v>
      </c>
      <c r="E42" s="32">
        <v>40</v>
      </c>
      <c r="F42" s="32">
        <v>120</v>
      </c>
      <c r="G42" s="33">
        <v>200</v>
      </c>
      <c r="H42" s="33">
        <v>12</v>
      </c>
      <c r="I42" s="21"/>
    </row>
    <row r="43" spans="1:10" ht="15.6" customHeight="1" x14ac:dyDescent="0.3">
      <c r="A43" s="31" t="s">
        <v>40</v>
      </c>
      <c r="B43" s="31" t="s">
        <v>41</v>
      </c>
      <c r="C43" s="32">
        <v>0</v>
      </c>
      <c r="D43" s="32">
        <v>0</v>
      </c>
      <c r="E43" s="32">
        <v>30</v>
      </c>
      <c r="F43" s="32">
        <v>90</v>
      </c>
      <c r="G43" s="33">
        <v>150</v>
      </c>
      <c r="H43" s="33">
        <v>13</v>
      </c>
      <c r="I43" s="21"/>
    </row>
    <row r="44" spans="1:10" ht="15.6" customHeight="1" x14ac:dyDescent="0.3">
      <c r="A44" s="31" t="s">
        <v>42</v>
      </c>
      <c r="B44" s="31" t="s">
        <v>43</v>
      </c>
      <c r="C44" s="32">
        <v>0</v>
      </c>
      <c r="D44" s="32">
        <v>0</v>
      </c>
      <c r="E44" s="32">
        <v>20</v>
      </c>
      <c r="F44" s="32">
        <v>60</v>
      </c>
      <c r="G44" s="33">
        <v>100</v>
      </c>
      <c r="H44" s="33">
        <v>14</v>
      </c>
      <c r="I44" s="21"/>
    </row>
    <row r="45" spans="1:10" ht="15.6" customHeight="1" x14ac:dyDescent="0.3">
      <c r="A45" s="38" t="s">
        <v>44</v>
      </c>
      <c r="B45" s="38" t="s">
        <v>45</v>
      </c>
      <c r="C45" s="41">
        <v>0</v>
      </c>
      <c r="D45" s="41">
        <v>0</v>
      </c>
      <c r="E45" s="41">
        <v>10</v>
      </c>
      <c r="F45" s="41">
        <v>30</v>
      </c>
      <c r="G45" s="40">
        <v>50</v>
      </c>
      <c r="H45" s="40">
        <v>15</v>
      </c>
      <c r="I45" s="21"/>
    </row>
    <row r="46" spans="1:10" ht="15.6" customHeight="1" x14ac:dyDescent="0.3">
      <c r="A46" s="38" t="s">
        <v>46</v>
      </c>
      <c r="B46" s="38" t="s">
        <v>47</v>
      </c>
      <c r="C46" s="41">
        <v>0</v>
      </c>
      <c r="D46" s="41">
        <v>0</v>
      </c>
      <c r="E46" s="41">
        <v>10</v>
      </c>
      <c r="F46" s="41">
        <v>30</v>
      </c>
      <c r="G46" s="40">
        <v>50</v>
      </c>
      <c r="H46" s="40">
        <v>16</v>
      </c>
      <c r="I46" s="21"/>
      <c r="J46" s="21"/>
    </row>
    <row r="47" spans="1:10" ht="15.6" customHeight="1" x14ac:dyDescent="0.3">
      <c r="A47" s="38" t="s">
        <v>48</v>
      </c>
      <c r="B47" s="38" t="s">
        <v>49</v>
      </c>
      <c r="C47" s="41">
        <v>0</v>
      </c>
      <c r="D47" s="41">
        <v>0</v>
      </c>
      <c r="E47" s="41">
        <v>5</v>
      </c>
      <c r="F47" s="41">
        <v>15</v>
      </c>
      <c r="G47" s="40">
        <v>25</v>
      </c>
      <c r="H47" s="40">
        <v>17</v>
      </c>
      <c r="I47" s="21"/>
      <c r="J47" s="21"/>
    </row>
    <row r="48" spans="1:10" ht="15.6" customHeight="1" x14ac:dyDescent="0.3">
      <c r="A48" s="38" t="s">
        <v>50</v>
      </c>
      <c r="B48" s="38" t="s">
        <v>51</v>
      </c>
      <c r="C48" s="41">
        <v>0</v>
      </c>
      <c r="D48" s="41">
        <v>0</v>
      </c>
      <c r="E48" s="41">
        <v>5</v>
      </c>
      <c r="F48" s="41">
        <v>15</v>
      </c>
      <c r="G48" s="40">
        <v>25</v>
      </c>
      <c r="H48" s="40">
        <v>18</v>
      </c>
      <c r="I48" s="21"/>
      <c r="J48" s="21"/>
    </row>
    <row r="49" spans="1:10" ht="15.6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21"/>
    </row>
    <row r="50" spans="1:10" ht="15.6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21"/>
    </row>
    <row r="51" spans="1:10" ht="15.6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21"/>
    </row>
    <row r="52" spans="1:10" ht="15.6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21"/>
    </row>
    <row r="53" spans="1:10" ht="15.6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21"/>
    </row>
    <row r="54" spans="1:10" ht="15.6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21"/>
    </row>
    <row r="55" spans="1:10" ht="15.6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21"/>
    </row>
    <row r="56" spans="1:10" ht="15.6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21"/>
    </row>
    <row r="57" spans="1:10" ht="15.6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21"/>
    </row>
    <row r="58" spans="1:10" ht="15.6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21"/>
    </row>
    <row r="59" spans="1:10" ht="15.6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21"/>
    </row>
    <row r="60" spans="1:10" ht="15.6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21"/>
    </row>
    <row r="61" spans="1:10" ht="15.6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21"/>
    </row>
    <row r="62" spans="1:10" ht="15.6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21"/>
    </row>
    <row r="63" spans="1:10" ht="15.6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21"/>
    </row>
    <row r="64" spans="1:10" ht="15.6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21"/>
    </row>
    <row r="65" spans="1:10" ht="15.6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21"/>
    </row>
    <row r="66" spans="1:10" ht="15.6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21"/>
    </row>
    <row r="67" spans="1:10" ht="15.6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21"/>
    </row>
    <row r="68" spans="1:10" ht="15.6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21"/>
    </row>
    <row r="69" spans="1:10" ht="15.6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21"/>
    </row>
    <row r="70" spans="1:10" ht="15.6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21"/>
    </row>
    <row r="71" spans="1:10" ht="15.6" customHeight="1" x14ac:dyDescent="0.3">
      <c r="A71" s="21"/>
      <c r="B71" s="1"/>
      <c r="C71" s="1"/>
      <c r="D71" s="1"/>
      <c r="E71" s="21"/>
      <c r="F71" s="21"/>
      <c r="G71" s="21"/>
      <c r="H71" s="21"/>
      <c r="I71" s="21"/>
      <c r="J71" s="21"/>
    </row>
    <row r="72" spans="1:10" ht="15.6" customHeight="1" x14ac:dyDescent="0.3">
      <c r="A72" s="6"/>
      <c r="B72" s="6"/>
      <c r="C72" s="6"/>
      <c r="D72" s="6"/>
      <c r="E72" s="6"/>
      <c r="F72" s="6"/>
      <c r="G72" s="6"/>
      <c r="H72" s="6"/>
      <c r="I72" s="6"/>
    </row>
    <row r="73" spans="1:10" ht="15.6" customHeight="1" x14ac:dyDescent="0.3">
      <c r="A73" s="6"/>
      <c r="B73" s="6"/>
      <c r="C73" s="6"/>
      <c r="D73" s="6"/>
      <c r="E73" s="6"/>
      <c r="F73" s="6"/>
      <c r="G73" s="6"/>
      <c r="H73" s="6"/>
      <c r="I73" s="6"/>
    </row>
    <row r="74" spans="1:10" ht="15.6" customHeight="1" x14ac:dyDescent="0.3">
      <c r="A74" s="6"/>
      <c r="B74" s="6"/>
      <c r="C74" s="6"/>
      <c r="D74" s="6"/>
      <c r="E74" s="6"/>
      <c r="F74" s="6"/>
      <c r="G74" s="6"/>
      <c r="H74" s="6"/>
      <c r="I74" s="6"/>
    </row>
    <row r="75" spans="1:10" ht="15.6" customHeight="1" x14ac:dyDescent="0.3">
      <c r="A75" s="6"/>
      <c r="B75" s="6"/>
      <c r="C75" s="6"/>
      <c r="D75" s="6"/>
      <c r="E75" s="6"/>
      <c r="F75" s="6"/>
      <c r="G75" s="6"/>
      <c r="H75" s="6"/>
      <c r="I75" s="6"/>
    </row>
    <row r="76" spans="1:10" ht="15.6" customHeight="1" x14ac:dyDescent="0.3">
      <c r="A76" s="6"/>
      <c r="B76" s="6"/>
      <c r="C76" s="6"/>
      <c r="D76" s="6"/>
      <c r="E76" s="6"/>
      <c r="F76" s="6"/>
      <c r="G76" s="6"/>
      <c r="H76" s="6"/>
      <c r="I76" s="6"/>
    </row>
    <row r="77" spans="1:10" ht="15.6" customHeight="1" x14ac:dyDescent="0.3">
      <c r="A77" s="6"/>
      <c r="B77" s="6"/>
      <c r="C77" s="6"/>
      <c r="D77" s="6"/>
      <c r="E77" s="6"/>
      <c r="F77" s="6"/>
      <c r="G77" s="6"/>
      <c r="H77" s="6"/>
      <c r="I77" s="6"/>
    </row>
    <row r="78" spans="1:10" ht="15.6" customHeight="1" x14ac:dyDescent="0.3">
      <c r="A78" s="6"/>
      <c r="B78" s="6"/>
      <c r="C78" s="6"/>
      <c r="D78" s="6"/>
      <c r="E78" s="6"/>
      <c r="F78" s="6"/>
      <c r="G78" s="6"/>
      <c r="H78" s="6"/>
      <c r="I78" s="6"/>
    </row>
    <row r="79" spans="1:10" ht="15.6" customHeight="1" x14ac:dyDescent="0.3">
      <c r="A79" s="6"/>
      <c r="B79" s="6"/>
      <c r="C79" s="6"/>
      <c r="D79" s="6"/>
      <c r="E79" s="6"/>
      <c r="F79" s="6"/>
      <c r="G79" s="6"/>
      <c r="H79" s="6"/>
      <c r="I79" s="6"/>
    </row>
    <row r="80" spans="1:10" ht="15.6" customHeight="1" x14ac:dyDescent="0.3">
      <c r="A80" s="6"/>
      <c r="B80" s="6"/>
      <c r="C80" s="6"/>
      <c r="D80" s="6"/>
      <c r="E80" s="6"/>
      <c r="F80" s="6"/>
      <c r="G80" s="6"/>
      <c r="H80" s="6"/>
      <c r="I80" s="6"/>
    </row>
    <row r="81" spans="1:9" ht="15.6" customHeight="1" x14ac:dyDescent="0.3">
      <c r="A81" s="6"/>
      <c r="B81" s="6"/>
      <c r="C81" s="6"/>
      <c r="D81" s="6"/>
      <c r="E81" s="6"/>
      <c r="F81" s="6"/>
      <c r="G81" s="6"/>
      <c r="H81" s="6"/>
      <c r="I81" s="6"/>
    </row>
    <row r="82" spans="1:9" ht="15.6" customHeight="1" x14ac:dyDescent="0.3">
      <c r="A82" s="6"/>
      <c r="B82" s="6"/>
      <c r="C82" s="6"/>
      <c r="D82" s="6"/>
      <c r="E82" s="6"/>
      <c r="F82" s="6"/>
      <c r="G82" s="6"/>
      <c r="H82" s="6"/>
      <c r="I82" s="6"/>
    </row>
    <row r="83" spans="1:9" ht="15.6" customHeight="1" x14ac:dyDescent="0.3">
      <c r="A83" s="6"/>
      <c r="B83" s="6"/>
      <c r="C83" s="6"/>
      <c r="D83" s="6"/>
      <c r="E83" s="6"/>
      <c r="F83" s="6"/>
      <c r="G83" s="6"/>
      <c r="H83" s="6"/>
      <c r="I83" s="6"/>
    </row>
    <row r="84" spans="1:9" ht="15.6" customHeight="1" x14ac:dyDescent="0.3">
      <c r="B84" s="1"/>
      <c r="C84" s="1"/>
      <c r="D84" s="1"/>
    </row>
    <row r="85" spans="1:9" ht="15.6" customHeight="1" x14ac:dyDescent="0.3"/>
    <row r="86" spans="1:9" ht="15.6" customHeight="1" x14ac:dyDescent="0.3">
      <c r="F86" s="6"/>
      <c r="G86" s="6"/>
      <c r="H86" s="6"/>
      <c r="I86" s="6"/>
    </row>
    <row r="87" spans="1:9" ht="15.6" customHeight="1" x14ac:dyDescent="0.3"/>
    <row r="88" spans="1:9" ht="15.6" customHeight="1" x14ac:dyDescent="0.3"/>
    <row r="89" spans="1:9" ht="15.6" customHeight="1" x14ac:dyDescent="0.3"/>
    <row r="90" spans="1:9" ht="15.6" customHeight="1" x14ac:dyDescent="0.3"/>
    <row r="91" spans="1:9" ht="15.6" customHeight="1" x14ac:dyDescent="0.3">
      <c r="F91" s="6"/>
      <c r="G91" s="6"/>
      <c r="H91" s="6"/>
      <c r="I91" s="6"/>
    </row>
    <row r="92" spans="1:9" ht="15.6" customHeight="1" x14ac:dyDescent="0.3"/>
    <row r="93" spans="1:9" ht="15.6" customHeight="1" x14ac:dyDescent="0.3"/>
    <row r="94" spans="1:9" ht="15.6" customHeight="1" x14ac:dyDescent="0.3"/>
    <row r="95" spans="1:9" ht="15.6" customHeight="1" x14ac:dyDescent="0.3"/>
    <row r="96" spans="1:9" ht="15.6" customHeight="1" x14ac:dyDescent="0.3">
      <c r="F96" s="6"/>
      <c r="G96" s="6"/>
    </row>
    <row r="97" spans="6:7" ht="15.6" customHeight="1" x14ac:dyDescent="0.3"/>
    <row r="98" spans="6:7" ht="15.6" customHeight="1" x14ac:dyDescent="0.3"/>
    <row r="99" spans="6:7" ht="15.6" customHeight="1" x14ac:dyDescent="0.3"/>
    <row r="100" spans="6:7" ht="15.6" customHeight="1" x14ac:dyDescent="0.3"/>
    <row r="101" spans="6:7" ht="15.6" customHeight="1" x14ac:dyDescent="0.3">
      <c r="F101" s="6"/>
      <c r="G101" s="6"/>
    </row>
    <row r="102" spans="6:7" ht="15.6" customHeight="1" x14ac:dyDescent="0.3"/>
    <row r="103" spans="6:7" ht="15.6" customHeight="1" x14ac:dyDescent="0.3"/>
    <row r="104" spans="6:7" ht="15.6" customHeight="1" x14ac:dyDescent="0.3"/>
    <row r="105" spans="6:7" ht="15.6" customHeight="1" x14ac:dyDescent="0.3"/>
    <row r="106" spans="6:7" ht="15.6" customHeight="1" x14ac:dyDescent="0.3">
      <c r="F106" s="6"/>
      <c r="G106" s="6"/>
    </row>
  </sheetData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34"/>
  <sheetViews>
    <sheetView topLeftCell="A3" workbookViewId="0">
      <selection activeCell="H21" sqref="H21"/>
    </sheetView>
  </sheetViews>
  <sheetFormatPr defaultRowHeight="15.6" x14ac:dyDescent="0.3"/>
  <cols>
    <col min="1" max="1" width="8.88671875" style="6" customWidth="1"/>
    <col min="2" max="2" width="72.44140625" style="6" bestFit="1" customWidth="1"/>
    <col min="3" max="3" width="9.6640625" style="6" bestFit="1" customWidth="1"/>
    <col min="4" max="4" width="9.44140625" style="6" bestFit="1" customWidth="1"/>
    <col min="5" max="5" width="30" style="6" customWidth="1"/>
    <col min="6" max="6" width="43" style="6" customWidth="1"/>
    <col min="7" max="13" width="8.88671875" style="6" customWidth="1"/>
    <col min="14" max="16384" width="8.88671875" style="6"/>
  </cols>
  <sheetData>
    <row r="2" spans="2:4" x14ac:dyDescent="0.3">
      <c r="B2" s="14" t="s">
        <v>52</v>
      </c>
      <c r="C2" s="14"/>
    </row>
    <row r="3" spans="2:4" x14ac:dyDescent="0.3">
      <c r="B3" s="42" t="s">
        <v>53</v>
      </c>
      <c r="C3" s="5" t="s">
        <v>54</v>
      </c>
    </row>
    <row r="4" spans="2:4" x14ac:dyDescent="0.3">
      <c r="B4" s="43" t="s">
        <v>55</v>
      </c>
      <c r="C4" s="44">
        <v>450000</v>
      </c>
      <c r="D4" s="47">
        <f t="array" ref="D4:D6">C4:C6/SUM(C4:C6)</f>
        <v>0.45</v>
      </c>
    </row>
    <row r="5" spans="2:4" x14ac:dyDescent="0.3">
      <c r="B5" s="43" t="s">
        <v>56</v>
      </c>
      <c r="C5" s="45">
        <v>50000</v>
      </c>
      <c r="D5" s="47">
        <v>0.05</v>
      </c>
    </row>
    <row r="6" spans="2:4" x14ac:dyDescent="0.3">
      <c r="B6" s="43" t="s">
        <v>57</v>
      </c>
      <c r="C6" s="45">
        <v>500000</v>
      </c>
      <c r="D6" s="47">
        <v>0.5</v>
      </c>
    </row>
    <row r="7" spans="2:4" x14ac:dyDescent="0.3">
      <c r="B7" s="14"/>
      <c r="C7" s="15"/>
    </row>
    <row r="9" spans="2:4" x14ac:dyDescent="0.3">
      <c r="B9" s="14" t="s">
        <v>58</v>
      </c>
      <c r="C9" s="14"/>
    </row>
    <row r="10" spans="2:4" x14ac:dyDescent="0.3">
      <c r="B10" s="42" t="s">
        <v>53</v>
      </c>
      <c r="C10" s="5" t="s">
        <v>54</v>
      </c>
    </row>
    <row r="11" spans="2:4" x14ac:dyDescent="0.3">
      <c r="B11" s="43" t="s">
        <v>59</v>
      </c>
      <c r="C11" s="44">
        <v>0</v>
      </c>
    </row>
    <row r="12" spans="2:4" x14ac:dyDescent="0.3">
      <c r="B12" s="43" t="s">
        <v>60</v>
      </c>
      <c r="C12" s="45">
        <v>6500</v>
      </c>
    </row>
    <row r="13" spans="2:4" x14ac:dyDescent="0.3">
      <c r="B13" s="43" t="s">
        <v>61</v>
      </c>
      <c r="C13" s="45">
        <v>3500</v>
      </c>
    </row>
    <row r="14" spans="2:4" x14ac:dyDescent="0.3">
      <c r="B14" s="14"/>
      <c r="C14" s="15"/>
    </row>
    <row r="16" spans="2:4" x14ac:dyDescent="0.3">
      <c r="B16" s="14" t="s">
        <v>62</v>
      </c>
      <c r="C16" s="14"/>
    </row>
    <row r="17" spans="2:3" x14ac:dyDescent="0.3">
      <c r="B17" s="42" t="s">
        <v>53</v>
      </c>
      <c r="C17" s="5" t="s">
        <v>54</v>
      </c>
    </row>
    <row r="18" spans="2:3" x14ac:dyDescent="0.3">
      <c r="B18" s="43" t="s">
        <v>59</v>
      </c>
      <c r="C18" s="44">
        <v>0</v>
      </c>
    </row>
    <row r="19" spans="2:3" x14ac:dyDescent="0.3">
      <c r="B19" s="43" t="s">
        <v>60</v>
      </c>
      <c r="C19" s="45">
        <v>6500</v>
      </c>
    </row>
    <row r="20" spans="2:3" x14ac:dyDescent="0.3">
      <c r="B20" s="43" t="s">
        <v>61</v>
      </c>
      <c r="C20" s="45">
        <v>3500</v>
      </c>
    </row>
    <row r="23" spans="2:3" x14ac:dyDescent="0.3">
      <c r="B23" s="14" t="s">
        <v>63</v>
      </c>
      <c r="C23" s="14"/>
    </row>
    <row r="24" spans="2:3" x14ac:dyDescent="0.3">
      <c r="B24" s="42" t="s">
        <v>53</v>
      </c>
      <c r="C24" s="5" t="s">
        <v>54</v>
      </c>
    </row>
    <row r="25" spans="2:3" x14ac:dyDescent="0.3">
      <c r="B25" s="43" t="s">
        <v>64</v>
      </c>
      <c r="C25" s="44">
        <v>0</v>
      </c>
    </row>
    <row r="26" spans="2:3" x14ac:dyDescent="0.3">
      <c r="B26" s="43" t="s">
        <v>65</v>
      </c>
      <c r="C26" s="45">
        <v>5500</v>
      </c>
    </row>
    <row r="27" spans="2:3" x14ac:dyDescent="0.3">
      <c r="B27" s="43" t="s">
        <v>66</v>
      </c>
      <c r="C27" s="45">
        <v>4500</v>
      </c>
    </row>
    <row r="30" spans="2:3" x14ac:dyDescent="0.3">
      <c r="B30" s="14" t="s">
        <v>67</v>
      </c>
      <c r="C30" s="14"/>
    </row>
    <row r="31" spans="2:3" x14ac:dyDescent="0.3">
      <c r="B31" s="42" t="s">
        <v>53</v>
      </c>
      <c r="C31" s="5" t="s">
        <v>54</v>
      </c>
    </row>
    <row r="32" spans="2:3" x14ac:dyDescent="0.3">
      <c r="B32" s="43" t="s">
        <v>64</v>
      </c>
      <c r="C32" s="44">
        <v>0</v>
      </c>
    </row>
    <row r="33" spans="2:3" x14ac:dyDescent="0.3">
      <c r="B33" s="43" t="s">
        <v>65</v>
      </c>
      <c r="C33" s="45">
        <v>5500</v>
      </c>
    </row>
    <row r="34" spans="2:3" x14ac:dyDescent="0.3">
      <c r="B34" s="43" t="s">
        <v>66</v>
      </c>
      <c r="C34" s="45">
        <v>4500</v>
      </c>
    </row>
  </sheetData>
  <phoneticPr fontId="20" type="noConversion"/>
  <conditionalFormatting sqref="D4:D6">
    <cfRule type="cellIs" dxfId="220" priority="1" operator="equal">
      <formula>0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5"/>
  <dimension ref="A1:AS203"/>
  <sheetViews>
    <sheetView workbookViewId="0">
      <selection activeCell="W1" sqref="W1:AA1048576"/>
    </sheetView>
  </sheetViews>
  <sheetFormatPr defaultColWidth="9" defaultRowHeight="15.6" x14ac:dyDescent="0.3"/>
  <cols>
    <col min="1" max="1" width="10.21875" style="13" bestFit="1" customWidth="1"/>
    <col min="2" max="2" width="17.88671875" style="13" bestFit="1" customWidth="1"/>
    <col min="3" max="7" width="6.109375" style="13" bestFit="1" customWidth="1"/>
    <col min="8" max="8" width="4.6640625" style="13" bestFit="1" customWidth="1"/>
    <col min="9" max="9" width="4.33203125" style="13" customWidth="1"/>
    <col min="10" max="10" width="10.21875" style="13" bestFit="1" customWidth="1"/>
    <col min="11" max="15" width="4.6640625" style="13" bestFit="1" customWidth="1"/>
    <col min="16" max="16" width="4.33203125" style="13" customWidth="1"/>
    <col min="17" max="17" width="14.6640625" style="13" bestFit="1" customWidth="1"/>
    <col min="18" max="21" width="4.6640625" style="6" bestFit="1" customWidth="1"/>
    <col min="22" max="22" width="4.33203125" style="13" customWidth="1"/>
    <col min="23" max="23" width="19.77734375" style="13" bestFit="1" customWidth="1"/>
    <col min="24" max="27" width="8.21875" style="6" bestFit="1" customWidth="1"/>
    <col min="28" max="28" width="9" style="11" customWidth="1"/>
    <col min="29" max="29" width="41" style="13" bestFit="1" customWidth="1"/>
    <col min="30" max="30" width="10.21875" style="13" bestFit="1" customWidth="1"/>
    <col min="31" max="31" width="9" style="13" customWidth="1"/>
    <col min="32" max="32" width="28.5546875" style="6" bestFit="1" customWidth="1"/>
    <col min="33" max="37" width="10.21875" style="13" bestFit="1" customWidth="1"/>
    <col min="38" max="43" width="9" style="13" customWidth="1"/>
    <col min="44" max="44" width="28" style="6" customWidth="1"/>
    <col min="45" max="45" width="34" style="6" customWidth="1"/>
    <col min="46" max="57" width="9" style="13" customWidth="1"/>
    <col min="58" max="16384" width="9" style="13"/>
  </cols>
  <sheetData>
    <row r="1" spans="1:37" ht="15.6" customHeight="1" x14ac:dyDescent="0.3"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3"/>
    </row>
    <row r="2" spans="1:37" ht="15.9" customHeight="1" x14ac:dyDescent="0.3">
      <c r="I2" s="4"/>
      <c r="J2" s="16" t="s">
        <v>19</v>
      </c>
      <c r="K2" s="16"/>
      <c r="L2" s="16"/>
      <c r="M2" s="16"/>
      <c r="N2" s="16"/>
      <c r="O2" s="16"/>
      <c r="P2" s="16"/>
      <c r="Q2" s="16" t="s">
        <v>68</v>
      </c>
      <c r="R2" s="46"/>
      <c r="S2" s="46"/>
      <c r="T2" s="46"/>
      <c r="U2" s="46"/>
      <c r="V2" s="16"/>
      <c r="W2" s="16" t="s">
        <v>69</v>
      </c>
      <c r="X2" s="46"/>
      <c r="AB2" s="13"/>
      <c r="AC2" s="16" t="s">
        <v>70</v>
      </c>
      <c r="AF2" s="6" t="s">
        <v>71</v>
      </c>
    </row>
    <row r="3" spans="1:37" ht="15.9" customHeight="1" x14ac:dyDescent="0.3">
      <c r="A3" s="5" t="s">
        <v>19</v>
      </c>
      <c r="B3" s="5" t="s">
        <v>20</v>
      </c>
      <c r="C3" s="5" t="s">
        <v>72</v>
      </c>
      <c r="D3" s="5" t="s">
        <v>73</v>
      </c>
      <c r="E3" s="5" t="s">
        <v>74</v>
      </c>
      <c r="F3" s="5" t="s">
        <v>75</v>
      </c>
      <c r="G3" s="5" t="s">
        <v>76</v>
      </c>
      <c r="H3" s="5" t="s">
        <v>77</v>
      </c>
      <c r="I3" s="4"/>
      <c r="J3" s="5" t="s">
        <v>78</v>
      </c>
      <c r="K3" s="5" t="s">
        <v>72</v>
      </c>
      <c r="L3" s="5" t="s">
        <v>73</v>
      </c>
      <c r="M3" s="5" t="s">
        <v>74</v>
      </c>
      <c r="N3" s="5" t="s">
        <v>75</v>
      </c>
      <c r="O3" s="5" t="s">
        <v>76</v>
      </c>
      <c r="Q3" s="5" t="s">
        <v>72</v>
      </c>
      <c r="R3" s="5" t="s">
        <v>73</v>
      </c>
      <c r="S3" s="5" t="s">
        <v>74</v>
      </c>
      <c r="T3" s="5" t="s">
        <v>75</v>
      </c>
      <c r="U3" s="5" t="s">
        <v>76</v>
      </c>
      <c r="W3" s="5" t="s">
        <v>72</v>
      </c>
      <c r="X3" s="5" t="s">
        <v>73</v>
      </c>
      <c r="Y3" s="5" t="s">
        <v>74</v>
      </c>
      <c r="Z3" s="5" t="s">
        <v>75</v>
      </c>
      <c r="AA3" s="5" t="s">
        <v>76</v>
      </c>
      <c r="AB3" s="13"/>
      <c r="AC3" s="5" t="s">
        <v>79</v>
      </c>
      <c r="AD3" s="5" t="s">
        <v>54</v>
      </c>
      <c r="AF3" s="5" t="s">
        <v>19</v>
      </c>
      <c r="AG3" s="5" t="s">
        <v>72</v>
      </c>
      <c r="AH3" s="5" t="s">
        <v>73</v>
      </c>
      <c r="AI3" s="5" t="s">
        <v>74</v>
      </c>
      <c r="AJ3" s="5" t="s">
        <v>75</v>
      </c>
      <c r="AK3" s="5" t="s">
        <v>76</v>
      </c>
    </row>
    <row r="4" spans="1:37" ht="15.9" customHeight="1" x14ac:dyDescent="0.3">
      <c r="A4" s="9" t="str">
        <f t="array" ref="A4:A22">Overview!A30:A48</f>
        <v>WW</v>
      </c>
      <c r="B4" s="38" t="str">
        <f t="array" ref="B4:B22">Overview!B30:B48</f>
        <v>Wild</v>
      </c>
      <c r="C4" s="9">
        <f t="shared" ref="C4:C22" si="0">COUNTIF(K:K,$A4)</f>
        <v>0</v>
      </c>
      <c r="D4" s="9">
        <f t="shared" ref="D4:D22" si="1">COUNTIF(L:L,$A4)</f>
        <v>0</v>
      </c>
      <c r="E4" s="9">
        <f t="shared" ref="E4:E22" si="2">COUNTIF(M:M,$A4)</f>
        <v>0</v>
      </c>
      <c r="F4" s="9">
        <f t="shared" ref="F4:F22" si="3">COUNTIF(N:N,$A4)</f>
        <v>0</v>
      </c>
      <c r="G4" s="9">
        <f t="shared" ref="G4:G22" si="4">COUNTIF(O:O,$A4)</f>
        <v>0</v>
      </c>
      <c r="H4" s="38">
        <f t="array" ref="H4:H22">Overview!H30:H48</f>
        <v>0</v>
      </c>
      <c r="I4" s="52"/>
      <c r="J4" s="7">
        <v>0</v>
      </c>
      <c r="K4" s="41" t="s">
        <v>31</v>
      </c>
      <c r="L4" s="8" t="s">
        <v>28</v>
      </c>
      <c r="M4" s="8" t="s">
        <v>35</v>
      </c>
      <c r="N4" s="8" t="s">
        <v>33</v>
      </c>
      <c r="O4" s="8" t="s">
        <v>29</v>
      </c>
      <c r="Q4" s="17">
        <f t="shared" ref="Q4:Q35" si="5">IF(K4="","",VLOOKUP(K4,$A$4:$H$22,8,FALSE))</f>
        <v>6</v>
      </c>
      <c r="R4" s="17">
        <f t="shared" ref="R4:R35" si="6">IF(L4="","",VLOOKUP(L4,$A$4:$H$22,8,FALSE))</f>
        <v>3</v>
      </c>
      <c r="S4" s="17">
        <f t="shared" ref="S4:S35" si="7">IF(M4="","",VLOOKUP(M4,$A$4:$H$22,8,FALSE))</f>
        <v>10</v>
      </c>
      <c r="T4" s="17">
        <f t="shared" ref="T4:T35" si="8">IF(N4="","",VLOOKUP(N4,$A$4:$H$22,8,FALSE))</f>
        <v>8</v>
      </c>
      <c r="U4" s="17">
        <f t="shared" ref="U4:U35" si="9">IF(O4="","",VLOOKUP(O4,$A$4:$H$22,8,FALSE))</f>
        <v>4</v>
      </c>
      <c r="W4" s="7">
        <v>12571</v>
      </c>
      <c r="X4" s="7">
        <v>11024</v>
      </c>
      <c r="Y4" s="7">
        <v>0</v>
      </c>
      <c r="Z4" s="7">
        <v>12985</v>
      </c>
      <c r="AA4" s="7">
        <v>12527</v>
      </c>
      <c r="AB4" s="13"/>
      <c r="AC4" s="38">
        <v>0</v>
      </c>
      <c r="AD4" s="10">
        <v>21860</v>
      </c>
      <c r="AF4" s="9" t="s">
        <v>22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</row>
    <row r="5" spans="1:37" ht="15.9" customHeight="1" x14ac:dyDescent="0.3">
      <c r="A5" s="2" t="str">
        <v>W2</v>
      </c>
      <c r="B5" s="38" t="str">
        <v>Super Wild</v>
      </c>
      <c r="C5" s="9">
        <f t="shared" si="0"/>
        <v>0</v>
      </c>
      <c r="D5" s="9">
        <f t="shared" si="1"/>
        <v>0</v>
      </c>
      <c r="E5" s="9">
        <f t="shared" si="2"/>
        <v>0</v>
      </c>
      <c r="F5" s="9">
        <f t="shared" si="3"/>
        <v>0</v>
      </c>
      <c r="G5" s="9">
        <f t="shared" si="4"/>
        <v>0</v>
      </c>
      <c r="H5" s="38">
        <v>1</v>
      </c>
      <c r="I5" s="52"/>
      <c r="J5" s="2">
        <v>1</v>
      </c>
      <c r="K5" s="41" t="s">
        <v>32</v>
      </c>
      <c r="L5" s="41" t="s">
        <v>40</v>
      </c>
      <c r="M5" s="41" t="s">
        <v>26</v>
      </c>
      <c r="N5" s="41" t="s">
        <v>35</v>
      </c>
      <c r="O5" s="41" t="s">
        <v>32</v>
      </c>
      <c r="Q5" s="17">
        <f t="shared" si="5"/>
        <v>7</v>
      </c>
      <c r="R5" s="17">
        <f t="shared" si="6"/>
        <v>13</v>
      </c>
      <c r="S5" s="17">
        <f t="shared" si="7"/>
        <v>2</v>
      </c>
      <c r="T5" s="17">
        <f t="shared" si="8"/>
        <v>10</v>
      </c>
      <c r="U5" s="17">
        <f t="shared" si="9"/>
        <v>7</v>
      </c>
      <c r="W5" s="7">
        <v>12714</v>
      </c>
      <c r="X5" s="7">
        <v>10407</v>
      </c>
      <c r="Y5" s="7">
        <v>0</v>
      </c>
      <c r="Z5" s="7">
        <v>12646</v>
      </c>
      <c r="AA5" s="7">
        <v>12028</v>
      </c>
      <c r="AB5" s="13"/>
      <c r="AC5" s="38">
        <v>2</v>
      </c>
      <c r="AD5" s="10">
        <v>1401</v>
      </c>
      <c r="AF5" s="2" t="s">
        <v>24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</row>
    <row r="6" spans="1:37" ht="15.9" customHeight="1" x14ac:dyDescent="0.3">
      <c r="A6" s="2" t="str">
        <v>C1</v>
      </c>
      <c r="B6" s="38" t="str">
        <v>Scatter</v>
      </c>
      <c r="C6" s="9">
        <f t="shared" si="0"/>
        <v>4</v>
      </c>
      <c r="D6" s="9">
        <f t="shared" si="1"/>
        <v>4</v>
      </c>
      <c r="E6" s="9">
        <f t="shared" si="2"/>
        <v>4</v>
      </c>
      <c r="F6" s="9">
        <f t="shared" si="3"/>
        <v>4</v>
      </c>
      <c r="G6" s="9">
        <f t="shared" si="4"/>
        <v>6</v>
      </c>
      <c r="H6" s="38">
        <v>2</v>
      </c>
      <c r="I6" s="52"/>
      <c r="J6" s="2">
        <v>2</v>
      </c>
      <c r="K6" s="41" t="s">
        <v>33</v>
      </c>
      <c r="L6" s="41" t="s">
        <v>30</v>
      </c>
      <c r="M6" s="41" t="s">
        <v>34</v>
      </c>
      <c r="N6" s="41" t="s">
        <v>34</v>
      </c>
      <c r="O6" s="41" t="s">
        <v>30</v>
      </c>
      <c r="Q6" s="17">
        <f t="shared" si="5"/>
        <v>8</v>
      </c>
      <c r="R6" s="17">
        <f t="shared" si="6"/>
        <v>5</v>
      </c>
      <c r="S6" s="17">
        <f t="shared" si="7"/>
        <v>9</v>
      </c>
      <c r="T6" s="17">
        <f t="shared" si="8"/>
        <v>9</v>
      </c>
      <c r="U6" s="17">
        <f t="shared" si="9"/>
        <v>5</v>
      </c>
      <c r="W6" s="7">
        <v>12414</v>
      </c>
      <c r="X6" s="7">
        <v>11480</v>
      </c>
      <c r="Y6" s="7">
        <v>6283</v>
      </c>
      <c r="Z6" s="7">
        <v>12189</v>
      </c>
      <c r="AA6" s="7">
        <v>12744</v>
      </c>
      <c r="AB6" s="13"/>
      <c r="AC6" s="38">
        <v>3</v>
      </c>
      <c r="AD6" s="10">
        <v>235</v>
      </c>
      <c r="AF6" s="2" t="s">
        <v>26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</row>
    <row r="7" spans="1:37" ht="15.9" customHeight="1" x14ac:dyDescent="0.3">
      <c r="A7" s="2" t="str">
        <v>M1</v>
      </c>
      <c r="B7" s="38" t="str">
        <v>M1</v>
      </c>
      <c r="C7" s="9">
        <f t="shared" si="0"/>
        <v>14</v>
      </c>
      <c r="D7" s="9">
        <f t="shared" si="1"/>
        <v>9</v>
      </c>
      <c r="E7" s="9">
        <f t="shared" si="2"/>
        <v>10</v>
      </c>
      <c r="F7" s="9">
        <f t="shared" si="3"/>
        <v>9</v>
      </c>
      <c r="G7" s="9">
        <f t="shared" si="4"/>
        <v>14</v>
      </c>
      <c r="H7" s="38">
        <v>3</v>
      </c>
      <c r="I7" s="52"/>
      <c r="J7" s="2">
        <v>3</v>
      </c>
      <c r="K7" s="41" t="s">
        <v>28</v>
      </c>
      <c r="L7" s="41" t="s">
        <v>31</v>
      </c>
      <c r="M7" s="41" t="s">
        <v>34</v>
      </c>
      <c r="N7" s="41" t="s">
        <v>35</v>
      </c>
      <c r="O7" s="41" t="s">
        <v>33</v>
      </c>
      <c r="Q7" s="17">
        <f t="shared" si="5"/>
        <v>3</v>
      </c>
      <c r="R7" s="17">
        <f t="shared" si="6"/>
        <v>6</v>
      </c>
      <c r="S7" s="17">
        <f t="shared" si="7"/>
        <v>9</v>
      </c>
      <c r="T7" s="17">
        <f t="shared" si="8"/>
        <v>10</v>
      </c>
      <c r="U7" s="17">
        <f t="shared" si="9"/>
        <v>8</v>
      </c>
      <c r="W7" s="7">
        <v>11463</v>
      </c>
      <c r="X7" s="7">
        <v>13087</v>
      </c>
      <c r="Y7" s="7">
        <v>12324</v>
      </c>
      <c r="Z7" s="7">
        <v>10462</v>
      </c>
      <c r="AA7" s="7">
        <v>6442</v>
      </c>
      <c r="AB7" s="13"/>
      <c r="AC7" s="38">
        <v>4</v>
      </c>
      <c r="AD7" s="10">
        <v>18</v>
      </c>
      <c r="AF7" s="2" t="s">
        <v>28</v>
      </c>
      <c r="AG7" s="9">
        <v>50122</v>
      </c>
      <c r="AH7" s="9">
        <v>85723</v>
      </c>
      <c r="AI7" s="9">
        <v>46185</v>
      </c>
      <c r="AJ7" s="9">
        <v>93970</v>
      </c>
      <c r="AK7" s="9">
        <v>50452</v>
      </c>
    </row>
    <row r="8" spans="1:37" ht="15.9" customHeight="1" x14ac:dyDescent="0.3">
      <c r="A8" s="2" t="str">
        <v>M2</v>
      </c>
      <c r="B8" s="38" t="str">
        <v>M2</v>
      </c>
      <c r="C8" s="9">
        <f t="shared" si="0"/>
        <v>28</v>
      </c>
      <c r="D8" s="9">
        <f t="shared" si="1"/>
        <v>33</v>
      </c>
      <c r="E8" s="9">
        <f t="shared" si="2"/>
        <v>15</v>
      </c>
      <c r="F8" s="9">
        <f t="shared" si="3"/>
        <v>12</v>
      </c>
      <c r="G8" s="9">
        <f t="shared" si="4"/>
        <v>24</v>
      </c>
      <c r="H8" s="38">
        <v>4</v>
      </c>
      <c r="I8" s="52"/>
      <c r="J8" s="2">
        <v>4</v>
      </c>
      <c r="K8" s="41" t="s">
        <v>32</v>
      </c>
      <c r="L8" s="41" t="s">
        <v>29</v>
      </c>
      <c r="M8" s="41" t="s">
        <v>34</v>
      </c>
      <c r="N8" s="41" t="s">
        <v>40</v>
      </c>
      <c r="O8" s="41" t="s">
        <v>30</v>
      </c>
      <c r="Q8" s="17">
        <f t="shared" si="5"/>
        <v>7</v>
      </c>
      <c r="R8" s="17">
        <f t="shared" si="6"/>
        <v>4</v>
      </c>
      <c r="S8" s="17">
        <f t="shared" si="7"/>
        <v>9</v>
      </c>
      <c r="T8" s="17">
        <f t="shared" si="8"/>
        <v>13</v>
      </c>
      <c r="U8" s="17">
        <f t="shared" si="9"/>
        <v>5</v>
      </c>
      <c r="W8" s="7">
        <v>12427</v>
      </c>
      <c r="X8" s="7">
        <v>11708</v>
      </c>
      <c r="Y8" s="7">
        <v>15054</v>
      </c>
      <c r="Z8" s="7">
        <v>10538</v>
      </c>
      <c r="AA8" s="7">
        <v>5167</v>
      </c>
      <c r="AB8" s="13"/>
      <c r="AF8" s="2" t="s">
        <v>29</v>
      </c>
      <c r="AG8" s="9">
        <v>100486</v>
      </c>
      <c r="AH8" s="9">
        <v>41636</v>
      </c>
      <c r="AI8" s="9">
        <v>91061</v>
      </c>
      <c r="AJ8" s="9">
        <v>45998</v>
      </c>
      <c r="AK8" s="9">
        <v>104798</v>
      </c>
    </row>
    <row r="9" spans="1:37" ht="15.9" customHeight="1" x14ac:dyDescent="0.3">
      <c r="A9" s="2" t="str">
        <v>M3</v>
      </c>
      <c r="B9" s="38" t="str">
        <v>M3</v>
      </c>
      <c r="C9" s="9">
        <f t="shared" si="0"/>
        <v>18</v>
      </c>
      <c r="D9" s="9">
        <f t="shared" si="1"/>
        <v>12</v>
      </c>
      <c r="E9" s="9">
        <f t="shared" si="2"/>
        <v>30</v>
      </c>
      <c r="F9" s="9">
        <f t="shared" si="3"/>
        <v>13</v>
      </c>
      <c r="G9" s="9">
        <f t="shared" si="4"/>
        <v>28</v>
      </c>
      <c r="H9" s="38">
        <v>5</v>
      </c>
      <c r="I9" s="52"/>
      <c r="J9" s="2">
        <v>5</v>
      </c>
      <c r="K9" s="41" t="s">
        <v>35</v>
      </c>
      <c r="L9" s="41" t="s">
        <v>26</v>
      </c>
      <c r="M9" s="41" t="s">
        <v>32</v>
      </c>
      <c r="N9" s="41" t="s">
        <v>30</v>
      </c>
      <c r="O9" s="41" t="s">
        <v>35</v>
      </c>
      <c r="Q9" s="17">
        <f t="shared" si="5"/>
        <v>10</v>
      </c>
      <c r="R9" s="17">
        <f t="shared" si="6"/>
        <v>2</v>
      </c>
      <c r="S9" s="17">
        <f t="shared" si="7"/>
        <v>7</v>
      </c>
      <c r="T9" s="17">
        <f t="shared" si="8"/>
        <v>5</v>
      </c>
      <c r="U9" s="17">
        <f t="shared" si="9"/>
        <v>10</v>
      </c>
      <c r="W9" s="7">
        <v>0</v>
      </c>
      <c r="X9" s="7">
        <v>13334</v>
      </c>
      <c r="Y9" s="7">
        <v>13804</v>
      </c>
      <c r="Z9" s="7">
        <v>11001</v>
      </c>
      <c r="AA9" s="7">
        <v>9970</v>
      </c>
      <c r="AB9" s="13"/>
      <c r="AF9" s="2" t="s">
        <v>30</v>
      </c>
      <c r="AG9" s="9">
        <v>100381</v>
      </c>
      <c r="AH9" s="9">
        <v>62016</v>
      </c>
      <c r="AI9" s="9">
        <v>71224</v>
      </c>
      <c r="AJ9" s="9">
        <v>67745</v>
      </c>
      <c r="AK9" s="9">
        <v>82539</v>
      </c>
    </row>
    <row r="10" spans="1:37" ht="15.9" customHeight="1" x14ac:dyDescent="0.3">
      <c r="A10" s="2" t="str">
        <v>M4</v>
      </c>
      <c r="B10" s="38" t="str">
        <v>M4</v>
      </c>
      <c r="C10" s="9">
        <f t="shared" si="0"/>
        <v>19</v>
      </c>
      <c r="D10" s="9">
        <f t="shared" si="1"/>
        <v>37</v>
      </c>
      <c r="E10" s="9">
        <f t="shared" si="2"/>
        <v>12</v>
      </c>
      <c r="F10" s="9">
        <f t="shared" si="3"/>
        <v>40</v>
      </c>
      <c r="G10" s="9">
        <f t="shared" si="4"/>
        <v>15</v>
      </c>
      <c r="H10" s="38">
        <v>6</v>
      </c>
      <c r="I10" s="52"/>
      <c r="J10" s="2">
        <v>6</v>
      </c>
      <c r="K10" s="41" t="s">
        <v>31</v>
      </c>
      <c r="L10" s="41" t="s">
        <v>29</v>
      </c>
      <c r="M10" s="41" t="s">
        <v>34</v>
      </c>
      <c r="N10" s="41" t="s">
        <v>35</v>
      </c>
      <c r="O10" s="41" t="s">
        <v>32</v>
      </c>
      <c r="Q10" s="17">
        <f t="shared" si="5"/>
        <v>6</v>
      </c>
      <c r="R10" s="17">
        <f t="shared" si="6"/>
        <v>4</v>
      </c>
      <c r="S10" s="17">
        <f t="shared" si="7"/>
        <v>9</v>
      </c>
      <c r="T10" s="17">
        <f t="shared" si="8"/>
        <v>10</v>
      </c>
      <c r="U10" s="17">
        <f t="shared" si="9"/>
        <v>7</v>
      </c>
      <c r="W10" s="7">
        <v>0</v>
      </c>
      <c r="X10" s="7">
        <v>11046</v>
      </c>
      <c r="Y10" s="7">
        <v>13592</v>
      </c>
      <c r="Z10" s="7">
        <v>13103</v>
      </c>
      <c r="AA10" s="7">
        <v>10140</v>
      </c>
      <c r="AB10" s="13"/>
      <c r="AF10" s="2" t="s">
        <v>31</v>
      </c>
      <c r="AG10" s="9">
        <v>96855</v>
      </c>
      <c r="AH10" s="9">
        <v>107933</v>
      </c>
      <c r="AI10" s="9">
        <v>68378</v>
      </c>
      <c r="AJ10" s="9">
        <v>114300</v>
      </c>
      <c r="AK10" s="9">
        <v>77965</v>
      </c>
    </row>
    <row r="11" spans="1:37" ht="15.9" customHeight="1" x14ac:dyDescent="0.3">
      <c r="A11" s="2" t="str">
        <v>A</v>
      </c>
      <c r="B11" s="38" t="str">
        <v>A</v>
      </c>
      <c r="C11" s="9">
        <f t="shared" si="0"/>
        <v>33</v>
      </c>
      <c r="D11" s="9">
        <f t="shared" si="1"/>
        <v>43</v>
      </c>
      <c r="E11" s="9">
        <f t="shared" si="2"/>
        <v>15</v>
      </c>
      <c r="F11" s="9">
        <f t="shared" si="3"/>
        <v>9</v>
      </c>
      <c r="G11" s="9">
        <f t="shared" si="4"/>
        <v>31</v>
      </c>
      <c r="H11" s="38">
        <v>7</v>
      </c>
      <c r="I11" s="52"/>
      <c r="J11" s="2">
        <v>7</v>
      </c>
      <c r="K11" s="41" t="s">
        <v>33</v>
      </c>
      <c r="L11" s="41" t="s">
        <v>31</v>
      </c>
      <c r="M11" s="41" t="s">
        <v>31</v>
      </c>
      <c r="N11" s="41" t="s">
        <v>32</v>
      </c>
      <c r="O11" s="41" t="s">
        <v>31</v>
      </c>
      <c r="Q11" s="17">
        <f t="shared" si="5"/>
        <v>8</v>
      </c>
      <c r="R11" s="17">
        <f t="shared" si="6"/>
        <v>6</v>
      </c>
      <c r="S11" s="17">
        <f t="shared" si="7"/>
        <v>6</v>
      </c>
      <c r="T11" s="17">
        <f t="shared" si="8"/>
        <v>7</v>
      </c>
      <c r="U11" s="17">
        <f t="shared" si="9"/>
        <v>6</v>
      </c>
      <c r="W11" s="7">
        <v>0</v>
      </c>
      <c r="X11" s="7">
        <v>10429</v>
      </c>
      <c r="Y11" s="7">
        <v>11149</v>
      </c>
      <c r="Z11" s="7">
        <v>13051</v>
      </c>
      <c r="AA11" s="7">
        <v>12488</v>
      </c>
      <c r="AB11" s="13"/>
      <c r="AF11" s="2" t="s">
        <v>32</v>
      </c>
      <c r="AG11" s="9">
        <v>148704</v>
      </c>
      <c r="AH11" s="9">
        <v>149629</v>
      </c>
      <c r="AI11" s="9">
        <v>142185</v>
      </c>
      <c r="AJ11" s="9">
        <v>159075</v>
      </c>
      <c r="AK11" s="9">
        <v>157042</v>
      </c>
    </row>
    <row r="12" spans="1:37" ht="15.9" customHeight="1" x14ac:dyDescent="0.3">
      <c r="A12" s="2" t="str">
        <v>K</v>
      </c>
      <c r="B12" s="38" t="str">
        <v>K</v>
      </c>
      <c r="C12" s="9">
        <f t="shared" si="0"/>
        <v>33</v>
      </c>
      <c r="D12" s="9">
        <f t="shared" si="1"/>
        <v>12</v>
      </c>
      <c r="E12" s="9">
        <f t="shared" si="2"/>
        <v>11</v>
      </c>
      <c r="F12" s="9">
        <f t="shared" si="3"/>
        <v>50</v>
      </c>
      <c r="G12" s="9">
        <f t="shared" si="4"/>
        <v>26</v>
      </c>
      <c r="H12" s="38">
        <v>8</v>
      </c>
      <c r="I12" s="52"/>
      <c r="J12" s="2">
        <v>8</v>
      </c>
      <c r="K12" s="41" t="s">
        <v>26</v>
      </c>
      <c r="L12" s="41" t="s">
        <v>36</v>
      </c>
      <c r="M12" s="41" t="s">
        <v>34</v>
      </c>
      <c r="N12" s="41" t="s">
        <v>34</v>
      </c>
      <c r="O12" s="41" t="s">
        <v>28</v>
      </c>
      <c r="Q12" s="17">
        <f t="shared" si="5"/>
        <v>2</v>
      </c>
      <c r="R12" s="17">
        <f t="shared" si="6"/>
        <v>11</v>
      </c>
      <c r="S12" s="17">
        <f t="shared" si="7"/>
        <v>9</v>
      </c>
      <c r="T12" s="17">
        <f t="shared" si="8"/>
        <v>9</v>
      </c>
      <c r="U12" s="17">
        <f t="shared" si="9"/>
        <v>3</v>
      </c>
      <c r="W12" s="7">
        <v>0</v>
      </c>
      <c r="X12" s="7">
        <v>10927</v>
      </c>
      <c r="Y12" s="7">
        <v>10982</v>
      </c>
      <c r="Z12" s="7">
        <v>11474</v>
      </c>
      <c r="AA12" s="7">
        <v>11874</v>
      </c>
      <c r="AB12" s="13"/>
      <c r="AF12" s="2" t="s">
        <v>33</v>
      </c>
      <c r="AG12" s="9">
        <v>150681</v>
      </c>
      <c r="AH12" s="9">
        <v>143546</v>
      </c>
      <c r="AI12" s="9">
        <v>138412</v>
      </c>
      <c r="AJ12" s="9">
        <v>162412</v>
      </c>
      <c r="AK12" s="9">
        <v>166316</v>
      </c>
    </row>
    <row r="13" spans="1:37" ht="15.9" customHeight="1" x14ac:dyDescent="0.3">
      <c r="A13" s="2" t="str">
        <v>Q</v>
      </c>
      <c r="B13" s="38" t="str">
        <v>Q</v>
      </c>
      <c r="C13" s="9">
        <f t="shared" si="0"/>
        <v>18</v>
      </c>
      <c r="D13" s="9">
        <f t="shared" si="1"/>
        <v>12</v>
      </c>
      <c r="E13" s="9">
        <f t="shared" si="2"/>
        <v>39</v>
      </c>
      <c r="F13" s="9">
        <f t="shared" si="3"/>
        <v>34</v>
      </c>
      <c r="G13" s="9">
        <f t="shared" si="4"/>
        <v>30</v>
      </c>
      <c r="H13" s="38">
        <v>9</v>
      </c>
      <c r="I13" s="52"/>
      <c r="J13" s="2">
        <v>9</v>
      </c>
      <c r="K13" s="41" t="s">
        <v>28</v>
      </c>
      <c r="L13" s="41" t="s">
        <v>28</v>
      </c>
      <c r="M13" s="41" t="s">
        <v>50</v>
      </c>
      <c r="N13" s="41" t="s">
        <v>30</v>
      </c>
      <c r="O13" s="41" t="s">
        <v>32</v>
      </c>
      <c r="Q13" s="17">
        <f t="shared" si="5"/>
        <v>3</v>
      </c>
      <c r="R13" s="17">
        <f t="shared" si="6"/>
        <v>3</v>
      </c>
      <c r="S13" s="17">
        <f t="shared" si="7"/>
        <v>18</v>
      </c>
      <c r="T13" s="17">
        <f t="shared" si="8"/>
        <v>5</v>
      </c>
      <c r="U13" s="17">
        <f t="shared" si="9"/>
        <v>7</v>
      </c>
      <c r="W13" s="7">
        <v>12584</v>
      </c>
      <c r="X13" s="7">
        <v>12424</v>
      </c>
      <c r="Y13" s="7">
        <v>8186</v>
      </c>
      <c r="Z13" s="7">
        <v>10516</v>
      </c>
      <c r="AA13" s="7">
        <v>12885</v>
      </c>
      <c r="AB13" s="13"/>
      <c r="AF13" s="2" t="s">
        <v>34</v>
      </c>
      <c r="AG13" s="9">
        <v>174591</v>
      </c>
      <c r="AH13" s="9">
        <v>126836</v>
      </c>
      <c r="AI13" s="9">
        <v>165974</v>
      </c>
      <c r="AJ13" s="9">
        <v>137382</v>
      </c>
      <c r="AK13" s="9">
        <v>176580</v>
      </c>
    </row>
    <row r="14" spans="1:37" ht="15.9" customHeight="1" x14ac:dyDescent="0.3">
      <c r="A14" s="2" t="str">
        <v>J</v>
      </c>
      <c r="B14" s="38" t="str">
        <v>J</v>
      </c>
      <c r="C14" s="9">
        <f t="shared" si="0"/>
        <v>33</v>
      </c>
      <c r="D14" s="9">
        <f t="shared" si="1"/>
        <v>8</v>
      </c>
      <c r="E14" s="9">
        <f t="shared" si="2"/>
        <v>38</v>
      </c>
      <c r="F14" s="9">
        <f t="shared" si="3"/>
        <v>13</v>
      </c>
      <c r="G14" s="9">
        <f t="shared" si="4"/>
        <v>26</v>
      </c>
      <c r="H14" s="38">
        <v>10</v>
      </c>
      <c r="I14" s="52"/>
      <c r="J14" s="2">
        <v>10</v>
      </c>
      <c r="K14" s="41" t="s">
        <v>35</v>
      </c>
      <c r="L14" s="41" t="s">
        <v>44</v>
      </c>
      <c r="M14" s="41" t="s">
        <v>34</v>
      </c>
      <c r="N14" s="41" t="s">
        <v>33</v>
      </c>
      <c r="O14" s="41" t="s">
        <v>34</v>
      </c>
      <c r="Q14" s="17">
        <f t="shared" si="5"/>
        <v>10</v>
      </c>
      <c r="R14" s="17">
        <f t="shared" si="6"/>
        <v>15</v>
      </c>
      <c r="S14" s="17">
        <f t="shared" si="7"/>
        <v>9</v>
      </c>
      <c r="T14" s="17">
        <f t="shared" si="8"/>
        <v>8</v>
      </c>
      <c r="U14" s="17">
        <f t="shared" si="9"/>
        <v>9</v>
      </c>
      <c r="W14" s="7">
        <v>10628</v>
      </c>
      <c r="X14" s="7">
        <v>13737</v>
      </c>
      <c r="Y14" s="7">
        <v>12057</v>
      </c>
      <c r="Z14" s="7">
        <v>3582</v>
      </c>
      <c r="AA14" s="7">
        <v>12297</v>
      </c>
      <c r="AB14" s="13"/>
      <c r="AF14" s="2" t="s">
        <v>35</v>
      </c>
      <c r="AG14" s="9">
        <v>178180</v>
      </c>
      <c r="AH14" s="9">
        <v>126422</v>
      </c>
      <c r="AI14" s="9">
        <v>164613</v>
      </c>
      <c r="AJ14" s="9">
        <v>138328</v>
      </c>
      <c r="AK14" s="9">
        <v>184308</v>
      </c>
    </row>
    <row r="15" spans="1:37" ht="15.9" customHeight="1" x14ac:dyDescent="0.3">
      <c r="A15" s="2" t="str">
        <v>G1</v>
      </c>
      <c r="B15" s="38" t="str">
        <v>Golden M1</v>
      </c>
      <c r="C15" s="9">
        <f t="shared" si="0"/>
        <v>0</v>
      </c>
      <c r="D15" s="9">
        <f t="shared" si="1"/>
        <v>2</v>
      </c>
      <c r="E15" s="9">
        <f t="shared" si="2"/>
        <v>1</v>
      </c>
      <c r="F15" s="9">
        <f t="shared" si="3"/>
        <v>1</v>
      </c>
      <c r="G15" s="9">
        <f t="shared" si="4"/>
        <v>0</v>
      </c>
      <c r="H15" s="38">
        <v>11</v>
      </c>
      <c r="I15" s="52"/>
      <c r="J15" s="2">
        <v>11</v>
      </c>
      <c r="K15" s="41" t="s">
        <v>30</v>
      </c>
      <c r="L15" s="41" t="s">
        <v>29</v>
      </c>
      <c r="M15" s="41" t="s">
        <v>31</v>
      </c>
      <c r="N15" s="41" t="s">
        <v>28</v>
      </c>
      <c r="O15" s="41" t="s">
        <v>35</v>
      </c>
      <c r="Q15" s="17">
        <f t="shared" si="5"/>
        <v>5</v>
      </c>
      <c r="R15" s="17">
        <f t="shared" si="6"/>
        <v>4</v>
      </c>
      <c r="S15" s="17">
        <f t="shared" si="7"/>
        <v>6</v>
      </c>
      <c r="T15" s="17">
        <f t="shared" si="8"/>
        <v>3</v>
      </c>
      <c r="U15" s="17">
        <f t="shared" si="9"/>
        <v>10</v>
      </c>
      <c r="W15" s="7">
        <v>9770</v>
      </c>
      <c r="X15" s="7">
        <v>12930</v>
      </c>
      <c r="Y15" s="7">
        <v>11215</v>
      </c>
      <c r="Z15" s="7">
        <v>5364</v>
      </c>
      <c r="AA15" s="7">
        <v>12604</v>
      </c>
      <c r="AB15" s="13"/>
      <c r="AF15" s="2" t="s">
        <v>36</v>
      </c>
      <c r="AG15" s="9">
        <v>0</v>
      </c>
      <c r="AH15" s="9">
        <v>16564</v>
      </c>
      <c r="AI15" s="9">
        <v>6454</v>
      </c>
      <c r="AJ15" s="9">
        <v>7481</v>
      </c>
      <c r="AK15" s="9">
        <v>0</v>
      </c>
    </row>
    <row r="16" spans="1:37" ht="15.9" customHeight="1" x14ac:dyDescent="0.3">
      <c r="A16" s="2" t="str">
        <v>G2</v>
      </c>
      <c r="B16" s="38" t="str">
        <v>Golden M2</v>
      </c>
      <c r="C16" s="9">
        <f t="shared" si="0"/>
        <v>0</v>
      </c>
      <c r="D16" s="9">
        <f t="shared" si="1"/>
        <v>5</v>
      </c>
      <c r="E16" s="9">
        <f t="shared" si="2"/>
        <v>2</v>
      </c>
      <c r="F16" s="9">
        <f t="shared" si="3"/>
        <v>1</v>
      </c>
      <c r="G16" s="9">
        <f t="shared" si="4"/>
        <v>0</v>
      </c>
      <c r="H16" s="38">
        <v>12</v>
      </c>
      <c r="I16" s="52"/>
      <c r="J16" s="2">
        <v>12</v>
      </c>
      <c r="K16" s="41" t="s">
        <v>29</v>
      </c>
      <c r="L16" s="41" t="s">
        <v>29</v>
      </c>
      <c r="M16" s="41" t="s">
        <v>35</v>
      </c>
      <c r="N16" s="41" t="s">
        <v>33</v>
      </c>
      <c r="O16" s="41" t="s">
        <v>32</v>
      </c>
      <c r="Q16" s="17">
        <f t="shared" si="5"/>
        <v>4</v>
      </c>
      <c r="R16" s="17">
        <f t="shared" si="6"/>
        <v>4</v>
      </c>
      <c r="S16" s="17">
        <f t="shared" si="7"/>
        <v>10</v>
      </c>
      <c r="T16" s="17">
        <f t="shared" si="8"/>
        <v>8</v>
      </c>
      <c r="U16" s="17">
        <f t="shared" si="9"/>
        <v>7</v>
      </c>
      <c r="W16" s="7">
        <v>0</v>
      </c>
      <c r="X16" s="7">
        <v>13334</v>
      </c>
      <c r="Y16" s="7">
        <v>12727</v>
      </c>
      <c r="Z16" s="7">
        <v>3557</v>
      </c>
      <c r="AA16" s="7">
        <v>12194</v>
      </c>
      <c r="AB16" s="13"/>
      <c r="AF16" s="2" t="s">
        <v>38</v>
      </c>
      <c r="AG16" s="9">
        <v>0</v>
      </c>
      <c r="AH16" s="9">
        <v>7923</v>
      </c>
      <c r="AI16" s="9">
        <v>11642</v>
      </c>
      <c r="AJ16" s="9">
        <v>4645</v>
      </c>
      <c r="AK16" s="9">
        <v>0</v>
      </c>
    </row>
    <row r="17" spans="1:37" ht="15.9" customHeight="1" x14ac:dyDescent="0.3">
      <c r="A17" s="2" t="str">
        <v>G3</v>
      </c>
      <c r="B17" s="38" t="str">
        <v>Golden M3</v>
      </c>
      <c r="C17" s="9">
        <f t="shared" si="0"/>
        <v>0</v>
      </c>
      <c r="D17" s="9">
        <f t="shared" si="1"/>
        <v>2</v>
      </c>
      <c r="E17" s="9">
        <f t="shared" si="2"/>
        <v>4</v>
      </c>
      <c r="F17" s="9">
        <f t="shared" si="3"/>
        <v>1</v>
      </c>
      <c r="G17" s="9">
        <f t="shared" si="4"/>
        <v>0</v>
      </c>
      <c r="H17" s="38">
        <v>13</v>
      </c>
      <c r="I17" s="52"/>
      <c r="J17" s="2">
        <v>13</v>
      </c>
      <c r="K17" s="41" t="s">
        <v>31</v>
      </c>
      <c r="L17" s="41" t="s">
        <v>33</v>
      </c>
      <c r="M17" s="41" t="s">
        <v>35</v>
      </c>
      <c r="N17" s="41" t="s">
        <v>31</v>
      </c>
      <c r="O17" s="41" t="s">
        <v>34</v>
      </c>
      <c r="Q17" s="17">
        <f t="shared" si="5"/>
        <v>6</v>
      </c>
      <c r="R17" s="17">
        <f t="shared" si="6"/>
        <v>8</v>
      </c>
      <c r="S17" s="17">
        <f t="shared" si="7"/>
        <v>10</v>
      </c>
      <c r="T17" s="17">
        <f t="shared" si="8"/>
        <v>6</v>
      </c>
      <c r="U17" s="17">
        <f t="shared" si="9"/>
        <v>9</v>
      </c>
      <c r="W17" s="7">
        <v>0</v>
      </c>
      <c r="X17" s="7">
        <v>11903</v>
      </c>
      <c r="Y17" s="7">
        <v>12341</v>
      </c>
      <c r="Z17" s="7">
        <v>3527</v>
      </c>
      <c r="AA17" s="7">
        <v>12757</v>
      </c>
      <c r="AB17" s="13"/>
      <c r="AF17" s="2" t="s">
        <v>40</v>
      </c>
      <c r="AG17" s="9">
        <v>0</v>
      </c>
      <c r="AH17" s="9">
        <v>11409</v>
      </c>
      <c r="AI17" s="9">
        <v>9525</v>
      </c>
      <c r="AJ17" s="9">
        <v>5451</v>
      </c>
      <c r="AK17" s="9">
        <v>0</v>
      </c>
    </row>
    <row r="18" spans="1:37" ht="15.9" customHeight="1" x14ac:dyDescent="0.3">
      <c r="A18" s="2" t="str">
        <v>G4</v>
      </c>
      <c r="B18" s="38" t="str">
        <v>Golden M4</v>
      </c>
      <c r="C18" s="9">
        <f t="shared" si="0"/>
        <v>0</v>
      </c>
      <c r="D18" s="9">
        <f t="shared" si="1"/>
        <v>7</v>
      </c>
      <c r="E18" s="9">
        <f t="shared" si="2"/>
        <v>2</v>
      </c>
      <c r="F18" s="9">
        <f t="shared" si="3"/>
        <v>3</v>
      </c>
      <c r="G18" s="9">
        <f t="shared" si="4"/>
        <v>0</v>
      </c>
      <c r="H18" s="38">
        <v>14</v>
      </c>
      <c r="I18" s="52"/>
      <c r="J18" s="9">
        <v>14</v>
      </c>
      <c r="K18" s="41" t="s">
        <v>31</v>
      </c>
      <c r="L18" s="41" t="s">
        <v>29</v>
      </c>
      <c r="M18" s="41" t="s">
        <v>30</v>
      </c>
      <c r="N18" s="41" t="s">
        <v>33</v>
      </c>
      <c r="O18" s="41" t="s">
        <v>32</v>
      </c>
      <c r="Q18" s="17">
        <f t="shared" si="5"/>
        <v>6</v>
      </c>
      <c r="R18" s="17">
        <f t="shared" si="6"/>
        <v>4</v>
      </c>
      <c r="S18" s="17">
        <f t="shared" si="7"/>
        <v>5</v>
      </c>
      <c r="T18" s="17">
        <f t="shared" si="8"/>
        <v>8</v>
      </c>
      <c r="U18" s="17">
        <f t="shared" si="9"/>
        <v>7</v>
      </c>
      <c r="W18" s="7">
        <v>0</v>
      </c>
      <c r="X18" s="7">
        <v>11695</v>
      </c>
      <c r="Y18" s="7">
        <v>10993</v>
      </c>
      <c r="Z18" s="7">
        <v>3582</v>
      </c>
      <c r="AA18" s="7">
        <v>0</v>
      </c>
      <c r="AB18" s="13"/>
      <c r="AF18" s="2" t="s">
        <v>42</v>
      </c>
      <c r="AG18" s="9">
        <v>0</v>
      </c>
      <c r="AH18" s="9">
        <v>20294</v>
      </c>
      <c r="AI18" s="9">
        <v>8340</v>
      </c>
      <c r="AJ18" s="9">
        <v>9789</v>
      </c>
      <c r="AK18" s="9">
        <v>0</v>
      </c>
    </row>
    <row r="19" spans="1:37" ht="15.9" customHeight="1" x14ac:dyDescent="0.3">
      <c r="A19" s="2" t="str">
        <v>GA</v>
      </c>
      <c r="B19" s="38" t="str">
        <v>Golden A</v>
      </c>
      <c r="C19" s="9">
        <f t="shared" si="0"/>
        <v>0</v>
      </c>
      <c r="D19" s="9">
        <f t="shared" si="1"/>
        <v>8</v>
      </c>
      <c r="E19" s="9">
        <f t="shared" si="2"/>
        <v>2</v>
      </c>
      <c r="F19" s="9">
        <f t="shared" si="3"/>
        <v>1</v>
      </c>
      <c r="G19" s="9">
        <f t="shared" si="4"/>
        <v>0</v>
      </c>
      <c r="H19" s="38">
        <v>15</v>
      </c>
      <c r="I19" s="52"/>
      <c r="J19" s="2">
        <v>15</v>
      </c>
      <c r="K19" s="41" t="s">
        <v>26</v>
      </c>
      <c r="L19" s="41" t="s">
        <v>42</v>
      </c>
      <c r="M19" s="41" t="s">
        <v>30</v>
      </c>
      <c r="N19" s="41" t="s">
        <v>33</v>
      </c>
      <c r="O19" s="41" t="s">
        <v>31</v>
      </c>
      <c r="Q19" s="17">
        <f t="shared" si="5"/>
        <v>2</v>
      </c>
      <c r="R19" s="17">
        <f t="shared" si="6"/>
        <v>14</v>
      </c>
      <c r="S19" s="17">
        <f t="shared" si="7"/>
        <v>5</v>
      </c>
      <c r="T19" s="17">
        <f t="shared" si="8"/>
        <v>8</v>
      </c>
      <c r="U19" s="17">
        <f t="shared" si="9"/>
        <v>6</v>
      </c>
      <c r="W19" s="7">
        <v>0</v>
      </c>
      <c r="X19" s="7">
        <v>5307</v>
      </c>
      <c r="Y19" s="7">
        <v>10993</v>
      </c>
      <c r="Z19" s="7">
        <v>5364</v>
      </c>
      <c r="AA19" s="7">
        <v>0</v>
      </c>
      <c r="AB19" s="13"/>
      <c r="AF19" s="2" t="s">
        <v>44</v>
      </c>
      <c r="AG19" s="9">
        <v>0</v>
      </c>
      <c r="AH19" s="9">
        <v>27449</v>
      </c>
      <c r="AI19" s="9">
        <v>17176</v>
      </c>
      <c r="AJ19" s="9">
        <v>13711</v>
      </c>
      <c r="AK19" s="9">
        <v>0</v>
      </c>
    </row>
    <row r="20" spans="1:37" ht="15.9" customHeight="1" x14ac:dyDescent="0.3">
      <c r="A20" s="2" t="str">
        <v>GK</v>
      </c>
      <c r="B20" s="38" t="str">
        <v>Golden K</v>
      </c>
      <c r="C20" s="9">
        <f t="shared" si="0"/>
        <v>0</v>
      </c>
      <c r="D20" s="9">
        <f t="shared" si="1"/>
        <v>2</v>
      </c>
      <c r="E20" s="9">
        <f t="shared" si="2"/>
        <v>1</v>
      </c>
      <c r="F20" s="9">
        <f t="shared" si="3"/>
        <v>4</v>
      </c>
      <c r="G20" s="9">
        <f t="shared" si="4"/>
        <v>0</v>
      </c>
      <c r="H20" s="38">
        <v>16</v>
      </c>
      <c r="I20" s="52"/>
      <c r="J20" s="2">
        <v>16</v>
      </c>
      <c r="K20" s="41" t="s">
        <v>30</v>
      </c>
      <c r="L20" s="41" t="s">
        <v>40</v>
      </c>
      <c r="M20" s="41" t="s">
        <v>30</v>
      </c>
      <c r="N20" s="41" t="s">
        <v>33</v>
      </c>
      <c r="O20" s="41" t="s">
        <v>30</v>
      </c>
      <c r="Q20" s="17">
        <f t="shared" si="5"/>
        <v>5</v>
      </c>
      <c r="R20" s="17">
        <f t="shared" si="6"/>
        <v>13</v>
      </c>
      <c r="S20" s="17">
        <f t="shared" si="7"/>
        <v>5</v>
      </c>
      <c r="T20" s="17">
        <f t="shared" si="8"/>
        <v>8</v>
      </c>
      <c r="U20" s="17">
        <f t="shared" si="9"/>
        <v>5</v>
      </c>
      <c r="W20" s="7">
        <v>12115</v>
      </c>
      <c r="X20" s="7">
        <v>5290</v>
      </c>
      <c r="Y20" s="7">
        <v>1379</v>
      </c>
      <c r="Z20" s="7">
        <v>3557</v>
      </c>
      <c r="AA20" s="7">
        <v>0</v>
      </c>
      <c r="AB20" s="13"/>
      <c r="AF20" s="2" t="s">
        <v>46</v>
      </c>
      <c r="AG20" s="9">
        <v>0</v>
      </c>
      <c r="AH20" s="9">
        <v>26949</v>
      </c>
      <c r="AI20" s="9">
        <v>17083</v>
      </c>
      <c r="AJ20" s="9">
        <v>13933</v>
      </c>
      <c r="AK20" s="9">
        <v>0</v>
      </c>
    </row>
    <row r="21" spans="1:37" ht="15.9" customHeight="1" x14ac:dyDescent="0.3">
      <c r="A21" s="2" t="str">
        <v>GQ</v>
      </c>
      <c r="B21" s="38" t="str">
        <v>Golden Q</v>
      </c>
      <c r="C21" s="9">
        <f t="shared" si="0"/>
        <v>0</v>
      </c>
      <c r="D21" s="9">
        <f t="shared" si="1"/>
        <v>2</v>
      </c>
      <c r="E21" s="9">
        <f t="shared" si="2"/>
        <v>4</v>
      </c>
      <c r="F21" s="9">
        <f t="shared" si="3"/>
        <v>4</v>
      </c>
      <c r="G21" s="9">
        <f t="shared" si="4"/>
        <v>0</v>
      </c>
      <c r="H21" s="38">
        <v>17</v>
      </c>
      <c r="I21" s="52"/>
      <c r="J21" s="2">
        <v>17</v>
      </c>
      <c r="K21" s="41" t="s">
        <v>33</v>
      </c>
      <c r="L21" s="41" t="s">
        <v>29</v>
      </c>
      <c r="M21" s="41" t="s">
        <v>33</v>
      </c>
      <c r="N21" s="41" t="s">
        <v>30</v>
      </c>
      <c r="O21" s="41" t="s">
        <v>26</v>
      </c>
      <c r="Q21" s="17">
        <f t="shared" si="5"/>
        <v>8</v>
      </c>
      <c r="R21" s="17">
        <f t="shared" si="6"/>
        <v>4</v>
      </c>
      <c r="S21" s="17">
        <f t="shared" si="7"/>
        <v>8</v>
      </c>
      <c r="T21" s="17">
        <f t="shared" si="8"/>
        <v>5</v>
      </c>
      <c r="U21" s="17">
        <f t="shared" si="9"/>
        <v>2</v>
      </c>
      <c r="W21" s="7">
        <v>11985</v>
      </c>
      <c r="X21" s="7">
        <v>11556</v>
      </c>
      <c r="Y21" s="7">
        <v>1379</v>
      </c>
      <c r="Z21" s="7">
        <v>3527</v>
      </c>
      <c r="AA21" s="7">
        <v>0</v>
      </c>
      <c r="AB21" s="13"/>
      <c r="AF21" s="2" t="s">
        <v>48</v>
      </c>
      <c r="AG21" s="9">
        <v>0</v>
      </c>
      <c r="AH21" s="9">
        <v>22671</v>
      </c>
      <c r="AI21" s="9">
        <v>20581</v>
      </c>
      <c r="AJ21" s="9">
        <v>12598</v>
      </c>
      <c r="AK21" s="9">
        <v>0</v>
      </c>
    </row>
    <row r="22" spans="1:37" ht="15.9" customHeight="1" x14ac:dyDescent="0.3">
      <c r="A22" s="2" t="str">
        <v>GJ</v>
      </c>
      <c r="B22" s="38" t="str">
        <v>Golden J</v>
      </c>
      <c r="C22" s="9">
        <f t="shared" si="0"/>
        <v>0</v>
      </c>
      <c r="D22" s="9">
        <f t="shared" si="1"/>
        <v>2</v>
      </c>
      <c r="E22" s="9">
        <f t="shared" si="2"/>
        <v>10</v>
      </c>
      <c r="F22" s="9">
        <f t="shared" si="3"/>
        <v>1</v>
      </c>
      <c r="G22" s="9">
        <f t="shared" si="4"/>
        <v>0</v>
      </c>
      <c r="H22" s="38">
        <v>18</v>
      </c>
      <c r="I22" s="52"/>
      <c r="J22" s="2">
        <v>18</v>
      </c>
      <c r="K22" s="41" t="s">
        <v>32</v>
      </c>
      <c r="L22" s="41" t="s">
        <v>29</v>
      </c>
      <c r="M22" s="41" t="s">
        <v>30</v>
      </c>
      <c r="N22" s="41" t="s">
        <v>31</v>
      </c>
      <c r="O22" s="41" t="s">
        <v>32</v>
      </c>
      <c r="Q22" s="17">
        <f t="shared" si="5"/>
        <v>7</v>
      </c>
      <c r="R22" s="17">
        <f t="shared" si="6"/>
        <v>4</v>
      </c>
      <c r="S22" s="17">
        <f t="shared" si="7"/>
        <v>5</v>
      </c>
      <c r="T22" s="17">
        <f t="shared" si="8"/>
        <v>6</v>
      </c>
      <c r="U22" s="17">
        <f t="shared" si="9"/>
        <v>7</v>
      </c>
      <c r="W22" s="7">
        <v>11959</v>
      </c>
      <c r="X22" s="7">
        <v>10916</v>
      </c>
      <c r="Y22" s="7">
        <v>1379</v>
      </c>
      <c r="Z22" s="7">
        <v>3582</v>
      </c>
      <c r="AA22" s="7">
        <v>10450</v>
      </c>
      <c r="AB22" s="13"/>
      <c r="AF22" s="2" t="s">
        <v>50</v>
      </c>
      <c r="AG22" s="9">
        <v>0</v>
      </c>
      <c r="AH22" s="9">
        <v>23000</v>
      </c>
      <c r="AI22" s="9">
        <v>21167</v>
      </c>
      <c r="AJ22" s="9">
        <v>13182</v>
      </c>
      <c r="AK22" s="9">
        <v>0</v>
      </c>
    </row>
    <row r="23" spans="1:37" ht="15.9" customHeight="1" x14ac:dyDescent="0.3">
      <c r="C23" s="19">
        <f>SUM(C4:C22)</f>
        <v>200</v>
      </c>
      <c r="D23" s="19">
        <f>SUM(D4:D22)</f>
        <v>200</v>
      </c>
      <c r="E23" s="19">
        <f>SUM(E4:E22)</f>
        <v>200</v>
      </c>
      <c r="F23" s="19">
        <f>SUM(F4:F22)</f>
        <v>200</v>
      </c>
      <c r="G23" s="19">
        <f>SUM(G4:G22)</f>
        <v>200</v>
      </c>
      <c r="I23" s="52"/>
      <c r="J23" s="2">
        <v>19</v>
      </c>
      <c r="K23" s="41" t="s">
        <v>35</v>
      </c>
      <c r="L23" s="41" t="s">
        <v>38</v>
      </c>
      <c r="M23" s="41" t="s">
        <v>31</v>
      </c>
      <c r="N23" s="41" t="s">
        <v>33</v>
      </c>
      <c r="O23" s="41" t="s">
        <v>34</v>
      </c>
      <c r="Q23" s="17">
        <f t="shared" si="5"/>
        <v>10</v>
      </c>
      <c r="R23" s="17">
        <f t="shared" si="6"/>
        <v>12</v>
      </c>
      <c r="S23" s="17">
        <f t="shared" si="7"/>
        <v>6</v>
      </c>
      <c r="T23" s="17">
        <f t="shared" si="8"/>
        <v>8</v>
      </c>
      <c r="U23" s="17">
        <f t="shared" si="9"/>
        <v>9</v>
      </c>
      <c r="W23" s="7">
        <v>10465</v>
      </c>
      <c r="X23" s="7">
        <v>7441</v>
      </c>
      <c r="Y23" s="7">
        <v>1379</v>
      </c>
      <c r="Z23" s="7">
        <v>5364</v>
      </c>
      <c r="AA23" s="7">
        <v>10482</v>
      </c>
      <c r="AB23" s="13"/>
    </row>
    <row r="24" spans="1:37" ht="15.9" customHeight="1" x14ac:dyDescent="0.3">
      <c r="I24" s="52"/>
      <c r="J24" s="2">
        <v>20</v>
      </c>
      <c r="K24" s="41" t="s">
        <v>34</v>
      </c>
      <c r="L24" s="41" t="s">
        <v>33</v>
      </c>
      <c r="M24" s="41" t="s">
        <v>35</v>
      </c>
      <c r="N24" s="41" t="s">
        <v>35</v>
      </c>
      <c r="O24" s="41" t="s">
        <v>32</v>
      </c>
      <c r="Q24" s="17">
        <f t="shared" si="5"/>
        <v>9</v>
      </c>
      <c r="R24" s="17">
        <f t="shared" si="6"/>
        <v>8</v>
      </c>
      <c r="S24" s="17">
        <f t="shared" si="7"/>
        <v>10</v>
      </c>
      <c r="T24" s="17">
        <f t="shared" si="8"/>
        <v>10</v>
      </c>
      <c r="U24" s="17">
        <f t="shared" si="9"/>
        <v>7</v>
      </c>
      <c r="W24" s="7">
        <v>10834</v>
      </c>
      <c r="X24" s="7">
        <v>7473</v>
      </c>
      <c r="Y24" s="7">
        <v>1379</v>
      </c>
      <c r="Z24" s="7">
        <v>3557</v>
      </c>
      <c r="AA24" s="7">
        <v>11874</v>
      </c>
    </row>
    <row r="25" spans="1:37" ht="16.5" customHeight="1" x14ac:dyDescent="0.3">
      <c r="I25" s="52"/>
      <c r="J25" s="2">
        <v>21</v>
      </c>
      <c r="K25" s="41" t="s">
        <v>30</v>
      </c>
      <c r="L25" s="41" t="s">
        <v>29</v>
      </c>
      <c r="M25" s="41" t="s">
        <v>50</v>
      </c>
      <c r="N25" s="41" t="s">
        <v>33</v>
      </c>
      <c r="O25" s="41" t="s">
        <v>34</v>
      </c>
      <c r="Q25" s="17">
        <f t="shared" si="5"/>
        <v>5</v>
      </c>
      <c r="R25" s="17">
        <f t="shared" si="6"/>
        <v>4</v>
      </c>
      <c r="S25" s="17">
        <f t="shared" si="7"/>
        <v>18</v>
      </c>
      <c r="T25" s="17">
        <f t="shared" si="8"/>
        <v>8</v>
      </c>
      <c r="U25" s="17">
        <f t="shared" si="9"/>
        <v>9</v>
      </c>
      <c r="W25" s="7">
        <v>10172</v>
      </c>
      <c r="X25" s="7">
        <v>6669</v>
      </c>
      <c r="Y25" s="7">
        <v>1379</v>
      </c>
      <c r="Z25" s="7">
        <v>3527</v>
      </c>
      <c r="AA25" s="7">
        <v>12310</v>
      </c>
      <c r="AB25" s="13"/>
    </row>
    <row r="26" spans="1:37" ht="16.5" customHeight="1" x14ac:dyDescent="0.3">
      <c r="I26" s="52"/>
      <c r="J26" s="2">
        <v>22</v>
      </c>
      <c r="K26" s="41" t="s">
        <v>30</v>
      </c>
      <c r="L26" s="41" t="s">
        <v>32</v>
      </c>
      <c r="M26" s="41" t="s">
        <v>50</v>
      </c>
      <c r="N26" s="41" t="s">
        <v>31</v>
      </c>
      <c r="O26" s="41" t="s">
        <v>33</v>
      </c>
      <c r="Q26" s="17">
        <f t="shared" si="5"/>
        <v>5</v>
      </c>
      <c r="R26" s="17">
        <f t="shared" si="6"/>
        <v>7</v>
      </c>
      <c r="S26" s="17">
        <f t="shared" si="7"/>
        <v>18</v>
      </c>
      <c r="T26" s="17">
        <f t="shared" si="8"/>
        <v>6</v>
      </c>
      <c r="U26" s="17">
        <f t="shared" si="9"/>
        <v>8</v>
      </c>
      <c r="W26" s="7">
        <v>10748</v>
      </c>
      <c r="X26" s="7">
        <v>4033</v>
      </c>
      <c r="Y26" s="7">
        <v>1379</v>
      </c>
      <c r="Z26" s="7">
        <v>10614</v>
      </c>
      <c r="AA26" s="7">
        <v>11759</v>
      </c>
      <c r="AB26" s="13"/>
    </row>
    <row r="27" spans="1:37" ht="16.5" customHeight="1" x14ac:dyDescent="0.3">
      <c r="I27" s="52"/>
      <c r="J27" s="2">
        <v>23</v>
      </c>
      <c r="K27" s="41" t="s">
        <v>35</v>
      </c>
      <c r="L27" s="41" t="s">
        <v>32</v>
      </c>
      <c r="M27" s="41" t="s">
        <v>50</v>
      </c>
      <c r="N27" s="41" t="s">
        <v>33</v>
      </c>
      <c r="O27" s="41" t="s">
        <v>32</v>
      </c>
      <c r="Q27" s="17">
        <f t="shared" si="5"/>
        <v>10</v>
      </c>
      <c r="R27" s="17">
        <f t="shared" si="6"/>
        <v>7</v>
      </c>
      <c r="S27" s="17">
        <f t="shared" si="7"/>
        <v>18</v>
      </c>
      <c r="T27" s="17">
        <f t="shared" si="8"/>
        <v>8</v>
      </c>
      <c r="U27" s="17">
        <f t="shared" si="9"/>
        <v>7</v>
      </c>
      <c r="W27" s="7">
        <v>9873</v>
      </c>
      <c r="X27" s="7">
        <v>4033</v>
      </c>
      <c r="Y27" s="7">
        <v>1379</v>
      </c>
      <c r="Z27" s="7">
        <v>10778</v>
      </c>
      <c r="AA27" s="7">
        <v>12553</v>
      </c>
      <c r="AB27" s="13"/>
    </row>
    <row r="28" spans="1:37" ht="16.5" customHeight="1" x14ac:dyDescent="0.3">
      <c r="I28" s="52"/>
      <c r="J28" s="2">
        <v>24</v>
      </c>
      <c r="K28" s="41" t="s">
        <v>32</v>
      </c>
      <c r="L28" s="41" t="s">
        <v>32</v>
      </c>
      <c r="M28" s="41" t="s">
        <v>30</v>
      </c>
      <c r="N28" s="41" t="s">
        <v>28</v>
      </c>
      <c r="O28" s="41" t="s">
        <v>31</v>
      </c>
      <c r="Q28" s="17">
        <f t="shared" si="5"/>
        <v>7</v>
      </c>
      <c r="R28" s="17">
        <f t="shared" si="6"/>
        <v>7</v>
      </c>
      <c r="S28" s="17">
        <f t="shared" si="7"/>
        <v>5</v>
      </c>
      <c r="T28" s="17">
        <f t="shared" si="8"/>
        <v>3</v>
      </c>
      <c r="U28" s="17">
        <f t="shared" si="9"/>
        <v>6</v>
      </c>
      <c r="W28" s="7">
        <v>9922</v>
      </c>
      <c r="X28" s="7">
        <v>4033</v>
      </c>
      <c r="Y28" s="7">
        <v>1379</v>
      </c>
      <c r="Z28" s="7">
        <v>12698</v>
      </c>
      <c r="AA28" s="7">
        <v>12540</v>
      </c>
      <c r="AB28" s="13"/>
    </row>
    <row r="29" spans="1:37" ht="16.5" customHeight="1" x14ac:dyDescent="0.3">
      <c r="I29" s="52"/>
      <c r="J29" s="2">
        <v>25</v>
      </c>
      <c r="K29" s="41" t="s">
        <v>32</v>
      </c>
      <c r="L29" s="41" t="s">
        <v>31</v>
      </c>
      <c r="M29" s="41" t="s">
        <v>34</v>
      </c>
      <c r="N29" s="41" t="s">
        <v>29</v>
      </c>
      <c r="O29" s="41" t="s">
        <v>35</v>
      </c>
      <c r="Q29" s="17">
        <f t="shared" si="5"/>
        <v>7</v>
      </c>
      <c r="R29" s="17">
        <f t="shared" si="6"/>
        <v>6</v>
      </c>
      <c r="S29" s="17">
        <f t="shared" si="7"/>
        <v>9</v>
      </c>
      <c r="T29" s="17">
        <f t="shared" si="8"/>
        <v>4</v>
      </c>
      <c r="U29" s="17">
        <f t="shared" si="9"/>
        <v>10</v>
      </c>
      <c r="W29" s="7">
        <v>11685</v>
      </c>
      <c r="X29" s="7">
        <v>4033</v>
      </c>
      <c r="Y29" s="7">
        <v>12301</v>
      </c>
      <c r="Z29" s="7">
        <v>12476</v>
      </c>
      <c r="AA29" s="7">
        <v>11977</v>
      </c>
      <c r="AB29" s="13"/>
    </row>
    <row r="30" spans="1:37" ht="16.5" customHeight="1" x14ac:dyDescent="0.3">
      <c r="I30" s="52"/>
      <c r="J30" s="2">
        <v>26</v>
      </c>
      <c r="K30" s="41" t="s">
        <v>31</v>
      </c>
      <c r="L30" s="41" t="s">
        <v>31</v>
      </c>
      <c r="M30" s="41" t="s">
        <v>34</v>
      </c>
      <c r="N30" s="41" t="s">
        <v>48</v>
      </c>
      <c r="O30" s="41" t="s">
        <v>34</v>
      </c>
      <c r="Q30" s="17">
        <f t="shared" si="5"/>
        <v>6</v>
      </c>
      <c r="R30" s="17">
        <f t="shared" si="6"/>
        <v>6</v>
      </c>
      <c r="S30" s="17">
        <f t="shared" si="7"/>
        <v>9</v>
      </c>
      <c r="T30" s="17">
        <f t="shared" si="8"/>
        <v>17</v>
      </c>
      <c r="U30" s="17">
        <f t="shared" si="9"/>
        <v>9</v>
      </c>
      <c r="W30" s="7">
        <v>11424</v>
      </c>
      <c r="X30" s="7">
        <v>4033</v>
      </c>
      <c r="Y30" s="7">
        <v>11049</v>
      </c>
      <c r="Z30" s="7">
        <v>12724</v>
      </c>
      <c r="AA30" s="7">
        <v>12502</v>
      </c>
      <c r="AB30" s="13"/>
    </row>
    <row r="31" spans="1:37" ht="16.5" customHeight="1" x14ac:dyDescent="0.3">
      <c r="I31" s="52"/>
      <c r="J31" s="2">
        <v>27</v>
      </c>
      <c r="K31" s="41" t="s">
        <v>30</v>
      </c>
      <c r="L31" s="41" t="s">
        <v>32</v>
      </c>
      <c r="M31" s="41" t="s">
        <v>34</v>
      </c>
      <c r="N31" s="41" t="s">
        <v>34</v>
      </c>
      <c r="O31" s="41" t="s">
        <v>35</v>
      </c>
      <c r="Q31" s="17">
        <f t="shared" si="5"/>
        <v>5</v>
      </c>
      <c r="R31" s="17">
        <f t="shared" si="6"/>
        <v>7</v>
      </c>
      <c r="S31" s="17">
        <f t="shared" si="7"/>
        <v>9</v>
      </c>
      <c r="T31" s="17">
        <f t="shared" si="8"/>
        <v>9</v>
      </c>
      <c r="U31" s="17">
        <f t="shared" si="9"/>
        <v>10</v>
      </c>
      <c r="W31" s="7">
        <v>11991</v>
      </c>
      <c r="X31" s="7">
        <v>4033</v>
      </c>
      <c r="Y31" s="7">
        <v>13006</v>
      </c>
      <c r="Z31" s="7">
        <v>12868</v>
      </c>
      <c r="AA31" s="7">
        <v>11912</v>
      </c>
      <c r="AB31" s="13"/>
    </row>
    <row r="32" spans="1:37" ht="16.5" customHeight="1" x14ac:dyDescent="0.3">
      <c r="J32" s="2">
        <v>28</v>
      </c>
      <c r="K32" s="41" t="s">
        <v>33</v>
      </c>
      <c r="L32" s="41" t="s">
        <v>31</v>
      </c>
      <c r="M32" s="41" t="s">
        <v>34</v>
      </c>
      <c r="N32" s="41" t="s">
        <v>31</v>
      </c>
      <c r="O32" s="41" t="s">
        <v>34</v>
      </c>
      <c r="Q32" s="17">
        <f t="shared" si="5"/>
        <v>8</v>
      </c>
      <c r="R32" s="17">
        <f t="shared" si="6"/>
        <v>6</v>
      </c>
      <c r="S32" s="17">
        <f t="shared" si="7"/>
        <v>9</v>
      </c>
      <c r="T32" s="17">
        <f t="shared" si="8"/>
        <v>6</v>
      </c>
      <c r="U32" s="17">
        <f t="shared" si="9"/>
        <v>9</v>
      </c>
      <c r="W32" s="7">
        <v>12233</v>
      </c>
      <c r="X32" s="7">
        <v>4033</v>
      </c>
      <c r="Y32" s="7">
        <v>11716</v>
      </c>
      <c r="Z32" s="7">
        <v>13037</v>
      </c>
      <c r="AA32" s="7">
        <v>11900</v>
      </c>
      <c r="AB32" s="13"/>
    </row>
    <row r="33" spans="10:28" ht="16.5" customHeight="1" x14ac:dyDescent="0.3">
      <c r="J33" s="2">
        <v>29</v>
      </c>
      <c r="K33" s="41" t="s">
        <v>29</v>
      </c>
      <c r="L33" s="41" t="s">
        <v>32</v>
      </c>
      <c r="M33" s="41" t="s">
        <v>33</v>
      </c>
      <c r="N33" s="41" t="s">
        <v>34</v>
      </c>
      <c r="O33" s="41" t="s">
        <v>35</v>
      </c>
      <c r="Q33" s="17">
        <f t="shared" si="5"/>
        <v>4</v>
      </c>
      <c r="R33" s="17">
        <f t="shared" si="6"/>
        <v>7</v>
      </c>
      <c r="S33" s="17">
        <f t="shared" si="7"/>
        <v>8</v>
      </c>
      <c r="T33" s="17">
        <f t="shared" si="8"/>
        <v>9</v>
      </c>
      <c r="U33" s="17">
        <f t="shared" si="9"/>
        <v>10</v>
      </c>
      <c r="W33" s="7">
        <v>11855</v>
      </c>
      <c r="X33" s="7">
        <v>4033</v>
      </c>
      <c r="Y33" s="7">
        <v>11597</v>
      </c>
      <c r="Z33" s="7">
        <v>13064</v>
      </c>
      <c r="AA33" s="7">
        <v>9927</v>
      </c>
      <c r="AB33" s="13"/>
    </row>
    <row r="34" spans="10:28" ht="16.5" customHeight="1" x14ac:dyDescent="0.3">
      <c r="J34" s="2">
        <v>30</v>
      </c>
      <c r="K34" s="41" t="s">
        <v>28</v>
      </c>
      <c r="L34" s="41" t="s">
        <v>28</v>
      </c>
      <c r="M34" s="41" t="s">
        <v>28</v>
      </c>
      <c r="N34" s="41" t="s">
        <v>46</v>
      </c>
      <c r="O34" s="41" t="s">
        <v>32</v>
      </c>
      <c r="Q34" s="17">
        <f t="shared" si="5"/>
        <v>3</v>
      </c>
      <c r="R34" s="17">
        <f t="shared" si="6"/>
        <v>3</v>
      </c>
      <c r="S34" s="17">
        <f t="shared" si="7"/>
        <v>3</v>
      </c>
      <c r="T34" s="17">
        <f t="shared" si="8"/>
        <v>16</v>
      </c>
      <c r="U34" s="17">
        <f t="shared" si="9"/>
        <v>7</v>
      </c>
      <c r="W34" s="7">
        <v>12037</v>
      </c>
      <c r="X34" s="7">
        <v>4033</v>
      </c>
      <c r="Y34" s="7">
        <v>11782</v>
      </c>
      <c r="Z34" s="7">
        <v>13064</v>
      </c>
      <c r="AA34" s="7">
        <v>10247</v>
      </c>
      <c r="AB34" s="13"/>
    </row>
    <row r="35" spans="10:28" ht="16.5" customHeight="1" x14ac:dyDescent="0.3">
      <c r="J35" s="2">
        <v>31</v>
      </c>
      <c r="K35" s="41" t="s">
        <v>31</v>
      </c>
      <c r="L35" s="41" t="s">
        <v>46</v>
      </c>
      <c r="M35" s="41" t="s">
        <v>34</v>
      </c>
      <c r="N35" s="41" t="s">
        <v>34</v>
      </c>
      <c r="O35" s="41" t="s">
        <v>34</v>
      </c>
      <c r="Q35" s="17">
        <f t="shared" si="5"/>
        <v>6</v>
      </c>
      <c r="R35" s="17">
        <f t="shared" si="6"/>
        <v>16</v>
      </c>
      <c r="S35" s="17">
        <f t="shared" si="7"/>
        <v>9</v>
      </c>
      <c r="T35" s="17">
        <f t="shared" si="8"/>
        <v>9</v>
      </c>
      <c r="U35" s="17">
        <f t="shared" si="9"/>
        <v>9</v>
      </c>
      <c r="W35" s="7">
        <v>11802</v>
      </c>
      <c r="X35" s="7">
        <v>5491</v>
      </c>
      <c r="Y35" s="7">
        <v>11849</v>
      </c>
      <c r="Z35" s="7">
        <v>10810</v>
      </c>
      <c r="AA35" s="7">
        <v>10375</v>
      </c>
      <c r="AB35" s="13"/>
    </row>
    <row r="36" spans="10:28" ht="16.5" customHeight="1" x14ac:dyDescent="0.3">
      <c r="J36" s="2">
        <v>32</v>
      </c>
      <c r="K36" s="41" t="s">
        <v>34</v>
      </c>
      <c r="L36" s="41" t="s">
        <v>32</v>
      </c>
      <c r="M36" s="41" t="s">
        <v>32</v>
      </c>
      <c r="N36" s="41" t="s">
        <v>31</v>
      </c>
      <c r="O36" s="41" t="s">
        <v>32</v>
      </c>
      <c r="Q36" s="17">
        <f t="shared" ref="Q36:Q67" si="10">IF(K36="","",VLOOKUP(K36,$A$4:$H$22,8,FALSE))</f>
        <v>9</v>
      </c>
      <c r="R36" s="17">
        <f t="shared" ref="R36:R67" si="11">IF(L36="","",VLOOKUP(L36,$A$4:$H$22,8,FALSE))</f>
        <v>7</v>
      </c>
      <c r="S36" s="17">
        <f t="shared" ref="S36:S67" si="12">IF(M36="","",VLOOKUP(M36,$A$4:$H$22,8,FALSE))</f>
        <v>7</v>
      </c>
      <c r="T36" s="17">
        <f t="shared" ref="T36:T67" si="13">IF(N36="","",VLOOKUP(N36,$A$4:$H$22,8,FALSE))</f>
        <v>6</v>
      </c>
      <c r="U36" s="17">
        <f t="shared" ref="U36:U67" si="14">IF(O36="","",VLOOKUP(O36,$A$4:$H$22,8,FALSE))</f>
        <v>7</v>
      </c>
      <c r="W36" s="7">
        <v>11959</v>
      </c>
      <c r="X36" s="7">
        <v>5350</v>
      </c>
      <c r="Y36" s="7">
        <v>12673</v>
      </c>
      <c r="Z36" s="7">
        <v>7138</v>
      </c>
      <c r="AA36" s="7">
        <v>10184</v>
      </c>
      <c r="AB36" s="13"/>
    </row>
    <row r="37" spans="10:28" ht="16.5" customHeight="1" x14ac:dyDescent="0.3">
      <c r="J37" s="2">
        <v>33</v>
      </c>
      <c r="K37" s="41" t="s">
        <v>33</v>
      </c>
      <c r="L37" s="41" t="s">
        <v>30</v>
      </c>
      <c r="M37" s="41" t="s">
        <v>35</v>
      </c>
      <c r="N37" s="41" t="s">
        <v>31</v>
      </c>
      <c r="O37" s="41" t="s">
        <v>35</v>
      </c>
      <c r="Q37" s="17">
        <f t="shared" si="10"/>
        <v>8</v>
      </c>
      <c r="R37" s="17">
        <f t="shared" si="11"/>
        <v>5</v>
      </c>
      <c r="S37" s="17">
        <f t="shared" si="12"/>
        <v>10</v>
      </c>
      <c r="T37" s="17">
        <f t="shared" si="13"/>
        <v>6</v>
      </c>
      <c r="U37" s="17">
        <f t="shared" si="14"/>
        <v>10</v>
      </c>
      <c r="W37" s="7">
        <v>10726</v>
      </c>
      <c r="X37" s="7">
        <v>7050</v>
      </c>
      <c r="Y37" s="7">
        <v>12248</v>
      </c>
      <c r="Z37" s="7">
        <v>7073</v>
      </c>
      <c r="AA37" s="7">
        <v>12054</v>
      </c>
      <c r="AB37" s="13"/>
    </row>
    <row r="38" spans="10:28" ht="16.5" customHeight="1" x14ac:dyDescent="0.3">
      <c r="J38" s="2">
        <v>34</v>
      </c>
      <c r="K38" s="41" t="s">
        <v>30</v>
      </c>
      <c r="L38" s="41" t="s">
        <v>29</v>
      </c>
      <c r="M38" s="41" t="s">
        <v>34</v>
      </c>
      <c r="N38" s="41" t="s">
        <v>31</v>
      </c>
      <c r="O38" s="41" t="s">
        <v>35</v>
      </c>
      <c r="Q38" s="17">
        <f t="shared" si="10"/>
        <v>5</v>
      </c>
      <c r="R38" s="17">
        <f t="shared" si="11"/>
        <v>4</v>
      </c>
      <c r="S38" s="17">
        <f t="shared" si="12"/>
        <v>9</v>
      </c>
      <c r="T38" s="17">
        <f t="shared" si="13"/>
        <v>6</v>
      </c>
      <c r="U38" s="17">
        <f t="shared" si="14"/>
        <v>10</v>
      </c>
      <c r="W38" s="7">
        <v>10672</v>
      </c>
      <c r="X38" s="7">
        <v>5770</v>
      </c>
      <c r="Y38" s="7">
        <v>12740</v>
      </c>
      <c r="Z38" s="7">
        <v>10440</v>
      </c>
      <c r="AA38" s="7">
        <v>12770</v>
      </c>
      <c r="AB38" s="13"/>
    </row>
    <row r="39" spans="10:28" ht="16.5" customHeight="1" x14ac:dyDescent="0.3">
      <c r="J39" s="2">
        <v>35</v>
      </c>
      <c r="K39" s="41" t="s">
        <v>34</v>
      </c>
      <c r="L39" s="41" t="s">
        <v>32</v>
      </c>
      <c r="M39" s="41" t="s">
        <v>30</v>
      </c>
      <c r="N39" s="41" t="s">
        <v>28</v>
      </c>
      <c r="O39" s="41" t="s">
        <v>33</v>
      </c>
      <c r="Q39" s="17">
        <f t="shared" si="10"/>
        <v>9</v>
      </c>
      <c r="R39" s="17">
        <f t="shared" si="11"/>
        <v>7</v>
      </c>
      <c r="S39" s="17">
        <f t="shared" si="12"/>
        <v>5</v>
      </c>
      <c r="T39" s="17">
        <f t="shared" si="13"/>
        <v>3</v>
      </c>
      <c r="U39" s="17">
        <f t="shared" si="14"/>
        <v>8</v>
      </c>
      <c r="W39" s="7">
        <v>11433</v>
      </c>
      <c r="X39" s="7">
        <v>12462</v>
      </c>
      <c r="Y39" s="7">
        <v>11450</v>
      </c>
      <c r="Z39" s="7">
        <v>12502</v>
      </c>
      <c r="AA39" s="7">
        <v>12117</v>
      </c>
      <c r="AB39" s="13"/>
    </row>
    <row r="40" spans="10:28" ht="16.5" customHeight="1" x14ac:dyDescent="0.3">
      <c r="J40" s="2">
        <v>36</v>
      </c>
      <c r="K40" s="41" t="s">
        <v>34</v>
      </c>
      <c r="L40" s="41" t="s">
        <v>30</v>
      </c>
      <c r="M40" s="41" t="s">
        <v>35</v>
      </c>
      <c r="N40" s="41" t="s">
        <v>31</v>
      </c>
      <c r="O40" s="41" t="s">
        <v>32</v>
      </c>
      <c r="Q40" s="17">
        <f t="shared" si="10"/>
        <v>9</v>
      </c>
      <c r="R40" s="17">
        <f t="shared" si="11"/>
        <v>5</v>
      </c>
      <c r="S40" s="17">
        <f t="shared" si="12"/>
        <v>10</v>
      </c>
      <c r="T40" s="17">
        <f t="shared" si="13"/>
        <v>6</v>
      </c>
      <c r="U40" s="17">
        <f t="shared" si="14"/>
        <v>7</v>
      </c>
      <c r="W40" s="7">
        <v>10737</v>
      </c>
      <c r="X40" s="7">
        <v>13594</v>
      </c>
      <c r="Y40" s="7">
        <v>10317</v>
      </c>
      <c r="Z40" s="7">
        <v>12581</v>
      </c>
      <c r="AA40" s="7">
        <v>12168</v>
      </c>
      <c r="AB40" s="13"/>
    </row>
    <row r="41" spans="10:28" ht="16.5" customHeight="1" x14ac:dyDescent="0.3">
      <c r="J41" s="2">
        <v>37</v>
      </c>
      <c r="K41" s="41" t="s">
        <v>35</v>
      </c>
      <c r="L41" s="41" t="s">
        <v>42</v>
      </c>
      <c r="M41" s="41" t="s">
        <v>35</v>
      </c>
      <c r="N41" s="41" t="s">
        <v>34</v>
      </c>
      <c r="O41" s="41" t="s">
        <v>33</v>
      </c>
      <c r="Q41" s="17">
        <f t="shared" si="10"/>
        <v>10</v>
      </c>
      <c r="R41" s="17">
        <f t="shared" si="11"/>
        <v>14</v>
      </c>
      <c r="S41" s="17">
        <f t="shared" si="12"/>
        <v>10</v>
      </c>
      <c r="T41" s="17">
        <f t="shared" si="13"/>
        <v>9</v>
      </c>
      <c r="U41" s="17">
        <f t="shared" si="14"/>
        <v>8</v>
      </c>
      <c r="W41" s="7">
        <v>10595</v>
      </c>
      <c r="X41" s="7">
        <v>12371</v>
      </c>
      <c r="Y41" s="7">
        <v>9675</v>
      </c>
      <c r="Z41" s="7">
        <v>13391</v>
      </c>
      <c r="AA41" s="7">
        <v>12003</v>
      </c>
      <c r="AB41" s="13"/>
    </row>
    <row r="42" spans="10:28" ht="16.5" customHeight="1" x14ac:dyDescent="0.3">
      <c r="J42" s="2">
        <v>38</v>
      </c>
      <c r="K42" s="41" t="s">
        <v>35</v>
      </c>
      <c r="L42" s="41" t="s">
        <v>44</v>
      </c>
      <c r="M42" s="41" t="s">
        <v>32</v>
      </c>
      <c r="N42" s="41" t="s">
        <v>34</v>
      </c>
      <c r="O42" s="41" t="s">
        <v>29</v>
      </c>
      <c r="Q42" s="17">
        <f t="shared" si="10"/>
        <v>10</v>
      </c>
      <c r="R42" s="17">
        <f t="shared" si="11"/>
        <v>15</v>
      </c>
      <c r="S42" s="17">
        <f t="shared" si="12"/>
        <v>7</v>
      </c>
      <c r="T42" s="17">
        <f t="shared" si="13"/>
        <v>9</v>
      </c>
      <c r="U42" s="17">
        <f t="shared" si="14"/>
        <v>4</v>
      </c>
      <c r="W42" s="7">
        <v>12455</v>
      </c>
      <c r="X42" s="7">
        <v>11890</v>
      </c>
      <c r="Y42" s="7">
        <v>10207</v>
      </c>
      <c r="Z42" s="7">
        <v>13037</v>
      </c>
      <c r="AA42" s="7">
        <v>13333</v>
      </c>
      <c r="AB42" s="13"/>
    </row>
    <row r="43" spans="10:28" ht="16.5" customHeight="1" x14ac:dyDescent="0.3">
      <c r="J43" s="2">
        <v>39</v>
      </c>
      <c r="K43" s="41" t="s">
        <v>28</v>
      </c>
      <c r="L43" s="41" t="s">
        <v>32</v>
      </c>
      <c r="M43" s="41" t="s">
        <v>32</v>
      </c>
      <c r="N43" s="41" t="s">
        <v>34</v>
      </c>
      <c r="O43" s="41" t="s">
        <v>32</v>
      </c>
      <c r="Q43" s="17">
        <f t="shared" si="10"/>
        <v>3</v>
      </c>
      <c r="R43" s="17">
        <f t="shared" si="11"/>
        <v>7</v>
      </c>
      <c r="S43" s="17">
        <f t="shared" si="12"/>
        <v>7</v>
      </c>
      <c r="T43" s="17">
        <f t="shared" si="13"/>
        <v>9</v>
      </c>
      <c r="U43" s="17">
        <f t="shared" si="14"/>
        <v>7</v>
      </c>
      <c r="W43" s="7">
        <v>11072</v>
      </c>
      <c r="X43" s="7">
        <v>11994</v>
      </c>
      <c r="Y43" s="7">
        <v>9941</v>
      </c>
      <c r="Z43" s="7">
        <v>13521</v>
      </c>
      <c r="AA43" s="7">
        <v>12066</v>
      </c>
      <c r="AB43" s="13"/>
    </row>
    <row r="44" spans="10:28" ht="16.5" customHeight="1" x14ac:dyDescent="0.3">
      <c r="J44" s="2">
        <v>40</v>
      </c>
      <c r="K44" s="41" t="s">
        <v>29</v>
      </c>
      <c r="L44" s="41" t="s">
        <v>30</v>
      </c>
      <c r="M44" s="41" t="s">
        <v>35</v>
      </c>
      <c r="N44" s="41" t="s">
        <v>31</v>
      </c>
      <c r="O44" s="41" t="s">
        <v>30</v>
      </c>
      <c r="Q44" s="17">
        <f t="shared" si="10"/>
        <v>4</v>
      </c>
      <c r="R44" s="17">
        <f t="shared" si="11"/>
        <v>5</v>
      </c>
      <c r="S44" s="17">
        <f t="shared" si="12"/>
        <v>10</v>
      </c>
      <c r="T44" s="17">
        <f t="shared" si="13"/>
        <v>6</v>
      </c>
      <c r="U44" s="17">
        <f t="shared" si="14"/>
        <v>5</v>
      </c>
      <c r="W44" s="7">
        <v>11659</v>
      </c>
      <c r="X44" s="7">
        <v>10320</v>
      </c>
      <c r="Y44" s="7">
        <v>11935</v>
      </c>
      <c r="Z44" s="7">
        <v>5275</v>
      </c>
      <c r="AA44" s="7">
        <v>11912</v>
      </c>
      <c r="AB44" s="13"/>
    </row>
    <row r="45" spans="10:28" ht="16.5" customHeight="1" x14ac:dyDescent="0.3">
      <c r="J45" s="2">
        <v>41</v>
      </c>
      <c r="K45" s="41" t="s">
        <v>30</v>
      </c>
      <c r="L45" s="41" t="s">
        <v>31</v>
      </c>
      <c r="M45" s="41" t="s">
        <v>40</v>
      </c>
      <c r="N45" s="41" t="s">
        <v>34</v>
      </c>
      <c r="O45" s="41" t="s">
        <v>35</v>
      </c>
      <c r="Q45" s="17">
        <f t="shared" si="10"/>
        <v>5</v>
      </c>
      <c r="R45" s="17">
        <f t="shared" si="11"/>
        <v>6</v>
      </c>
      <c r="S45" s="17">
        <f t="shared" si="12"/>
        <v>13</v>
      </c>
      <c r="T45" s="17">
        <f t="shared" si="13"/>
        <v>9</v>
      </c>
      <c r="U45" s="17">
        <f t="shared" si="14"/>
        <v>10</v>
      </c>
      <c r="W45" s="7">
        <v>11176</v>
      </c>
      <c r="X45" s="7">
        <v>10233</v>
      </c>
      <c r="Y45" s="7">
        <v>11270</v>
      </c>
      <c r="Z45" s="7">
        <v>10581</v>
      </c>
      <c r="AA45" s="7">
        <v>10429</v>
      </c>
      <c r="AB45" s="13"/>
    </row>
    <row r="46" spans="10:28" ht="16.5" customHeight="1" x14ac:dyDescent="0.3">
      <c r="J46" s="2">
        <v>42</v>
      </c>
      <c r="K46" s="41" t="s">
        <v>31</v>
      </c>
      <c r="L46" s="41" t="s">
        <v>35</v>
      </c>
      <c r="M46" s="41" t="s">
        <v>35</v>
      </c>
      <c r="N46" s="41" t="s">
        <v>34</v>
      </c>
      <c r="O46" s="41" t="s">
        <v>28</v>
      </c>
      <c r="Q46" s="17">
        <f t="shared" si="10"/>
        <v>6</v>
      </c>
      <c r="R46" s="17">
        <f t="shared" si="11"/>
        <v>10</v>
      </c>
      <c r="S46" s="17">
        <f t="shared" si="12"/>
        <v>10</v>
      </c>
      <c r="T46" s="17">
        <f t="shared" si="13"/>
        <v>9</v>
      </c>
      <c r="U46" s="17">
        <f t="shared" si="14"/>
        <v>3</v>
      </c>
      <c r="W46" s="7">
        <v>11502</v>
      </c>
      <c r="X46" s="7">
        <v>10895</v>
      </c>
      <c r="Y46" s="7">
        <v>11947</v>
      </c>
      <c r="Z46" s="7">
        <v>7073</v>
      </c>
      <c r="AA46" s="7">
        <v>10034</v>
      </c>
      <c r="AB46" s="13"/>
    </row>
    <row r="47" spans="10:28" ht="16.5" customHeight="1" x14ac:dyDescent="0.3">
      <c r="J47" s="2">
        <v>43</v>
      </c>
      <c r="K47" s="41" t="s">
        <v>32</v>
      </c>
      <c r="L47" s="41" t="s">
        <v>35</v>
      </c>
      <c r="M47" s="41" t="s">
        <v>28</v>
      </c>
      <c r="N47" s="41" t="s">
        <v>34</v>
      </c>
      <c r="O47" s="41" t="s">
        <v>32</v>
      </c>
      <c r="Q47" s="17">
        <f t="shared" si="10"/>
        <v>7</v>
      </c>
      <c r="R47" s="17">
        <f t="shared" si="11"/>
        <v>10</v>
      </c>
      <c r="S47" s="17">
        <f t="shared" si="12"/>
        <v>3</v>
      </c>
      <c r="T47" s="17">
        <f t="shared" si="13"/>
        <v>9</v>
      </c>
      <c r="U47" s="17">
        <f t="shared" si="14"/>
        <v>7</v>
      </c>
      <c r="W47" s="7">
        <v>11620</v>
      </c>
      <c r="X47" s="7">
        <v>12215</v>
      </c>
      <c r="Y47" s="7">
        <v>10550</v>
      </c>
      <c r="Z47" s="7">
        <v>4387</v>
      </c>
      <c r="AA47" s="7">
        <v>10210</v>
      </c>
      <c r="AB47" s="13"/>
    </row>
    <row r="48" spans="10:28" ht="16.5" customHeight="1" x14ac:dyDescent="0.3">
      <c r="J48" s="2">
        <v>44</v>
      </c>
      <c r="K48" s="41" t="s">
        <v>33</v>
      </c>
      <c r="L48" s="41" t="s">
        <v>32</v>
      </c>
      <c r="M48" s="41" t="s">
        <v>33</v>
      </c>
      <c r="N48" s="41" t="s">
        <v>35</v>
      </c>
      <c r="O48" s="41" t="s">
        <v>32</v>
      </c>
      <c r="Q48" s="17">
        <f t="shared" si="10"/>
        <v>8</v>
      </c>
      <c r="R48" s="17">
        <f t="shared" si="11"/>
        <v>7</v>
      </c>
      <c r="S48" s="17">
        <f t="shared" si="12"/>
        <v>8</v>
      </c>
      <c r="T48" s="17">
        <f t="shared" si="13"/>
        <v>10</v>
      </c>
      <c r="U48" s="17">
        <f t="shared" si="14"/>
        <v>7</v>
      </c>
      <c r="W48" s="7">
        <v>12975</v>
      </c>
      <c r="X48" s="7">
        <v>12696</v>
      </c>
      <c r="Y48" s="7">
        <v>11038</v>
      </c>
      <c r="Z48" s="7">
        <v>12920</v>
      </c>
      <c r="AA48" s="7">
        <v>0</v>
      </c>
      <c r="AB48" s="13"/>
    </row>
    <row r="49" spans="10:28" ht="16.5" customHeight="1" x14ac:dyDescent="0.3">
      <c r="J49" s="2">
        <v>45</v>
      </c>
      <c r="K49" s="41" t="s">
        <v>34</v>
      </c>
      <c r="L49" s="41" t="s">
        <v>31</v>
      </c>
      <c r="M49" s="41" t="s">
        <v>32</v>
      </c>
      <c r="N49" s="41" t="s">
        <v>29</v>
      </c>
      <c r="O49" s="41" t="s">
        <v>30</v>
      </c>
      <c r="Q49" s="17">
        <f t="shared" si="10"/>
        <v>9</v>
      </c>
      <c r="R49" s="17">
        <f t="shared" si="11"/>
        <v>6</v>
      </c>
      <c r="S49" s="17">
        <f t="shared" si="12"/>
        <v>7</v>
      </c>
      <c r="T49" s="17">
        <f t="shared" si="13"/>
        <v>4</v>
      </c>
      <c r="U49" s="17">
        <f t="shared" si="14"/>
        <v>5</v>
      </c>
      <c r="W49" s="7">
        <v>12102</v>
      </c>
      <c r="X49" s="7">
        <v>12996</v>
      </c>
      <c r="Y49" s="7">
        <v>0</v>
      </c>
      <c r="Z49" s="7">
        <v>10560</v>
      </c>
      <c r="AA49" s="7">
        <v>0</v>
      </c>
      <c r="AB49" s="13"/>
    </row>
    <row r="50" spans="10:28" ht="16.5" customHeight="1" x14ac:dyDescent="0.3">
      <c r="J50" s="2">
        <v>46</v>
      </c>
      <c r="K50" s="41" t="s">
        <v>35</v>
      </c>
      <c r="L50" s="41" t="s">
        <v>29</v>
      </c>
      <c r="M50" s="41" t="s">
        <v>31</v>
      </c>
      <c r="N50" s="41" t="s">
        <v>34</v>
      </c>
      <c r="O50" s="41" t="s">
        <v>33</v>
      </c>
      <c r="Q50" s="17">
        <f t="shared" si="10"/>
        <v>10</v>
      </c>
      <c r="R50" s="17">
        <f t="shared" si="11"/>
        <v>4</v>
      </c>
      <c r="S50" s="17">
        <f t="shared" si="12"/>
        <v>6</v>
      </c>
      <c r="T50" s="17">
        <f t="shared" si="13"/>
        <v>9</v>
      </c>
      <c r="U50" s="17">
        <f t="shared" si="14"/>
        <v>8</v>
      </c>
      <c r="W50" s="7">
        <v>5898</v>
      </c>
      <c r="X50" s="7">
        <v>13971</v>
      </c>
      <c r="Y50" s="7">
        <v>0</v>
      </c>
      <c r="Z50" s="7">
        <v>10451</v>
      </c>
      <c r="AA50" s="7">
        <v>0</v>
      </c>
      <c r="AB50" s="13"/>
    </row>
    <row r="51" spans="10:28" ht="16.5" customHeight="1" x14ac:dyDescent="0.3">
      <c r="J51" s="2">
        <v>47</v>
      </c>
      <c r="K51" s="41" t="s">
        <v>33</v>
      </c>
      <c r="L51" s="41" t="s">
        <v>32</v>
      </c>
      <c r="M51" s="41" t="s">
        <v>42</v>
      </c>
      <c r="N51" s="41" t="s">
        <v>32</v>
      </c>
      <c r="O51" s="41" t="s">
        <v>26</v>
      </c>
      <c r="Q51" s="17">
        <f t="shared" si="10"/>
        <v>8</v>
      </c>
      <c r="R51" s="17">
        <f t="shared" si="11"/>
        <v>7</v>
      </c>
      <c r="S51" s="17">
        <f t="shared" si="12"/>
        <v>14</v>
      </c>
      <c r="T51" s="17">
        <f t="shared" si="13"/>
        <v>7</v>
      </c>
      <c r="U51" s="17">
        <f t="shared" si="14"/>
        <v>2</v>
      </c>
      <c r="W51" s="7">
        <v>4021</v>
      </c>
      <c r="X51" s="7">
        <v>12540</v>
      </c>
      <c r="Y51" s="7">
        <v>0</v>
      </c>
      <c r="Z51" s="7">
        <v>10070</v>
      </c>
      <c r="AA51" s="7">
        <v>0</v>
      </c>
      <c r="AB51" s="13"/>
    </row>
    <row r="52" spans="10:28" ht="16.5" customHeight="1" x14ac:dyDescent="0.3">
      <c r="J52" s="2">
        <v>48</v>
      </c>
      <c r="K52" s="41" t="s">
        <v>32</v>
      </c>
      <c r="L52" s="41" t="s">
        <v>30</v>
      </c>
      <c r="M52" s="41" t="s">
        <v>26</v>
      </c>
      <c r="N52" s="41" t="s">
        <v>35</v>
      </c>
      <c r="O52" s="41" t="s">
        <v>34</v>
      </c>
      <c r="Q52" s="17">
        <f t="shared" si="10"/>
        <v>7</v>
      </c>
      <c r="R52" s="17">
        <f t="shared" si="11"/>
        <v>5</v>
      </c>
      <c r="S52" s="17">
        <f t="shared" si="12"/>
        <v>2</v>
      </c>
      <c r="T52" s="17">
        <f t="shared" si="13"/>
        <v>10</v>
      </c>
      <c r="U52" s="17">
        <f t="shared" si="14"/>
        <v>9</v>
      </c>
      <c r="W52" s="7">
        <v>4164</v>
      </c>
      <c r="X52" s="7">
        <v>11708</v>
      </c>
      <c r="Y52" s="7">
        <v>0</v>
      </c>
      <c r="Z52" s="7">
        <v>12672</v>
      </c>
      <c r="AA52" s="7">
        <v>10407</v>
      </c>
      <c r="AB52" s="13"/>
    </row>
    <row r="53" spans="10:28" ht="16.5" customHeight="1" x14ac:dyDescent="0.3">
      <c r="J53" s="2">
        <v>49</v>
      </c>
      <c r="K53" s="41" t="s">
        <v>29</v>
      </c>
      <c r="L53" s="41" t="s">
        <v>38</v>
      </c>
      <c r="M53" s="41" t="s">
        <v>34</v>
      </c>
      <c r="N53" s="41" t="s">
        <v>30</v>
      </c>
      <c r="O53" s="41" t="s">
        <v>34</v>
      </c>
      <c r="Q53" s="17">
        <f t="shared" si="10"/>
        <v>4</v>
      </c>
      <c r="R53" s="17">
        <f t="shared" si="11"/>
        <v>12</v>
      </c>
      <c r="S53" s="17">
        <f t="shared" si="12"/>
        <v>9</v>
      </c>
      <c r="T53" s="17">
        <f t="shared" si="13"/>
        <v>5</v>
      </c>
      <c r="U53" s="17">
        <f t="shared" si="14"/>
        <v>9</v>
      </c>
      <c r="W53" s="7">
        <v>4030</v>
      </c>
      <c r="X53" s="7">
        <v>6472</v>
      </c>
      <c r="Y53" s="7">
        <v>11597</v>
      </c>
      <c r="Z53" s="7">
        <v>12920</v>
      </c>
      <c r="AA53" s="7">
        <v>10364</v>
      </c>
      <c r="AB53" s="13"/>
    </row>
    <row r="54" spans="10:28" ht="16.5" customHeight="1" x14ac:dyDescent="0.3">
      <c r="J54" s="2">
        <v>50</v>
      </c>
      <c r="K54" s="41" t="s">
        <v>33</v>
      </c>
      <c r="L54" s="41" t="s">
        <v>31</v>
      </c>
      <c r="M54" s="41" t="s">
        <v>36</v>
      </c>
      <c r="N54" s="41" t="s">
        <v>26</v>
      </c>
      <c r="O54" s="41" t="s">
        <v>35</v>
      </c>
      <c r="Q54" s="17">
        <f t="shared" si="10"/>
        <v>8</v>
      </c>
      <c r="R54" s="17">
        <f t="shared" si="11"/>
        <v>6</v>
      </c>
      <c r="S54" s="17">
        <f t="shared" si="12"/>
        <v>11</v>
      </c>
      <c r="T54" s="17">
        <f t="shared" si="13"/>
        <v>2</v>
      </c>
      <c r="U54" s="17">
        <f t="shared" si="14"/>
        <v>10</v>
      </c>
      <c r="W54" s="7">
        <v>4481</v>
      </c>
      <c r="X54" s="7">
        <v>5880</v>
      </c>
      <c r="Y54" s="7">
        <v>12341</v>
      </c>
      <c r="Z54" s="7">
        <v>13155</v>
      </c>
      <c r="AA54" s="7">
        <v>11645</v>
      </c>
      <c r="AB54" s="13"/>
    </row>
    <row r="55" spans="10:28" ht="16.5" customHeight="1" x14ac:dyDescent="0.3">
      <c r="J55" s="2">
        <v>51</v>
      </c>
      <c r="K55" s="41" t="s">
        <v>29</v>
      </c>
      <c r="L55" s="41" t="s">
        <v>32</v>
      </c>
      <c r="M55" s="41" t="s">
        <v>30</v>
      </c>
      <c r="N55" s="41" t="s">
        <v>33</v>
      </c>
      <c r="O55" s="41" t="s">
        <v>29</v>
      </c>
      <c r="Q55" s="17">
        <f t="shared" si="10"/>
        <v>4</v>
      </c>
      <c r="R55" s="17">
        <f t="shared" si="11"/>
        <v>7</v>
      </c>
      <c r="S55" s="17">
        <f t="shared" si="12"/>
        <v>5</v>
      </c>
      <c r="T55" s="17">
        <f t="shared" si="13"/>
        <v>8</v>
      </c>
      <c r="U55" s="17">
        <f t="shared" si="14"/>
        <v>4</v>
      </c>
      <c r="W55" s="7">
        <v>3773</v>
      </c>
      <c r="X55" s="7">
        <v>5307</v>
      </c>
      <c r="Y55" s="7">
        <v>12580</v>
      </c>
      <c r="Z55" s="7">
        <v>12423</v>
      </c>
      <c r="AA55" s="7">
        <v>6327</v>
      </c>
      <c r="AB55" s="13"/>
    </row>
    <row r="56" spans="10:28" ht="16.5" customHeight="1" x14ac:dyDescent="0.3">
      <c r="J56" s="2">
        <v>52</v>
      </c>
      <c r="K56" s="41" t="s">
        <v>35</v>
      </c>
      <c r="L56" s="41" t="s">
        <v>32</v>
      </c>
      <c r="M56" s="41" t="s">
        <v>30</v>
      </c>
      <c r="N56" s="41" t="s">
        <v>29</v>
      </c>
      <c r="O56" s="41" t="s">
        <v>31</v>
      </c>
      <c r="Q56" s="17">
        <f t="shared" si="10"/>
        <v>10</v>
      </c>
      <c r="R56" s="17">
        <f t="shared" si="11"/>
        <v>7</v>
      </c>
      <c r="S56" s="17">
        <f t="shared" si="12"/>
        <v>5</v>
      </c>
      <c r="T56" s="17">
        <f t="shared" si="13"/>
        <v>4</v>
      </c>
      <c r="U56" s="17">
        <f t="shared" si="14"/>
        <v>6</v>
      </c>
      <c r="W56" s="7">
        <v>5898</v>
      </c>
      <c r="X56" s="7">
        <v>5290</v>
      </c>
      <c r="Y56" s="7">
        <v>12488</v>
      </c>
      <c r="Z56" s="7">
        <v>13168</v>
      </c>
      <c r="AA56" s="7">
        <v>5906</v>
      </c>
      <c r="AB56" s="13"/>
    </row>
    <row r="57" spans="10:28" ht="16.5" customHeight="1" x14ac:dyDescent="0.3">
      <c r="J57" s="2">
        <v>53</v>
      </c>
      <c r="K57" s="41" t="s">
        <v>33</v>
      </c>
      <c r="L57" s="41" t="s">
        <v>28</v>
      </c>
      <c r="M57" s="41" t="s">
        <v>35</v>
      </c>
      <c r="N57" s="41" t="s">
        <v>28</v>
      </c>
      <c r="O57" s="41" t="s">
        <v>30</v>
      </c>
      <c r="Q57" s="17">
        <f t="shared" si="10"/>
        <v>8</v>
      </c>
      <c r="R57" s="17">
        <f t="shared" si="11"/>
        <v>3</v>
      </c>
      <c r="S57" s="17">
        <f t="shared" si="12"/>
        <v>10</v>
      </c>
      <c r="T57" s="17">
        <f t="shared" si="13"/>
        <v>3</v>
      </c>
      <c r="U57" s="17">
        <f t="shared" si="14"/>
        <v>5</v>
      </c>
      <c r="W57" s="7">
        <v>4021</v>
      </c>
      <c r="X57" s="7">
        <v>5350</v>
      </c>
      <c r="Y57" s="7">
        <v>11144</v>
      </c>
      <c r="Z57" s="7">
        <v>10527</v>
      </c>
      <c r="AA57" s="7">
        <v>6142</v>
      </c>
      <c r="AB57" s="13"/>
    </row>
    <row r="58" spans="10:28" ht="16.5" customHeight="1" x14ac:dyDescent="0.3">
      <c r="J58" s="2">
        <v>54</v>
      </c>
      <c r="K58" s="41" t="s">
        <v>32</v>
      </c>
      <c r="L58" s="41" t="s">
        <v>32</v>
      </c>
      <c r="M58" s="41" t="s">
        <v>34</v>
      </c>
      <c r="N58" s="41" t="s">
        <v>33</v>
      </c>
      <c r="O58" s="41" t="s">
        <v>30</v>
      </c>
      <c r="Q58" s="17">
        <f t="shared" si="10"/>
        <v>7</v>
      </c>
      <c r="R58" s="17">
        <f t="shared" si="11"/>
        <v>7</v>
      </c>
      <c r="S58" s="17">
        <f t="shared" si="12"/>
        <v>9</v>
      </c>
      <c r="T58" s="17">
        <f t="shared" si="13"/>
        <v>8</v>
      </c>
      <c r="U58" s="17">
        <f t="shared" si="14"/>
        <v>5</v>
      </c>
      <c r="W58" s="7">
        <v>4164</v>
      </c>
      <c r="X58" s="7">
        <v>7050</v>
      </c>
      <c r="Y58" s="7">
        <v>10758</v>
      </c>
      <c r="Z58" s="7">
        <v>10756</v>
      </c>
      <c r="AA58" s="7">
        <v>4948</v>
      </c>
      <c r="AB58" s="13"/>
    </row>
    <row r="59" spans="10:28" ht="16.5" customHeight="1" x14ac:dyDescent="0.3">
      <c r="J59" s="2">
        <v>55</v>
      </c>
      <c r="K59" s="41" t="s">
        <v>29</v>
      </c>
      <c r="L59" s="41" t="s">
        <v>44</v>
      </c>
      <c r="M59" s="41" t="s">
        <v>48</v>
      </c>
      <c r="N59" s="41" t="s">
        <v>32</v>
      </c>
      <c r="O59" s="41" t="s">
        <v>29</v>
      </c>
      <c r="Q59" s="17">
        <f t="shared" si="10"/>
        <v>4</v>
      </c>
      <c r="R59" s="17">
        <f t="shared" si="11"/>
        <v>15</v>
      </c>
      <c r="S59" s="17">
        <f t="shared" si="12"/>
        <v>17</v>
      </c>
      <c r="T59" s="17">
        <f t="shared" si="13"/>
        <v>7</v>
      </c>
      <c r="U59" s="17">
        <f t="shared" si="14"/>
        <v>4</v>
      </c>
      <c r="W59" s="7">
        <v>4030</v>
      </c>
      <c r="X59" s="7">
        <v>5770</v>
      </c>
      <c r="Y59" s="7">
        <v>12807</v>
      </c>
      <c r="Z59" s="7">
        <v>2355</v>
      </c>
      <c r="AA59" s="7">
        <v>5177</v>
      </c>
      <c r="AB59" s="13"/>
    </row>
    <row r="60" spans="10:28" ht="16.5" customHeight="1" x14ac:dyDescent="0.3">
      <c r="J60" s="2">
        <v>56</v>
      </c>
      <c r="K60" s="41" t="s">
        <v>33</v>
      </c>
      <c r="L60" s="41" t="s">
        <v>32</v>
      </c>
      <c r="M60" s="41" t="s">
        <v>28</v>
      </c>
      <c r="N60" s="41" t="s">
        <v>33</v>
      </c>
      <c r="O60" s="41" t="s">
        <v>34</v>
      </c>
      <c r="Q60" s="17">
        <f t="shared" si="10"/>
        <v>8</v>
      </c>
      <c r="R60" s="17">
        <f t="shared" si="11"/>
        <v>7</v>
      </c>
      <c r="S60" s="17">
        <f t="shared" si="12"/>
        <v>3</v>
      </c>
      <c r="T60" s="17">
        <f t="shared" si="13"/>
        <v>8</v>
      </c>
      <c r="U60" s="17">
        <f t="shared" si="14"/>
        <v>9</v>
      </c>
      <c r="W60" s="7">
        <v>4481</v>
      </c>
      <c r="X60" s="7">
        <v>6472</v>
      </c>
      <c r="Y60" s="7">
        <v>11982</v>
      </c>
      <c r="Z60" s="7">
        <v>2355</v>
      </c>
      <c r="AA60" s="7">
        <v>5363</v>
      </c>
      <c r="AB60" s="13"/>
    </row>
    <row r="61" spans="10:28" ht="15.6" customHeight="1" x14ac:dyDescent="0.3">
      <c r="J61" s="2">
        <v>57</v>
      </c>
      <c r="K61" s="41" t="s">
        <v>29</v>
      </c>
      <c r="L61" s="41" t="s">
        <v>32</v>
      </c>
      <c r="M61" s="41" t="s">
        <v>30</v>
      </c>
      <c r="N61" s="41" t="s">
        <v>33</v>
      </c>
      <c r="O61" s="41" t="s">
        <v>34</v>
      </c>
      <c r="Q61" s="17">
        <f t="shared" si="10"/>
        <v>4</v>
      </c>
      <c r="R61" s="17">
        <f t="shared" si="11"/>
        <v>7</v>
      </c>
      <c r="S61" s="17">
        <f t="shared" si="12"/>
        <v>5</v>
      </c>
      <c r="T61" s="17">
        <f t="shared" si="13"/>
        <v>8</v>
      </c>
      <c r="U61" s="17">
        <f t="shared" si="14"/>
        <v>9</v>
      </c>
      <c r="W61" s="7">
        <v>3773</v>
      </c>
      <c r="X61" s="7">
        <v>5880</v>
      </c>
      <c r="Y61" s="7">
        <v>13179</v>
      </c>
      <c r="Z61" s="7">
        <v>2355</v>
      </c>
      <c r="AA61" s="7">
        <v>5139</v>
      </c>
      <c r="AB61" s="13"/>
    </row>
    <row r="62" spans="10:28" ht="15.6" customHeight="1" x14ac:dyDescent="0.3">
      <c r="J62" s="2">
        <v>58</v>
      </c>
      <c r="K62" s="41" t="s">
        <v>35</v>
      </c>
      <c r="L62" s="41" t="s">
        <v>32</v>
      </c>
      <c r="M62" s="41" t="s">
        <v>30</v>
      </c>
      <c r="N62" s="41" t="s">
        <v>33</v>
      </c>
      <c r="O62" s="41" t="s">
        <v>34</v>
      </c>
      <c r="Q62" s="17">
        <f t="shared" si="10"/>
        <v>10</v>
      </c>
      <c r="R62" s="17">
        <f t="shared" si="11"/>
        <v>7</v>
      </c>
      <c r="S62" s="17">
        <f t="shared" si="12"/>
        <v>5</v>
      </c>
      <c r="T62" s="17">
        <f t="shared" si="13"/>
        <v>8</v>
      </c>
      <c r="U62" s="17">
        <f t="shared" si="14"/>
        <v>9</v>
      </c>
      <c r="W62" s="7">
        <v>5898</v>
      </c>
      <c r="X62" s="7">
        <v>12501</v>
      </c>
      <c r="Y62" s="7">
        <v>14415</v>
      </c>
      <c r="Z62" s="7">
        <v>2355</v>
      </c>
      <c r="AA62" s="7">
        <v>6059</v>
      </c>
      <c r="AB62" s="13"/>
    </row>
    <row r="63" spans="10:28" ht="16.5" customHeight="1" x14ac:dyDescent="0.3">
      <c r="J63" s="2">
        <v>59</v>
      </c>
      <c r="K63" s="41" t="s">
        <v>33</v>
      </c>
      <c r="L63" s="41" t="s">
        <v>38</v>
      </c>
      <c r="M63" s="41" t="s">
        <v>29</v>
      </c>
      <c r="N63" s="41" t="s">
        <v>31</v>
      </c>
      <c r="O63" s="41" t="s">
        <v>32</v>
      </c>
      <c r="Q63" s="17">
        <f t="shared" si="10"/>
        <v>8</v>
      </c>
      <c r="R63" s="17">
        <f t="shared" si="11"/>
        <v>12</v>
      </c>
      <c r="S63" s="17">
        <f t="shared" si="12"/>
        <v>4</v>
      </c>
      <c r="T63" s="17">
        <f t="shared" si="13"/>
        <v>6</v>
      </c>
      <c r="U63" s="17">
        <f t="shared" si="14"/>
        <v>7</v>
      </c>
      <c r="W63" s="7">
        <v>4021</v>
      </c>
      <c r="X63" s="7">
        <v>12865</v>
      </c>
      <c r="Y63" s="7">
        <v>12966</v>
      </c>
      <c r="Z63" s="7">
        <v>2355</v>
      </c>
      <c r="AA63" s="7">
        <v>6122</v>
      </c>
      <c r="AB63" s="13"/>
    </row>
    <row r="64" spans="10:28" ht="16.5" customHeight="1" x14ac:dyDescent="0.3">
      <c r="J64" s="2">
        <v>60</v>
      </c>
      <c r="K64" s="41" t="s">
        <v>32</v>
      </c>
      <c r="L64" s="41" t="s">
        <v>32</v>
      </c>
      <c r="M64" s="41" t="s">
        <v>35</v>
      </c>
      <c r="N64" s="41" t="s">
        <v>33</v>
      </c>
      <c r="O64" s="41" t="s">
        <v>35</v>
      </c>
      <c r="Q64" s="17">
        <f t="shared" si="10"/>
        <v>7</v>
      </c>
      <c r="R64" s="17">
        <f t="shared" si="11"/>
        <v>7</v>
      </c>
      <c r="S64" s="17">
        <f t="shared" si="12"/>
        <v>10</v>
      </c>
      <c r="T64" s="17">
        <f t="shared" si="13"/>
        <v>8</v>
      </c>
      <c r="U64" s="17">
        <f t="shared" si="14"/>
        <v>10</v>
      </c>
      <c r="W64" s="7">
        <v>4164</v>
      </c>
      <c r="X64" s="7">
        <v>12071</v>
      </c>
      <c r="Y64" s="7">
        <v>12115</v>
      </c>
      <c r="Z64" s="7">
        <v>2355</v>
      </c>
      <c r="AA64" s="7">
        <v>6347</v>
      </c>
      <c r="AB64" s="13"/>
    </row>
    <row r="65" spans="10:28" ht="16.5" customHeight="1" x14ac:dyDescent="0.3">
      <c r="J65" s="2">
        <v>61</v>
      </c>
      <c r="K65" s="41" t="s">
        <v>29</v>
      </c>
      <c r="L65" s="41" t="s">
        <v>31</v>
      </c>
      <c r="M65" s="41" t="s">
        <v>30</v>
      </c>
      <c r="N65" s="41" t="s">
        <v>33</v>
      </c>
      <c r="O65" s="41" t="s">
        <v>34</v>
      </c>
      <c r="Q65" s="17">
        <f t="shared" si="10"/>
        <v>4</v>
      </c>
      <c r="R65" s="17">
        <f t="shared" si="11"/>
        <v>6</v>
      </c>
      <c r="S65" s="17">
        <f t="shared" si="12"/>
        <v>5</v>
      </c>
      <c r="T65" s="17">
        <f t="shared" si="13"/>
        <v>8</v>
      </c>
      <c r="U65" s="17">
        <f t="shared" si="14"/>
        <v>9</v>
      </c>
      <c r="W65" s="7">
        <v>4030</v>
      </c>
      <c r="X65" s="7">
        <v>13255</v>
      </c>
      <c r="Y65" s="7">
        <v>10129</v>
      </c>
      <c r="Z65" s="7">
        <v>2355</v>
      </c>
      <c r="AA65" s="7">
        <v>6327</v>
      </c>
      <c r="AB65" s="13"/>
    </row>
    <row r="66" spans="10:28" ht="16.5" customHeight="1" x14ac:dyDescent="0.3">
      <c r="J66" s="2">
        <v>62</v>
      </c>
      <c r="K66" s="41" t="s">
        <v>33</v>
      </c>
      <c r="L66" s="41" t="s">
        <v>32</v>
      </c>
      <c r="M66" s="41" t="s">
        <v>33</v>
      </c>
      <c r="N66" s="41" t="s">
        <v>33</v>
      </c>
      <c r="O66" s="41" t="s">
        <v>29</v>
      </c>
      <c r="Q66" s="17">
        <f t="shared" si="10"/>
        <v>8</v>
      </c>
      <c r="R66" s="17">
        <f t="shared" si="11"/>
        <v>7</v>
      </c>
      <c r="S66" s="17">
        <f t="shared" si="12"/>
        <v>8</v>
      </c>
      <c r="T66" s="17">
        <f t="shared" si="13"/>
        <v>8</v>
      </c>
      <c r="U66" s="17">
        <f t="shared" si="14"/>
        <v>4</v>
      </c>
      <c r="W66" s="7">
        <v>4481</v>
      </c>
      <c r="X66" s="7">
        <v>12059</v>
      </c>
      <c r="Y66" s="7">
        <v>10207</v>
      </c>
      <c r="Z66" s="7">
        <v>2355</v>
      </c>
      <c r="AA66" s="7">
        <v>5906</v>
      </c>
      <c r="AB66" s="13"/>
    </row>
    <row r="67" spans="10:28" ht="16.5" customHeight="1" x14ac:dyDescent="0.3">
      <c r="J67" s="2">
        <v>63</v>
      </c>
      <c r="K67" s="41" t="s">
        <v>29</v>
      </c>
      <c r="L67" s="41" t="s">
        <v>30</v>
      </c>
      <c r="M67" s="41" t="s">
        <v>30</v>
      </c>
      <c r="N67" s="41" t="s">
        <v>31</v>
      </c>
      <c r="O67" s="41" t="s">
        <v>34</v>
      </c>
      <c r="Q67" s="17">
        <f t="shared" si="10"/>
        <v>4</v>
      </c>
      <c r="R67" s="17">
        <f t="shared" si="11"/>
        <v>5</v>
      </c>
      <c r="S67" s="17">
        <f t="shared" si="12"/>
        <v>5</v>
      </c>
      <c r="T67" s="17">
        <f t="shared" si="13"/>
        <v>6</v>
      </c>
      <c r="U67" s="17">
        <f t="shared" si="14"/>
        <v>9</v>
      </c>
      <c r="W67" s="7">
        <v>3773</v>
      </c>
      <c r="X67" s="7">
        <v>12592</v>
      </c>
      <c r="Y67" s="7">
        <v>10749</v>
      </c>
      <c r="Z67" s="7">
        <v>2355</v>
      </c>
      <c r="AA67" s="7">
        <v>6142</v>
      </c>
      <c r="AB67" s="13"/>
    </row>
    <row r="68" spans="10:28" ht="16.5" customHeight="1" x14ac:dyDescent="0.3">
      <c r="J68" s="2">
        <v>64</v>
      </c>
      <c r="K68" s="41" t="s">
        <v>35</v>
      </c>
      <c r="L68" s="41" t="s">
        <v>28</v>
      </c>
      <c r="M68" s="41" t="s">
        <v>30</v>
      </c>
      <c r="N68" s="41" t="s">
        <v>42</v>
      </c>
      <c r="O68" s="41" t="s">
        <v>33</v>
      </c>
      <c r="Q68" s="17">
        <f t="shared" ref="Q68:Q99" si="15">IF(K68="","",VLOOKUP(K68,$A$4:$H$22,8,FALSE))</f>
        <v>10</v>
      </c>
      <c r="R68" s="17">
        <f t="shared" ref="R68:R99" si="16">IF(L68="","",VLOOKUP(L68,$A$4:$H$22,8,FALSE))</f>
        <v>3</v>
      </c>
      <c r="S68" s="17">
        <f t="shared" ref="S68:S99" si="17">IF(M68="","",VLOOKUP(M68,$A$4:$H$22,8,FALSE))</f>
        <v>5</v>
      </c>
      <c r="T68" s="17">
        <f t="shared" ref="T68:T99" si="18">IF(N68="","",VLOOKUP(N68,$A$4:$H$22,8,FALSE))</f>
        <v>14</v>
      </c>
      <c r="U68" s="17">
        <f t="shared" ref="U68:U99" si="19">IF(O68="","",VLOOKUP(O68,$A$4:$H$22,8,FALSE))</f>
        <v>8</v>
      </c>
      <c r="W68" s="7">
        <v>5898</v>
      </c>
      <c r="X68" s="7">
        <v>12501</v>
      </c>
      <c r="Y68" s="7">
        <v>9841</v>
      </c>
      <c r="Z68" s="7">
        <v>10702</v>
      </c>
      <c r="AA68" s="7">
        <v>4948</v>
      </c>
      <c r="AB68" s="13"/>
    </row>
    <row r="69" spans="10:28" ht="16.5" customHeight="1" x14ac:dyDescent="0.3">
      <c r="J69" s="2">
        <v>65</v>
      </c>
      <c r="K69" s="41" t="s">
        <v>33</v>
      </c>
      <c r="L69" s="41" t="s">
        <v>44</v>
      </c>
      <c r="M69" s="41" t="s">
        <v>28</v>
      </c>
      <c r="N69" s="41" t="s">
        <v>31</v>
      </c>
      <c r="O69" s="41" t="s">
        <v>30</v>
      </c>
      <c r="Q69" s="17">
        <f t="shared" si="15"/>
        <v>8</v>
      </c>
      <c r="R69" s="17">
        <f t="shared" si="16"/>
        <v>15</v>
      </c>
      <c r="S69" s="17">
        <f t="shared" si="17"/>
        <v>3</v>
      </c>
      <c r="T69" s="17">
        <f t="shared" si="18"/>
        <v>6</v>
      </c>
      <c r="U69" s="17">
        <f t="shared" si="19"/>
        <v>5</v>
      </c>
      <c r="W69" s="7">
        <v>0</v>
      </c>
      <c r="X69" s="7">
        <v>12163</v>
      </c>
      <c r="Y69" s="7">
        <v>11969</v>
      </c>
      <c r="Z69" s="7">
        <v>9297</v>
      </c>
      <c r="AA69" s="7">
        <v>5177</v>
      </c>
      <c r="AB69" s="13"/>
    </row>
    <row r="70" spans="10:28" ht="16.5" customHeight="1" x14ac:dyDescent="0.3">
      <c r="J70" s="2">
        <v>66</v>
      </c>
      <c r="K70" s="41" t="s">
        <v>32</v>
      </c>
      <c r="L70" s="41" t="s">
        <v>34</v>
      </c>
      <c r="M70" s="41" t="s">
        <v>28</v>
      </c>
      <c r="N70" s="41" t="s">
        <v>33</v>
      </c>
      <c r="O70" s="41" t="s">
        <v>29</v>
      </c>
      <c r="Q70" s="17">
        <f t="shared" si="15"/>
        <v>7</v>
      </c>
      <c r="R70" s="17">
        <f t="shared" si="16"/>
        <v>9</v>
      </c>
      <c r="S70" s="17">
        <f t="shared" si="17"/>
        <v>3</v>
      </c>
      <c r="T70" s="17">
        <f t="shared" si="18"/>
        <v>8</v>
      </c>
      <c r="U70" s="17">
        <f t="shared" si="19"/>
        <v>4</v>
      </c>
      <c r="W70" s="7">
        <v>0</v>
      </c>
      <c r="X70" s="7">
        <v>12124</v>
      </c>
      <c r="Y70" s="7">
        <v>12102</v>
      </c>
      <c r="Z70" s="7">
        <v>12959</v>
      </c>
      <c r="AA70" s="7">
        <v>5363</v>
      </c>
      <c r="AB70" s="13"/>
    </row>
    <row r="71" spans="10:28" ht="16.5" customHeight="1" x14ac:dyDescent="0.3">
      <c r="J71" s="2">
        <v>67</v>
      </c>
      <c r="K71" s="41" t="s">
        <v>29</v>
      </c>
      <c r="L71" s="41" t="s">
        <v>31</v>
      </c>
      <c r="M71" s="41" t="s">
        <v>28</v>
      </c>
      <c r="N71" s="41" t="s">
        <v>31</v>
      </c>
      <c r="O71" s="41" t="s">
        <v>34</v>
      </c>
      <c r="Q71" s="17">
        <f t="shared" si="15"/>
        <v>4</v>
      </c>
      <c r="R71" s="17">
        <f t="shared" si="16"/>
        <v>6</v>
      </c>
      <c r="S71" s="17">
        <f t="shared" si="17"/>
        <v>3</v>
      </c>
      <c r="T71" s="17">
        <f t="shared" si="18"/>
        <v>6</v>
      </c>
      <c r="U71" s="17">
        <f t="shared" si="19"/>
        <v>9</v>
      </c>
      <c r="W71" s="7">
        <v>0</v>
      </c>
      <c r="X71" s="7">
        <v>10784</v>
      </c>
      <c r="Y71" s="7">
        <v>10998</v>
      </c>
      <c r="Z71" s="7">
        <v>12397</v>
      </c>
      <c r="AA71" s="7">
        <v>5139</v>
      </c>
      <c r="AB71" s="13"/>
    </row>
    <row r="72" spans="10:28" ht="16.5" customHeight="1" x14ac:dyDescent="0.3">
      <c r="J72" s="2">
        <v>68</v>
      </c>
      <c r="K72" s="41" t="s">
        <v>26</v>
      </c>
      <c r="L72" s="41" t="s">
        <v>33</v>
      </c>
      <c r="M72" s="41" t="s">
        <v>42</v>
      </c>
      <c r="N72" s="41" t="s">
        <v>26</v>
      </c>
      <c r="O72" s="41" t="s">
        <v>34</v>
      </c>
      <c r="Q72" s="17">
        <f t="shared" si="15"/>
        <v>2</v>
      </c>
      <c r="R72" s="17">
        <f t="shared" si="16"/>
        <v>8</v>
      </c>
      <c r="S72" s="17">
        <f t="shared" si="17"/>
        <v>14</v>
      </c>
      <c r="T72" s="17">
        <f t="shared" si="18"/>
        <v>2</v>
      </c>
      <c r="U72" s="17">
        <f t="shared" si="19"/>
        <v>9</v>
      </c>
      <c r="W72" s="7">
        <v>0</v>
      </c>
      <c r="X72" s="7">
        <v>11109</v>
      </c>
      <c r="Y72" s="7">
        <v>10606</v>
      </c>
      <c r="Z72" s="7">
        <v>13064</v>
      </c>
      <c r="AA72" s="7">
        <v>6059</v>
      </c>
      <c r="AB72" s="13"/>
    </row>
    <row r="73" spans="10:28" ht="16.5" customHeight="1" x14ac:dyDescent="0.3">
      <c r="J73" s="2">
        <v>69</v>
      </c>
      <c r="K73" s="41" t="s">
        <v>35</v>
      </c>
      <c r="L73" s="41" t="s">
        <v>31</v>
      </c>
      <c r="M73" s="41" t="s">
        <v>30</v>
      </c>
      <c r="N73" s="41" t="s">
        <v>33</v>
      </c>
      <c r="O73" s="41" t="s">
        <v>34</v>
      </c>
      <c r="Q73" s="17">
        <f t="shared" si="15"/>
        <v>10</v>
      </c>
      <c r="R73" s="17">
        <f t="shared" si="16"/>
        <v>6</v>
      </c>
      <c r="S73" s="17">
        <f t="shared" si="17"/>
        <v>5</v>
      </c>
      <c r="T73" s="17">
        <f t="shared" si="18"/>
        <v>8</v>
      </c>
      <c r="U73" s="17">
        <f t="shared" si="19"/>
        <v>9</v>
      </c>
      <c r="W73" s="7">
        <v>11096</v>
      </c>
      <c r="X73" s="7">
        <v>11838</v>
      </c>
      <c r="Y73" s="7">
        <v>9941</v>
      </c>
      <c r="Z73" s="7">
        <v>10974</v>
      </c>
      <c r="AA73" s="7">
        <v>6122</v>
      </c>
      <c r="AB73" s="13"/>
    </row>
    <row r="74" spans="10:28" ht="16.5" customHeight="1" x14ac:dyDescent="0.3">
      <c r="J74" s="2">
        <v>70</v>
      </c>
      <c r="K74" s="41" t="s">
        <v>32</v>
      </c>
      <c r="L74" s="41" t="s">
        <v>44</v>
      </c>
      <c r="M74" s="41" t="s">
        <v>35</v>
      </c>
      <c r="N74" s="41" t="s">
        <v>28</v>
      </c>
      <c r="O74" s="41" t="s">
        <v>31</v>
      </c>
      <c r="Q74" s="17">
        <f t="shared" si="15"/>
        <v>7</v>
      </c>
      <c r="R74" s="17">
        <f t="shared" si="16"/>
        <v>15</v>
      </c>
      <c r="S74" s="17">
        <f t="shared" si="17"/>
        <v>10</v>
      </c>
      <c r="T74" s="17">
        <f t="shared" si="18"/>
        <v>3</v>
      </c>
      <c r="U74" s="17">
        <f t="shared" si="19"/>
        <v>6</v>
      </c>
      <c r="W74" s="7">
        <v>10802</v>
      </c>
      <c r="X74" s="7">
        <v>12319</v>
      </c>
      <c r="Y74" s="7">
        <v>9897</v>
      </c>
      <c r="Z74" s="7">
        <v>7138</v>
      </c>
      <c r="AA74" s="7">
        <v>6347</v>
      </c>
      <c r="AB74" s="13"/>
    </row>
    <row r="75" spans="10:28" ht="16.5" customHeight="1" x14ac:dyDescent="0.3">
      <c r="J75" s="2">
        <v>71</v>
      </c>
      <c r="K75" s="41" t="s">
        <v>33</v>
      </c>
      <c r="L75" s="41" t="s">
        <v>26</v>
      </c>
      <c r="M75" s="41" t="s">
        <v>34</v>
      </c>
      <c r="N75" s="41" t="s">
        <v>31</v>
      </c>
      <c r="O75" s="41" t="s">
        <v>32</v>
      </c>
      <c r="Q75" s="17">
        <f t="shared" si="15"/>
        <v>8</v>
      </c>
      <c r="R75" s="17">
        <f t="shared" si="16"/>
        <v>2</v>
      </c>
      <c r="S75" s="17">
        <f t="shared" si="17"/>
        <v>9</v>
      </c>
      <c r="T75" s="17">
        <f t="shared" si="18"/>
        <v>6</v>
      </c>
      <c r="U75" s="17">
        <f t="shared" si="19"/>
        <v>7</v>
      </c>
      <c r="W75" s="7">
        <v>10465</v>
      </c>
      <c r="X75" s="7">
        <v>13203</v>
      </c>
      <c r="Y75" s="7">
        <v>11689</v>
      </c>
      <c r="Z75" s="7">
        <v>7073</v>
      </c>
      <c r="AA75" s="7">
        <v>12399</v>
      </c>
      <c r="AB75" s="13"/>
    </row>
    <row r="76" spans="10:28" ht="16.5" customHeight="1" x14ac:dyDescent="0.3">
      <c r="J76" s="2">
        <v>72</v>
      </c>
      <c r="K76" s="41" t="s">
        <v>33</v>
      </c>
      <c r="L76" s="41" t="s">
        <v>33</v>
      </c>
      <c r="M76" s="41" t="s">
        <v>30</v>
      </c>
      <c r="N76" s="41" t="s">
        <v>31</v>
      </c>
      <c r="O76" s="41" t="s">
        <v>32</v>
      </c>
      <c r="Q76" s="17">
        <f t="shared" si="15"/>
        <v>8</v>
      </c>
      <c r="R76" s="17">
        <f t="shared" si="16"/>
        <v>8</v>
      </c>
      <c r="S76" s="17">
        <f t="shared" si="17"/>
        <v>5</v>
      </c>
      <c r="T76" s="17">
        <f t="shared" si="18"/>
        <v>6</v>
      </c>
      <c r="U76" s="17">
        <f t="shared" si="19"/>
        <v>7</v>
      </c>
      <c r="W76" s="7">
        <v>12884</v>
      </c>
      <c r="X76" s="7">
        <v>12110</v>
      </c>
      <c r="Y76" s="7">
        <v>9985</v>
      </c>
      <c r="Z76" s="7">
        <v>4387</v>
      </c>
      <c r="AA76" s="7">
        <v>13051</v>
      </c>
      <c r="AB76" s="13"/>
    </row>
    <row r="77" spans="10:28" ht="16.5" customHeight="1" x14ac:dyDescent="0.3">
      <c r="J77" s="2">
        <v>73</v>
      </c>
      <c r="K77" s="41" t="s">
        <v>32</v>
      </c>
      <c r="L77" s="41" t="s">
        <v>34</v>
      </c>
      <c r="M77" s="41" t="s">
        <v>48</v>
      </c>
      <c r="N77" s="41" t="s">
        <v>33</v>
      </c>
      <c r="O77" s="41" t="s">
        <v>32</v>
      </c>
      <c r="Q77" s="17">
        <f t="shared" si="15"/>
        <v>7</v>
      </c>
      <c r="R77" s="17">
        <f t="shared" si="16"/>
        <v>9</v>
      </c>
      <c r="S77" s="17">
        <f t="shared" si="17"/>
        <v>17</v>
      </c>
      <c r="T77" s="17">
        <f t="shared" si="18"/>
        <v>8</v>
      </c>
      <c r="U77" s="17">
        <f t="shared" si="19"/>
        <v>7</v>
      </c>
      <c r="W77" s="7">
        <v>5523</v>
      </c>
      <c r="X77" s="7">
        <v>11565</v>
      </c>
      <c r="Y77" s="7">
        <v>10273</v>
      </c>
      <c r="Z77" s="7">
        <v>2667</v>
      </c>
      <c r="AA77" s="7">
        <v>12284</v>
      </c>
      <c r="AB77" s="13"/>
    </row>
    <row r="78" spans="10:28" ht="16.5" customHeight="1" x14ac:dyDescent="0.3">
      <c r="J78" s="2">
        <v>74</v>
      </c>
      <c r="K78" s="41" t="s">
        <v>33</v>
      </c>
      <c r="L78" s="41" t="s">
        <v>42</v>
      </c>
      <c r="M78" s="41" t="s">
        <v>34</v>
      </c>
      <c r="N78" s="41" t="s">
        <v>48</v>
      </c>
      <c r="O78" s="41" t="s">
        <v>35</v>
      </c>
      <c r="Q78" s="17">
        <f t="shared" si="15"/>
        <v>8</v>
      </c>
      <c r="R78" s="17">
        <f t="shared" si="16"/>
        <v>14</v>
      </c>
      <c r="S78" s="17">
        <f t="shared" si="17"/>
        <v>9</v>
      </c>
      <c r="T78" s="17">
        <f t="shared" si="18"/>
        <v>17</v>
      </c>
      <c r="U78" s="17">
        <f t="shared" si="19"/>
        <v>10</v>
      </c>
      <c r="W78" s="7">
        <v>5966</v>
      </c>
      <c r="X78" s="7">
        <v>10786</v>
      </c>
      <c r="Y78" s="7">
        <v>11547</v>
      </c>
      <c r="Z78" s="7">
        <v>7138</v>
      </c>
      <c r="AA78" s="7">
        <v>12437</v>
      </c>
      <c r="AB78" s="13"/>
    </row>
    <row r="79" spans="10:28" ht="16.5" customHeight="1" x14ac:dyDescent="0.3">
      <c r="J79" s="2">
        <v>75</v>
      </c>
      <c r="K79" s="41" t="s">
        <v>29</v>
      </c>
      <c r="L79" s="41" t="s">
        <v>33</v>
      </c>
      <c r="M79" s="41" t="s">
        <v>29</v>
      </c>
      <c r="N79" s="41" t="s">
        <v>33</v>
      </c>
      <c r="O79" s="41" t="s">
        <v>31</v>
      </c>
      <c r="Q79" s="17">
        <f t="shared" si="15"/>
        <v>4</v>
      </c>
      <c r="R79" s="17">
        <f t="shared" si="16"/>
        <v>8</v>
      </c>
      <c r="S79" s="17">
        <f t="shared" si="17"/>
        <v>4</v>
      </c>
      <c r="T79" s="17">
        <f t="shared" si="18"/>
        <v>8</v>
      </c>
      <c r="U79" s="17">
        <f t="shared" si="19"/>
        <v>6</v>
      </c>
      <c r="W79" s="7">
        <v>11046</v>
      </c>
      <c r="X79" s="7">
        <v>9810</v>
      </c>
      <c r="Y79" s="7">
        <v>6543</v>
      </c>
      <c r="Z79" s="7">
        <v>10026</v>
      </c>
      <c r="AA79" s="7">
        <v>12246</v>
      </c>
      <c r="AB79" s="13"/>
    </row>
    <row r="80" spans="10:28" ht="15.6" customHeight="1" x14ac:dyDescent="0.3">
      <c r="J80" s="2">
        <v>76</v>
      </c>
      <c r="K80" s="41" t="s">
        <v>35</v>
      </c>
      <c r="L80" s="41" t="s">
        <v>34</v>
      </c>
      <c r="M80" s="41" t="s">
        <v>33</v>
      </c>
      <c r="N80" s="41" t="s">
        <v>31</v>
      </c>
      <c r="O80" s="41" t="s">
        <v>35</v>
      </c>
      <c r="Q80" s="17">
        <f t="shared" si="15"/>
        <v>10</v>
      </c>
      <c r="R80" s="17">
        <f t="shared" si="16"/>
        <v>9</v>
      </c>
      <c r="S80" s="17">
        <f t="shared" si="17"/>
        <v>8</v>
      </c>
      <c r="T80" s="17">
        <f t="shared" si="18"/>
        <v>6</v>
      </c>
      <c r="U80" s="17">
        <f t="shared" si="19"/>
        <v>10</v>
      </c>
      <c r="W80" s="7">
        <v>10248</v>
      </c>
      <c r="X80" s="7">
        <v>10547</v>
      </c>
      <c r="Y80" s="7">
        <v>5392</v>
      </c>
      <c r="Z80" s="7">
        <v>10527</v>
      </c>
      <c r="AA80" s="7">
        <v>12181</v>
      </c>
      <c r="AB80" s="13"/>
    </row>
    <row r="81" spans="10:28" ht="15.6" customHeight="1" x14ac:dyDescent="0.3">
      <c r="J81" s="2">
        <v>77</v>
      </c>
      <c r="K81" s="41" t="s">
        <v>32</v>
      </c>
      <c r="L81" s="41" t="s">
        <v>34</v>
      </c>
      <c r="M81" s="41" t="s">
        <v>30</v>
      </c>
      <c r="N81" s="41" t="s">
        <v>31</v>
      </c>
      <c r="O81" s="41" t="s">
        <v>28</v>
      </c>
      <c r="Q81" s="17">
        <f t="shared" si="15"/>
        <v>7</v>
      </c>
      <c r="R81" s="17">
        <f t="shared" si="16"/>
        <v>9</v>
      </c>
      <c r="S81" s="17">
        <f t="shared" si="17"/>
        <v>5</v>
      </c>
      <c r="T81" s="17">
        <f t="shared" si="18"/>
        <v>6</v>
      </c>
      <c r="U81" s="17">
        <f t="shared" si="19"/>
        <v>3</v>
      </c>
      <c r="W81" s="7">
        <v>10280</v>
      </c>
      <c r="X81" s="7">
        <v>12358</v>
      </c>
      <c r="Y81" s="7">
        <v>7211</v>
      </c>
      <c r="Z81" s="7">
        <v>12515</v>
      </c>
      <c r="AA81" s="7">
        <v>10407</v>
      </c>
      <c r="AB81" s="13"/>
    </row>
    <row r="82" spans="10:28" ht="15.6" customHeight="1" x14ac:dyDescent="0.3">
      <c r="J82" s="2">
        <v>78</v>
      </c>
      <c r="K82" s="41" t="s">
        <v>34</v>
      </c>
      <c r="L82" s="41" t="s">
        <v>31</v>
      </c>
      <c r="M82" s="41" t="s">
        <v>35</v>
      </c>
      <c r="N82" s="41" t="s">
        <v>33</v>
      </c>
      <c r="O82" s="41" t="s">
        <v>33</v>
      </c>
      <c r="Q82" s="17">
        <f t="shared" si="15"/>
        <v>9</v>
      </c>
      <c r="R82" s="17">
        <f t="shared" si="16"/>
        <v>6</v>
      </c>
      <c r="S82" s="17">
        <f t="shared" si="17"/>
        <v>10</v>
      </c>
      <c r="T82" s="17">
        <f t="shared" si="18"/>
        <v>8</v>
      </c>
      <c r="U82" s="17">
        <f t="shared" si="19"/>
        <v>8</v>
      </c>
      <c r="W82" s="7">
        <v>10715</v>
      </c>
      <c r="X82" s="7">
        <v>11916</v>
      </c>
      <c r="Y82" s="7">
        <v>8186</v>
      </c>
      <c r="Z82" s="7">
        <v>13142</v>
      </c>
      <c r="AA82" s="7">
        <v>10087</v>
      </c>
      <c r="AB82" s="13"/>
    </row>
    <row r="83" spans="10:28" ht="15.6" customHeight="1" x14ac:dyDescent="0.3">
      <c r="J83" s="2">
        <v>79</v>
      </c>
      <c r="K83" s="41" t="s">
        <v>34</v>
      </c>
      <c r="L83" s="41" t="s">
        <v>31</v>
      </c>
      <c r="M83" s="41" t="s">
        <v>34</v>
      </c>
      <c r="N83" s="41" t="s">
        <v>34</v>
      </c>
      <c r="O83" s="41" t="s">
        <v>28</v>
      </c>
      <c r="Q83" s="17">
        <f t="shared" si="15"/>
        <v>9</v>
      </c>
      <c r="R83" s="17">
        <f t="shared" si="16"/>
        <v>6</v>
      </c>
      <c r="S83" s="17">
        <f t="shared" si="17"/>
        <v>9</v>
      </c>
      <c r="T83" s="17">
        <f t="shared" si="18"/>
        <v>9</v>
      </c>
      <c r="U83" s="17">
        <f t="shared" si="19"/>
        <v>3</v>
      </c>
      <c r="W83" s="7">
        <v>11372</v>
      </c>
      <c r="X83" s="7">
        <v>12007</v>
      </c>
      <c r="Y83" s="7">
        <v>6327</v>
      </c>
      <c r="Z83" s="7">
        <v>12384</v>
      </c>
      <c r="AA83" s="7">
        <v>9544</v>
      </c>
      <c r="AB83" s="13"/>
    </row>
    <row r="84" spans="10:28" ht="15.6" customHeight="1" x14ac:dyDescent="0.3">
      <c r="J84" s="2">
        <v>80</v>
      </c>
      <c r="K84" s="41" t="s">
        <v>30</v>
      </c>
      <c r="L84" s="41" t="s">
        <v>48</v>
      </c>
      <c r="M84" s="41" t="s">
        <v>35</v>
      </c>
      <c r="N84" s="41" t="s">
        <v>32</v>
      </c>
      <c r="O84" s="41" t="s">
        <v>28</v>
      </c>
      <c r="Q84" s="17">
        <f t="shared" si="15"/>
        <v>5</v>
      </c>
      <c r="R84" s="17">
        <f t="shared" si="16"/>
        <v>17</v>
      </c>
      <c r="S84" s="17">
        <f t="shared" si="17"/>
        <v>10</v>
      </c>
      <c r="T84" s="17">
        <f t="shared" si="18"/>
        <v>7</v>
      </c>
      <c r="U84" s="17">
        <f t="shared" si="19"/>
        <v>3</v>
      </c>
      <c r="W84" s="7">
        <v>11991</v>
      </c>
      <c r="X84" s="7">
        <v>10914</v>
      </c>
      <c r="Y84" s="7">
        <v>5713</v>
      </c>
      <c r="Z84" s="7">
        <v>11104</v>
      </c>
      <c r="AA84" s="7">
        <v>10210</v>
      </c>
      <c r="AB84" s="13"/>
    </row>
    <row r="85" spans="10:28" ht="15.6" customHeight="1" x14ac:dyDescent="0.3">
      <c r="J85" s="2">
        <v>81</v>
      </c>
      <c r="K85" s="41" t="s">
        <v>33</v>
      </c>
      <c r="L85" s="41" t="s">
        <v>31</v>
      </c>
      <c r="M85" s="41" t="s">
        <v>31</v>
      </c>
      <c r="N85" s="41" t="s">
        <v>34</v>
      </c>
      <c r="O85" s="41" t="s">
        <v>28</v>
      </c>
      <c r="Q85" s="17">
        <f t="shared" si="15"/>
        <v>8</v>
      </c>
      <c r="R85" s="17">
        <f t="shared" si="16"/>
        <v>6</v>
      </c>
      <c r="S85" s="17">
        <f t="shared" si="17"/>
        <v>6</v>
      </c>
      <c r="T85" s="17">
        <f t="shared" si="18"/>
        <v>9</v>
      </c>
      <c r="U85" s="17">
        <f t="shared" si="19"/>
        <v>3</v>
      </c>
      <c r="W85" s="7">
        <v>12493</v>
      </c>
      <c r="X85" s="7">
        <v>11499</v>
      </c>
      <c r="Y85" s="7">
        <v>11094</v>
      </c>
      <c r="Z85" s="7">
        <v>11017</v>
      </c>
      <c r="AA85" s="7">
        <v>11861</v>
      </c>
      <c r="AB85" s="13"/>
    </row>
    <row r="86" spans="10:28" ht="15.6" customHeight="1" x14ac:dyDescent="0.3">
      <c r="J86" s="2">
        <v>82</v>
      </c>
      <c r="K86" s="41" t="s">
        <v>29</v>
      </c>
      <c r="L86" s="41" t="s">
        <v>32</v>
      </c>
      <c r="M86" s="41" t="s">
        <v>50</v>
      </c>
      <c r="N86" s="41" t="s">
        <v>30</v>
      </c>
      <c r="O86" s="41" t="s">
        <v>35</v>
      </c>
      <c r="Q86" s="17">
        <f t="shared" si="15"/>
        <v>4</v>
      </c>
      <c r="R86" s="17">
        <f t="shared" si="16"/>
        <v>7</v>
      </c>
      <c r="S86" s="17">
        <f t="shared" si="17"/>
        <v>18</v>
      </c>
      <c r="T86" s="17">
        <f t="shared" si="18"/>
        <v>5</v>
      </c>
      <c r="U86" s="17">
        <f t="shared" si="19"/>
        <v>10</v>
      </c>
      <c r="W86" s="7">
        <v>12780</v>
      </c>
      <c r="X86" s="7">
        <v>10537</v>
      </c>
      <c r="Y86" s="7">
        <v>11991</v>
      </c>
      <c r="Z86" s="7">
        <v>11001</v>
      </c>
      <c r="AA86" s="7">
        <v>11977</v>
      </c>
      <c r="AB86" s="13"/>
    </row>
    <row r="87" spans="10:28" ht="15.6" customHeight="1" x14ac:dyDescent="0.3">
      <c r="J87" s="2">
        <v>83</v>
      </c>
      <c r="K87" s="41" t="s">
        <v>28</v>
      </c>
      <c r="L87" s="41" t="s">
        <v>31</v>
      </c>
      <c r="M87" s="41" t="s">
        <v>34</v>
      </c>
      <c r="N87" s="41" t="s">
        <v>31</v>
      </c>
      <c r="O87" s="41" t="s">
        <v>30</v>
      </c>
      <c r="Q87" s="17">
        <f t="shared" si="15"/>
        <v>3</v>
      </c>
      <c r="R87" s="17">
        <f t="shared" si="16"/>
        <v>6</v>
      </c>
      <c r="S87" s="17">
        <f t="shared" si="17"/>
        <v>9</v>
      </c>
      <c r="T87" s="17">
        <f t="shared" si="18"/>
        <v>6</v>
      </c>
      <c r="U87" s="17">
        <f t="shared" si="19"/>
        <v>5</v>
      </c>
      <c r="W87" s="7">
        <v>9955</v>
      </c>
      <c r="X87" s="7">
        <v>10547</v>
      </c>
      <c r="Y87" s="7">
        <v>11670</v>
      </c>
      <c r="Z87" s="7">
        <v>10702</v>
      </c>
      <c r="AA87" s="7">
        <v>11939</v>
      </c>
      <c r="AB87" s="13"/>
    </row>
    <row r="88" spans="10:28" ht="15.6" customHeight="1" x14ac:dyDescent="0.3">
      <c r="J88" s="2">
        <v>84</v>
      </c>
      <c r="K88" s="41" t="s">
        <v>34</v>
      </c>
      <c r="L88" s="41" t="s">
        <v>33</v>
      </c>
      <c r="M88" s="41" t="s">
        <v>34</v>
      </c>
      <c r="N88" s="41" t="s">
        <v>31</v>
      </c>
      <c r="O88" s="41" t="s">
        <v>29</v>
      </c>
      <c r="Q88" s="17">
        <f t="shared" si="15"/>
        <v>9</v>
      </c>
      <c r="R88" s="17">
        <f t="shared" si="16"/>
        <v>8</v>
      </c>
      <c r="S88" s="17">
        <f t="shared" si="17"/>
        <v>9</v>
      </c>
      <c r="T88" s="17">
        <f t="shared" si="18"/>
        <v>6</v>
      </c>
      <c r="U88" s="17">
        <f t="shared" si="19"/>
        <v>4</v>
      </c>
      <c r="W88" s="7">
        <v>9705</v>
      </c>
      <c r="X88" s="7">
        <v>11177</v>
      </c>
      <c r="Y88" s="7">
        <v>12346</v>
      </c>
      <c r="Z88" s="7">
        <v>10810</v>
      </c>
      <c r="AA88" s="7">
        <v>11414</v>
      </c>
      <c r="AB88" s="13"/>
    </row>
    <row r="89" spans="10:28" ht="15.6" customHeight="1" x14ac:dyDescent="0.3">
      <c r="J89" s="2">
        <v>85</v>
      </c>
      <c r="K89" s="41" t="s">
        <v>29</v>
      </c>
      <c r="L89" s="41" t="s">
        <v>28</v>
      </c>
      <c r="M89" s="41" t="s">
        <v>38</v>
      </c>
      <c r="N89" s="41" t="s">
        <v>30</v>
      </c>
      <c r="O89" s="41" t="s">
        <v>30</v>
      </c>
      <c r="Q89" s="17">
        <f t="shared" si="15"/>
        <v>4</v>
      </c>
      <c r="R89" s="17">
        <f t="shared" si="16"/>
        <v>3</v>
      </c>
      <c r="S89" s="17">
        <f t="shared" si="17"/>
        <v>12</v>
      </c>
      <c r="T89" s="17">
        <f t="shared" si="18"/>
        <v>5</v>
      </c>
      <c r="U89" s="17">
        <f t="shared" si="19"/>
        <v>5</v>
      </c>
      <c r="W89" s="7">
        <v>9205</v>
      </c>
      <c r="X89" s="7">
        <v>13074</v>
      </c>
      <c r="Y89" s="7">
        <v>8149</v>
      </c>
      <c r="Z89" s="7">
        <v>11191</v>
      </c>
      <c r="AA89" s="7">
        <v>12028</v>
      </c>
      <c r="AB89" s="13"/>
    </row>
    <row r="90" spans="10:28" ht="15.6" customHeight="1" x14ac:dyDescent="0.3">
      <c r="J90" s="2">
        <v>86</v>
      </c>
      <c r="K90" s="41" t="s">
        <v>29</v>
      </c>
      <c r="L90" s="41" t="s">
        <v>38</v>
      </c>
      <c r="M90" s="41" t="s">
        <v>29</v>
      </c>
      <c r="N90" s="41" t="s">
        <v>30</v>
      </c>
      <c r="O90" s="41" t="s">
        <v>32</v>
      </c>
      <c r="Q90" s="17">
        <f t="shared" si="15"/>
        <v>4</v>
      </c>
      <c r="R90" s="17">
        <f t="shared" si="16"/>
        <v>12</v>
      </c>
      <c r="S90" s="17">
        <f t="shared" si="17"/>
        <v>4</v>
      </c>
      <c r="T90" s="17">
        <f t="shared" si="18"/>
        <v>5</v>
      </c>
      <c r="U90" s="17">
        <f t="shared" si="19"/>
        <v>7</v>
      </c>
      <c r="W90" s="7">
        <v>11268</v>
      </c>
      <c r="X90" s="7">
        <v>13997</v>
      </c>
      <c r="Y90" s="7">
        <v>7433</v>
      </c>
      <c r="Z90" s="7">
        <v>13090</v>
      </c>
      <c r="AA90" s="7">
        <v>12246</v>
      </c>
      <c r="AB90" s="13"/>
    </row>
    <row r="91" spans="10:28" ht="15.6" customHeight="1" x14ac:dyDescent="0.3">
      <c r="J91" s="2">
        <v>87</v>
      </c>
      <c r="K91" s="41" t="s">
        <v>32</v>
      </c>
      <c r="L91" s="41" t="s">
        <v>33</v>
      </c>
      <c r="M91" s="41" t="s">
        <v>29</v>
      </c>
      <c r="N91" s="41" t="s">
        <v>34</v>
      </c>
      <c r="O91" s="41" t="s">
        <v>29</v>
      </c>
      <c r="Q91" s="17">
        <f t="shared" si="15"/>
        <v>7</v>
      </c>
      <c r="R91" s="17">
        <f t="shared" si="16"/>
        <v>8</v>
      </c>
      <c r="S91" s="17">
        <f t="shared" si="17"/>
        <v>4</v>
      </c>
      <c r="T91" s="17">
        <f t="shared" si="18"/>
        <v>9</v>
      </c>
      <c r="U91" s="17">
        <f t="shared" si="19"/>
        <v>4</v>
      </c>
      <c r="W91" s="7">
        <v>10259</v>
      </c>
      <c r="X91" s="7">
        <v>14621</v>
      </c>
      <c r="Y91" s="7">
        <v>7632</v>
      </c>
      <c r="Z91" s="7">
        <v>13560</v>
      </c>
      <c r="AA91" s="7">
        <v>0</v>
      </c>
      <c r="AB91" s="13"/>
    </row>
    <row r="92" spans="10:28" ht="15.6" customHeight="1" x14ac:dyDescent="0.3">
      <c r="J92" s="2">
        <v>88</v>
      </c>
      <c r="K92" s="41" t="s">
        <v>34</v>
      </c>
      <c r="L92" s="41" t="s">
        <v>26</v>
      </c>
      <c r="M92" s="41" t="s">
        <v>34</v>
      </c>
      <c r="N92" s="41" t="s">
        <v>32</v>
      </c>
      <c r="O92" s="41" t="s">
        <v>30</v>
      </c>
      <c r="Q92" s="17">
        <f t="shared" si="15"/>
        <v>9</v>
      </c>
      <c r="R92" s="17">
        <f t="shared" si="16"/>
        <v>2</v>
      </c>
      <c r="S92" s="17">
        <f t="shared" si="17"/>
        <v>9</v>
      </c>
      <c r="T92" s="17">
        <f t="shared" si="18"/>
        <v>7</v>
      </c>
      <c r="U92" s="17">
        <f t="shared" si="19"/>
        <v>5</v>
      </c>
      <c r="W92" s="7">
        <v>10270</v>
      </c>
      <c r="X92" s="7">
        <v>12141</v>
      </c>
      <c r="Y92" s="7">
        <v>12129</v>
      </c>
      <c r="Z92" s="7">
        <v>12659</v>
      </c>
      <c r="AA92" s="7">
        <v>0</v>
      </c>
      <c r="AB92" s="13"/>
    </row>
    <row r="93" spans="10:28" ht="15.6" customHeight="1" x14ac:dyDescent="0.3">
      <c r="J93" s="2">
        <v>89</v>
      </c>
      <c r="K93" s="41" t="s">
        <v>35</v>
      </c>
      <c r="L93" s="41" t="s">
        <v>30</v>
      </c>
      <c r="M93" s="41" t="s">
        <v>35</v>
      </c>
      <c r="N93" s="41" t="s">
        <v>33</v>
      </c>
      <c r="O93" s="41" t="s">
        <v>33</v>
      </c>
      <c r="Q93" s="17">
        <f t="shared" si="15"/>
        <v>10</v>
      </c>
      <c r="R93" s="17">
        <f t="shared" si="16"/>
        <v>5</v>
      </c>
      <c r="S93" s="17">
        <f t="shared" si="17"/>
        <v>10</v>
      </c>
      <c r="T93" s="17">
        <f t="shared" si="18"/>
        <v>8</v>
      </c>
      <c r="U93" s="17">
        <f t="shared" si="19"/>
        <v>8</v>
      </c>
      <c r="W93" s="7">
        <v>11041</v>
      </c>
      <c r="X93" s="7">
        <v>12206</v>
      </c>
      <c r="Y93" s="7">
        <v>12208</v>
      </c>
      <c r="Z93" s="7">
        <v>12790</v>
      </c>
      <c r="AA93" s="7">
        <v>0</v>
      </c>
      <c r="AB93" s="13"/>
    </row>
    <row r="94" spans="10:28" ht="15.6" customHeight="1" x14ac:dyDescent="0.3">
      <c r="J94" s="2">
        <v>90</v>
      </c>
      <c r="K94" s="41" t="s">
        <v>35</v>
      </c>
      <c r="L94" s="41" t="s">
        <v>31</v>
      </c>
      <c r="M94" s="41" t="s">
        <v>32</v>
      </c>
      <c r="N94" s="41" t="s">
        <v>26</v>
      </c>
      <c r="O94" s="41" t="s">
        <v>26</v>
      </c>
      <c r="Q94" s="17">
        <f t="shared" si="15"/>
        <v>10</v>
      </c>
      <c r="R94" s="17">
        <f t="shared" si="16"/>
        <v>6</v>
      </c>
      <c r="S94" s="17">
        <f t="shared" si="17"/>
        <v>7</v>
      </c>
      <c r="T94" s="17">
        <f t="shared" si="18"/>
        <v>2</v>
      </c>
      <c r="U94" s="17">
        <f t="shared" si="19"/>
        <v>2</v>
      </c>
      <c r="W94" s="7">
        <v>12871</v>
      </c>
      <c r="X94" s="7">
        <v>11816</v>
      </c>
      <c r="Y94" s="7">
        <v>11570</v>
      </c>
      <c r="Z94" s="7">
        <v>12071</v>
      </c>
      <c r="AA94" s="7">
        <v>0</v>
      </c>
      <c r="AB94" s="13"/>
    </row>
    <row r="95" spans="10:28" ht="15.6" customHeight="1" x14ac:dyDescent="0.3">
      <c r="J95" s="2">
        <v>91</v>
      </c>
      <c r="K95" s="41" t="s">
        <v>30</v>
      </c>
      <c r="L95" s="41" t="s">
        <v>44</v>
      </c>
      <c r="M95" s="41" t="s">
        <v>35</v>
      </c>
      <c r="N95" s="41" t="s">
        <v>48</v>
      </c>
      <c r="O95" s="41" t="s">
        <v>30</v>
      </c>
      <c r="Q95" s="17">
        <f t="shared" si="15"/>
        <v>5</v>
      </c>
      <c r="R95" s="17">
        <f t="shared" si="16"/>
        <v>15</v>
      </c>
      <c r="S95" s="17">
        <f t="shared" si="17"/>
        <v>10</v>
      </c>
      <c r="T95" s="17">
        <f t="shared" si="18"/>
        <v>17</v>
      </c>
      <c r="U95" s="17">
        <f t="shared" si="19"/>
        <v>5</v>
      </c>
      <c r="W95" s="7">
        <v>10769</v>
      </c>
      <c r="X95" s="7">
        <v>10472</v>
      </c>
      <c r="Y95" s="7">
        <v>12435</v>
      </c>
      <c r="Z95" s="7">
        <v>12568</v>
      </c>
      <c r="AA95" s="7">
        <v>12860</v>
      </c>
      <c r="AB95" s="13"/>
    </row>
    <row r="96" spans="10:28" ht="15.6" customHeight="1" x14ac:dyDescent="0.3">
      <c r="J96" s="2">
        <v>92</v>
      </c>
      <c r="K96" s="41" t="s">
        <v>28</v>
      </c>
      <c r="L96" s="41" t="s">
        <v>34</v>
      </c>
      <c r="M96" s="41" t="s">
        <v>34</v>
      </c>
      <c r="N96" s="41" t="s">
        <v>34</v>
      </c>
      <c r="O96" s="41" t="s">
        <v>32</v>
      </c>
      <c r="Q96" s="17">
        <f t="shared" si="15"/>
        <v>3</v>
      </c>
      <c r="R96" s="17">
        <f t="shared" si="16"/>
        <v>9</v>
      </c>
      <c r="S96" s="17">
        <f t="shared" si="17"/>
        <v>9</v>
      </c>
      <c r="T96" s="17">
        <f t="shared" si="18"/>
        <v>9</v>
      </c>
      <c r="U96" s="17">
        <f t="shared" si="19"/>
        <v>7</v>
      </c>
      <c r="W96" s="7">
        <v>11183</v>
      </c>
      <c r="X96" s="7">
        <v>12228</v>
      </c>
      <c r="Y96" s="7">
        <v>13990</v>
      </c>
      <c r="Z96" s="7">
        <v>11137</v>
      </c>
      <c r="AA96" s="7">
        <v>12246</v>
      </c>
      <c r="AB96" s="13"/>
    </row>
    <row r="97" spans="10:28" ht="15.6" customHeight="1" x14ac:dyDescent="0.3">
      <c r="J97" s="2">
        <v>93</v>
      </c>
      <c r="K97" s="41" t="s">
        <v>31</v>
      </c>
      <c r="L97" s="41" t="s">
        <v>30</v>
      </c>
      <c r="M97" s="41" t="s">
        <v>33</v>
      </c>
      <c r="N97" s="41" t="s">
        <v>35</v>
      </c>
      <c r="O97" s="41" t="s">
        <v>35</v>
      </c>
      <c r="Q97" s="17">
        <f t="shared" si="15"/>
        <v>6</v>
      </c>
      <c r="R97" s="17">
        <f t="shared" si="16"/>
        <v>5</v>
      </c>
      <c r="S97" s="17">
        <f t="shared" si="17"/>
        <v>8</v>
      </c>
      <c r="T97" s="17">
        <f t="shared" si="18"/>
        <v>10</v>
      </c>
      <c r="U97" s="17">
        <f t="shared" si="19"/>
        <v>10</v>
      </c>
      <c r="W97" s="7">
        <v>10998</v>
      </c>
      <c r="X97" s="7">
        <v>12150</v>
      </c>
      <c r="Y97" s="7">
        <v>0</v>
      </c>
      <c r="Z97" s="7">
        <v>11050</v>
      </c>
      <c r="AA97" s="7">
        <v>12156</v>
      </c>
      <c r="AB97" s="13"/>
    </row>
    <row r="98" spans="10:28" ht="15.6" customHeight="1" x14ac:dyDescent="0.3">
      <c r="J98" s="2">
        <v>94</v>
      </c>
      <c r="K98" s="41" t="s">
        <v>31</v>
      </c>
      <c r="L98" s="41" t="s">
        <v>29</v>
      </c>
      <c r="M98" s="41" t="s">
        <v>30</v>
      </c>
      <c r="N98" s="41" t="s">
        <v>42</v>
      </c>
      <c r="O98" s="41" t="s">
        <v>33</v>
      </c>
      <c r="Q98" s="17">
        <f t="shared" si="15"/>
        <v>6</v>
      </c>
      <c r="R98" s="17">
        <f t="shared" si="16"/>
        <v>4</v>
      </c>
      <c r="S98" s="17">
        <f t="shared" si="17"/>
        <v>5</v>
      </c>
      <c r="T98" s="17">
        <f t="shared" si="18"/>
        <v>14</v>
      </c>
      <c r="U98" s="17">
        <f t="shared" si="19"/>
        <v>8</v>
      </c>
      <c r="W98" s="7">
        <v>10834</v>
      </c>
      <c r="X98" s="7">
        <v>12657</v>
      </c>
      <c r="Y98" s="7">
        <v>0</v>
      </c>
      <c r="Z98" s="7">
        <v>10592</v>
      </c>
      <c r="AA98" s="7">
        <v>12591</v>
      </c>
      <c r="AB98" s="13"/>
    </row>
    <row r="99" spans="10:28" ht="15.6" customHeight="1" x14ac:dyDescent="0.3">
      <c r="J99" s="2">
        <v>95</v>
      </c>
      <c r="K99" s="41" t="s">
        <v>31</v>
      </c>
      <c r="L99" s="41" t="s">
        <v>34</v>
      </c>
      <c r="M99" s="41" t="s">
        <v>38</v>
      </c>
      <c r="N99" s="41" t="s">
        <v>31</v>
      </c>
      <c r="O99" s="41" t="s">
        <v>30</v>
      </c>
      <c r="Q99" s="17">
        <f t="shared" si="15"/>
        <v>6</v>
      </c>
      <c r="R99" s="17">
        <f t="shared" si="16"/>
        <v>9</v>
      </c>
      <c r="S99" s="17">
        <f t="shared" si="17"/>
        <v>12</v>
      </c>
      <c r="T99" s="17">
        <f t="shared" si="18"/>
        <v>6</v>
      </c>
      <c r="U99" s="17">
        <f t="shared" si="19"/>
        <v>5</v>
      </c>
      <c r="W99" s="7">
        <v>11620</v>
      </c>
      <c r="X99" s="7">
        <v>11486</v>
      </c>
      <c r="Y99" s="7">
        <v>0</v>
      </c>
      <c r="Z99" s="7">
        <v>11050</v>
      </c>
      <c r="AA99" s="7">
        <v>12437</v>
      </c>
      <c r="AB99" s="13"/>
    </row>
    <row r="100" spans="10:28" ht="15.6" customHeight="1" x14ac:dyDescent="0.3">
      <c r="J100" s="2">
        <v>96</v>
      </c>
      <c r="K100" s="41" t="s">
        <v>35</v>
      </c>
      <c r="L100" s="41" t="s">
        <v>30</v>
      </c>
      <c r="M100" s="41" t="s">
        <v>26</v>
      </c>
      <c r="N100" s="41" t="s">
        <v>31</v>
      </c>
      <c r="O100" s="41" t="s">
        <v>33</v>
      </c>
      <c r="Q100" s="17">
        <f t="shared" ref="Q100:Q131" si="20">IF(K100="","",VLOOKUP(K100,$A$4:$H$22,8,FALSE))</f>
        <v>10</v>
      </c>
      <c r="R100" s="17">
        <f t="shared" ref="R100:R131" si="21">IF(L100="","",VLOOKUP(L100,$A$4:$H$22,8,FALSE))</f>
        <v>5</v>
      </c>
      <c r="S100" s="17">
        <f t="shared" ref="S100:S131" si="22">IF(M100="","",VLOOKUP(M100,$A$4:$H$22,8,FALSE))</f>
        <v>2</v>
      </c>
      <c r="T100" s="17">
        <f t="shared" ref="T100:T131" si="23">IF(N100="","",VLOOKUP(N100,$A$4:$H$22,8,FALSE))</f>
        <v>6</v>
      </c>
      <c r="U100" s="17">
        <f t="shared" ref="U100:U131" si="24">IF(O100="","",VLOOKUP(O100,$A$4:$H$22,8,FALSE))</f>
        <v>8</v>
      </c>
      <c r="W100" s="7">
        <v>12388</v>
      </c>
      <c r="X100" s="7">
        <v>12762</v>
      </c>
      <c r="Y100" s="7">
        <v>0</v>
      </c>
      <c r="Z100" s="7">
        <v>10974</v>
      </c>
      <c r="AA100" s="7">
        <v>10151</v>
      </c>
      <c r="AB100" s="13"/>
    </row>
    <row r="101" spans="10:28" ht="15.6" customHeight="1" x14ac:dyDescent="0.3">
      <c r="J101" s="2">
        <v>97</v>
      </c>
      <c r="K101" s="41" t="s">
        <v>33</v>
      </c>
      <c r="L101" s="41" t="s">
        <v>42</v>
      </c>
      <c r="M101" s="41" t="s">
        <v>35</v>
      </c>
      <c r="N101" s="41" t="s">
        <v>33</v>
      </c>
      <c r="O101" s="41" t="s">
        <v>28</v>
      </c>
      <c r="Q101" s="17">
        <f t="shared" si="20"/>
        <v>8</v>
      </c>
      <c r="R101" s="17">
        <f t="shared" si="21"/>
        <v>14</v>
      </c>
      <c r="S101" s="17">
        <f t="shared" si="22"/>
        <v>10</v>
      </c>
      <c r="T101" s="17">
        <f t="shared" si="23"/>
        <v>8</v>
      </c>
      <c r="U101" s="17">
        <f t="shared" si="24"/>
        <v>3</v>
      </c>
      <c r="W101" s="7">
        <v>12324</v>
      </c>
      <c r="X101" s="7">
        <v>11213</v>
      </c>
      <c r="Y101" s="7">
        <v>9830</v>
      </c>
      <c r="Z101" s="7">
        <v>4036</v>
      </c>
      <c r="AA101" s="7">
        <v>10108</v>
      </c>
      <c r="AB101" s="13"/>
    </row>
    <row r="102" spans="10:28" ht="15.6" customHeight="1" x14ac:dyDescent="0.3">
      <c r="J102" s="2">
        <v>98</v>
      </c>
      <c r="K102" s="41" t="s">
        <v>29</v>
      </c>
      <c r="L102" s="41" t="s">
        <v>33</v>
      </c>
      <c r="M102" s="41" t="s">
        <v>28</v>
      </c>
      <c r="N102" s="41" t="s">
        <v>32</v>
      </c>
      <c r="O102" s="41" t="s">
        <v>29</v>
      </c>
      <c r="Q102" s="17">
        <f t="shared" si="20"/>
        <v>4</v>
      </c>
      <c r="R102" s="17">
        <f t="shared" si="21"/>
        <v>8</v>
      </c>
      <c r="S102" s="17">
        <f t="shared" si="22"/>
        <v>3</v>
      </c>
      <c r="T102" s="17">
        <f t="shared" si="23"/>
        <v>7</v>
      </c>
      <c r="U102" s="17">
        <f t="shared" si="24"/>
        <v>4</v>
      </c>
      <c r="W102" s="7">
        <v>12727</v>
      </c>
      <c r="X102" s="7">
        <v>10309</v>
      </c>
      <c r="Y102" s="7">
        <v>10140</v>
      </c>
      <c r="Z102" s="7">
        <v>4387</v>
      </c>
      <c r="AA102" s="7">
        <v>10258</v>
      </c>
      <c r="AB102" s="13"/>
    </row>
    <row r="103" spans="10:28" ht="15.6" customHeight="1" x14ac:dyDescent="0.3">
      <c r="J103" s="2">
        <v>99</v>
      </c>
      <c r="K103" s="41" t="s">
        <v>28</v>
      </c>
      <c r="L103" s="41" t="s">
        <v>31</v>
      </c>
      <c r="M103" s="41" t="s">
        <v>32</v>
      </c>
      <c r="N103" s="41" t="s">
        <v>31</v>
      </c>
      <c r="O103" s="41" t="s">
        <v>33</v>
      </c>
      <c r="Q103" s="17">
        <f t="shared" si="20"/>
        <v>3</v>
      </c>
      <c r="R103" s="17">
        <f t="shared" si="21"/>
        <v>6</v>
      </c>
      <c r="S103" s="17">
        <f t="shared" si="22"/>
        <v>7</v>
      </c>
      <c r="T103" s="17">
        <f t="shared" si="23"/>
        <v>6</v>
      </c>
      <c r="U103" s="17">
        <f t="shared" si="24"/>
        <v>8</v>
      </c>
      <c r="W103" s="7">
        <v>11868</v>
      </c>
      <c r="X103" s="7">
        <v>10407</v>
      </c>
      <c r="Y103" s="7">
        <v>12461</v>
      </c>
      <c r="Z103" s="7">
        <v>2667</v>
      </c>
      <c r="AA103" s="7">
        <v>10322</v>
      </c>
      <c r="AB103" s="13"/>
    </row>
    <row r="104" spans="10:28" ht="15.6" customHeight="1" x14ac:dyDescent="0.3">
      <c r="J104" s="2">
        <v>100</v>
      </c>
      <c r="K104" s="41" t="s">
        <v>35</v>
      </c>
      <c r="L104" s="41" t="s">
        <v>31</v>
      </c>
      <c r="M104" s="41" t="s">
        <v>44</v>
      </c>
      <c r="N104" s="41" t="s">
        <v>48</v>
      </c>
      <c r="O104" s="41" t="s">
        <v>29</v>
      </c>
      <c r="Q104" s="17">
        <f t="shared" si="20"/>
        <v>10</v>
      </c>
      <c r="R104" s="17">
        <f t="shared" si="21"/>
        <v>6</v>
      </c>
      <c r="S104" s="17">
        <f t="shared" si="22"/>
        <v>15</v>
      </c>
      <c r="T104" s="17">
        <f t="shared" si="23"/>
        <v>17</v>
      </c>
      <c r="U104" s="17">
        <f t="shared" si="24"/>
        <v>4</v>
      </c>
      <c r="W104" s="7">
        <v>10941</v>
      </c>
      <c r="X104" s="7">
        <v>10212</v>
      </c>
      <c r="Y104" s="7">
        <v>12594</v>
      </c>
      <c r="Z104" s="7">
        <v>4036</v>
      </c>
      <c r="AA104" s="7">
        <v>10162</v>
      </c>
      <c r="AB104" s="13"/>
    </row>
    <row r="105" spans="10:28" ht="15.6" customHeight="1" x14ac:dyDescent="0.3">
      <c r="J105" s="2">
        <v>101</v>
      </c>
      <c r="K105" s="41" t="s">
        <v>29</v>
      </c>
      <c r="L105" s="41" t="s">
        <v>29</v>
      </c>
      <c r="M105" s="41" t="s">
        <v>32</v>
      </c>
      <c r="N105" s="41" t="s">
        <v>33</v>
      </c>
      <c r="O105" s="41" t="s">
        <v>34</v>
      </c>
      <c r="Q105" s="17">
        <f t="shared" si="20"/>
        <v>4</v>
      </c>
      <c r="R105" s="17">
        <f t="shared" si="21"/>
        <v>4</v>
      </c>
      <c r="S105" s="17">
        <f t="shared" si="22"/>
        <v>7</v>
      </c>
      <c r="T105" s="17">
        <f t="shared" si="23"/>
        <v>8</v>
      </c>
      <c r="U105" s="17">
        <f t="shared" si="24"/>
        <v>9</v>
      </c>
      <c r="W105" s="7">
        <v>11959</v>
      </c>
      <c r="X105" s="7">
        <v>11643</v>
      </c>
      <c r="Y105" s="7">
        <v>12168</v>
      </c>
      <c r="Z105" s="7">
        <v>4387</v>
      </c>
      <c r="AA105" s="7">
        <v>6846</v>
      </c>
      <c r="AB105" s="13"/>
    </row>
    <row r="106" spans="10:28" ht="15.6" customHeight="1" x14ac:dyDescent="0.3">
      <c r="J106" s="2">
        <v>102</v>
      </c>
      <c r="K106" s="41" t="s">
        <v>30</v>
      </c>
      <c r="L106" s="41" t="s">
        <v>28</v>
      </c>
      <c r="M106" s="41" t="s">
        <v>34</v>
      </c>
      <c r="N106" s="41" t="s">
        <v>33</v>
      </c>
      <c r="O106" s="41" t="s">
        <v>29</v>
      </c>
      <c r="Q106" s="17">
        <f t="shared" si="20"/>
        <v>5</v>
      </c>
      <c r="R106" s="17">
        <f t="shared" si="21"/>
        <v>3</v>
      </c>
      <c r="S106" s="17">
        <f t="shared" si="22"/>
        <v>9</v>
      </c>
      <c r="T106" s="17">
        <f t="shared" si="23"/>
        <v>8</v>
      </c>
      <c r="U106" s="17">
        <f t="shared" si="24"/>
        <v>4</v>
      </c>
      <c r="W106" s="7">
        <v>12401</v>
      </c>
      <c r="X106" s="7">
        <v>11617</v>
      </c>
      <c r="Y106" s="7">
        <v>10240</v>
      </c>
      <c r="Z106" s="7">
        <v>2667</v>
      </c>
      <c r="AA106" s="7">
        <v>6458</v>
      </c>
      <c r="AB106" s="13"/>
    </row>
    <row r="107" spans="10:28" ht="15.6" customHeight="1" x14ac:dyDescent="0.3">
      <c r="J107" s="2">
        <v>103</v>
      </c>
      <c r="K107" s="41" t="s">
        <v>34</v>
      </c>
      <c r="L107" s="41" t="s">
        <v>29</v>
      </c>
      <c r="M107" s="41" t="s">
        <v>32</v>
      </c>
      <c r="N107" s="41" t="s">
        <v>33</v>
      </c>
      <c r="O107" s="41" t="s">
        <v>29</v>
      </c>
      <c r="Q107" s="17">
        <f t="shared" si="20"/>
        <v>9</v>
      </c>
      <c r="R107" s="17">
        <f t="shared" si="21"/>
        <v>4</v>
      </c>
      <c r="S107" s="17">
        <f t="shared" si="22"/>
        <v>7</v>
      </c>
      <c r="T107" s="17">
        <f t="shared" si="23"/>
        <v>8</v>
      </c>
      <c r="U107" s="17">
        <f t="shared" si="24"/>
        <v>4</v>
      </c>
      <c r="W107" s="7">
        <v>13523</v>
      </c>
      <c r="X107" s="7">
        <v>12384</v>
      </c>
      <c r="Y107" s="7">
        <v>9785</v>
      </c>
      <c r="Z107" s="7">
        <v>4036</v>
      </c>
      <c r="AA107" s="7">
        <v>5363</v>
      </c>
      <c r="AB107" s="13"/>
    </row>
    <row r="108" spans="10:28" ht="15.6" customHeight="1" x14ac:dyDescent="0.3">
      <c r="J108" s="2">
        <v>104</v>
      </c>
      <c r="K108" s="41" t="s">
        <v>35</v>
      </c>
      <c r="L108" s="41" t="s">
        <v>29</v>
      </c>
      <c r="M108" s="41" t="s">
        <v>35</v>
      </c>
      <c r="N108" s="41" t="s">
        <v>33</v>
      </c>
      <c r="O108" s="41" t="s">
        <v>29</v>
      </c>
      <c r="Q108" s="17">
        <f t="shared" si="20"/>
        <v>10</v>
      </c>
      <c r="R108" s="17">
        <f t="shared" si="21"/>
        <v>4</v>
      </c>
      <c r="S108" s="17">
        <f t="shared" si="22"/>
        <v>10</v>
      </c>
      <c r="T108" s="17">
        <f t="shared" si="23"/>
        <v>8</v>
      </c>
      <c r="U108" s="17">
        <f t="shared" si="24"/>
        <v>4</v>
      </c>
      <c r="W108" s="7">
        <v>11946</v>
      </c>
      <c r="X108" s="7">
        <v>12183</v>
      </c>
      <c r="Y108" s="7">
        <v>0</v>
      </c>
      <c r="Z108" s="7">
        <v>4387</v>
      </c>
      <c r="AA108" s="7">
        <v>6135</v>
      </c>
      <c r="AB108" s="13"/>
    </row>
    <row r="109" spans="10:28" ht="15.6" customHeight="1" x14ac:dyDescent="0.3">
      <c r="J109" s="2">
        <v>105</v>
      </c>
      <c r="K109" s="41" t="s">
        <v>34</v>
      </c>
      <c r="L109" s="41" t="s">
        <v>28</v>
      </c>
      <c r="M109" s="41" t="s">
        <v>50</v>
      </c>
      <c r="N109" s="41" t="s">
        <v>33</v>
      </c>
      <c r="O109" s="41" t="s">
        <v>35</v>
      </c>
      <c r="Q109" s="17">
        <f t="shared" si="20"/>
        <v>9</v>
      </c>
      <c r="R109" s="17">
        <f t="shared" si="21"/>
        <v>3</v>
      </c>
      <c r="S109" s="17">
        <f t="shared" si="22"/>
        <v>18</v>
      </c>
      <c r="T109" s="17">
        <f t="shared" si="23"/>
        <v>8</v>
      </c>
      <c r="U109" s="17">
        <f t="shared" si="24"/>
        <v>10</v>
      </c>
      <c r="W109" s="7">
        <v>9901</v>
      </c>
      <c r="X109" s="7">
        <v>11929</v>
      </c>
      <c r="Y109" s="7">
        <v>0</v>
      </c>
      <c r="Z109" s="7">
        <v>2667</v>
      </c>
      <c r="AA109" s="7">
        <v>8138</v>
      </c>
      <c r="AB109" s="13"/>
    </row>
    <row r="110" spans="10:28" ht="15.6" customHeight="1" x14ac:dyDescent="0.3">
      <c r="J110" s="2">
        <v>106</v>
      </c>
      <c r="K110" s="41" t="s">
        <v>35</v>
      </c>
      <c r="L110" s="41" t="s">
        <v>29</v>
      </c>
      <c r="M110" s="41" t="s">
        <v>30</v>
      </c>
      <c r="N110" s="41" t="s">
        <v>34</v>
      </c>
      <c r="O110" s="41" t="s">
        <v>30</v>
      </c>
      <c r="Q110" s="17">
        <f t="shared" si="20"/>
        <v>10</v>
      </c>
      <c r="R110" s="17">
        <f t="shared" si="21"/>
        <v>4</v>
      </c>
      <c r="S110" s="17">
        <f t="shared" si="22"/>
        <v>5</v>
      </c>
      <c r="T110" s="17">
        <f t="shared" si="23"/>
        <v>9</v>
      </c>
      <c r="U110" s="17">
        <f t="shared" si="24"/>
        <v>5</v>
      </c>
      <c r="W110" s="7">
        <v>11313</v>
      </c>
      <c r="X110" s="7">
        <v>12163</v>
      </c>
      <c r="Y110" s="7">
        <v>0</v>
      </c>
      <c r="Z110" s="7">
        <v>10603</v>
      </c>
      <c r="AA110" s="7">
        <v>12187</v>
      </c>
      <c r="AB110" s="13"/>
    </row>
    <row r="111" spans="10:28" ht="15.6" customHeight="1" x14ac:dyDescent="0.3">
      <c r="J111" s="2">
        <v>107</v>
      </c>
      <c r="K111" s="41" t="s">
        <v>30</v>
      </c>
      <c r="L111" s="41" t="s">
        <v>32</v>
      </c>
      <c r="M111" s="41" t="s">
        <v>26</v>
      </c>
      <c r="N111" s="41" t="s">
        <v>30</v>
      </c>
      <c r="O111" s="41" t="s">
        <v>29</v>
      </c>
      <c r="Q111" s="17">
        <f t="shared" si="20"/>
        <v>5</v>
      </c>
      <c r="R111" s="17">
        <f t="shared" si="21"/>
        <v>7</v>
      </c>
      <c r="S111" s="17">
        <f t="shared" si="22"/>
        <v>2</v>
      </c>
      <c r="T111" s="17">
        <f t="shared" si="23"/>
        <v>5</v>
      </c>
      <c r="U111" s="17">
        <f t="shared" si="24"/>
        <v>4</v>
      </c>
      <c r="W111" s="7">
        <v>10769</v>
      </c>
      <c r="X111" s="7">
        <v>12189</v>
      </c>
      <c r="Y111" s="7">
        <v>0</v>
      </c>
      <c r="Z111" s="7">
        <v>10255</v>
      </c>
      <c r="AA111" s="7">
        <v>12424</v>
      </c>
      <c r="AB111" s="13"/>
    </row>
    <row r="112" spans="10:28" ht="15.6" customHeight="1" x14ac:dyDescent="0.3">
      <c r="J112" s="2">
        <v>108</v>
      </c>
      <c r="K112" s="41" t="s">
        <v>30</v>
      </c>
      <c r="L112" s="41" t="s">
        <v>33</v>
      </c>
      <c r="M112" s="41" t="s">
        <v>29</v>
      </c>
      <c r="N112" s="41" t="s">
        <v>31</v>
      </c>
      <c r="O112" s="41" t="s">
        <v>30</v>
      </c>
      <c r="Q112" s="17">
        <f t="shared" si="20"/>
        <v>5</v>
      </c>
      <c r="R112" s="17">
        <f t="shared" si="21"/>
        <v>8</v>
      </c>
      <c r="S112" s="17">
        <f t="shared" si="22"/>
        <v>4</v>
      </c>
      <c r="T112" s="17">
        <f t="shared" si="23"/>
        <v>6</v>
      </c>
      <c r="U112" s="17">
        <f t="shared" si="24"/>
        <v>5</v>
      </c>
      <c r="W112" s="7">
        <v>11437</v>
      </c>
      <c r="X112" s="7">
        <v>13282</v>
      </c>
      <c r="Y112" s="7">
        <v>10532</v>
      </c>
      <c r="Z112" s="7">
        <v>12998</v>
      </c>
      <c r="AA112" s="7">
        <v>12322</v>
      </c>
      <c r="AB112" s="13"/>
    </row>
    <row r="113" spans="10:28" ht="15.6" customHeight="1" x14ac:dyDescent="0.3">
      <c r="J113" s="2">
        <v>109</v>
      </c>
      <c r="K113" s="41" t="s">
        <v>35</v>
      </c>
      <c r="L113" s="41" t="s">
        <v>32</v>
      </c>
      <c r="M113" s="41" t="s">
        <v>30</v>
      </c>
      <c r="N113" s="41" t="s">
        <v>29</v>
      </c>
      <c r="O113" s="41" t="s">
        <v>28</v>
      </c>
      <c r="Q113" s="17">
        <f t="shared" si="20"/>
        <v>10</v>
      </c>
      <c r="R113" s="17">
        <f t="shared" si="21"/>
        <v>7</v>
      </c>
      <c r="S113" s="17">
        <f t="shared" si="22"/>
        <v>5</v>
      </c>
      <c r="T113" s="17">
        <f t="shared" si="23"/>
        <v>4</v>
      </c>
      <c r="U113" s="17">
        <f t="shared" si="24"/>
        <v>3</v>
      </c>
      <c r="W113" s="7">
        <v>11815</v>
      </c>
      <c r="X113" s="7">
        <v>13528</v>
      </c>
      <c r="Y113" s="7">
        <v>12408</v>
      </c>
      <c r="Z113" s="7">
        <v>12842</v>
      </c>
      <c r="AA113" s="7">
        <v>12488</v>
      </c>
      <c r="AB113" s="13"/>
    </row>
    <row r="114" spans="10:28" ht="15.6" customHeight="1" x14ac:dyDescent="0.3">
      <c r="J114" s="2">
        <v>110</v>
      </c>
      <c r="K114" s="41" t="s">
        <v>34</v>
      </c>
      <c r="L114" s="41" t="s">
        <v>31</v>
      </c>
      <c r="M114" s="41" t="s">
        <v>33</v>
      </c>
      <c r="N114" s="41" t="s">
        <v>33</v>
      </c>
      <c r="O114" s="41" t="s">
        <v>33</v>
      </c>
      <c r="Q114" s="17">
        <f t="shared" si="20"/>
        <v>9</v>
      </c>
      <c r="R114" s="17">
        <f t="shared" si="21"/>
        <v>6</v>
      </c>
      <c r="S114" s="17">
        <f t="shared" si="22"/>
        <v>8</v>
      </c>
      <c r="T114" s="17">
        <f t="shared" si="23"/>
        <v>8</v>
      </c>
      <c r="U114" s="17">
        <f t="shared" si="24"/>
        <v>8</v>
      </c>
      <c r="W114" s="7">
        <v>10498</v>
      </c>
      <c r="X114" s="7">
        <v>13399</v>
      </c>
      <c r="Y114" s="7">
        <v>10716</v>
      </c>
      <c r="Z114" s="7">
        <v>10723</v>
      </c>
      <c r="AA114" s="7">
        <v>12335</v>
      </c>
      <c r="AB114" s="13"/>
    </row>
    <row r="115" spans="10:28" ht="15.6" customHeight="1" x14ac:dyDescent="0.3">
      <c r="J115" s="2">
        <v>111</v>
      </c>
      <c r="K115" s="41" t="s">
        <v>29</v>
      </c>
      <c r="L115" s="41" t="s">
        <v>31</v>
      </c>
      <c r="M115" s="41" t="s">
        <v>34</v>
      </c>
      <c r="N115" s="41" t="s">
        <v>31</v>
      </c>
      <c r="O115" s="41" t="s">
        <v>28</v>
      </c>
      <c r="Q115" s="17">
        <f t="shared" si="20"/>
        <v>4</v>
      </c>
      <c r="R115" s="17">
        <f t="shared" si="21"/>
        <v>6</v>
      </c>
      <c r="S115" s="17">
        <f t="shared" si="22"/>
        <v>9</v>
      </c>
      <c r="T115" s="17">
        <f t="shared" si="23"/>
        <v>6</v>
      </c>
      <c r="U115" s="17">
        <f t="shared" si="24"/>
        <v>3</v>
      </c>
      <c r="W115" s="7">
        <v>11269</v>
      </c>
      <c r="X115" s="7">
        <v>12254</v>
      </c>
      <c r="Y115" s="7">
        <v>12612</v>
      </c>
      <c r="Z115" s="7">
        <v>10930</v>
      </c>
      <c r="AA115" s="7">
        <v>11952</v>
      </c>
      <c r="AB115" s="13"/>
    </row>
    <row r="116" spans="10:28" ht="15.6" customHeight="1" x14ac:dyDescent="0.3">
      <c r="J116" s="2">
        <v>112</v>
      </c>
      <c r="K116" s="41" t="s">
        <v>33</v>
      </c>
      <c r="L116" s="41" t="s">
        <v>30</v>
      </c>
      <c r="M116" s="41" t="s">
        <v>35</v>
      </c>
      <c r="N116" s="41" t="s">
        <v>38</v>
      </c>
      <c r="O116" s="41" t="s">
        <v>29</v>
      </c>
      <c r="Q116" s="17">
        <f t="shared" si="20"/>
        <v>8</v>
      </c>
      <c r="R116" s="17">
        <f t="shared" si="21"/>
        <v>5</v>
      </c>
      <c r="S116" s="17">
        <f t="shared" si="22"/>
        <v>10</v>
      </c>
      <c r="T116" s="17">
        <f t="shared" si="23"/>
        <v>12</v>
      </c>
      <c r="U116" s="17">
        <f t="shared" si="24"/>
        <v>4</v>
      </c>
      <c r="W116" s="7">
        <v>10944</v>
      </c>
      <c r="X116" s="7">
        <v>12775</v>
      </c>
      <c r="Y116" s="7">
        <v>11326</v>
      </c>
      <c r="Z116" s="7">
        <v>11442</v>
      </c>
      <c r="AA116" s="7">
        <v>10226</v>
      </c>
      <c r="AB116" s="13"/>
    </row>
    <row r="117" spans="10:28" ht="15.6" customHeight="1" x14ac:dyDescent="0.3">
      <c r="J117" s="2">
        <v>113</v>
      </c>
      <c r="K117" s="41" t="s">
        <v>33</v>
      </c>
      <c r="L117" s="41" t="s">
        <v>31</v>
      </c>
      <c r="M117" s="41" t="s">
        <v>40</v>
      </c>
      <c r="N117" s="41" t="s">
        <v>29</v>
      </c>
      <c r="O117" s="41" t="s">
        <v>33</v>
      </c>
      <c r="Q117" s="17">
        <f t="shared" si="20"/>
        <v>8</v>
      </c>
      <c r="R117" s="17">
        <f t="shared" si="21"/>
        <v>6</v>
      </c>
      <c r="S117" s="17">
        <f t="shared" si="22"/>
        <v>13</v>
      </c>
      <c r="T117" s="17">
        <f t="shared" si="23"/>
        <v>4</v>
      </c>
      <c r="U117" s="17">
        <f t="shared" si="24"/>
        <v>8</v>
      </c>
      <c r="W117" s="7">
        <v>11118</v>
      </c>
      <c r="X117" s="7">
        <v>13203</v>
      </c>
      <c r="Y117" s="7">
        <v>9886</v>
      </c>
      <c r="Z117" s="7">
        <v>12842</v>
      </c>
      <c r="AA117" s="7">
        <v>10279</v>
      </c>
      <c r="AB117" s="13"/>
    </row>
    <row r="118" spans="10:28" ht="15.6" customHeight="1" x14ac:dyDescent="0.3">
      <c r="J118" s="2">
        <v>114</v>
      </c>
      <c r="K118" s="41" t="s">
        <v>33</v>
      </c>
      <c r="L118" s="41" t="s">
        <v>31</v>
      </c>
      <c r="M118" s="41" t="s">
        <v>28</v>
      </c>
      <c r="N118" s="41" t="s">
        <v>36</v>
      </c>
      <c r="O118" s="41" t="s">
        <v>35</v>
      </c>
      <c r="Q118" s="17">
        <f t="shared" si="20"/>
        <v>8</v>
      </c>
      <c r="R118" s="17">
        <f t="shared" si="21"/>
        <v>6</v>
      </c>
      <c r="S118" s="17">
        <f t="shared" si="22"/>
        <v>3</v>
      </c>
      <c r="T118" s="17">
        <f t="shared" si="23"/>
        <v>11</v>
      </c>
      <c r="U118" s="17">
        <f t="shared" si="24"/>
        <v>10</v>
      </c>
      <c r="W118" s="7">
        <v>12337</v>
      </c>
      <c r="X118" s="7">
        <v>12969</v>
      </c>
      <c r="Y118" s="7">
        <v>11544</v>
      </c>
      <c r="Z118" s="7">
        <v>12672</v>
      </c>
      <c r="AA118" s="7">
        <v>10140</v>
      </c>
      <c r="AB118" s="13"/>
    </row>
    <row r="119" spans="10:28" ht="15.6" customHeight="1" x14ac:dyDescent="0.3">
      <c r="J119" s="2">
        <v>115</v>
      </c>
      <c r="K119" s="41" t="s">
        <v>31</v>
      </c>
      <c r="L119" s="41" t="s">
        <v>33</v>
      </c>
      <c r="M119" s="41" t="s">
        <v>35</v>
      </c>
      <c r="N119" s="41" t="s">
        <v>34</v>
      </c>
      <c r="O119" s="41" t="s">
        <v>32</v>
      </c>
      <c r="Q119" s="17">
        <f t="shared" si="20"/>
        <v>6</v>
      </c>
      <c r="R119" s="17">
        <f t="shared" si="21"/>
        <v>8</v>
      </c>
      <c r="S119" s="17">
        <f t="shared" si="22"/>
        <v>10</v>
      </c>
      <c r="T119" s="17">
        <f t="shared" si="23"/>
        <v>9</v>
      </c>
      <c r="U119" s="17">
        <f t="shared" si="24"/>
        <v>7</v>
      </c>
      <c r="W119" s="7">
        <v>11450</v>
      </c>
      <c r="X119" s="7">
        <v>12137</v>
      </c>
      <c r="Y119" s="7">
        <v>11597</v>
      </c>
      <c r="Z119" s="7">
        <v>13194</v>
      </c>
      <c r="AA119" s="7">
        <v>12424</v>
      </c>
      <c r="AB119" s="13"/>
    </row>
    <row r="120" spans="10:28" ht="15.6" customHeight="1" x14ac:dyDescent="0.3">
      <c r="J120" s="2">
        <v>116</v>
      </c>
      <c r="K120" s="41" t="s">
        <v>28</v>
      </c>
      <c r="L120" s="41" t="s">
        <v>28</v>
      </c>
      <c r="M120" s="41" t="s">
        <v>29</v>
      </c>
      <c r="N120" s="41" t="s">
        <v>35</v>
      </c>
      <c r="O120" s="41" t="s">
        <v>30</v>
      </c>
      <c r="Q120" s="17">
        <f t="shared" si="20"/>
        <v>3</v>
      </c>
      <c r="R120" s="17">
        <f t="shared" si="21"/>
        <v>3</v>
      </c>
      <c r="S120" s="17">
        <f t="shared" si="22"/>
        <v>4</v>
      </c>
      <c r="T120" s="17">
        <f t="shared" si="23"/>
        <v>10</v>
      </c>
      <c r="U120" s="17">
        <f t="shared" si="24"/>
        <v>5</v>
      </c>
      <c r="W120" s="7">
        <v>11046</v>
      </c>
      <c r="X120" s="7">
        <v>12696</v>
      </c>
      <c r="Y120" s="7">
        <v>10495</v>
      </c>
      <c r="Z120" s="7">
        <v>12568</v>
      </c>
      <c r="AA120" s="7">
        <v>6135</v>
      </c>
      <c r="AB120" s="13"/>
    </row>
    <row r="121" spans="10:28" ht="15.6" customHeight="1" x14ac:dyDescent="0.3">
      <c r="J121" s="2">
        <v>117</v>
      </c>
      <c r="K121" s="41" t="s">
        <v>34</v>
      </c>
      <c r="L121" s="41" t="s">
        <v>32</v>
      </c>
      <c r="M121" s="41" t="s">
        <v>40</v>
      </c>
      <c r="N121" s="41" t="s">
        <v>34</v>
      </c>
      <c r="O121" s="41" t="s">
        <v>30</v>
      </c>
      <c r="Q121" s="17">
        <f t="shared" si="20"/>
        <v>9</v>
      </c>
      <c r="R121" s="17">
        <f t="shared" si="21"/>
        <v>7</v>
      </c>
      <c r="S121" s="17">
        <f t="shared" si="22"/>
        <v>13</v>
      </c>
      <c r="T121" s="17">
        <f t="shared" si="23"/>
        <v>9</v>
      </c>
      <c r="U121" s="17">
        <f t="shared" si="24"/>
        <v>5</v>
      </c>
      <c r="W121" s="7">
        <v>10641</v>
      </c>
      <c r="X121" s="7">
        <v>12033</v>
      </c>
      <c r="Y121" s="7">
        <v>12346</v>
      </c>
      <c r="Z121" s="7">
        <v>13430</v>
      </c>
      <c r="AA121" s="7">
        <v>8138</v>
      </c>
      <c r="AB121" s="13"/>
    </row>
    <row r="122" spans="10:28" ht="15.6" customHeight="1" x14ac:dyDescent="0.3">
      <c r="J122" s="2">
        <v>118</v>
      </c>
      <c r="K122" s="41" t="s">
        <v>32</v>
      </c>
      <c r="L122" s="41" t="s">
        <v>35</v>
      </c>
      <c r="M122" s="41" t="s">
        <v>30</v>
      </c>
      <c r="N122" s="41" t="s">
        <v>31</v>
      </c>
      <c r="O122" s="41" t="s">
        <v>30</v>
      </c>
      <c r="Q122" s="17">
        <f t="shared" si="20"/>
        <v>7</v>
      </c>
      <c r="R122" s="17">
        <f t="shared" si="21"/>
        <v>10</v>
      </c>
      <c r="S122" s="17">
        <f t="shared" si="22"/>
        <v>5</v>
      </c>
      <c r="T122" s="17">
        <f t="shared" si="23"/>
        <v>6</v>
      </c>
      <c r="U122" s="17">
        <f t="shared" si="24"/>
        <v>5</v>
      </c>
      <c r="W122" s="7">
        <v>11411</v>
      </c>
      <c r="X122" s="7">
        <v>12176</v>
      </c>
      <c r="Y122" s="7">
        <v>8149</v>
      </c>
      <c r="Z122" s="7">
        <v>13037</v>
      </c>
      <c r="AA122" s="7">
        <v>12187</v>
      </c>
      <c r="AB122" s="13"/>
    </row>
    <row r="123" spans="10:28" ht="15.6" customHeight="1" x14ac:dyDescent="0.3">
      <c r="J123" s="2">
        <v>119</v>
      </c>
      <c r="K123" s="41" t="s">
        <v>29</v>
      </c>
      <c r="L123" s="41" t="s">
        <v>32</v>
      </c>
      <c r="M123" s="41" t="s">
        <v>30</v>
      </c>
      <c r="N123" s="41" t="s">
        <v>34</v>
      </c>
      <c r="O123" s="41" t="s">
        <v>34</v>
      </c>
      <c r="Q123" s="17">
        <f t="shared" si="20"/>
        <v>4</v>
      </c>
      <c r="R123" s="17">
        <f t="shared" si="21"/>
        <v>7</v>
      </c>
      <c r="S123" s="17">
        <f t="shared" si="22"/>
        <v>5</v>
      </c>
      <c r="T123" s="17">
        <f t="shared" si="23"/>
        <v>9</v>
      </c>
      <c r="U123" s="17">
        <f t="shared" si="24"/>
        <v>9</v>
      </c>
      <c r="W123" s="7">
        <v>11437</v>
      </c>
      <c r="X123" s="7">
        <v>9962</v>
      </c>
      <c r="Y123" s="7">
        <v>7433</v>
      </c>
      <c r="Z123" s="7">
        <v>13181</v>
      </c>
      <c r="AA123" s="7">
        <v>12731</v>
      </c>
      <c r="AB123" s="13"/>
    </row>
    <row r="124" spans="10:28" ht="15.6" customHeight="1" x14ac:dyDescent="0.3">
      <c r="J124" s="2">
        <v>120</v>
      </c>
      <c r="K124" s="41" t="s">
        <v>30</v>
      </c>
      <c r="L124" s="41" t="s">
        <v>31</v>
      </c>
      <c r="M124" s="41" t="s">
        <v>28</v>
      </c>
      <c r="N124" s="41" t="s">
        <v>44</v>
      </c>
      <c r="O124" s="41" t="s">
        <v>33</v>
      </c>
      <c r="Q124" s="17">
        <f t="shared" si="20"/>
        <v>5</v>
      </c>
      <c r="R124" s="17">
        <f t="shared" si="21"/>
        <v>6</v>
      </c>
      <c r="S124" s="17">
        <f t="shared" si="22"/>
        <v>3</v>
      </c>
      <c r="T124" s="17">
        <f t="shared" si="23"/>
        <v>15</v>
      </c>
      <c r="U124" s="17">
        <f t="shared" si="24"/>
        <v>8</v>
      </c>
      <c r="W124" s="7">
        <v>11041</v>
      </c>
      <c r="X124" s="7">
        <v>11079</v>
      </c>
      <c r="Y124" s="7">
        <v>7632</v>
      </c>
      <c r="Z124" s="7">
        <v>13847</v>
      </c>
      <c r="AA124" s="7">
        <v>12809</v>
      </c>
      <c r="AB124" s="13"/>
    </row>
    <row r="125" spans="10:28" ht="15.6" customHeight="1" x14ac:dyDescent="0.3">
      <c r="J125" s="2">
        <v>121</v>
      </c>
      <c r="K125" s="41" t="s">
        <v>33</v>
      </c>
      <c r="L125" s="41" t="s">
        <v>31</v>
      </c>
      <c r="M125" s="41" t="s">
        <v>29</v>
      </c>
      <c r="N125" s="41" t="s">
        <v>33</v>
      </c>
      <c r="O125" s="41" t="s">
        <v>31</v>
      </c>
      <c r="Q125" s="17">
        <f t="shared" si="20"/>
        <v>8</v>
      </c>
      <c r="R125" s="17">
        <f t="shared" si="21"/>
        <v>6</v>
      </c>
      <c r="S125" s="17">
        <f t="shared" si="22"/>
        <v>4</v>
      </c>
      <c r="T125" s="17">
        <f t="shared" si="23"/>
        <v>8</v>
      </c>
      <c r="U125" s="17">
        <f t="shared" si="24"/>
        <v>6</v>
      </c>
      <c r="W125" s="7">
        <v>10618</v>
      </c>
      <c r="X125" s="7">
        <v>10592</v>
      </c>
      <c r="Y125" s="7">
        <v>6023</v>
      </c>
      <c r="Z125" s="7">
        <v>13116</v>
      </c>
      <c r="AA125" s="7">
        <v>11491</v>
      </c>
      <c r="AB125" s="13"/>
    </row>
    <row r="126" spans="10:28" ht="15.6" customHeight="1" x14ac:dyDescent="0.3">
      <c r="J126" s="2">
        <v>122</v>
      </c>
      <c r="K126" s="41" t="s">
        <v>35</v>
      </c>
      <c r="L126" s="41" t="s">
        <v>31</v>
      </c>
      <c r="M126" s="41" t="s">
        <v>34</v>
      </c>
      <c r="N126" s="41" t="s">
        <v>34</v>
      </c>
      <c r="O126" s="41" t="s">
        <v>33</v>
      </c>
      <c r="Q126" s="17">
        <f t="shared" si="20"/>
        <v>10</v>
      </c>
      <c r="R126" s="17">
        <f t="shared" si="21"/>
        <v>6</v>
      </c>
      <c r="S126" s="17">
        <f t="shared" si="22"/>
        <v>9</v>
      </c>
      <c r="T126" s="17">
        <f t="shared" si="23"/>
        <v>9</v>
      </c>
      <c r="U126" s="17">
        <f t="shared" si="24"/>
        <v>8</v>
      </c>
      <c r="W126" s="7">
        <v>10595</v>
      </c>
      <c r="X126" s="7">
        <v>10993</v>
      </c>
      <c r="Y126" s="7">
        <v>6327</v>
      </c>
      <c r="Z126" s="7">
        <v>12332</v>
      </c>
      <c r="AA126" s="7">
        <v>12322</v>
      </c>
      <c r="AB126" s="13"/>
    </row>
    <row r="127" spans="10:28" ht="15.6" customHeight="1" x14ac:dyDescent="0.3">
      <c r="J127" s="2">
        <v>123</v>
      </c>
      <c r="K127" s="41" t="s">
        <v>35</v>
      </c>
      <c r="L127" s="41" t="s">
        <v>46</v>
      </c>
      <c r="M127" s="41" t="s">
        <v>35</v>
      </c>
      <c r="N127" s="41" t="s">
        <v>30</v>
      </c>
      <c r="O127" s="41" t="s">
        <v>32</v>
      </c>
      <c r="Q127" s="17">
        <f t="shared" si="20"/>
        <v>10</v>
      </c>
      <c r="R127" s="17">
        <f t="shared" si="21"/>
        <v>16</v>
      </c>
      <c r="S127" s="17">
        <f t="shared" si="22"/>
        <v>10</v>
      </c>
      <c r="T127" s="17">
        <f t="shared" si="23"/>
        <v>5</v>
      </c>
      <c r="U127" s="17">
        <f t="shared" si="24"/>
        <v>7</v>
      </c>
      <c r="W127" s="7">
        <v>12011</v>
      </c>
      <c r="X127" s="7">
        <v>12345</v>
      </c>
      <c r="Y127" s="7">
        <v>5713</v>
      </c>
      <c r="Z127" s="7">
        <v>12894</v>
      </c>
      <c r="AA127" s="7">
        <v>11990</v>
      </c>
      <c r="AB127" s="13"/>
    </row>
    <row r="128" spans="10:28" ht="15.6" customHeight="1" x14ac:dyDescent="0.3">
      <c r="J128" s="2">
        <v>124</v>
      </c>
      <c r="K128" s="41" t="s">
        <v>32</v>
      </c>
      <c r="L128" s="41" t="s">
        <v>29</v>
      </c>
      <c r="M128" s="41" t="s">
        <v>34</v>
      </c>
      <c r="N128" s="41" t="s">
        <v>35</v>
      </c>
      <c r="O128" s="41" t="s">
        <v>35</v>
      </c>
      <c r="Q128" s="17">
        <f t="shared" si="20"/>
        <v>7</v>
      </c>
      <c r="R128" s="17">
        <f t="shared" si="21"/>
        <v>4</v>
      </c>
      <c r="S128" s="17">
        <f t="shared" si="22"/>
        <v>9</v>
      </c>
      <c r="T128" s="17">
        <f t="shared" si="23"/>
        <v>10</v>
      </c>
      <c r="U128" s="17">
        <f t="shared" si="24"/>
        <v>10</v>
      </c>
      <c r="W128" s="7">
        <v>10715</v>
      </c>
      <c r="X128" s="7">
        <v>13868</v>
      </c>
      <c r="Y128" s="7">
        <v>6171</v>
      </c>
      <c r="Z128" s="7">
        <v>13129</v>
      </c>
      <c r="AA128" s="7">
        <v>12450</v>
      </c>
      <c r="AB128" s="13"/>
    </row>
    <row r="129" spans="10:28" ht="15.6" customHeight="1" x14ac:dyDescent="0.3">
      <c r="J129" s="2">
        <v>125</v>
      </c>
      <c r="K129" s="41" t="s">
        <v>28</v>
      </c>
      <c r="L129" s="41" t="s">
        <v>34</v>
      </c>
      <c r="M129" s="41" t="s">
        <v>34</v>
      </c>
      <c r="N129" s="41" t="s">
        <v>31</v>
      </c>
      <c r="O129" s="41" t="s">
        <v>34</v>
      </c>
      <c r="Q129" s="17">
        <f t="shared" si="20"/>
        <v>3</v>
      </c>
      <c r="R129" s="17">
        <f t="shared" si="21"/>
        <v>9</v>
      </c>
      <c r="S129" s="17">
        <f t="shared" si="22"/>
        <v>9</v>
      </c>
      <c r="T129" s="17">
        <f t="shared" si="23"/>
        <v>6</v>
      </c>
      <c r="U129" s="17">
        <f t="shared" si="24"/>
        <v>9</v>
      </c>
      <c r="W129" s="7">
        <v>10694</v>
      </c>
      <c r="X129" s="7">
        <v>12202</v>
      </c>
      <c r="Y129" s="7">
        <v>6543</v>
      </c>
      <c r="Z129" s="7">
        <v>12423</v>
      </c>
      <c r="AA129" s="7">
        <v>12105</v>
      </c>
      <c r="AB129" s="13"/>
    </row>
    <row r="130" spans="10:28" ht="15.6" customHeight="1" x14ac:dyDescent="0.3">
      <c r="J130" s="2">
        <v>126</v>
      </c>
      <c r="K130" s="41" t="s">
        <v>30</v>
      </c>
      <c r="L130" s="41" t="s">
        <v>32</v>
      </c>
      <c r="M130" s="41" t="s">
        <v>34</v>
      </c>
      <c r="N130" s="41" t="s">
        <v>32</v>
      </c>
      <c r="O130" s="41" t="s">
        <v>29</v>
      </c>
      <c r="Q130" s="17">
        <f t="shared" si="20"/>
        <v>5</v>
      </c>
      <c r="R130" s="17">
        <f t="shared" si="21"/>
        <v>7</v>
      </c>
      <c r="S130" s="17">
        <f t="shared" si="22"/>
        <v>9</v>
      </c>
      <c r="T130" s="17">
        <f t="shared" si="23"/>
        <v>7</v>
      </c>
      <c r="U130" s="17">
        <f t="shared" si="24"/>
        <v>4</v>
      </c>
      <c r="W130" s="7">
        <v>11498</v>
      </c>
      <c r="X130" s="7">
        <v>12501</v>
      </c>
      <c r="Y130" s="7">
        <v>5392</v>
      </c>
      <c r="Z130" s="7">
        <v>13037</v>
      </c>
      <c r="AA130" s="7">
        <v>10108</v>
      </c>
      <c r="AB130" s="13"/>
    </row>
    <row r="131" spans="10:28" ht="15.6" customHeight="1" x14ac:dyDescent="0.3">
      <c r="J131" s="2">
        <v>127</v>
      </c>
      <c r="K131" s="41" t="s">
        <v>30</v>
      </c>
      <c r="L131" s="41" t="s">
        <v>30</v>
      </c>
      <c r="M131" s="41" t="s">
        <v>50</v>
      </c>
      <c r="N131" s="41" t="s">
        <v>35</v>
      </c>
      <c r="O131" s="41" t="s">
        <v>33</v>
      </c>
      <c r="Q131" s="17">
        <f t="shared" si="20"/>
        <v>5</v>
      </c>
      <c r="R131" s="17">
        <f t="shared" si="21"/>
        <v>5</v>
      </c>
      <c r="S131" s="17">
        <f t="shared" si="22"/>
        <v>18</v>
      </c>
      <c r="T131" s="17">
        <f t="shared" si="23"/>
        <v>10</v>
      </c>
      <c r="U131" s="17">
        <f t="shared" si="24"/>
        <v>8</v>
      </c>
      <c r="W131" s="7">
        <v>10726</v>
      </c>
      <c r="X131" s="7">
        <v>11556</v>
      </c>
      <c r="Y131" s="7">
        <v>7211</v>
      </c>
      <c r="Z131" s="7">
        <v>13299</v>
      </c>
      <c r="AA131" s="7">
        <v>0</v>
      </c>
      <c r="AB131" s="13"/>
    </row>
    <row r="132" spans="10:28" ht="15.6" customHeight="1" x14ac:dyDescent="0.3">
      <c r="J132" s="2">
        <v>128</v>
      </c>
      <c r="K132" s="41" t="s">
        <v>35</v>
      </c>
      <c r="L132" s="41" t="s">
        <v>29</v>
      </c>
      <c r="M132" s="41" t="s">
        <v>50</v>
      </c>
      <c r="N132" s="41" t="s">
        <v>33</v>
      </c>
      <c r="O132" s="41" t="s">
        <v>30</v>
      </c>
      <c r="Q132" s="17">
        <f t="shared" ref="Q132:Q163" si="25">IF(K132="","",VLOOKUP(K132,$A$4:$H$22,8,FALSE))</f>
        <v>10</v>
      </c>
      <c r="R132" s="17">
        <f t="shared" ref="R132:R163" si="26">IF(L132="","",VLOOKUP(L132,$A$4:$H$22,8,FALSE))</f>
        <v>4</v>
      </c>
      <c r="S132" s="17">
        <f t="shared" ref="S132:S163" si="27">IF(M132="","",VLOOKUP(M132,$A$4:$H$22,8,FALSE))</f>
        <v>18</v>
      </c>
      <c r="T132" s="17">
        <f t="shared" ref="T132:T163" si="28">IF(N132="","",VLOOKUP(N132,$A$4:$H$22,8,FALSE))</f>
        <v>8</v>
      </c>
      <c r="U132" s="17">
        <f t="shared" ref="U132:U163" si="29">IF(O132="","",VLOOKUP(O132,$A$4:$H$22,8,FALSE))</f>
        <v>5</v>
      </c>
      <c r="W132" s="7">
        <v>10933</v>
      </c>
      <c r="X132" s="7">
        <v>6649</v>
      </c>
      <c r="Y132" s="7">
        <v>8186</v>
      </c>
      <c r="Z132" s="7">
        <v>12777</v>
      </c>
      <c r="AA132" s="7">
        <v>0</v>
      </c>
      <c r="AB132" s="13"/>
    </row>
    <row r="133" spans="10:28" ht="15.6" customHeight="1" x14ac:dyDescent="0.3">
      <c r="J133" s="2">
        <v>129</v>
      </c>
      <c r="K133" s="41" t="s">
        <v>35</v>
      </c>
      <c r="L133" s="41" t="s">
        <v>36</v>
      </c>
      <c r="M133" s="41" t="s">
        <v>34</v>
      </c>
      <c r="N133" s="41" t="s">
        <v>29</v>
      </c>
      <c r="O133" s="41" t="s">
        <v>30</v>
      </c>
      <c r="Q133" s="17">
        <f t="shared" si="25"/>
        <v>10</v>
      </c>
      <c r="R133" s="17">
        <f t="shared" si="26"/>
        <v>11</v>
      </c>
      <c r="S133" s="17">
        <f t="shared" si="27"/>
        <v>9</v>
      </c>
      <c r="T133" s="17">
        <f t="shared" si="28"/>
        <v>4</v>
      </c>
      <c r="U133" s="17">
        <f t="shared" si="29"/>
        <v>5</v>
      </c>
      <c r="W133" s="7">
        <v>12024</v>
      </c>
      <c r="X133" s="7">
        <v>11090</v>
      </c>
      <c r="Y133" s="7">
        <v>5829</v>
      </c>
      <c r="Z133" s="7">
        <v>12176</v>
      </c>
      <c r="AA133" s="7">
        <v>0</v>
      </c>
      <c r="AB133" s="13"/>
    </row>
    <row r="134" spans="10:28" ht="15.6" customHeight="1" x14ac:dyDescent="0.3">
      <c r="J134" s="2">
        <v>130</v>
      </c>
      <c r="K134" s="41" t="s">
        <v>33</v>
      </c>
      <c r="L134" s="41" t="s">
        <v>32</v>
      </c>
      <c r="M134" s="41" t="s">
        <v>35</v>
      </c>
      <c r="N134" s="41" t="s">
        <v>35</v>
      </c>
      <c r="O134" s="41" t="s">
        <v>26</v>
      </c>
      <c r="Q134" s="17">
        <f t="shared" si="25"/>
        <v>8</v>
      </c>
      <c r="R134" s="17">
        <f t="shared" si="26"/>
        <v>7</v>
      </c>
      <c r="S134" s="17">
        <f t="shared" si="27"/>
        <v>10</v>
      </c>
      <c r="T134" s="17">
        <f t="shared" si="28"/>
        <v>10</v>
      </c>
      <c r="U134" s="17">
        <f t="shared" si="29"/>
        <v>2</v>
      </c>
      <c r="W134" s="7">
        <v>12468</v>
      </c>
      <c r="X134" s="7">
        <v>6504</v>
      </c>
      <c r="Y134" s="7">
        <v>8149</v>
      </c>
      <c r="Z134" s="7">
        <v>13011</v>
      </c>
      <c r="AA134" s="7">
        <v>0</v>
      </c>
      <c r="AB134" s="13"/>
    </row>
    <row r="135" spans="10:28" ht="15.6" customHeight="1" x14ac:dyDescent="0.3">
      <c r="J135" s="2">
        <v>131</v>
      </c>
      <c r="K135" s="41" t="s">
        <v>32</v>
      </c>
      <c r="L135" s="41" t="s">
        <v>34</v>
      </c>
      <c r="M135" s="41" t="s">
        <v>32</v>
      </c>
      <c r="N135" s="41" t="s">
        <v>29</v>
      </c>
      <c r="O135" s="41" t="s">
        <v>29</v>
      </c>
      <c r="Q135" s="17">
        <f t="shared" si="25"/>
        <v>7</v>
      </c>
      <c r="R135" s="17">
        <f t="shared" si="26"/>
        <v>9</v>
      </c>
      <c r="S135" s="17">
        <f t="shared" si="27"/>
        <v>7</v>
      </c>
      <c r="T135" s="17">
        <f t="shared" si="28"/>
        <v>4</v>
      </c>
      <c r="U135" s="17">
        <f t="shared" si="29"/>
        <v>4</v>
      </c>
      <c r="W135" s="7">
        <v>10574</v>
      </c>
      <c r="X135" s="7">
        <v>5409</v>
      </c>
      <c r="Y135" s="7">
        <v>7433</v>
      </c>
      <c r="Z135" s="7">
        <v>12672</v>
      </c>
      <c r="AA135" s="7">
        <v>6846</v>
      </c>
      <c r="AB135" s="13"/>
    </row>
    <row r="136" spans="10:28" ht="15.6" customHeight="1" x14ac:dyDescent="0.3">
      <c r="J136" s="2">
        <v>132</v>
      </c>
      <c r="K136" s="41" t="s">
        <v>31</v>
      </c>
      <c r="L136" s="41" t="s">
        <v>31</v>
      </c>
      <c r="M136" s="41" t="s">
        <v>30</v>
      </c>
      <c r="N136" s="41" t="s">
        <v>34</v>
      </c>
      <c r="O136" s="41" t="s">
        <v>29</v>
      </c>
      <c r="Q136" s="17">
        <f t="shared" si="25"/>
        <v>6</v>
      </c>
      <c r="R136" s="17">
        <f t="shared" si="26"/>
        <v>6</v>
      </c>
      <c r="S136" s="17">
        <f t="shared" si="27"/>
        <v>5</v>
      </c>
      <c r="T136" s="17">
        <f t="shared" si="28"/>
        <v>9</v>
      </c>
      <c r="U136" s="17">
        <f t="shared" si="29"/>
        <v>4</v>
      </c>
      <c r="W136" s="7">
        <v>10900</v>
      </c>
      <c r="X136" s="7">
        <v>6649</v>
      </c>
      <c r="Y136" s="7">
        <v>12357</v>
      </c>
      <c r="Z136" s="7">
        <v>12169</v>
      </c>
      <c r="AA136" s="7">
        <v>6458</v>
      </c>
      <c r="AB136" s="13"/>
    </row>
    <row r="137" spans="10:28" ht="15.6" customHeight="1" x14ac:dyDescent="0.3">
      <c r="J137" s="2">
        <v>133</v>
      </c>
      <c r="K137" s="41" t="s">
        <v>33</v>
      </c>
      <c r="L137" s="41" t="s">
        <v>29</v>
      </c>
      <c r="M137" s="41" t="s">
        <v>33</v>
      </c>
      <c r="N137" s="41" t="s">
        <v>33</v>
      </c>
      <c r="O137" s="41" t="s">
        <v>29</v>
      </c>
      <c r="Q137" s="17">
        <f t="shared" si="25"/>
        <v>8</v>
      </c>
      <c r="R137" s="17">
        <f t="shared" si="26"/>
        <v>4</v>
      </c>
      <c r="S137" s="17">
        <f t="shared" si="27"/>
        <v>8</v>
      </c>
      <c r="T137" s="17">
        <f t="shared" si="28"/>
        <v>8</v>
      </c>
      <c r="U137" s="17">
        <f t="shared" si="29"/>
        <v>4</v>
      </c>
      <c r="W137" s="7">
        <v>10640</v>
      </c>
      <c r="X137" s="7">
        <v>6111</v>
      </c>
      <c r="Y137" s="7">
        <v>11703</v>
      </c>
      <c r="Z137" s="7">
        <v>10353</v>
      </c>
      <c r="AA137" s="7">
        <v>10237</v>
      </c>
      <c r="AB137" s="13"/>
    </row>
    <row r="138" spans="10:28" ht="15.6" customHeight="1" x14ac:dyDescent="0.3">
      <c r="J138" s="2">
        <v>134</v>
      </c>
      <c r="K138" s="41" t="s">
        <v>33</v>
      </c>
      <c r="L138" s="41" t="s">
        <v>29</v>
      </c>
      <c r="M138" s="41" t="s">
        <v>35</v>
      </c>
      <c r="N138" s="41" t="s">
        <v>29</v>
      </c>
      <c r="O138" s="41" t="s">
        <v>33</v>
      </c>
      <c r="Q138" s="17">
        <f t="shared" si="25"/>
        <v>8</v>
      </c>
      <c r="R138" s="17">
        <f t="shared" si="26"/>
        <v>4</v>
      </c>
      <c r="S138" s="17">
        <f t="shared" si="27"/>
        <v>10</v>
      </c>
      <c r="T138" s="17">
        <f t="shared" si="28"/>
        <v>4</v>
      </c>
      <c r="U138" s="17">
        <f t="shared" si="29"/>
        <v>8</v>
      </c>
      <c r="W138" s="7">
        <v>12793</v>
      </c>
      <c r="X138" s="7">
        <v>6347</v>
      </c>
      <c r="Y138" s="7">
        <v>11481</v>
      </c>
      <c r="Z138" s="7">
        <v>10473</v>
      </c>
      <c r="AA138" s="7">
        <v>12527</v>
      </c>
      <c r="AB138" s="13"/>
    </row>
    <row r="139" spans="10:28" ht="15.6" customHeight="1" x14ac:dyDescent="0.3">
      <c r="J139" s="2">
        <v>135</v>
      </c>
      <c r="K139" s="41" t="s">
        <v>30</v>
      </c>
      <c r="L139" s="41" t="s">
        <v>29</v>
      </c>
      <c r="M139" s="41" t="s">
        <v>29</v>
      </c>
      <c r="N139" s="41" t="s">
        <v>46</v>
      </c>
      <c r="O139" s="41" t="s">
        <v>28</v>
      </c>
      <c r="Q139" s="17">
        <f t="shared" si="25"/>
        <v>5</v>
      </c>
      <c r="R139" s="17">
        <f t="shared" si="26"/>
        <v>4</v>
      </c>
      <c r="S139" s="17">
        <f t="shared" si="27"/>
        <v>4</v>
      </c>
      <c r="T139" s="17">
        <f t="shared" si="28"/>
        <v>16</v>
      </c>
      <c r="U139" s="17">
        <f t="shared" si="29"/>
        <v>3</v>
      </c>
      <c r="W139" s="7">
        <v>11841</v>
      </c>
      <c r="X139" s="7">
        <v>7441</v>
      </c>
      <c r="Y139" s="7">
        <v>10611</v>
      </c>
      <c r="Z139" s="7">
        <v>10810</v>
      </c>
      <c r="AA139" s="7">
        <v>12450</v>
      </c>
      <c r="AB139" s="13"/>
    </row>
    <row r="140" spans="10:28" ht="15.6" customHeight="1" x14ac:dyDescent="0.3">
      <c r="J140" s="2">
        <v>136</v>
      </c>
      <c r="K140" s="41" t="s">
        <v>29</v>
      </c>
      <c r="L140" s="41" t="s">
        <v>30</v>
      </c>
      <c r="M140" s="41" t="s">
        <v>31</v>
      </c>
      <c r="N140" s="41" t="s">
        <v>33</v>
      </c>
      <c r="O140" s="41" t="s">
        <v>30</v>
      </c>
      <c r="Q140" s="17">
        <f t="shared" si="25"/>
        <v>4</v>
      </c>
      <c r="R140" s="17">
        <f t="shared" si="26"/>
        <v>5</v>
      </c>
      <c r="S140" s="17">
        <f t="shared" si="27"/>
        <v>6</v>
      </c>
      <c r="T140" s="17">
        <f t="shared" si="28"/>
        <v>8</v>
      </c>
      <c r="U140" s="17">
        <f t="shared" si="29"/>
        <v>5</v>
      </c>
      <c r="W140" s="7">
        <v>11946</v>
      </c>
      <c r="X140" s="7">
        <v>7473</v>
      </c>
      <c r="Y140" s="7">
        <v>12421</v>
      </c>
      <c r="Z140" s="7">
        <v>12685</v>
      </c>
      <c r="AA140" s="7">
        <v>9981</v>
      </c>
      <c r="AB140" s="13"/>
    </row>
    <row r="141" spans="10:28" ht="15.6" customHeight="1" x14ac:dyDescent="0.3">
      <c r="J141" s="2">
        <v>137</v>
      </c>
      <c r="K141" s="41" t="s">
        <v>28</v>
      </c>
      <c r="L141" s="41" t="s">
        <v>32</v>
      </c>
      <c r="M141" s="41" t="s">
        <v>31</v>
      </c>
      <c r="N141" s="41" t="s">
        <v>28</v>
      </c>
      <c r="O141" s="41" t="s">
        <v>34</v>
      </c>
      <c r="Q141" s="17">
        <f t="shared" si="25"/>
        <v>3</v>
      </c>
      <c r="R141" s="17">
        <f t="shared" si="26"/>
        <v>7</v>
      </c>
      <c r="S141" s="17">
        <f t="shared" si="27"/>
        <v>6</v>
      </c>
      <c r="T141" s="17">
        <f t="shared" si="28"/>
        <v>3</v>
      </c>
      <c r="U141" s="17">
        <f t="shared" si="29"/>
        <v>9</v>
      </c>
      <c r="W141" s="7">
        <v>11594</v>
      </c>
      <c r="X141" s="7">
        <v>6669</v>
      </c>
      <c r="Y141" s="7">
        <v>11756</v>
      </c>
      <c r="Z141" s="7">
        <v>12998</v>
      </c>
      <c r="AA141" s="7">
        <v>11207</v>
      </c>
      <c r="AB141" s="13"/>
    </row>
    <row r="142" spans="10:28" ht="15.6" customHeight="1" x14ac:dyDescent="0.3">
      <c r="J142" s="2">
        <v>138</v>
      </c>
      <c r="K142" s="41" t="s">
        <v>34</v>
      </c>
      <c r="L142" s="41" t="s">
        <v>29</v>
      </c>
      <c r="M142" s="41" t="s">
        <v>31</v>
      </c>
      <c r="N142" s="41" t="s">
        <v>33</v>
      </c>
      <c r="O142" s="41" t="s">
        <v>35</v>
      </c>
      <c r="Q142" s="17">
        <f t="shared" si="25"/>
        <v>9</v>
      </c>
      <c r="R142" s="17">
        <f t="shared" si="26"/>
        <v>4</v>
      </c>
      <c r="S142" s="17">
        <f t="shared" si="27"/>
        <v>6</v>
      </c>
      <c r="T142" s="17">
        <f t="shared" si="28"/>
        <v>8</v>
      </c>
      <c r="U142" s="17">
        <f t="shared" si="29"/>
        <v>10</v>
      </c>
      <c r="W142" s="7">
        <v>10390</v>
      </c>
      <c r="X142" s="7">
        <v>5491</v>
      </c>
      <c r="Y142" s="7">
        <v>12261</v>
      </c>
      <c r="Z142" s="7">
        <v>12554</v>
      </c>
      <c r="AA142" s="7">
        <v>10578</v>
      </c>
      <c r="AB142" s="13"/>
    </row>
    <row r="143" spans="10:28" ht="15.6" customHeight="1" x14ac:dyDescent="0.3">
      <c r="J143" s="2">
        <v>139</v>
      </c>
      <c r="K143" s="41" t="s">
        <v>33</v>
      </c>
      <c r="L143" s="41" t="s">
        <v>32</v>
      </c>
      <c r="M143" s="41" t="s">
        <v>30</v>
      </c>
      <c r="N143" s="41" t="s">
        <v>28</v>
      </c>
      <c r="O143" s="41" t="s">
        <v>35</v>
      </c>
      <c r="Q143" s="17">
        <f t="shared" si="25"/>
        <v>8</v>
      </c>
      <c r="R143" s="17">
        <f t="shared" si="26"/>
        <v>7</v>
      </c>
      <c r="S143" s="17">
        <f t="shared" si="27"/>
        <v>5</v>
      </c>
      <c r="T143" s="17">
        <f t="shared" si="28"/>
        <v>3</v>
      </c>
      <c r="U143" s="17">
        <f t="shared" si="29"/>
        <v>10</v>
      </c>
      <c r="W143" s="7">
        <v>5298</v>
      </c>
      <c r="X143" s="7">
        <v>5111</v>
      </c>
      <c r="Y143" s="7">
        <v>12081</v>
      </c>
      <c r="Z143" s="7">
        <v>10963</v>
      </c>
      <c r="AA143" s="7">
        <v>8163</v>
      </c>
      <c r="AB143" s="13"/>
    </row>
    <row r="144" spans="10:28" ht="15.6" customHeight="1" x14ac:dyDescent="0.3">
      <c r="J144" s="2">
        <v>140</v>
      </c>
      <c r="K144" s="41" t="s">
        <v>32</v>
      </c>
      <c r="L144" s="41" t="s">
        <v>29</v>
      </c>
      <c r="M144" s="41" t="s">
        <v>29</v>
      </c>
      <c r="N144" s="41" t="s">
        <v>33</v>
      </c>
      <c r="O144" s="41" t="s">
        <v>30</v>
      </c>
      <c r="Q144" s="17">
        <f t="shared" si="25"/>
        <v>7</v>
      </c>
      <c r="R144" s="17">
        <f t="shared" si="26"/>
        <v>4</v>
      </c>
      <c r="S144" s="17">
        <f t="shared" si="27"/>
        <v>4</v>
      </c>
      <c r="T144" s="17">
        <f t="shared" si="28"/>
        <v>8</v>
      </c>
      <c r="U144" s="17">
        <f t="shared" si="29"/>
        <v>5</v>
      </c>
      <c r="W144" s="7">
        <v>7118</v>
      </c>
      <c r="X144" s="7">
        <v>5480</v>
      </c>
      <c r="Y144" s="7">
        <v>11849</v>
      </c>
      <c r="Z144" s="7">
        <v>10669</v>
      </c>
      <c r="AA144" s="7">
        <v>9746</v>
      </c>
      <c r="AB144" s="13"/>
    </row>
    <row r="145" spans="10:28" ht="15.6" customHeight="1" x14ac:dyDescent="0.3">
      <c r="J145" s="2">
        <v>141</v>
      </c>
      <c r="K145" s="41" t="s">
        <v>32</v>
      </c>
      <c r="L145" s="41" t="s">
        <v>32</v>
      </c>
      <c r="M145" s="41" t="s">
        <v>34</v>
      </c>
      <c r="N145" s="41" t="s">
        <v>32</v>
      </c>
      <c r="O145" s="41" t="s">
        <v>34</v>
      </c>
      <c r="Q145" s="17">
        <f t="shared" si="25"/>
        <v>7</v>
      </c>
      <c r="R145" s="17">
        <f t="shared" si="26"/>
        <v>7</v>
      </c>
      <c r="S145" s="17">
        <f t="shared" si="27"/>
        <v>9</v>
      </c>
      <c r="T145" s="17">
        <f t="shared" si="28"/>
        <v>7</v>
      </c>
      <c r="U145" s="17">
        <f t="shared" si="29"/>
        <v>9</v>
      </c>
      <c r="W145" s="7">
        <v>5102</v>
      </c>
      <c r="X145" s="7">
        <v>6669</v>
      </c>
      <c r="Y145" s="7">
        <v>12155</v>
      </c>
      <c r="Z145" s="7">
        <v>5364</v>
      </c>
      <c r="AA145" s="7">
        <v>9768</v>
      </c>
      <c r="AB145" s="13"/>
    </row>
    <row r="146" spans="10:28" ht="15.6" customHeight="1" x14ac:dyDescent="0.3">
      <c r="J146" s="2">
        <v>142</v>
      </c>
      <c r="K146" s="41" t="s">
        <v>31</v>
      </c>
      <c r="L146" s="41" t="s">
        <v>32</v>
      </c>
      <c r="M146" s="41" t="s">
        <v>30</v>
      </c>
      <c r="N146" s="41" t="s">
        <v>33</v>
      </c>
      <c r="O146" s="41" t="s">
        <v>35</v>
      </c>
      <c r="Q146" s="17">
        <f t="shared" si="25"/>
        <v>6</v>
      </c>
      <c r="R146" s="17">
        <f t="shared" si="26"/>
        <v>7</v>
      </c>
      <c r="S146" s="17">
        <f t="shared" si="27"/>
        <v>5</v>
      </c>
      <c r="T146" s="17">
        <f t="shared" si="28"/>
        <v>8</v>
      </c>
      <c r="U146" s="17">
        <f t="shared" si="29"/>
        <v>10</v>
      </c>
      <c r="W146" s="7">
        <v>5266</v>
      </c>
      <c r="X146" s="7">
        <v>7610</v>
      </c>
      <c r="Y146" s="7">
        <v>13326</v>
      </c>
      <c r="Z146" s="7">
        <v>12581</v>
      </c>
      <c r="AA146" s="7">
        <v>10396</v>
      </c>
      <c r="AB146" s="13"/>
    </row>
    <row r="147" spans="10:28" ht="15.6" customHeight="1" x14ac:dyDescent="0.3">
      <c r="J147" s="2">
        <v>143</v>
      </c>
      <c r="K147" s="41" t="s">
        <v>31</v>
      </c>
      <c r="L147" s="41" t="s">
        <v>35</v>
      </c>
      <c r="M147" s="41" t="s">
        <v>35</v>
      </c>
      <c r="N147" s="41" t="s">
        <v>29</v>
      </c>
      <c r="O147" s="41" t="s">
        <v>35</v>
      </c>
      <c r="Q147" s="17">
        <f t="shared" si="25"/>
        <v>6</v>
      </c>
      <c r="R147" s="17">
        <f t="shared" si="26"/>
        <v>10</v>
      </c>
      <c r="S147" s="17">
        <f t="shared" si="27"/>
        <v>10</v>
      </c>
      <c r="T147" s="17">
        <f t="shared" si="28"/>
        <v>4</v>
      </c>
      <c r="U147" s="17">
        <f t="shared" si="29"/>
        <v>10</v>
      </c>
      <c r="W147" s="7">
        <v>5679</v>
      </c>
      <c r="X147" s="7">
        <v>11946</v>
      </c>
      <c r="Y147" s="7">
        <v>11995</v>
      </c>
      <c r="Z147" s="7">
        <v>10484</v>
      </c>
      <c r="AA147" s="7">
        <v>0</v>
      </c>
      <c r="AB147" s="13"/>
    </row>
    <row r="148" spans="10:28" ht="15.6" customHeight="1" x14ac:dyDescent="0.3">
      <c r="J148" s="2">
        <v>144</v>
      </c>
      <c r="K148" s="41" t="s">
        <v>29</v>
      </c>
      <c r="L148" s="41" t="s">
        <v>31</v>
      </c>
      <c r="M148" s="41" t="s">
        <v>29</v>
      </c>
      <c r="N148" s="41" t="s">
        <v>33</v>
      </c>
      <c r="O148" s="41" t="s">
        <v>35</v>
      </c>
      <c r="Q148" s="17">
        <f t="shared" si="25"/>
        <v>4</v>
      </c>
      <c r="R148" s="17">
        <f t="shared" si="26"/>
        <v>6</v>
      </c>
      <c r="S148" s="17">
        <f t="shared" si="27"/>
        <v>4</v>
      </c>
      <c r="T148" s="17">
        <f t="shared" si="28"/>
        <v>8</v>
      </c>
      <c r="U148" s="17">
        <f t="shared" si="29"/>
        <v>10</v>
      </c>
      <c r="W148" s="7">
        <v>4125</v>
      </c>
      <c r="X148" s="7">
        <v>12865</v>
      </c>
      <c r="Y148" s="7">
        <v>6171</v>
      </c>
      <c r="Z148" s="7">
        <v>10745</v>
      </c>
      <c r="AA148" s="7">
        <v>0</v>
      </c>
      <c r="AB148" s="13"/>
    </row>
    <row r="149" spans="10:28" ht="15.6" customHeight="1" x14ac:dyDescent="0.3">
      <c r="J149" s="2">
        <v>145</v>
      </c>
      <c r="K149" s="41" t="s">
        <v>35</v>
      </c>
      <c r="L149" s="41" t="s">
        <v>34</v>
      </c>
      <c r="M149" s="41" t="s">
        <v>35</v>
      </c>
      <c r="N149" s="41" t="s">
        <v>34</v>
      </c>
      <c r="O149" s="41" t="s">
        <v>31</v>
      </c>
      <c r="Q149" s="17">
        <f t="shared" si="25"/>
        <v>10</v>
      </c>
      <c r="R149" s="17">
        <f t="shared" si="26"/>
        <v>9</v>
      </c>
      <c r="S149" s="17">
        <f t="shared" si="27"/>
        <v>10</v>
      </c>
      <c r="T149" s="17">
        <f t="shared" si="28"/>
        <v>9</v>
      </c>
      <c r="U149" s="17">
        <f t="shared" si="29"/>
        <v>6</v>
      </c>
      <c r="W149" s="7">
        <v>5797</v>
      </c>
      <c r="X149" s="7">
        <v>13919</v>
      </c>
      <c r="Y149" s="7">
        <v>10785</v>
      </c>
      <c r="Z149" s="7">
        <v>10625</v>
      </c>
      <c r="AA149" s="7">
        <v>0</v>
      </c>
      <c r="AB149" s="13"/>
    </row>
    <row r="150" spans="10:28" ht="15.6" customHeight="1" x14ac:dyDescent="0.3">
      <c r="J150" s="2">
        <v>146</v>
      </c>
      <c r="K150" s="41" t="s">
        <v>32</v>
      </c>
      <c r="L150" s="41" t="s">
        <v>31</v>
      </c>
      <c r="M150" s="41" t="s">
        <v>30</v>
      </c>
      <c r="N150" s="41" t="s">
        <v>31</v>
      </c>
      <c r="O150" s="41" t="s">
        <v>26</v>
      </c>
      <c r="Q150" s="17">
        <f t="shared" si="25"/>
        <v>7</v>
      </c>
      <c r="R150" s="17">
        <f t="shared" si="26"/>
        <v>6</v>
      </c>
      <c r="S150" s="17">
        <f t="shared" si="27"/>
        <v>5</v>
      </c>
      <c r="T150" s="17">
        <f t="shared" si="28"/>
        <v>6</v>
      </c>
      <c r="U150" s="17">
        <f t="shared" si="29"/>
        <v>2</v>
      </c>
      <c r="W150" s="7">
        <v>5523</v>
      </c>
      <c r="X150" s="7">
        <v>13438</v>
      </c>
      <c r="Y150" s="7">
        <v>11782</v>
      </c>
      <c r="Z150" s="7">
        <v>10898</v>
      </c>
      <c r="AA150" s="7">
        <v>0</v>
      </c>
      <c r="AB150" s="13"/>
    </row>
    <row r="151" spans="10:28" ht="15.6" customHeight="1" x14ac:dyDescent="0.3">
      <c r="J151" s="2">
        <v>147</v>
      </c>
      <c r="K151" s="41" t="s">
        <v>33</v>
      </c>
      <c r="L151" s="41" t="s">
        <v>31</v>
      </c>
      <c r="M151" s="41" t="s">
        <v>34</v>
      </c>
      <c r="N151" s="41" t="s">
        <v>31</v>
      </c>
      <c r="O151" s="41" t="s">
        <v>30</v>
      </c>
      <c r="Q151" s="17">
        <f t="shared" si="25"/>
        <v>8</v>
      </c>
      <c r="R151" s="17">
        <f t="shared" si="26"/>
        <v>6</v>
      </c>
      <c r="S151" s="17">
        <f t="shared" si="27"/>
        <v>9</v>
      </c>
      <c r="T151" s="17">
        <f t="shared" si="28"/>
        <v>6</v>
      </c>
      <c r="U151" s="17">
        <f t="shared" si="29"/>
        <v>5</v>
      </c>
      <c r="W151" s="7">
        <v>5966</v>
      </c>
      <c r="X151" s="7">
        <v>11903</v>
      </c>
      <c r="Y151" s="7">
        <v>11238</v>
      </c>
      <c r="Z151" s="7">
        <v>10603</v>
      </c>
      <c r="AA151" s="7">
        <v>11696</v>
      </c>
      <c r="AB151" s="13"/>
    </row>
    <row r="152" spans="10:28" ht="15.6" customHeight="1" x14ac:dyDescent="0.3">
      <c r="J152" s="2">
        <v>148</v>
      </c>
      <c r="K152" s="41" t="s">
        <v>29</v>
      </c>
      <c r="L152" s="41" t="s">
        <v>31</v>
      </c>
      <c r="M152" s="41" t="s">
        <v>32</v>
      </c>
      <c r="N152" s="41" t="s">
        <v>31</v>
      </c>
      <c r="O152" s="41" t="s">
        <v>28</v>
      </c>
      <c r="Q152" s="17">
        <f t="shared" si="25"/>
        <v>4</v>
      </c>
      <c r="R152" s="17">
        <f t="shared" si="26"/>
        <v>6</v>
      </c>
      <c r="S152" s="17">
        <f t="shared" si="27"/>
        <v>7</v>
      </c>
      <c r="T152" s="17">
        <f t="shared" si="28"/>
        <v>6</v>
      </c>
      <c r="U152" s="17">
        <f t="shared" si="29"/>
        <v>3</v>
      </c>
      <c r="W152" s="7">
        <v>4125</v>
      </c>
      <c r="X152" s="7">
        <v>12380</v>
      </c>
      <c r="Y152" s="7">
        <v>9818</v>
      </c>
      <c r="Z152" s="7">
        <v>10538</v>
      </c>
      <c r="AA152" s="7">
        <v>12181</v>
      </c>
      <c r="AB152" s="13"/>
    </row>
    <row r="153" spans="10:28" ht="15.6" customHeight="1" x14ac:dyDescent="0.3">
      <c r="J153" s="2">
        <v>149</v>
      </c>
      <c r="K153" s="41" t="s">
        <v>35</v>
      </c>
      <c r="L153" s="41" t="s">
        <v>50</v>
      </c>
      <c r="M153" s="41" t="s">
        <v>33</v>
      </c>
      <c r="N153" s="41" t="s">
        <v>30</v>
      </c>
      <c r="O153" s="41" t="s">
        <v>32</v>
      </c>
      <c r="Q153" s="17">
        <f t="shared" si="25"/>
        <v>10</v>
      </c>
      <c r="R153" s="17">
        <f t="shared" si="26"/>
        <v>18</v>
      </c>
      <c r="S153" s="17">
        <f t="shared" si="27"/>
        <v>8</v>
      </c>
      <c r="T153" s="17">
        <f t="shared" si="28"/>
        <v>5</v>
      </c>
      <c r="U153" s="17">
        <f t="shared" si="29"/>
        <v>7</v>
      </c>
      <c r="W153" s="7">
        <v>5914</v>
      </c>
      <c r="X153" s="7">
        <v>11024</v>
      </c>
      <c r="Y153" s="7">
        <v>7211</v>
      </c>
      <c r="Z153" s="7">
        <v>10625</v>
      </c>
      <c r="AA153" s="7">
        <v>12488</v>
      </c>
      <c r="AB153" s="13"/>
    </row>
    <row r="154" spans="10:28" ht="15.6" customHeight="1" x14ac:dyDescent="0.3">
      <c r="J154" s="2">
        <v>150</v>
      </c>
      <c r="K154" s="41" t="s">
        <v>32</v>
      </c>
      <c r="L154" s="41" t="s">
        <v>35</v>
      </c>
      <c r="M154" s="41" t="s">
        <v>46</v>
      </c>
      <c r="N154" s="41" t="s">
        <v>31</v>
      </c>
      <c r="O154" s="41" t="s">
        <v>34</v>
      </c>
      <c r="Q154" s="17">
        <f t="shared" si="25"/>
        <v>7</v>
      </c>
      <c r="R154" s="17">
        <f t="shared" si="26"/>
        <v>10</v>
      </c>
      <c r="S154" s="17">
        <f t="shared" si="27"/>
        <v>16</v>
      </c>
      <c r="T154" s="17">
        <f t="shared" si="28"/>
        <v>6</v>
      </c>
      <c r="U154" s="17">
        <f t="shared" si="29"/>
        <v>9</v>
      </c>
      <c r="W154" s="7">
        <v>5580</v>
      </c>
      <c r="X154" s="7">
        <v>10775</v>
      </c>
      <c r="Y154" s="7">
        <v>6039</v>
      </c>
      <c r="Z154" s="7">
        <v>11705</v>
      </c>
      <c r="AA154" s="7">
        <v>12335</v>
      </c>
      <c r="AB154" s="13"/>
    </row>
    <row r="155" spans="10:28" ht="15.6" customHeight="1" x14ac:dyDescent="0.3">
      <c r="J155" s="2">
        <v>151</v>
      </c>
      <c r="K155" s="41" t="s">
        <v>33</v>
      </c>
      <c r="L155" s="41" t="s">
        <v>35</v>
      </c>
      <c r="M155" s="41" t="s">
        <v>30</v>
      </c>
      <c r="N155" s="41" t="s">
        <v>33</v>
      </c>
      <c r="O155" s="41" t="s">
        <v>31</v>
      </c>
      <c r="Q155" s="17">
        <f t="shared" si="25"/>
        <v>8</v>
      </c>
      <c r="R155" s="17">
        <f t="shared" si="26"/>
        <v>10</v>
      </c>
      <c r="S155" s="17">
        <f t="shared" si="27"/>
        <v>5</v>
      </c>
      <c r="T155" s="17">
        <f t="shared" si="28"/>
        <v>8</v>
      </c>
      <c r="U155" s="17">
        <f t="shared" si="29"/>
        <v>6</v>
      </c>
      <c r="W155" s="7">
        <v>5298</v>
      </c>
      <c r="X155" s="7">
        <v>11241</v>
      </c>
      <c r="Y155" s="7">
        <v>7029</v>
      </c>
      <c r="Z155" s="7">
        <v>12646</v>
      </c>
      <c r="AA155" s="7">
        <v>12475</v>
      </c>
      <c r="AB155" s="13"/>
    </row>
    <row r="156" spans="10:28" ht="15.6" customHeight="1" x14ac:dyDescent="0.3">
      <c r="J156" s="2">
        <v>152</v>
      </c>
      <c r="K156" s="41" t="s">
        <v>32</v>
      </c>
      <c r="L156" s="41" t="s">
        <v>32</v>
      </c>
      <c r="M156" s="41" t="s">
        <v>32</v>
      </c>
      <c r="N156" s="41" t="s">
        <v>46</v>
      </c>
      <c r="O156" s="41" t="s">
        <v>33</v>
      </c>
      <c r="Q156" s="17">
        <f t="shared" si="25"/>
        <v>7</v>
      </c>
      <c r="R156" s="17">
        <f t="shared" si="26"/>
        <v>7</v>
      </c>
      <c r="S156" s="17">
        <f t="shared" si="27"/>
        <v>7</v>
      </c>
      <c r="T156" s="17">
        <f t="shared" si="28"/>
        <v>16</v>
      </c>
      <c r="U156" s="17">
        <f t="shared" si="29"/>
        <v>8</v>
      </c>
      <c r="W156" s="7">
        <v>7118</v>
      </c>
      <c r="X156" s="7">
        <v>10906</v>
      </c>
      <c r="Y156" s="7">
        <v>7354</v>
      </c>
      <c r="Z156" s="7">
        <v>13103</v>
      </c>
      <c r="AA156" s="7">
        <v>12706</v>
      </c>
      <c r="AB156" s="13"/>
    </row>
    <row r="157" spans="10:28" ht="15.6" customHeight="1" x14ac:dyDescent="0.3">
      <c r="J157" s="2">
        <v>153</v>
      </c>
      <c r="K157" s="41" t="s">
        <v>32</v>
      </c>
      <c r="L157" s="41" t="s">
        <v>32</v>
      </c>
      <c r="M157" s="41" t="s">
        <v>29</v>
      </c>
      <c r="N157" s="41" t="s">
        <v>29</v>
      </c>
      <c r="O157" s="41" t="s">
        <v>32</v>
      </c>
      <c r="Q157" s="17">
        <f t="shared" si="25"/>
        <v>7</v>
      </c>
      <c r="R157" s="17">
        <f t="shared" si="26"/>
        <v>7</v>
      </c>
      <c r="S157" s="17">
        <f t="shared" si="27"/>
        <v>4</v>
      </c>
      <c r="T157" s="17">
        <f t="shared" si="28"/>
        <v>4</v>
      </c>
      <c r="U157" s="17">
        <f t="shared" si="29"/>
        <v>7</v>
      </c>
      <c r="W157" s="7">
        <v>5102</v>
      </c>
      <c r="X157" s="7">
        <v>9843</v>
      </c>
      <c r="Y157" s="7">
        <v>6017</v>
      </c>
      <c r="Z157" s="7">
        <v>12659</v>
      </c>
      <c r="AA157" s="7">
        <v>12066</v>
      </c>
      <c r="AB157" s="13"/>
    </row>
    <row r="158" spans="10:28" ht="15.6" customHeight="1" x14ac:dyDescent="0.3">
      <c r="J158" s="2">
        <v>154</v>
      </c>
      <c r="K158" s="41" t="s">
        <v>31</v>
      </c>
      <c r="L158" s="41" t="s">
        <v>32</v>
      </c>
      <c r="M158" s="41" t="s">
        <v>30</v>
      </c>
      <c r="N158" s="41" t="s">
        <v>33</v>
      </c>
      <c r="O158" s="41" t="s">
        <v>31</v>
      </c>
      <c r="Q158" s="17">
        <f t="shared" si="25"/>
        <v>6</v>
      </c>
      <c r="R158" s="17">
        <f t="shared" si="26"/>
        <v>7</v>
      </c>
      <c r="S158" s="17">
        <f t="shared" si="27"/>
        <v>5</v>
      </c>
      <c r="T158" s="17">
        <f t="shared" si="28"/>
        <v>8</v>
      </c>
      <c r="U158" s="17">
        <f t="shared" si="29"/>
        <v>6</v>
      </c>
      <c r="W158" s="7">
        <v>5266</v>
      </c>
      <c r="X158" s="7">
        <v>11890</v>
      </c>
      <c r="Y158" s="7">
        <v>6283</v>
      </c>
      <c r="Z158" s="7">
        <v>12169</v>
      </c>
      <c r="AA158" s="7">
        <v>12412</v>
      </c>
      <c r="AB158" s="13"/>
    </row>
    <row r="159" spans="10:28" ht="15.6" customHeight="1" x14ac:dyDescent="0.3">
      <c r="J159" s="2">
        <v>155</v>
      </c>
      <c r="K159" s="41" t="s">
        <v>31</v>
      </c>
      <c r="L159" s="41" t="s">
        <v>31</v>
      </c>
      <c r="M159" s="41" t="s">
        <v>34</v>
      </c>
      <c r="N159" s="41" t="s">
        <v>29</v>
      </c>
      <c r="O159" s="41" t="s">
        <v>34</v>
      </c>
      <c r="Q159" s="17">
        <f t="shared" si="25"/>
        <v>6</v>
      </c>
      <c r="R159" s="17">
        <f t="shared" si="26"/>
        <v>6</v>
      </c>
      <c r="S159" s="17">
        <f t="shared" si="27"/>
        <v>9</v>
      </c>
      <c r="T159" s="17">
        <f t="shared" si="28"/>
        <v>4</v>
      </c>
      <c r="U159" s="17">
        <f t="shared" si="29"/>
        <v>9</v>
      </c>
      <c r="W159" s="7">
        <v>5679</v>
      </c>
      <c r="X159" s="7">
        <v>11978</v>
      </c>
      <c r="Y159" s="7">
        <v>6039</v>
      </c>
      <c r="Z159" s="7">
        <v>12946</v>
      </c>
      <c r="AA159" s="7">
        <v>9714</v>
      </c>
      <c r="AB159" s="13"/>
    </row>
    <row r="160" spans="10:28" ht="15.6" customHeight="1" x14ac:dyDescent="0.3">
      <c r="J160" s="2">
        <v>156</v>
      </c>
      <c r="K160" s="41" t="s">
        <v>29</v>
      </c>
      <c r="L160" s="41" t="s">
        <v>48</v>
      </c>
      <c r="M160" s="41" t="s">
        <v>34</v>
      </c>
      <c r="N160" s="41" t="s">
        <v>30</v>
      </c>
      <c r="O160" s="41" t="s">
        <v>28</v>
      </c>
      <c r="Q160" s="17">
        <f t="shared" si="25"/>
        <v>4</v>
      </c>
      <c r="R160" s="17">
        <f t="shared" si="26"/>
        <v>17</v>
      </c>
      <c r="S160" s="17">
        <f t="shared" si="27"/>
        <v>9</v>
      </c>
      <c r="T160" s="17">
        <f t="shared" si="28"/>
        <v>5</v>
      </c>
      <c r="U160" s="17">
        <f t="shared" si="29"/>
        <v>3</v>
      </c>
      <c r="W160" s="7">
        <v>4125</v>
      </c>
      <c r="X160" s="7">
        <v>11610</v>
      </c>
      <c r="Y160" s="7">
        <v>7029</v>
      </c>
      <c r="Z160" s="7">
        <v>12933</v>
      </c>
      <c r="AA160" s="7">
        <v>10727</v>
      </c>
      <c r="AB160" s="13"/>
    </row>
    <row r="161" spans="10:28" ht="15.6" customHeight="1" x14ac:dyDescent="0.3">
      <c r="J161" s="2">
        <v>157</v>
      </c>
      <c r="K161" s="41" t="s">
        <v>35</v>
      </c>
      <c r="L161" s="41" t="s">
        <v>33</v>
      </c>
      <c r="M161" s="41" t="s">
        <v>35</v>
      </c>
      <c r="N161" s="41" t="s">
        <v>29</v>
      </c>
      <c r="O161" s="41" t="s">
        <v>31</v>
      </c>
      <c r="Q161" s="17">
        <f t="shared" si="25"/>
        <v>10</v>
      </c>
      <c r="R161" s="17">
        <f t="shared" si="26"/>
        <v>8</v>
      </c>
      <c r="S161" s="17">
        <f t="shared" si="27"/>
        <v>10</v>
      </c>
      <c r="T161" s="17">
        <f t="shared" si="28"/>
        <v>4</v>
      </c>
      <c r="U161" s="17">
        <f t="shared" si="29"/>
        <v>6</v>
      </c>
      <c r="W161" s="7">
        <v>5914</v>
      </c>
      <c r="X161" s="7">
        <v>11079</v>
      </c>
      <c r="Y161" s="7">
        <v>7354</v>
      </c>
      <c r="Z161" s="7">
        <v>12541</v>
      </c>
      <c r="AA161" s="7">
        <v>10311</v>
      </c>
      <c r="AB161" s="13"/>
    </row>
    <row r="162" spans="10:28" ht="15.6" customHeight="1" x14ac:dyDescent="0.3">
      <c r="J162" s="2">
        <v>158</v>
      </c>
      <c r="K162" s="41" t="s">
        <v>32</v>
      </c>
      <c r="L162" s="41" t="s">
        <v>33</v>
      </c>
      <c r="M162" s="41" t="s">
        <v>50</v>
      </c>
      <c r="N162" s="41" t="s">
        <v>33</v>
      </c>
      <c r="O162" s="41" t="s">
        <v>35</v>
      </c>
      <c r="Q162" s="17">
        <f t="shared" si="25"/>
        <v>7</v>
      </c>
      <c r="R162" s="17">
        <f t="shared" si="26"/>
        <v>8</v>
      </c>
      <c r="S162" s="17">
        <f t="shared" si="27"/>
        <v>18</v>
      </c>
      <c r="T162" s="17">
        <f t="shared" si="28"/>
        <v>8</v>
      </c>
      <c r="U162" s="17">
        <f t="shared" si="29"/>
        <v>10</v>
      </c>
      <c r="W162" s="7">
        <v>5580</v>
      </c>
      <c r="X162" s="7">
        <v>12228</v>
      </c>
      <c r="Y162" s="7">
        <v>6017</v>
      </c>
      <c r="Z162" s="7">
        <v>10930</v>
      </c>
      <c r="AA162" s="7">
        <v>12642</v>
      </c>
      <c r="AB162" s="13"/>
    </row>
    <row r="163" spans="10:28" ht="15.6" customHeight="1" x14ac:dyDescent="0.3">
      <c r="J163" s="2">
        <v>159</v>
      </c>
      <c r="K163" s="41" t="s">
        <v>33</v>
      </c>
      <c r="L163" s="41" t="s">
        <v>29</v>
      </c>
      <c r="M163" s="41" t="s">
        <v>34</v>
      </c>
      <c r="N163" s="41" t="s">
        <v>30</v>
      </c>
      <c r="O163" s="41" t="s">
        <v>33</v>
      </c>
      <c r="Q163" s="17">
        <f t="shared" si="25"/>
        <v>8</v>
      </c>
      <c r="R163" s="17">
        <f t="shared" si="26"/>
        <v>4</v>
      </c>
      <c r="S163" s="17">
        <f t="shared" si="27"/>
        <v>9</v>
      </c>
      <c r="T163" s="17">
        <f t="shared" si="28"/>
        <v>5</v>
      </c>
      <c r="U163" s="17">
        <f t="shared" si="29"/>
        <v>8</v>
      </c>
      <c r="W163" s="7">
        <v>10759</v>
      </c>
      <c r="X163" s="7">
        <v>11851</v>
      </c>
      <c r="Y163" s="7">
        <v>12467</v>
      </c>
      <c r="Z163" s="7">
        <v>10451</v>
      </c>
      <c r="AA163" s="7">
        <v>11912</v>
      </c>
      <c r="AB163" s="13"/>
    </row>
    <row r="164" spans="10:28" ht="15.6" customHeight="1" x14ac:dyDescent="0.3">
      <c r="J164" s="2">
        <v>160</v>
      </c>
      <c r="K164" s="41" t="s">
        <v>32</v>
      </c>
      <c r="L164" s="41" t="s">
        <v>42</v>
      </c>
      <c r="M164" s="41" t="s">
        <v>35</v>
      </c>
      <c r="N164" s="41" t="s">
        <v>50</v>
      </c>
      <c r="O164" s="41" t="s">
        <v>30</v>
      </c>
      <c r="Q164" s="17">
        <f t="shared" ref="Q164:Q195" si="30">IF(K164="","",VLOOKUP(K164,$A$4:$H$22,8,FALSE))</f>
        <v>7</v>
      </c>
      <c r="R164" s="17">
        <f t="shared" ref="R164:R195" si="31">IF(L164="","",VLOOKUP(L164,$A$4:$H$22,8,FALSE))</f>
        <v>14</v>
      </c>
      <c r="S164" s="17">
        <f t="shared" ref="S164:S195" si="32">IF(M164="","",VLOOKUP(M164,$A$4:$H$22,8,FALSE))</f>
        <v>10</v>
      </c>
      <c r="T164" s="17">
        <f t="shared" ref="T164:T195" si="33">IF(N164="","",VLOOKUP(N164,$A$4:$H$22,8,FALSE))</f>
        <v>18</v>
      </c>
      <c r="U164" s="17">
        <f t="shared" ref="U164:U195" si="34">IF(O164="","",VLOOKUP(O164,$A$4:$H$22,8,FALSE))</f>
        <v>5</v>
      </c>
      <c r="W164" s="7">
        <v>9879</v>
      </c>
      <c r="X164" s="7">
        <v>12943</v>
      </c>
      <c r="Y164" s="7">
        <v>2912</v>
      </c>
      <c r="Z164" s="7">
        <v>10767</v>
      </c>
      <c r="AA164" s="7">
        <v>12143</v>
      </c>
      <c r="AB164" s="13"/>
    </row>
    <row r="165" spans="10:28" ht="15.6" customHeight="1" x14ac:dyDescent="0.3">
      <c r="J165" s="2">
        <v>161</v>
      </c>
      <c r="K165" s="41" t="s">
        <v>32</v>
      </c>
      <c r="L165" s="41" t="s">
        <v>34</v>
      </c>
      <c r="M165" s="41" t="s">
        <v>34</v>
      </c>
      <c r="N165" s="41" t="s">
        <v>35</v>
      </c>
      <c r="O165" s="41" t="s">
        <v>34</v>
      </c>
      <c r="Q165" s="17">
        <f t="shared" si="30"/>
        <v>7</v>
      </c>
      <c r="R165" s="17">
        <f t="shared" si="31"/>
        <v>9</v>
      </c>
      <c r="S165" s="17">
        <f t="shared" si="32"/>
        <v>9</v>
      </c>
      <c r="T165" s="17">
        <f t="shared" si="33"/>
        <v>10</v>
      </c>
      <c r="U165" s="17">
        <f t="shared" si="34"/>
        <v>9</v>
      </c>
      <c r="W165" s="7">
        <v>11594</v>
      </c>
      <c r="X165" s="7">
        <v>12371</v>
      </c>
      <c r="Y165" s="7">
        <v>2912</v>
      </c>
      <c r="Z165" s="7">
        <v>12803</v>
      </c>
      <c r="AA165" s="7">
        <v>8138</v>
      </c>
      <c r="AB165" s="13"/>
    </row>
    <row r="166" spans="10:28" ht="15.6" customHeight="1" x14ac:dyDescent="0.3">
      <c r="J166" s="2">
        <v>162</v>
      </c>
      <c r="K166" s="41" t="s">
        <v>30</v>
      </c>
      <c r="L166" s="41" t="s">
        <v>32</v>
      </c>
      <c r="M166" s="41" t="s">
        <v>34</v>
      </c>
      <c r="N166" s="41" t="s">
        <v>31</v>
      </c>
      <c r="O166" s="41" t="s">
        <v>33</v>
      </c>
      <c r="Q166" s="17">
        <f t="shared" si="30"/>
        <v>5</v>
      </c>
      <c r="R166" s="17">
        <f t="shared" si="31"/>
        <v>7</v>
      </c>
      <c r="S166" s="17">
        <f t="shared" si="32"/>
        <v>9</v>
      </c>
      <c r="T166" s="17">
        <f t="shared" si="33"/>
        <v>6</v>
      </c>
      <c r="U166" s="17">
        <f t="shared" si="34"/>
        <v>8</v>
      </c>
      <c r="W166" s="7">
        <v>10324</v>
      </c>
      <c r="X166" s="7">
        <v>5409</v>
      </c>
      <c r="Y166" s="7">
        <v>2912</v>
      </c>
      <c r="Z166" s="7">
        <v>12607</v>
      </c>
      <c r="AA166" s="7">
        <v>4120</v>
      </c>
      <c r="AB166" s="13"/>
    </row>
    <row r="167" spans="10:28" ht="15.6" customHeight="1" x14ac:dyDescent="0.3">
      <c r="J167" s="2">
        <v>163</v>
      </c>
      <c r="K167" s="41" t="s">
        <v>29</v>
      </c>
      <c r="L167" s="41" t="s">
        <v>32</v>
      </c>
      <c r="M167" s="41" t="s">
        <v>28</v>
      </c>
      <c r="N167" s="41" t="s">
        <v>33</v>
      </c>
      <c r="O167" s="41" t="s">
        <v>32</v>
      </c>
      <c r="Q167" s="17">
        <f t="shared" si="30"/>
        <v>4</v>
      </c>
      <c r="R167" s="17">
        <f t="shared" si="31"/>
        <v>7</v>
      </c>
      <c r="S167" s="17">
        <f t="shared" si="32"/>
        <v>3</v>
      </c>
      <c r="T167" s="17">
        <f t="shared" si="33"/>
        <v>8</v>
      </c>
      <c r="U167" s="17">
        <f t="shared" si="34"/>
        <v>7</v>
      </c>
      <c r="W167" s="7">
        <v>10183</v>
      </c>
      <c r="X167" s="7">
        <v>6649</v>
      </c>
      <c r="Y167" s="7">
        <v>2912</v>
      </c>
      <c r="Z167" s="7">
        <v>13051</v>
      </c>
      <c r="AA167" s="7">
        <v>8163</v>
      </c>
      <c r="AB167" s="13"/>
    </row>
    <row r="168" spans="10:28" ht="15.6" customHeight="1" x14ac:dyDescent="0.3">
      <c r="J168" s="2">
        <v>164</v>
      </c>
      <c r="K168" s="41" t="s">
        <v>35</v>
      </c>
      <c r="L168" s="41" t="s">
        <v>32</v>
      </c>
      <c r="M168" s="41" t="s">
        <v>35</v>
      </c>
      <c r="N168" s="41" t="s">
        <v>34</v>
      </c>
      <c r="O168" s="41" t="s">
        <v>33</v>
      </c>
      <c r="Q168" s="17">
        <f t="shared" si="30"/>
        <v>10</v>
      </c>
      <c r="R168" s="17">
        <f t="shared" si="31"/>
        <v>7</v>
      </c>
      <c r="S168" s="17">
        <f t="shared" si="32"/>
        <v>10</v>
      </c>
      <c r="T168" s="17">
        <f t="shared" si="33"/>
        <v>9</v>
      </c>
      <c r="U168" s="17">
        <f t="shared" si="34"/>
        <v>8</v>
      </c>
      <c r="W168" s="7">
        <v>10509</v>
      </c>
      <c r="X168" s="7">
        <v>6111</v>
      </c>
      <c r="Y168" s="7">
        <v>11481</v>
      </c>
      <c r="Z168" s="7">
        <v>12581</v>
      </c>
      <c r="AA168" s="7">
        <v>6033</v>
      </c>
      <c r="AB168" s="13"/>
    </row>
    <row r="169" spans="10:28" ht="15.6" customHeight="1" x14ac:dyDescent="0.3">
      <c r="J169" s="2">
        <v>165</v>
      </c>
      <c r="K169" s="41" t="s">
        <v>35</v>
      </c>
      <c r="L169" s="41" t="s">
        <v>32</v>
      </c>
      <c r="M169" s="41" t="s">
        <v>48</v>
      </c>
      <c r="N169" s="41" t="s">
        <v>33</v>
      </c>
      <c r="O169" s="41" t="s">
        <v>32</v>
      </c>
      <c r="Q169" s="17">
        <f t="shared" si="30"/>
        <v>10</v>
      </c>
      <c r="R169" s="17">
        <f t="shared" si="31"/>
        <v>7</v>
      </c>
      <c r="S169" s="17">
        <f t="shared" si="32"/>
        <v>17</v>
      </c>
      <c r="T169" s="17">
        <f t="shared" si="33"/>
        <v>8</v>
      </c>
      <c r="U169" s="17">
        <f t="shared" si="34"/>
        <v>7</v>
      </c>
      <c r="W169" s="7">
        <v>9873</v>
      </c>
      <c r="X169" s="7">
        <v>6347</v>
      </c>
      <c r="Y169" s="7">
        <v>10611</v>
      </c>
      <c r="Z169" s="7">
        <v>12541</v>
      </c>
      <c r="AA169" s="7">
        <v>6091</v>
      </c>
      <c r="AB169" s="13"/>
    </row>
    <row r="170" spans="10:28" ht="15.6" customHeight="1" x14ac:dyDescent="0.3">
      <c r="J170" s="2">
        <v>166</v>
      </c>
      <c r="K170" s="41" t="s">
        <v>32</v>
      </c>
      <c r="L170" s="41" t="s">
        <v>44</v>
      </c>
      <c r="M170" s="41" t="s">
        <v>34</v>
      </c>
      <c r="N170" s="41" t="s">
        <v>31</v>
      </c>
      <c r="O170" s="41" t="s">
        <v>31</v>
      </c>
      <c r="Q170" s="17">
        <f t="shared" si="30"/>
        <v>7</v>
      </c>
      <c r="R170" s="17">
        <f t="shared" si="31"/>
        <v>15</v>
      </c>
      <c r="S170" s="17">
        <f t="shared" si="32"/>
        <v>9</v>
      </c>
      <c r="T170" s="17">
        <f t="shared" si="33"/>
        <v>6</v>
      </c>
      <c r="U170" s="17">
        <f t="shared" si="34"/>
        <v>6</v>
      </c>
      <c r="W170" s="7">
        <v>7118</v>
      </c>
      <c r="X170" s="7">
        <v>7441</v>
      </c>
      <c r="Y170" s="7">
        <v>11969</v>
      </c>
      <c r="Z170" s="7">
        <v>12998</v>
      </c>
      <c r="AA170" s="7">
        <v>6251</v>
      </c>
      <c r="AB170" s="13"/>
    </row>
    <row r="171" spans="10:28" ht="15.6" customHeight="1" x14ac:dyDescent="0.3">
      <c r="J171" s="2">
        <v>167</v>
      </c>
      <c r="K171" s="41" t="s">
        <v>32</v>
      </c>
      <c r="L171" s="41" t="s">
        <v>44</v>
      </c>
      <c r="M171" s="41" t="s">
        <v>40</v>
      </c>
      <c r="N171" s="41" t="s">
        <v>34</v>
      </c>
      <c r="O171" s="41" t="s">
        <v>35</v>
      </c>
      <c r="Q171" s="17">
        <f t="shared" si="30"/>
        <v>7</v>
      </c>
      <c r="R171" s="17">
        <f t="shared" si="31"/>
        <v>15</v>
      </c>
      <c r="S171" s="17">
        <f t="shared" si="32"/>
        <v>13</v>
      </c>
      <c r="T171" s="17">
        <f t="shared" si="33"/>
        <v>9</v>
      </c>
      <c r="U171" s="17">
        <f t="shared" si="34"/>
        <v>10</v>
      </c>
      <c r="W171" s="7">
        <v>10150</v>
      </c>
      <c r="X171" s="7">
        <v>7473</v>
      </c>
      <c r="Y171" s="7">
        <v>11251</v>
      </c>
      <c r="Z171" s="7">
        <v>13207</v>
      </c>
      <c r="AA171" s="7">
        <v>4120</v>
      </c>
      <c r="AB171" s="13"/>
    </row>
    <row r="172" spans="10:28" ht="15.6" customHeight="1" x14ac:dyDescent="0.3">
      <c r="J172" s="2">
        <v>168</v>
      </c>
      <c r="K172" s="41" t="s">
        <v>31</v>
      </c>
      <c r="L172" s="41" t="s">
        <v>31</v>
      </c>
      <c r="M172" s="41" t="s">
        <v>30</v>
      </c>
      <c r="N172" s="41" t="s">
        <v>28</v>
      </c>
      <c r="O172" s="41" t="s">
        <v>29</v>
      </c>
      <c r="Q172" s="17">
        <f t="shared" si="30"/>
        <v>6</v>
      </c>
      <c r="R172" s="17">
        <f t="shared" si="31"/>
        <v>6</v>
      </c>
      <c r="S172" s="17">
        <f t="shared" si="32"/>
        <v>5</v>
      </c>
      <c r="T172" s="17">
        <f t="shared" si="33"/>
        <v>3</v>
      </c>
      <c r="U172" s="17">
        <f t="shared" si="34"/>
        <v>4</v>
      </c>
      <c r="W172" s="7">
        <v>10063</v>
      </c>
      <c r="X172" s="7">
        <v>6669</v>
      </c>
      <c r="Y172" s="7">
        <v>10772</v>
      </c>
      <c r="Z172" s="7">
        <v>12894</v>
      </c>
      <c r="AA172" s="7">
        <v>8163</v>
      </c>
      <c r="AB172" s="13"/>
    </row>
    <row r="173" spans="10:28" ht="15.6" customHeight="1" x14ac:dyDescent="0.3">
      <c r="J173" s="2">
        <v>169</v>
      </c>
      <c r="K173" s="41" t="s">
        <v>31</v>
      </c>
      <c r="L173" s="41" t="s">
        <v>29</v>
      </c>
      <c r="M173" s="41" t="s">
        <v>29</v>
      </c>
      <c r="N173" s="41" t="s">
        <v>33</v>
      </c>
      <c r="O173" s="41" t="s">
        <v>33</v>
      </c>
      <c r="Q173" s="17">
        <f t="shared" si="30"/>
        <v>6</v>
      </c>
      <c r="R173" s="17">
        <f t="shared" si="31"/>
        <v>4</v>
      </c>
      <c r="S173" s="17">
        <f t="shared" si="32"/>
        <v>4</v>
      </c>
      <c r="T173" s="17">
        <f t="shared" si="33"/>
        <v>8</v>
      </c>
      <c r="U173" s="17">
        <f t="shared" si="34"/>
        <v>8</v>
      </c>
      <c r="W173" s="7">
        <v>11633</v>
      </c>
      <c r="X173" s="7">
        <v>7610</v>
      </c>
      <c r="Y173" s="7">
        <v>11659</v>
      </c>
      <c r="Z173" s="7">
        <v>13299</v>
      </c>
      <c r="AA173" s="7">
        <v>6033</v>
      </c>
      <c r="AB173" s="13"/>
    </row>
    <row r="174" spans="10:28" ht="15.6" customHeight="1" x14ac:dyDescent="0.3">
      <c r="J174" s="2">
        <v>170</v>
      </c>
      <c r="K174" s="41" t="s">
        <v>33</v>
      </c>
      <c r="L174" s="41" t="s">
        <v>32</v>
      </c>
      <c r="M174" s="41" t="s">
        <v>33</v>
      </c>
      <c r="N174" s="41" t="s">
        <v>34</v>
      </c>
      <c r="O174" s="41" t="s">
        <v>33</v>
      </c>
      <c r="Q174" s="17">
        <f t="shared" si="30"/>
        <v>8</v>
      </c>
      <c r="R174" s="17">
        <f t="shared" si="31"/>
        <v>7</v>
      </c>
      <c r="S174" s="17">
        <f t="shared" si="32"/>
        <v>8</v>
      </c>
      <c r="T174" s="17">
        <f t="shared" si="33"/>
        <v>9</v>
      </c>
      <c r="U174" s="17">
        <f t="shared" si="34"/>
        <v>8</v>
      </c>
      <c r="W174" s="7">
        <v>10270</v>
      </c>
      <c r="X174" s="7">
        <v>5696</v>
      </c>
      <c r="Y174" s="7">
        <v>10151</v>
      </c>
      <c r="Z174" s="7">
        <v>13521</v>
      </c>
      <c r="AA174" s="7">
        <v>6091</v>
      </c>
      <c r="AB174" s="13"/>
    </row>
    <row r="175" spans="10:28" ht="15.6" customHeight="1" x14ac:dyDescent="0.3">
      <c r="J175" s="2">
        <v>171</v>
      </c>
      <c r="K175" s="41" t="s">
        <v>29</v>
      </c>
      <c r="L175" s="41" t="s">
        <v>32</v>
      </c>
      <c r="M175" s="41" t="s">
        <v>31</v>
      </c>
      <c r="N175" s="41" t="s">
        <v>34</v>
      </c>
      <c r="O175" s="41" t="s">
        <v>32</v>
      </c>
      <c r="Q175" s="17">
        <f t="shared" si="30"/>
        <v>4</v>
      </c>
      <c r="R175" s="17">
        <f t="shared" si="31"/>
        <v>7</v>
      </c>
      <c r="S175" s="17">
        <f t="shared" si="32"/>
        <v>6</v>
      </c>
      <c r="T175" s="17">
        <f t="shared" si="33"/>
        <v>9</v>
      </c>
      <c r="U175" s="17">
        <f t="shared" si="34"/>
        <v>7</v>
      </c>
      <c r="W175" s="7">
        <v>11323</v>
      </c>
      <c r="X175" s="7">
        <v>6649</v>
      </c>
      <c r="Y175" s="7">
        <v>10229</v>
      </c>
      <c r="Z175" s="7">
        <v>13037</v>
      </c>
      <c r="AA175" s="7">
        <v>6251</v>
      </c>
      <c r="AB175" s="13"/>
    </row>
    <row r="176" spans="10:28" ht="15.6" customHeight="1" x14ac:dyDescent="0.3">
      <c r="J176" s="2">
        <v>172</v>
      </c>
      <c r="K176" s="41" t="s">
        <v>34</v>
      </c>
      <c r="L176" s="41" t="s">
        <v>34</v>
      </c>
      <c r="M176" s="41" t="s">
        <v>35</v>
      </c>
      <c r="N176" s="41" t="s">
        <v>31</v>
      </c>
      <c r="O176" s="41" t="s">
        <v>34</v>
      </c>
      <c r="Q176" s="17">
        <f t="shared" si="30"/>
        <v>9</v>
      </c>
      <c r="R176" s="17">
        <f t="shared" si="31"/>
        <v>9</v>
      </c>
      <c r="S176" s="17">
        <f t="shared" si="32"/>
        <v>10</v>
      </c>
      <c r="T176" s="17">
        <f t="shared" si="33"/>
        <v>6</v>
      </c>
      <c r="U176" s="17">
        <f t="shared" si="34"/>
        <v>9</v>
      </c>
      <c r="W176" s="7">
        <v>10834</v>
      </c>
      <c r="X176" s="7">
        <v>6111</v>
      </c>
      <c r="Y176" s="7">
        <v>10273</v>
      </c>
      <c r="Z176" s="7">
        <v>12946</v>
      </c>
      <c r="AA176" s="7">
        <v>4120</v>
      </c>
      <c r="AB176" s="13"/>
    </row>
    <row r="177" spans="10:28" ht="15.6" customHeight="1" x14ac:dyDescent="0.3">
      <c r="J177" s="2">
        <v>173</v>
      </c>
      <c r="K177" s="41" t="s">
        <v>34</v>
      </c>
      <c r="L177" s="41" t="s">
        <v>31</v>
      </c>
      <c r="M177" s="41" t="s">
        <v>32</v>
      </c>
      <c r="N177" s="41" t="s">
        <v>33</v>
      </c>
      <c r="O177" s="41" t="s">
        <v>34</v>
      </c>
      <c r="Q177" s="17">
        <f t="shared" si="30"/>
        <v>9</v>
      </c>
      <c r="R177" s="17">
        <f t="shared" si="31"/>
        <v>6</v>
      </c>
      <c r="S177" s="17">
        <f t="shared" si="32"/>
        <v>7</v>
      </c>
      <c r="T177" s="17">
        <f t="shared" si="33"/>
        <v>8</v>
      </c>
      <c r="U177" s="17">
        <f t="shared" si="34"/>
        <v>9</v>
      </c>
      <c r="W177" s="7">
        <v>11074</v>
      </c>
      <c r="X177" s="7">
        <v>5615</v>
      </c>
      <c r="Y177" s="7">
        <v>10761</v>
      </c>
      <c r="Z177" s="7">
        <v>13456</v>
      </c>
      <c r="AA177" s="7">
        <v>6442</v>
      </c>
      <c r="AB177" s="13"/>
    </row>
    <row r="178" spans="10:28" ht="15.6" customHeight="1" x14ac:dyDescent="0.3">
      <c r="J178" s="2">
        <v>174</v>
      </c>
      <c r="K178" s="41" t="s">
        <v>34</v>
      </c>
      <c r="L178" s="41" t="s">
        <v>29</v>
      </c>
      <c r="M178" s="41" t="s">
        <v>34</v>
      </c>
      <c r="N178" s="41" t="s">
        <v>34</v>
      </c>
      <c r="O178" s="41" t="s">
        <v>34</v>
      </c>
      <c r="Q178" s="17">
        <f t="shared" si="30"/>
        <v>9</v>
      </c>
      <c r="R178" s="17">
        <f t="shared" si="31"/>
        <v>4</v>
      </c>
      <c r="S178" s="17">
        <f t="shared" si="32"/>
        <v>9</v>
      </c>
      <c r="T178" s="17">
        <f t="shared" si="33"/>
        <v>9</v>
      </c>
      <c r="U178" s="17">
        <f t="shared" si="34"/>
        <v>9</v>
      </c>
      <c r="W178" s="7">
        <v>12207</v>
      </c>
      <c r="X178" s="7">
        <v>5816</v>
      </c>
      <c r="Y178" s="7">
        <v>9642</v>
      </c>
      <c r="Z178" s="7">
        <v>12423</v>
      </c>
      <c r="AA178" s="7">
        <v>5167</v>
      </c>
      <c r="AB178" s="13"/>
    </row>
    <row r="179" spans="10:28" ht="15.6" customHeight="1" x14ac:dyDescent="0.3">
      <c r="J179" s="2">
        <v>175</v>
      </c>
      <c r="K179" s="41" t="s">
        <v>28</v>
      </c>
      <c r="L179" s="41" t="s">
        <v>32</v>
      </c>
      <c r="M179" s="41" t="s">
        <v>34</v>
      </c>
      <c r="N179" s="41" t="s">
        <v>33</v>
      </c>
      <c r="O179" s="41" t="s">
        <v>35</v>
      </c>
      <c r="Q179" s="17">
        <f t="shared" si="30"/>
        <v>3</v>
      </c>
      <c r="R179" s="17">
        <f t="shared" si="31"/>
        <v>7</v>
      </c>
      <c r="S179" s="17">
        <f t="shared" si="32"/>
        <v>9</v>
      </c>
      <c r="T179" s="17">
        <f t="shared" si="33"/>
        <v>8</v>
      </c>
      <c r="U179" s="17">
        <f t="shared" si="34"/>
        <v>10</v>
      </c>
      <c r="W179" s="7">
        <v>10498</v>
      </c>
      <c r="X179" s="7">
        <v>6497</v>
      </c>
      <c r="Y179" s="7">
        <v>11463</v>
      </c>
      <c r="Z179" s="7">
        <v>12855</v>
      </c>
      <c r="AA179" s="7">
        <v>0</v>
      </c>
      <c r="AB179" s="13"/>
    </row>
    <row r="180" spans="10:28" ht="15.6" customHeight="1" x14ac:dyDescent="0.3">
      <c r="J180" s="2">
        <v>176</v>
      </c>
      <c r="K180" s="41" t="s">
        <v>35</v>
      </c>
      <c r="L180" s="41" t="s">
        <v>31</v>
      </c>
      <c r="M180" s="41" t="s">
        <v>35</v>
      </c>
      <c r="N180" s="41" t="s">
        <v>34</v>
      </c>
      <c r="O180" s="41" t="s">
        <v>30</v>
      </c>
      <c r="Q180" s="17">
        <f t="shared" si="30"/>
        <v>10</v>
      </c>
      <c r="R180" s="17">
        <f t="shared" si="31"/>
        <v>6</v>
      </c>
      <c r="S180" s="17">
        <f t="shared" si="32"/>
        <v>10</v>
      </c>
      <c r="T180" s="17">
        <f t="shared" si="33"/>
        <v>9</v>
      </c>
      <c r="U180" s="17">
        <f t="shared" si="34"/>
        <v>5</v>
      </c>
      <c r="W180" s="7">
        <v>10965</v>
      </c>
      <c r="X180" s="7">
        <v>10852</v>
      </c>
      <c r="Y180" s="7">
        <v>12182</v>
      </c>
      <c r="Z180" s="7">
        <v>12384</v>
      </c>
      <c r="AA180" s="7">
        <v>0</v>
      </c>
      <c r="AB180" s="13"/>
    </row>
    <row r="181" spans="10:28" ht="15.6" customHeight="1" x14ac:dyDescent="0.3">
      <c r="J181" s="2">
        <v>177</v>
      </c>
      <c r="K181" s="41" t="s">
        <v>32</v>
      </c>
      <c r="L181" s="41" t="s">
        <v>29</v>
      </c>
      <c r="M181" s="41" t="s">
        <v>32</v>
      </c>
      <c r="N181" s="41" t="s">
        <v>42</v>
      </c>
      <c r="O181" s="41" t="s">
        <v>30</v>
      </c>
      <c r="Q181" s="17">
        <f t="shared" si="30"/>
        <v>7</v>
      </c>
      <c r="R181" s="17">
        <f t="shared" si="31"/>
        <v>4</v>
      </c>
      <c r="S181" s="17">
        <f t="shared" si="32"/>
        <v>7</v>
      </c>
      <c r="T181" s="17">
        <f t="shared" si="33"/>
        <v>14</v>
      </c>
      <c r="U181" s="17">
        <f t="shared" si="34"/>
        <v>5</v>
      </c>
      <c r="W181" s="7">
        <v>10661</v>
      </c>
      <c r="X181" s="7">
        <v>11101</v>
      </c>
      <c r="Y181" s="7">
        <v>12168</v>
      </c>
      <c r="Z181" s="7">
        <v>12267</v>
      </c>
      <c r="AA181" s="7">
        <v>0</v>
      </c>
      <c r="AB181" s="13"/>
    </row>
    <row r="182" spans="10:28" ht="15.6" customHeight="1" x14ac:dyDescent="0.3">
      <c r="J182" s="2">
        <v>178</v>
      </c>
      <c r="K182" s="41" t="s">
        <v>32</v>
      </c>
      <c r="L182" s="41" t="s">
        <v>35</v>
      </c>
      <c r="M182" s="41" t="s">
        <v>29</v>
      </c>
      <c r="N182" s="41" t="s">
        <v>28</v>
      </c>
      <c r="O182" s="41" t="s">
        <v>26</v>
      </c>
      <c r="Q182" s="17">
        <f t="shared" si="30"/>
        <v>7</v>
      </c>
      <c r="R182" s="17">
        <f t="shared" si="31"/>
        <v>10</v>
      </c>
      <c r="S182" s="17">
        <f t="shared" si="32"/>
        <v>4</v>
      </c>
      <c r="T182" s="17">
        <f t="shared" si="33"/>
        <v>3</v>
      </c>
      <c r="U182" s="17">
        <f t="shared" si="34"/>
        <v>2</v>
      </c>
      <c r="W182" s="7">
        <v>12727</v>
      </c>
      <c r="X182" s="7">
        <v>5111</v>
      </c>
      <c r="Y182" s="7">
        <v>12081</v>
      </c>
      <c r="Z182" s="7">
        <v>10233</v>
      </c>
      <c r="AA182" s="7">
        <v>0</v>
      </c>
      <c r="AB182" s="13"/>
    </row>
    <row r="183" spans="10:28" ht="15.6" customHeight="1" x14ac:dyDescent="0.3">
      <c r="J183" s="2">
        <v>179</v>
      </c>
      <c r="K183" s="41" t="s">
        <v>33</v>
      </c>
      <c r="L183" s="41" t="s">
        <v>29</v>
      </c>
      <c r="M183" s="41" t="s">
        <v>44</v>
      </c>
      <c r="N183" s="41" t="s">
        <v>35</v>
      </c>
      <c r="O183" s="41" t="s">
        <v>29</v>
      </c>
      <c r="Q183" s="17">
        <f t="shared" si="30"/>
        <v>8</v>
      </c>
      <c r="R183" s="17">
        <f t="shared" si="31"/>
        <v>4</v>
      </c>
      <c r="S183" s="17">
        <f t="shared" si="32"/>
        <v>15</v>
      </c>
      <c r="T183" s="17">
        <f t="shared" si="33"/>
        <v>10</v>
      </c>
      <c r="U183" s="17">
        <f t="shared" si="34"/>
        <v>4</v>
      </c>
      <c r="W183" s="7">
        <v>10857</v>
      </c>
      <c r="X183" s="7">
        <v>5480</v>
      </c>
      <c r="Y183" s="7">
        <v>11929</v>
      </c>
      <c r="Z183" s="7">
        <v>10625</v>
      </c>
      <c r="AA183" s="7">
        <v>6846</v>
      </c>
      <c r="AB183" s="13"/>
    </row>
    <row r="184" spans="10:28" ht="15.6" customHeight="1" x14ac:dyDescent="0.3">
      <c r="J184" s="2">
        <v>180</v>
      </c>
      <c r="K184" s="41" t="s">
        <v>28</v>
      </c>
      <c r="L184" s="41" t="s">
        <v>42</v>
      </c>
      <c r="M184" s="41" t="s">
        <v>30</v>
      </c>
      <c r="N184" s="41" t="s">
        <v>34</v>
      </c>
      <c r="O184" s="41" t="s">
        <v>29</v>
      </c>
      <c r="Q184" s="17">
        <f t="shared" si="30"/>
        <v>3</v>
      </c>
      <c r="R184" s="17">
        <f t="shared" si="31"/>
        <v>14</v>
      </c>
      <c r="S184" s="17">
        <f t="shared" si="32"/>
        <v>5</v>
      </c>
      <c r="T184" s="17">
        <f t="shared" si="33"/>
        <v>9</v>
      </c>
      <c r="U184" s="17">
        <f t="shared" si="34"/>
        <v>4</v>
      </c>
      <c r="W184" s="7">
        <v>10748</v>
      </c>
      <c r="X184" s="7">
        <v>6669</v>
      </c>
      <c r="Y184" s="7">
        <v>11716</v>
      </c>
      <c r="Z184" s="7">
        <v>10853</v>
      </c>
      <c r="AA184" s="7">
        <v>6458</v>
      </c>
      <c r="AB184" s="13"/>
    </row>
    <row r="185" spans="10:28" ht="15.6" customHeight="1" x14ac:dyDescent="0.3">
      <c r="J185" s="2">
        <v>181</v>
      </c>
      <c r="K185" s="41" t="s">
        <v>35</v>
      </c>
      <c r="L185" s="41" t="s">
        <v>50</v>
      </c>
      <c r="M185" s="41" t="s">
        <v>35</v>
      </c>
      <c r="N185" s="41" t="s">
        <v>34</v>
      </c>
      <c r="O185" s="41" t="s">
        <v>29</v>
      </c>
      <c r="Q185" s="17">
        <f t="shared" si="30"/>
        <v>10</v>
      </c>
      <c r="R185" s="17">
        <f t="shared" si="31"/>
        <v>18</v>
      </c>
      <c r="S185" s="17">
        <f t="shared" si="32"/>
        <v>10</v>
      </c>
      <c r="T185" s="17">
        <f t="shared" si="33"/>
        <v>9</v>
      </c>
      <c r="U185" s="17">
        <f t="shared" si="34"/>
        <v>4</v>
      </c>
      <c r="W185" s="7">
        <v>9759</v>
      </c>
      <c r="X185" s="7">
        <v>7610</v>
      </c>
      <c r="Y185" s="7">
        <v>11463</v>
      </c>
      <c r="Z185" s="7">
        <v>3604</v>
      </c>
      <c r="AA185" s="7">
        <v>5363</v>
      </c>
      <c r="AB185" s="13"/>
    </row>
    <row r="186" spans="10:28" ht="15.6" customHeight="1" x14ac:dyDescent="0.3">
      <c r="J186" s="2">
        <v>182</v>
      </c>
      <c r="K186" s="41" t="s">
        <v>35</v>
      </c>
      <c r="L186" s="41" t="s">
        <v>31</v>
      </c>
      <c r="M186" s="41" t="s">
        <v>31</v>
      </c>
      <c r="N186" s="41" t="s">
        <v>31</v>
      </c>
      <c r="O186" s="41" t="s">
        <v>31</v>
      </c>
      <c r="Q186" s="17">
        <f t="shared" si="30"/>
        <v>10</v>
      </c>
      <c r="R186" s="17">
        <f t="shared" si="31"/>
        <v>6</v>
      </c>
      <c r="S186" s="17">
        <f t="shared" si="32"/>
        <v>6</v>
      </c>
      <c r="T186" s="17">
        <f t="shared" si="33"/>
        <v>6</v>
      </c>
      <c r="U186" s="17">
        <f t="shared" si="34"/>
        <v>6</v>
      </c>
      <c r="W186" s="7">
        <v>10863</v>
      </c>
      <c r="X186" s="7">
        <v>5696</v>
      </c>
      <c r="Y186" s="7">
        <v>11491</v>
      </c>
      <c r="Z186" s="7">
        <v>5275</v>
      </c>
      <c r="AA186" s="7">
        <v>12566</v>
      </c>
      <c r="AB186" s="13"/>
    </row>
    <row r="187" spans="10:28" ht="15.6" customHeight="1" x14ac:dyDescent="0.3">
      <c r="J187" s="2">
        <v>183</v>
      </c>
      <c r="K187" s="41" t="s">
        <v>29</v>
      </c>
      <c r="L187" s="41" t="s">
        <v>32</v>
      </c>
      <c r="M187" s="41" t="s">
        <v>35</v>
      </c>
      <c r="N187" s="41" t="s">
        <v>34</v>
      </c>
      <c r="O187" s="41" t="s">
        <v>32</v>
      </c>
      <c r="Q187" s="17">
        <f t="shared" si="30"/>
        <v>4</v>
      </c>
      <c r="R187" s="17">
        <f t="shared" si="31"/>
        <v>7</v>
      </c>
      <c r="S187" s="17">
        <f t="shared" si="32"/>
        <v>10</v>
      </c>
      <c r="T187" s="17">
        <f t="shared" si="33"/>
        <v>9</v>
      </c>
      <c r="U187" s="17">
        <f t="shared" si="34"/>
        <v>7</v>
      </c>
      <c r="W187" s="7">
        <v>0</v>
      </c>
      <c r="X187" s="7">
        <v>6649</v>
      </c>
      <c r="Y187" s="7">
        <v>12115</v>
      </c>
      <c r="Z187" s="7">
        <v>3701</v>
      </c>
      <c r="AA187" s="7">
        <v>12297</v>
      </c>
      <c r="AB187" s="13"/>
    </row>
    <row r="188" spans="10:28" ht="15.6" customHeight="1" x14ac:dyDescent="0.3">
      <c r="J188" s="2">
        <v>184</v>
      </c>
      <c r="K188" s="41" t="s">
        <v>30</v>
      </c>
      <c r="L188" s="41" t="s">
        <v>31</v>
      </c>
      <c r="M188" s="41" t="s">
        <v>32</v>
      </c>
      <c r="N188" s="41" t="s">
        <v>33</v>
      </c>
      <c r="O188" s="41" t="s">
        <v>32</v>
      </c>
      <c r="Q188" s="17">
        <f t="shared" si="30"/>
        <v>5</v>
      </c>
      <c r="R188" s="17">
        <f t="shared" si="31"/>
        <v>6</v>
      </c>
      <c r="S188" s="17">
        <f t="shared" si="32"/>
        <v>7</v>
      </c>
      <c r="T188" s="17">
        <f t="shared" si="33"/>
        <v>8</v>
      </c>
      <c r="U188" s="17">
        <f t="shared" si="34"/>
        <v>7</v>
      </c>
      <c r="W188" s="7">
        <v>0</v>
      </c>
      <c r="X188" s="7">
        <v>6111</v>
      </c>
      <c r="Y188" s="7">
        <v>11536</v>
      </c>
      <c r="Z188" s="7">
        <v>3604</v>
      </c>
      <c r="AA188" s="7">
        <v>10216</v>
      </c>
      <c r="AB188" s="13"/>
    </row>
    <row r="189" spans="10:28" ht="15.6" customHeight="1" x14ac:dyDescent="0.3">
      <c r="J189" s="2">
        <v>185</v>
      </c>
      <c r="K189" s="41" t="s">
        <v>32</v>
      </c>
      <c r="L189" s="41" t="s">
        <v>29</v>
      </c>
      <c r="M189" s="41" t="s">
        <v>35</v>
      </c>
      <c r="N189" s="41" t="s">
        <v>32</v>
      </c>
      <c r="O189" s="41" t="s">
        <v>28</v>
      </c>
      <c r="Q189" s="17">
        <f t="shared" si="30"/>
        <v>7</v>
      </c>
      <c r="R189" s="17">
        <f t="shared" si="31"/>
        <v>4</v>
      </c>
      <c r="S189" s="17">
        <f t="shared" si="32"/>
        <v>10</v>
      </c>
      <c r="T189" s="17">
        <f t="shared" si="33"/>
        <v>7</v>
      </c>
      <c r="U189" s="17">
        <f t="shared" si="34"/>
        <v>3</v>
      </c>
      <c r="W189" s="7">
        <v>0</v>
      </c>
      <c r="X189" s="7">
        <v>5615</v>
      </c>
      <c r="Y189" s="7">
        <v>10794</v>
      </c>
      <c r="Z189" s="7">
        <v>5275</v>
      </c>
      <c r="AA189" s="7">
        <v>10609</v>
      </c>
      <c r="AB189" s="13"/>
    </row>
    <row r="190" spans="10:28" ht="15.6" customHeight="1" x14ac:dyDescent="0.3">
      <c r="J190" s="2">
        <v>186</v>
      </c>
      <c r="K190" s="41" t="s">
        <v>26</v>
      </c>
      <c r="L190" s="41" t="s">
        <v>29</v>
      </c>
      <c r="M190" s="41" t="s">
        <v>50</v>
      </c>
      <c r="N190" s="41" t="s">
        <v>31</v>
      </c>
      <c r="O190" s="41" t="s">
        <v>32</v>
      </c>
      <c r="Q190" s="17">
        <f t="shared" si="30"/>
        <v>2</v>
      </c>
      <c r="R190" s="17">
        <f t="shared" si="31"/>
        <v>4</v>
      </c>
      <c r="S190" s="17">
        <f t="shared" si="32"/>
        <v>18</v>
      </c>
      <c r="T190" s="17">
        <f t="shared" si="33"/>
        <v>6</v>
      </c>
      <c r="U190" s="17">
        <f t="shared" si="34"/>
        <v>7</v>
      </c>
      <c r="W190" s="7">
        <v>0</v>
      </c>
      <c r="X190" s="7">
        <v>5816</v>
      </c>
      <c r="Y190" s="7">
        <v>10517</v>
      </c>
      <c r="Z190" s="7">
        <v>3701</v>
      </c>
      <c r="AA190" s="7">
        <v>10290</v>
      </c>
      <c r="AB190" s="13"/>
    </row>
    <row r="191" spans="10:28" ht="15.6" customHeight="1" x14ac:dyDescent="0.3">
      <c r="J191" s="2">
        <v>187</v>
      </c>
      <c r="K191" s="41" t="s">
        <v>28</v>
      </c>
      <c r="L191" s="41" t="s">
        <v>29</v>
      </c>
      <c r="M191" s="41" t="s">
        <v>34</v>
      </c>
      <c r="N191" s="41" t="s">
        <v>31</v>
      </c>
      <c r="O191" s="41" t="s">
        <v>31</v>
      </c>
      <c r="Q191" s="17">
        <f t="shared" si="30"/>
        <v>3</v>
      </c>
      <c r="R191" s="17">
        <f t="shared" si="31"/>
        <v>4</v>
      </c>
      <c r="S191" s="17">
        <f t="shared" si="32"/>
        <v>9</v>
      </c>
      <c r="T191" s="17">
        <f t="shared" si="33"/>
        <v>6</v>
      </c>
      <c r="U191" s="17">
        <f t="shared" si="34"/>
        <v>6</v>
      </c>
      <c r="W191" s="7">
        <v>11581</v>
      </c>
      <c r="X191" s="7">
        <v>6497</v>
      </c>
      <c r="Y191" s="7">
        <v>13326</v>
      </c>
      <c r="Z191" s="7">
        <v>3604</v>
      </c>
      <c r="AA191" s="7">
        <v>9906</v>
      </c>
      <c r="AB191" s="13"/>
    </row>
    <row r="192" spans="10:28" ht="15.6" customHeight="1" x14ac:dyDescent="0.3">
      <c r="J192" s="2">
        <v>188</v>
      </c>
      <c r="K192" s="41" t="s">
        <v>34</v>
      </c>
      <c r="L192" s="41" t="s">
        <v>32</v>
      </c>
      <c r="M192" s="41" t="s">
        <v>33</v>
      </c>
      <c r="N192" s="41" t="s">
        <v>34</v>
      </c>
      <c r="O192" s="41" t="s">
        <v>35</v>
      </c>
      <c r="Q192" s="17">
        <f t="shared" si="30"/>
        <v>9</v>
      </c>
      <c r="R192" s="17">
        <f t="shared" si="31"/>
        <v>7</v>
      </c>
      <c r="S192" s="17">
        <f t="shared" si="32"/>
        <v>8</v>
      </c>
      <c r="T192" s="17">
        <f t="shared" si="33"/>
        <v>9</v>
      </c>
      <c r="U192" s="17">
        <f t="shared" si="34"/>
        <v>10</v>
      </c>
      <c r="W192" s="7">
        <v>10367</v>
      </c>
      <c r="X192" s="7">
        <v>6504</v>
      </c>
      <c r="Y192" s="7">
        <v>10506</v>
      </c>
      <c r="Z192" s="7">
        <v>5275</v>
      </c>
      <c r="AA192" s="7">
        <v>12463</v>
      </c>
      <c r="AB192" s="13"/>
    </row>
    <row r="193" spans="10:28" ht="15.6" customHeight="1" x14ac:dyDescent="0.3">
      <c r="J193" s="2">
        <v>189</v>
      </c>
      <c r="K193" s="41" t="s">
        <v>29</v>
      </c>
      <c r="L193" s="41" t="s">
        <v>42</v>
      </c>
      <c r="M193" s="41" t="s">
        <v>35</v>
      </c>
      <c r="N193" s="41" t="s">
        <v>46</v>
      </c>
      <c r="O193" s="41" t="s">
        <v>31</v>
      </c>
      <c r="Q193" s="17">
        <f t="shared" si="30"/>
        <v>4</v>
      </c>
      <c r="R193" s="17">
        <f t="shared" si="31"/>
        <v>14</v>
      </c>
      <c r="S193" s="17">
        <f t="shared" si="32"/>
        <v>10</v>
      </c>
      <c r="T193" s="17">
        <f t="shared" si="33"/>
        <v>16</v>
      </c>
      <c r="U193" s="17">
        <f t="shared" si="34"/>
        <v>6</v>
      </c>
      <c r="W193" s="7">
        <v>11515</v>
      </c>
      <c r="X193" s="7">
        <v>13009</v>
      </c>
      <c r="Y193" s="7">
        <v>10284</v>
      </c>
      <c r="Z193" s="7">
        <v>3701</v>
      </c>
      <c r="AA193" s="7">
        <v>12629</v>
      </c>
      <c r="AB193" s="13"/>
    </row>
    <row r="194" spans="10:28" ht="15.6" customHeight="1" x14ac:dyDescent="0.3">
      <c r="J194" s="2">
        <v>190</v>
      </c>
      <c r="K194" s="41" t="s">
        <v>32</v>
      </c>
      <c r="L194" s="41" t="s">
        <v>34</v>
      </c>
      <c r="M194" s="41" t="s">
        <v>35</v>
      </c>
      <c r="N194" s="41" t="s">
        <v>31</v>
      </c>
      <c r="O194" s="41" t="s">
        <v>34</v>
      </c>
      <c r="Q194" s="17">
        <f t="shared" si="30"/>
        <v>7</v>
      </c>
      <c r="R194" s="17">
        <f t="shared" si="31"/>
        <v>9</v>
      </c>
      <c r="S194" s="17">
        <f t="shared" si="32"/>
        <v>10</v>
      </c>
      <c r="T194" s="17">
        <f t="shared" si="33"/>
        <v>6</v>
      </c>
      <c r="U194" s="17">
        <f t="shared" si="34"/>
        <v>9</v>
      </c>
      <c r="W194" s="7">
        <v>12688</v>
      </c>
      <c r="X194" s="7">
        <v>12280</v>
      </c>
      <c r="Y194" s="7">
        <v>10439</v>
      </c>
      <c r="Z194" s="7">
        <v>10179</v>
      </c>
      <c r="AA194" s="7">
        <v>12719</v>
      </c>
      <c r="AB194" s="13"/>
    </row>
    <row r="195" spans="10:28" ht="15.6" customHeight="1" x14ac:dyDescent="0.3">
      <c r="J195" s="2">
        <v>191</v>
      </c>
      <c r="K195" s="41" t="s">
        <v>35</v>
      </c>
      <c r="L195" s="41" t="s">
        <v>35</v>
      </c>
      <c r="M195" s="41" t="s">
        <v>48</v>
      </c>
      <c r="N195" s="41" t="s">
        <v>31</v>
      </c>
      <c r="O195" s="41" t="s">
        <v>28</v>
      </c>
      <c r="Q195" s="17">
        <f t="shared" si="30"/>
        <v>10</v>
      </c>
      <c r="R195" s="17">
        <f t="shared" si="31"/>
        <v>10</v>
      </c>
      <c r="S195" s="17">
        <f t="shared" si="32"/>
        <v>17</v>
      </c>
      <c r="T195" s="17">
        <f t="shared" si="33"/>
        <v>6</v>
      </c>
      <c r="U195" s="17">
        <f t="shared" si="34"/>
        <v>3</v>
      </c>
      <c r="W195" s="7">
        <v>13041</v>
      </c>
      <c r="X195" s="7">
        <v>12723</v>
      </c>
      <c r="Y195" s="7">
        <v>11823</v>
      </c>
      <c r="Z195" s="7">
        <v>10505</v>
      </c>
      <c r="AA195" s="7">
        <v>12348</v>
      </c>
      <c r="AB195" s="13"/>
    </row>
    <row r="196" spans="10:28" ht="15.6" customHeight="1" x14ac:dyDescent="0.3">
      <c r="J196" s="2">
        <v>192</v>
      </c>
      <c r="K196" s="41" t="s">
        <v>33</v>
      </c>
      <c r="L196" s="41" t="s">
        <v>38</v>
      </c>
      <c r="M196" s="41" t="s">
        <v>31</v>
      </c>
      <c r="N196" s="41" t="s">
        <v>31</v>
      </c>
      <c r="O196" s="41" t="s">
        <v>34</v>
      </c>
      <c r="Q196" s="17">
        <f t="shared" ref="Q196:Q203" si="35">IF(K196="","",VLOOKUP(K196,$A$4:$H$22,8,FALSE))</f>
        <v>8</v>
      </c>
      <c r="R196" s="17">
        <f t="shared" ref="R196:R203" si="36">IF(L196="","",VLOOKUP(L196,$A$4:$H$22,8,FALSE))</f>
        <v>12</v>
      </c>
      <c r="S196" s="17">
        <f t="shared" ref="S196:S203" si="37">IF(M196="","",VLOOKUP(M196,$A$4:$H$22,8,FALSE))</f>
        <v>6</v>
      </c>
      <c r="T196" s="17">
        <f t="shared" ref="T196:T203" si="38">IF(N196="","",VLOOKUP(N196,$A$4:$H$22,8,FALSE))</f>
        <v>6</v>
      </c>
      <c r="U196" s="17">
        <f t="shared" ref="U196:U203" si="39">IF(O196="","",VLOOKUP(O196,$A$4:$H$22,8,FALSE))</f>
        <v>9</v>
      </c>
      <c r="W196" s="7">
        <v>13080</v>
      </c>
      <c r="X196" s="7">
        <v>12254</v>
      </c>
      <c r="Y196" s="7">
        <v>10584</v>
      </c>
      <c r="Z196" s="7">
        <v>10516</v>
      </c>
      <c r="AA196" s="7">
        <v>11926</v>
      </c>
      <c r="AB196" s="13"/>
    </row>
    <row r="197" spans="10:28" ht="15.6" customHeight="1" x14ac:dyDescent="0.3">
      <c r="J197" s="2">
        <v>193</v>
      </c>
      <c r="K197" s="41" t="s">
        <v>35</v>
      </c>
      <c r="L197" s="41" t="s">
        <v>29</v>
      </c>
      <c r="M197" s="41" t="s">
        <v>31</v>
      </c>
      <c r="N197" s="41" t="s">
        <v>34</v>
      </c>
      <c r="O197" s="41" t="s">
        <v>29</v>
      </c>
      <c r="Q197" s="17">
        <f t="shared" si="35"/>
        <v>10</v>
      </c>
      <c r="R197" s="17">
        <f t="shared" si="36"/>
        <v>4</v>
      </c>
      <c r="S197" s="17">
        <f t="shared" si="37"/>
        <v>6</v>
      </c>
      <c r="T197" s="17">
        <f t="shared" si="38"/>
        <v>9</v>
      </c>
      <c r="U197" s="17">
        <f t="shared" si="39"/>
        <v>4</v>
      </c>
      <c r="W197" s="7">
        <v>5797</v>
      </c>
      <c r="X197" s="7">
        <v>13868</v>
      </c>
      <c r="Y197" s="7">
        <v>11924</v>
      </c>
      <c r="Z197" s="7">
        <v>12476</v>
      </c>
      <c r="AA197" s="7">
        <v>10237</v>
      </c>
      <c r="AB197" s="13"/>
    </row>
    <row r="198" spans="10:28" ht="15.6" customHeight="1" x14ac:dyDescent="0.3">
      <c r="J198" s="2">
        <v>194</v>
      </c>
      <c r="K198" s="41" t="s">
        <v>32</v>
      </c>
      <c r="L198" s="41" t="s">
        <v>26</v>
      </c>
      <c r="M198" s="41" t="s">
        <v>29</v>
      </c>
      <c r="N198" s="41" t="s">
        <v>31</v>
      </c>
      <c r="O198" s="41" t="s">
        <v>32</v>
      </c>
      <c r="Q198" s="17">
        <f t="shared" si="35"/>
        <v>7</v>
      </c>
      <c r="R198" s="17">
        <f t="shared" si="36"/>
        <v>2</v>
      </c>
      <c r="S198" s="17">
        <f t="shared" si="37"/>
        <v>4</v>
      </c>
      <c r="T198" s="17">
        <f t="shared" si="38"/>
        <v>6</v>
      </c>
      <c r="U198" s="17">
        <f t="shared" si="39"/>
        <v>7</v>
      </c>
      <c r="W198" s="7">
        <v>11698</v>
      </c>
      <c r="X198" s="7">
        <v>13308</v>
      </c>
      <c r="Y198" s="7">
        <v>11536</v>
      </c>
      <c r="Z198" s="7">
        <v>11889</v>
      </c>
      <c r="AA198" s="7">
        <v>10493</v>
      </c>
      <c r="AB198" s="13"/>
    </row>
    <row r="199" spans="10:28" ht="15.6" customHeight="1" x14ac:dyDescent="0.3">
      <c r="J199" s="2">
        <v>195</v>
      </c>
      <c r="K199" s="41" t="s">
        <v>33</v>
      </c>
      <c r="L199" s="41" t="s">
        <v>29</v>
      </c>
      <c r="M199" s="41" t="s">
        <v>30</v>
      </c>
      <c r="N199" s="41" t="s">
        <v>26</v>
      </c>
      <c r="O199" s="41" t="s">
        <v>30</v>
      </c>
      <c r="Q199" s="17">
        <f t="shared" si="35"/>
        <v>8</v>
      </c>
      <c r="R199" s="17">
        <f t="shared" si="36"/>
        <v>4</v>
      </c>
      <c r="S199" s="17">
        <f t="shared" si="37"/>
        <v>5</v>
      </c>
      <c r="T199" s="17">
        <f t="shared" si="38"/>
        <v>2</v>
      </c>
      <c r="U199" s="17">
        <f t="shared" si="39"/>
        <v>5</v>
      </c>
      <c r="W199" s="7">
        <v>12741</v>
      </c>
      <c r="X199" s="7">
        <v>12183</v>
      </c>
      <c r="Y199" s="7">
        <v>7632</v>
      </c>
      <c r="Z199" s="7">
        <v>10571</v>
      </c>
      <c r="AA199" s="7">
        <v>10482</v>
      </c>
      <c r="AB199" s="13"/>
    </row>
    <row r="200" spans="10:28" ht="15.6" customHeight="1" x14ac:dyDescent="0.3">
      <c r="J200" s="2">
        <v>196</v>
      </c>
      <c r="K200" s="41" t="s">
        <v>29</v>
      </c>
      <c r="L200" s="41" t="s">
        <v>32</v>
      </c>
      <c r="M200" s="41" t="s">
        <v>29</v>
      </c>
      <c r="N200" s="41" t="s">
        <v>30</v>
      </c>
      <c r="O200" s="41" t="s">
        <v>33</v>
      </c>
      <c r="Q200" s="17">
        <f t="shared" si="35"/>
        <v>4</v>
      </c>
      <c r="R200" s="17">
        <f t="shared" si="36"/>
        <v>7</v>
      </c>
      <c r="S200" s="17">
        <f t="shared" si="37"/>
        <v>4</v>
      </c>
      <c r="T200" s="17">
        <f t="shared" si="38"/>
        <v>5</v>
      </c>
      <c r="U200" s="17">
        <f t="shared" si="39"/>
        <v>8</v>
      </c>
      <c r="W200" s="7">
        <v>12324</v>
      </c>
      <c r="X200" s="7">
        <v>12501</v>
      </c>
      <c r="Y200" s="7">
        <v>6023</v>
      </c>
      <c r="Z200" s="7">
        <v>10712</v>
      </c>
      <c r="AA200" s="7">
        <v>9639</v>
      </c>
      <c r="AB200" s="13"/>
    </row>
    <row r="201" spans="10:28" ht="15.6" customHeight="1" x14ac:dyDescent="0.3">
      <c r="J201" s="2">
        <v>197</v>
      </c>
      <c r="K201" s="41" t="s">
        <v>31</v>
      </c>
      <c r="L201" s="41" t="s">
        <v>29</v>
      </c>
      <c r="M201" s="41" t="s">
        <v>35</v>
      </c>
      <c r="N201" s="41" t="s">
        <v>33</v>
      </c>
      <c r="O201" s="41" t="s">
        <v>33</v>
      </c>
      <c r="Q201" s="17">
        <f t="shared" si="35"/>
        <v>6</v>
      </c>
      <c r="R201" s="17">
        <f t="shared" si="36"/>
        <v>4</v>
      </c>
      <c r="S201" s="17">
        <f t="shared" si="37"/>
        <v>10</v>
      </c>
      <c r="T201" s="17">
        <f t="shared" si="38"/>
        <v>8</v>
      </c>
      <c r="U201" s="17">
        <f t="shared" si="39"/>
        <v>8</v>
      </c>
      <c r="W201" s="7">
        <v>12545</v>
      </c>
      <c r="X201" s="7">
        <v>12749</v>
      </c>
      <c r="Y201" s="7">
        <v>5829</v>
      </c>
      <c r="Z201" s="7">
        <v>11366</v>
      </c>
      <c r="AA201" s="7">
        <v>12515</v>
      </c>
      <c r="AB201" s="13"/>
    </row>
    <row r="202" spans="10:28" ht="15.6" customHeight="1" x14ac:dyDescent="0.3">
      <c r="J202" s="2">
        <v>198</v>
      </c>
      <c r="K202" s="41" t="s">
        <v>29</v>
      </c>
      <c r="L202" s="41" t="s">
        <v>31</v>
      </c>
      <c r="M202" s="41" t="s">
        <v>35</v>
      </c>
      <c r="N202" s="41" t="s">
        <v>33</v>
      </c>
      <c r="O202" s="41" t="s">
        <v>33</v>
      </c>
      <c r="Q202" s="17">
        <f t="shared" si="35"/>
        <v>4</v>
      </c>
      <c r="R202" s="17">
        <f t="shared" si="36"/>
        <v>6</v>
      </c>
      <c r="S202" s="17">
        <f t="shared" si="37"/>
        <v>10</v>
      </c>
      <c r="T202" s="17">
        <f t="shared" si="38"/>
        <v>8</v>
      </c>
      <c r="U202" s="17">
        <f t="shared" si="39"/>
        <v>8</v>
      </c>
      <c r="W202" s="7">
        <v>11476</v>
      </c>
      <c r="X202" s="7">
        <v>12066</v>
      </c>
      <c r="Y202" s="7">
        <v>0</v>
      </c>
      <c r="Z202" s="7">
        <v>12685</v>
      </c>
      <c r="AA202" s="7">
        <v>12373</v>
      </c>
      <c r="AB202" s="13"/>
    </row>
    <row r="203" spans="10:28" ht="15.6" customHeight="1" x14ac:dyDescent="0.3">
      <c r="J203" s="2">
        <v>199</v>
      </c>
      <c r="K203" s="41" t="s">
        <v>28</v>
      </c>
      <c r="L203" s="41" t="s">
        <v>32</v>
      </c>
      <c r="M203" s="41" t="s">
        <v>35</v>
      </c>
      <c r="N203" s="41" t="s">
        <v>33</v>
      </c>
      <c r="O203" s="41" t="s">
        <v>30</v>
      </c>
      <c r="Q203" s="17">
        <f t="shared" si="35"/>
        <v>3</v>
      </c>
      <c r="R203" s="17">
        <f t="shared" si="36"/>
        <v>7</v>
      </c>
      <c r="S203" s="17">
        <f t="shared" si="37"/>
        <v>10</v>
      </c>
      <c r="T203" s="17">
        <f t="shared" si="38"/>
        <v>8</v>
      </c>
      <c r="U203" s="17">
        <f t="shared" si="39"/>
        <v>5</v>
      </c>
      <c r="W203" s="7">
        <v>13093</v>
      </c>
      <c r="X203" s="7">
        <v>10375</v>
      </c>
      <c r="Y203" s="7">
        <v>0</v>
      </c>
      <c r="Z203" s="7">
        <v>13339</v>
      </c>
      <c r="AA203" s="7">
        <v>13013</v>
      </c>
      <c r="AB203" s="13"/>
    </row>
  </sheetData>
  <phoneticPr fontId="20" type="noConversion"/>
  <conditionalFormatting sqref="K1:O3 K198:O1048576">
    <cfRule type="cellIs" dxfId="219" priority="16" operator="equal">
      <formula>$A$10</formula>
    </cfRule>
    <cfRule type="cellIs" dxfId="218" priority="17" operator="equal">
      <formula>$A$9</formula>
    </cfRule>
    <cfRule type="cellIs" dxfId="217" priority="18" operator="equal">
      <formula>$A$8</formula>
    </cfRule>
    <cfRule type="cellIs" dxfId="216" priority="19" operator="equal">
      <formula>$A$7</formula>
    </cfRule>
    <cfRule type="cellIs" dxfId="215" priority="20" operator="equal">
      <formula>$A$6</formula>
    </cfRule>
    <cfRule type="cellIs" dxfId="214" priority="21" operator="equal">
      <formula>$A$5</formula>
    </cfRule>
    <cfRule type="cellIs" dxfId="213" priority="22" operator="equal">
      <formula>$A$4</formula>
    </cfRule>
  </conditionalFormatting>
  <conditionalFormatting sqref="K4:O197">
    <cfRule type="cellIs" dxfId="212" priority="9" operator="equal">
      <formula>$A$10</formula>
    </cfRule>
    <cfRule type="cellIs" dxfId="211" priority="10" operator="equal">
      <formula>$A$9</formula>
    </cfRule>
    <cfRule type="cellIs" dxfId="210" priority="11" operator="equal">
      <formula>$A$8</formula>
    </cfRule>
    <cfRule type="cellIs" dxfId="209" priority="12" operator="equal">
      <formula>$A$7</formula>
    </cfRule>
    <cfRule type="cellIs" dxfId="208" priority="13" operator="equal">
      <formula>$A$6</formula>
    </cfRule>
    <cfRule type="cellIs" dxfId="207" priority="14" operator="equal">
      <formula>$A$5</formula>
    </cfRule>
    <cfRule type="cellIs" dxfId="206" priority="15" operator="equal">
      <formula>$A$4</formula>
    </cfRule>
  </conditionalFormatting>
  <conditionalFormatting sqref="AA1">
    <cfRule type="cellIs" dxfId="205" priority="2" operator="equal">
      <formula>$A$10</formula>
    </cfRule>
    <cfRule type="cellIs" dxfId="204" priority="3" operator="equal">
      <formula>$A$9</formula>
    </cfRule>
    <cfRule type="cellIs" dxfId="203" priority="4" operator="equal">
      <formula>$A$8</formula>
    </cfRule>
    <cfRule type="cellIs" dxfId="202" priority="5" operator="equal">
      <formula>$A$7</formula>
    </cfRule>
    <cfRule type="cellIs" dxfId="201" priority="6" operator="equal">
      <formula>$A$6</formula>
    </cfRule>
    <cfRule type="cellIs" dxfId="200" priority="7" operator="equal">
      <formula>$A$5</formula>
    </cfRule>
    <cfRule type="cellIs" dxfId="199" priority="8" operator="equal">
      <formula>$A$4</formula>
    </cfRule>
  </conditionalFormatting>
  <conditionalFormatting sqref="W4:AA203">
    <cfRule type="expression" dxfId="198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403"/>
  <sheetViews>
    <sheetView workbookViewId="0">
      <selection activeCell="W1" sqref="W1:AA1048576"/>
    </sheetView>
  </sheetViews>
  <sheetFormatPr defaultColWidth="9" defaultRowHeight="15.6" x14ac:dyDescent="0.3"/>
  <cols>
    <col min="1" max="1" width="10.21875" style="13" bestFit="1" customWidth="1"/>
    <col min="2" max="2" width="17.88671875" style="13" bestFit="1" customWidth="1"/>
    <col min="3" max="7" width="6.109375" style="13" bestFit="1" customWidth="1"/>
    <col min="8" max="8" width="4.6640625" style="13" bestFit="1" customWidth="1"/>
    <col min="9" max="9" width="4.33203125" style="13" customWidth="1"/>
    <col min="10" max="10" width="10.21875" style="13" bestFit="1" customWidth="1"/>
    <col min="11" max="15" width="4.6640625" style="13" bestFit="1" customWidth="1"/>
    <col min="16" max="16" width="4.33203125" style="13" customWidth="1"/>
    <col min="17" max="17" width="14.6640625" style="13" bestFit="1" customWidth="1"/>
    <col min="18" max="21" width="4.6640625" style="6" bestFit="1" customWidth="1"/>
    <col min="22" max="22" width="4.33203125" style="13" customWidth="1"/>
    <col min="23" max="23" width="19.77734375" style="13" bestFit="1" customWidth="1"/>
    <col min="24" max="27" width="8.21875" style="6" bestFit="1" customWidth="1"/>
    <col min="28" max="28" width="9" style="11" customWidth="1"/>
    <col min="29" max="29" width="41" style="13" bestFit="1" customWidth="1"/>
    <col min="30" max="30" width="10.21875" style="13" bestFit="1" customWidth="1"/>
    <col min="31" max="31" width="9" style="13" customWidth="1"/>
    <col min="32" max="32" width="28.5546875" style="6" bestFit="1" customWidth="1"/>
    <col min="33" max="37" width="10.21875" style="13" bestFit="1" customWidth="1"/>
    <col min="38" max="49" width="9" style="13" customWidth="1"/>
    <col min="50" max="16384" width="9" style="13"/>
  </cols>
  <sheetData>
    <row r="1" spans="1:37" ht="15.6" customHeight="1" x14ac:dyDescent="0.3"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3"/>
    </row>
    <row r="2" spans="1:37" ht="15.9" customHeight="1" x14ac:dyDescent="0.3">
      <c r="I2" s="4"/>
      <c r="J2" s="16" t="s">
        <v>19</v>
      </c>
      <c r="K2" s="16"/>
      <c r="L2" s="16"/>
      <c r="M2" s="16"/>
      <c r="N2" s="16"/>
      <c r="O2" s="16"/>
      <c r="P2" s="16"/>
      <c r="Q2" s="16" t="s">
        <v>68</v>
      </c>
      <c r="R2" s="46"/>
      <c r="S2" s="46"/>
      <c r="T2" s="46"/>
      <c r="U2" s="46"/>
      <c r="V2" s="16"/>
      <c r="W2" s="16" t="s">
        <v>69</v>
      </c>
      <c r="X2" s="46"/>
      <c r="AB2" s="13"/>
      <c r="AC2" s="16" t="s">
        <v>70</v>
      </c>
      <c r="AF2" s="6" t="s">
        <v>71</v>
      </c>
    </row>
    <row r="3" spans="1:37" ht="15.9" customHeight="1" x14ac:dyDescent="0.3">
      <c r="A3" s="5" t="s">
        <v>19</v>
      </c>
      <c r="B3" s="5" t="s">
        <v>20</v>
      </c>
      <c r="C3" s="5" t="s">
        <v>72</v>
      </c>
      <c r="D3" s="5" t="s">
        <v>73</v>
      </c>
      <c r="E3" s="5" t="s">
        <v>74</v>
      </c>
      <c r="F3" s="5" t="s">
        <v>75</v>
      </c>
      <c r="G3" s="5" t="s">
        <v>76</v>
      </c>
      <c r="H3" s="5" t="s">
        <v>77</v>
      </c>
      <c r="I3" s="4"/>
      <c r="J3" s="5" t="s">
        <v>78</v>
      </c>
      <c r="K3" s="5" t="s">
        <v>72</v>
      </c>
      <c r="L3" s="5" t="s">
        <v>73</v>
      </c>
      <c r="M3" s="5" t="s">
        <v>74</v>
      </c>
      <c r="N3" s="5" t="s">
        <v>75</v>
      </c>
      <c r="O3" s="5" t="s">
        <v>76</v>
      </c>
      <c r="Q3" s="5" t="s">
        <v>72</v>
      </c>
      <c r="R3" s="5" t="s">
        <v>73</v>
      </c>
      <c r="S3" s="5" t="s">
        <v>74</v>
      </c>
      <c r="T3" s="5" t="s">
        <v>75</v>
      </c>
      <c r="U3" s="5" t="s">
        <v>76</v>
      </c>
      <c r="W3" s="5" t="s">
        <v>72</v>
      </c>
      <c r="X3" s="5" t="s">
        <v>73</v>
      </c>
      <c r="Y3" s="5" t="s">
        <v>74</v>
      </c>
      <c r="Z3" s="5" t="s">
        <v>75</v>
      </c>
      <c r="AA3" s="5" t="s">
        <v>76</v>
      </c>
      <c r="AB3" s="13"/>
      <c r="AC3" s="5" t="s">
        <v>79</v>
      </c>
      <c r="AD3" s="5" t="s">
        <v>54</v>
      </c>
      <c r="AF3" s="5" t="s">
        <v>19</v>
      </c>
      <c r="AG3" s="5" t="s">
        <v>72</v>
      </c>
      <c r="AH3" s="5" t="s">
        <v>73</v>
      </c>
      <c r="AI3" s="5" t="s">
        <v>74</v>
      </c>
      <c r="AJ3" s="5" t="s">
        <v>75</v>
      </c>
      <c r="AK3" s="5" t="s">
        <v>76</v>
      </c>
    </row>
    <row r="4" spans="1:37" ht="15.9" customHeight="1" x14ac:dyDescent="0.3">
      <c r="A4" s="9" t="str">
        <f t="array" ref="A4:A22">Overview!A30:A48</f>
        <v>WW</v>
      </c>
      <c r="B4" s="38" t="str">
        <f t="array" ref="B4:B22">Overview!B30:B48</f>
        <v>Wild</v>
      </c>
      <c r="C4" s="9">
        <f t="shared" ref="C4:C22" si="0">COUNTIF(K:K,$A4)</f>
        <v>0</v>
      </c>
      <c r="D4" s="9">
        <f t="shared" ref="D4:D22" si="1">COUNTIF(L:L,$A4)</f>
        <v>0</v>
      </c>
      <c r="E4" s="9">
        <f t="shared" ref="E4:E22" si="2">COUNTIF(M:M,$A4)</f>
        <v>0</v>
      </c>
      <c r="F4" s="9">
        <f t="shared" ref="F4:F22" si="3">COUNTIF(N:N,$A4)</f>
        <v>0</v>
      </c>
      <c r="G4" s="9">
        <f t="shared" ref="G4:G22" si="4">COUNTIF(O:O,$A4)</f>
        <v>0</v>
      </c>
      <c r="H4" s="38">
        <f t="array" ref="H4:H22">Overview!H30:H48</f>
        <v>0</v>
      </c>
      <c r="I4" s="52"/>
      <c r="J4" s="7">
        <v>0</v>
      </c>
      <c r="K4" s="41" t="s">
        <v>31</v>
      </c>
      <c r="L4" s="8" t="s">
        <v>28</v>
      </c>
      <c r="M4" s="8" t="s">
        <v>35</v>
      </c>
      <c r="N4" s="8" t="s">
        <v>33</v>
      </c>
      <c r="O4" s="8" t="s">
        <v>29</v>
      </c>
      <c r="Q4" s="17">
        <f t="shared" ref="Q4:Q35" si="5">IF(K4="","",VLOOKUP(K4,$A$4:$H$22,8,FALSE))</f>
        <v>6</v>
      </c>
      <c r="R4" s="17">
        <f t="shared" ref="R4:R35" si="6">IF(L4="","",VLOOKUP(L4,$A$4:$H$22,8,FALSE))</f>
        <v>3</v>
      </c>
      <c r="S4" s="17">
        <f t="shared" ref="S4:S35" si="7">IF(M4="","",VLOOKUP(M4,$A$4:$H$22,8,FALSE))</f>
        <v>10</v>
      </c>
      <c r="T4" s="17">
        <f t="shared" ref="T4:T35" si="8">IF(N4="","",VLOOKUP(N4,$A$4:$H$22,8,FALSE))</f>
        <v>8</v>
      </c>
      <c r="U4" s="17">
        <f t="shared" ref="U4:U35" si="9">IF(O4="","",VLOOKUP(O4,$A$4:$H$22,8,FALSE))</f>
        <v>4</v>
      </c>
      <c r="W4" s="7">
        <v>6958</v>
      </c>
      <c r="X4" s="7">
        <v>3992</v>
      </c>
      <c r="Y4" s="7">
        <v>0</v>
      </c>
      <c r="Z4" s="7">
        <v>6012</v>
      </c>
      <c r="AA4" s="7">
        <v>6096</v>
      </c>
      <c r="AB4" s="13"/>
      <c r="AC4" s="38">
        <v>0</v>
      </c>
      <c r="AD4" s="10">
        <v>12792</v>
      </c>
      <c r="AF4" s="9" t="str">
        <f t="array" ref="AF4:AF22">A4:A22</f>
        <v>WW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</row>
    <row r="5" spans="1:37" ht="15.9" customHeight="1" x14ac:dyDescent="0.3">
      <c r="A5" s="2" t="str">
        <v>W2</v>
      </c>
      <c r="B5" s="38" t="str">
        <v>Super Wild</v>
      </c>
      <c r="C5" s="9">
        <f t="shared" si="0"/>
        <v>0</v>
      </c>
      <c r="D5" s="9">
        <f t="shared" si="1"/>
        <v>0</v>
      </c>
      <c r="E5" s="9">
        <f t="shared" si="2"/>
        <v>0</v>
      </c>
      <c r="F5" s="9">
        <f t="shared" si="3"/>
        <v>0</v>
      </c>
      <c r="G5" s="9">
        <f t="shared" si="4"/>
        <v>0</v>
      </c>
      <c r="H5" s="38">
        <v>1</v>
      </c>
      <c r="I5" s="52"/>
      <c r="J5" s="2">
        <v>1</v>
      </c>
      <c r="K5" s="41" t="s">
        <v>32</v>
      </c>
      <c r="L5" s="41" t="s">
        <v>40</v>
      </c>
      <c r="M5" s="41" t="s">
        <v>26</v>
      </c>
      <c r="N5" s="41" t="s">
        <v>35</v>
      </c>
      <c r="O5" s="41" t="s">
        <v>32</v>
      </c>
      <c r="Q5" s="17">
        <f t="shared" si="5"/>
        <v>7</v>
      </c>
      <c r="R5" s="17">
        <f t="shared" si="6"/>
        <v>13</v>
      </c>
      <c r="S5" s="17">
        <f t="shared" si="7"/>
        <v>2</v>
      </c>
      <c r="T5" s="17">
        <f t="shared" si="8"/>
        <v>10</v>
      </c>
      <c r="U5" s="17">
        <f t="shared" si="9"/>
        <v>7</v>
      </c>
      <c r="W5" s="7">
        <v>7015</v>
      </c>
      <c r="X5" s="7">
        <v>4035</v>
      </c>
      <c r="Y5" s="7">
        <v>0</v>
      </c>
      <c r="Z5" s="7">
        <v>5855</v>
      </c>
      <c r="AA5" s="7">
        <v>5854</v>
      </c>
      <c r="AB5" s="13"/>
      <c r="AC5" s="38">
        <v>2</v>
      </c>
      <c r="AD5" s="10">
        <v>1401</v>
      </c>
      <c r="AF5" s="2" t="str">
        <v>W2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</row>
    <row r="6" spans="1:37" ht="15.9" customHeight="1" x14ac:dyDescent="0.3">
      <c r="A6" s="2" t="str">
        <v>C1</v>
      </c>
      <c r="B6" s="38" t="str">
        <v>Scatter</v>
      </c>
      <c r="C6" s="9">
        <f t="shared" si="0"/>
        <v>4</v>
      </c>
      <c r="D6" s="9">
        <f t="shared" si="1"/>
        <v>4</v>
      </c>
      <c r="E6" s="9">
        <f t="shared" si="2"/>
        <v>4</v>
      </c>
      <c r="F6" s="9">
        <f t="shared" si="3"/>
        <v>4</v>
      </c>
      <c r="G6" s="9">
        <f t="shared" si="4"/>
        <v>6</v>
      </c>
      <c r="H6" s="38">
        <v>2</v>
      </c>
      <c r="I6" s="52"/>
      <c r="J6" s="2">
        <v>2</v>
      </c>
      <c r="K6" s="41" t="s">
        <v>33</v>
      </c>
      <c r="L6" s="41" t="s">
        <v>30</v>
      </c>
      <c r="M6" s="41" t="s">
        <v>34</v>
      </c>
      <c r="N6" s="41" t="s">
        <v>34</v>
      </c>
      <c r="O6" s="41" t="s">
        <v>30</v>
      </c>
      <c r="Q6" s="17">
        <f t="shared" si="5"/>
        <v>8</v>
      </c>
      <c r="R6" s="17">
        <f t="shared" si="6"/>
        <v>5</v>
      </c>
      <c r="S6" s="17">
        <f t="shared" si="7"/>
        <v>9</v>
      </c>
      <c r="T6" s="17">
        <f t="shared" si="8"/>
        <v>9</v>
      </c>
      <c r="U6" s="17">
        <f t="shared" si="9"/>
        <v>5</v>
      </c>
      <c r="W6" s="7">
        <v>6538</v>
      </c>
      <c r="X6" s="7">
        <v>3975</v>
      </c>
      <c r="Y6" s="7">
        <v>20755</v>
      </c>
      <c r="Z6" s="7">
        <v>5785</v>
      </c>
      <c r="AA6" s="7">
        <v>17425</v>
      </c>
      <c r="AB6" s="13"/>
      <c r="AC6" s="38">
        <v>3</v>
      </c>
      <c r="AD6" s="10">
        <v>235</v>
      </c>
      <c r="AF6" s="2" t="str">
        <v>C1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</row>
    <row r="7" spans="1:37" ht="15.9" customHeight="1" x14ac:dyDescent="0.3">
      <c r="A7" s="2" t="str">
        <v>M1</v>
      </c>
      <c r="B7" s="38" t="str">
        <v>M1</v>
      </c>
      <c r="C7" s="9">
        <f t="shared" si="0"/>
        <v>14</v>
      </c>
      <c r="D7" s="9">
        <f t="shared" si="1"/>
        <v>9</v>
      </c>
      <c r="E7" s="9">
        <f t="shared" si="2"/>
        <v>10</v>
      </c>
      <c r="F7" s="9">
        <f t="shared" si="3"/>
        <v>9</v>
      </c>
      <c r="G7" s="9">
        <f t="shared" si="4"/>
        <v>14</v>
      </c>
      <c r="H7" s="38">
        <v>3</v>
      </c>
      <c r="I7" s="52"/>
      <c r="J7" s="2">
        <v>3</v>
      </c>
      <c r="K7" s="41" t="s">
        <v>28</v>
      </c>
      <c r="L7" s="41" t="s">
        <v>31</v>
      </c>
      <c r="M7" s="41" t="s">
        <v>34</v>
      </c>
      <c r="N7" s="41" t="s">
        <v>35</v>
      </c>
      <c r="O7" s="41" t="s">
        <v>33</v>
      </c>
      <c r="Q7" s="17">
        <f t="shared" si="5"/>
        <v>3</v>
      </c>
      <c r="R7" s="17">
        <f t="shared" si="6"/>
        <v>6</v>
      </c>
      <c r="S7" s="17">
        <f t="shared" si="7"/>
        <v>9</v>
      </c>
      <c r="T7" s="17">
        <f t="shared" si="8"/>
        <v>10</v>
      </c>
      <c r="U7" s="17">
        <f t="shared" si="9"/>
        <v>8</v>
      </c>
      <c r="W7" s="7">
        <v>18141</v>
      </c>
      <c r="X7" s="7">
        <v>11451</v>
      </c>
      <c r="Y7" s="7">
        <v>43698</v>
      </c>
      <c r="Z7" s="7">
        <v>4966</v>
      </c>
      <c r="AA7" s="7">
        <v>5399</v>
      </c>
      <c r="AB7" s="13"/>
      <c r="AC7" s="38">
        <v>4</v>
      </c>
      <c r="AD7" s="10">
        <v>18</v>
      </c>
      <c r="AF7" s="2" t="str">
        <v>M1</v>
      </c>
      <c r="AG7" s="9">
        <v>25644</v>
      </c>
      <c r="AH7" s="9">
        <v>43685</v>
      </c>
      <c r="AI7" s="9">
        <v>23458</v>
      </c>
      <c r="AJ7" s="9">
        <v>48177</v>
      </c>
      <c r="AK7" s="9">
        <v>25951</v>
      </c>
    </row>
    <row r="8" spans="1:37" ht="15.9" customHeight="1" x14ac:dyDescent="0.3">
      <c r="A8" s="2" t="str">
        <v>M2</v>
      </c>
      <c r="B8" s="38" t="str">
        <v>M2</v>
      </c>
      <c r="C8" s="9">
        <f t="shared" si="0"/>
        <v>28</v>
      </c>
      <c r="D8" s="9">
        <f t="shared" si="1"/>
        <v>33</v>
      </c>
      <c r="E8" s="9">
        <f t="shared" si="2"/>
        <v>15</v>
      </c>
      <c r="F8" s="9">
        <f t="shared" si="3"/>
        <v>12</v>
      </c>
      <c r="G8" s="9">
        <f t="shared" si="4"/>
        <v>24</v>
      </c>
      <c r="H8" s="38">
        <v>4</v>
      </c>
      <c r="I8" s="52"/>
      <c r="J8" s="2">
        <v>4</v>
      </c>
      <c r="K8" s="41" t="s">
        <v>32</v>
      </c>
      <c r="L8" s="41" t="s">
        <v>29</v>
      </c>
      <c r="M8" s="41" t="s">
        <v>34</v>
      </c>
      <c r="N8" s="41" t="s">
        <v>40</v>
      </c>
      <c r="O8" s="41" t="s">
        <v>30</v>
      </c>
      <c r="Q8" s="17">
        <f t="shared" si="5"/>
        <v>7</v>
      </c>
      <c r="R8" s="17">
        <f t="shared" si="6"/>
        <v>4</v>
      </c>
      <c r="S8" s="17">
        <f t="shared" si="7"/>
        <v>9</v>
      </c>
      <c r="T8" s="17">
        <f t="shared" si="8"/>
        <v>13</v>
      </c>
      <c r="U8" s="17">
        <f t="shared" si="9"/>
        <v>5</v>
      </c>
      <c r="W8" s="7">
        <v>18249</v>
      </c>
      <c r="X8" s="7">
        <v>10244</v>
      </c>
      <c r="Y8" s="7">
        <v>49723</v>
      </c>
      <c r="Z8" s="7">
        <v>13687</v>
      </c>
      <c r="AA8" s="7">
        <v>4633</v>
      </c>
      <c r="AB8" s="13"/>
      <c r="AF8" s="2" t="str">
        <v>M2</v>
      </c>
      <c r="AG8" s="9">
        <v>54011</v>
      </c>
      <c r="AH8" s="9">
        <v>22291</v>
      </c>
      <c r="AI8" s="9">
        <v>48588</v>
      </c>
      <c r="AJ8" s="9">
        <v>24775</v>
      </c>
      <c r="AK8" s="9">
        <v>56629</v>
      </c>
    </row>
    <row r="9" spans="1:37" ht="15.9" customHeight="1" x14ac:dyDescent="0.3">
      <c r="A9" s="2" t="str">
        <v>M3</v>
      </c>
      <c r="B9" s="38" t="str">
        <v>M3</v>
      </c>
      <c r="C9" s="9">
        <f t="shared" si="0"/>
        <v>18</v>
      </c>
      <c r="D9" s="9">
        <f t="shared" si="1"/>
        <v>12</v>
      </c>
      <c r="E9" s="9">
        <f t="shared" si="2"/>
        <v>30</v>
      </c>
      <c r="F9" s="9">
        <f t="shared" si="3"/>
        <v>13</v>
      </c>
      <c r="G9" s="9">
        <f t="shared" si="4"/>
        <v>28</v>
      </c>
      <c r="H9" s="38">
        <v>5</v>
      </c>
      <c r="I9" s="52"/>
      <c r="J9" s="2">
        <v>5</v>
      </c>
      <c r="K9" s="41" t="s">
        <v>35</v>
      </c>
      <c r="L9" s="41" t="s">
        <v>26</v>
      </c>
      <c r="M9" s="41" t="s">
        <v>32</v>
      </c>
      <c r="N9" s="41" t="s">
        <v>30</v>
      </c>
      <c r="O9" s="41" t="s">
        <v>35</v>
      </c>
      <c r="Q9" s="17">
        <f t="shared" si="5"/>
        <v>10</v>
      </c>
      <c r="R9" s="17">
        <f t="shared" si="6"/>
        <v>2</v>
      </c>
      <c r="S9" s="17">
        <f t="shared" si="7"/>
        <v>7</v>
      </c>
      <c r="T9" s="17">
        <f t="shared" si="8"/>
        <v>5</v>
      </c>
      <c r="U9" s="17">
        <f t="shared" si="9"/>
        <v>10</v>
      </c>
      <c r="W9" s="7">
        <v>0</v>
      </c>
      <c r="X9" s="7">
        <v>11958</v>
      </c>
      <c r="Y9" s="7">
        <v>16230</v>
      </c>
      <c r="Z9" s="7">
        <v>15616</v>
      </c>
      <c r="AA9" s="7">
        <v>5435</v>
      </c>
      <c r="AB9" s="13"/>
      <c r="AF9" s="2" t="str">
        <v>M3</v>
      </c>
      <c r="AG9" s="9">
        <v>53695</v>
      </c>
      <c r="AH9" s="9">
        <v>33042</v>
      </c>
      <c r="AI9" s="9">
        <v>37821</v>
      </c>
      <c r="AJ9" s="9">
        <v>36313</v>
      </c>
      <c r="AK9" s="9">
        <v>44385</v>
      </c>
    </row>
    <row r="10" spans="1:37" ht="15.9" customHeight="1" x14ac:dyDescent="0.3">
      <c r="A10" s="2" t="str">
        <v>M4</v>
      </c>
      <c r="B10" s="38" t="str">
        <v>M4</v>
      </c>
      <c r="C10" s="9">
        <f t="shared" si="0"/>
        <v>19</v>
      </c>
      <c r="D10" s="9">
        <f t="shared" si="1"/>
        <v>37</v>
      </c>
      <c r="E10" s="9">
        <f t="shared" si="2"/>
        <v>12</v>
      </c>
      <c r="F10" s="9">
        <f t="shared" si="3"/>
        <v>40</v>
      </c>
      <c r="G10" s="9">
        <f t="shared" si="4"/>
        <v>15</v>
      </c>
      <c r="H10" s="38">
        <v>6</v>
      </c>
      <c r="I10" s="52"/>
      <c r="J10" s="2">
        <v>6</v>
      </c>
      <c r="K10" s="41" t="s">
        <v>31</v>
      </c>
      <c r="L10" s="41" t="s">
        <v>29</v>
      </c>
      <c r="M10" s="41" t="s">
        <v>34</v>
      </c>
      <c r="N10" s="41" t="s">
        <v>35</v>
      </c>
      <c r="O10" s="41" t="s">
        <v>32</v>
      </c>
      <c r="Q10" s="17">
        <f t="shared" si="5"/>
        <v>6</v>
      </c>
      <c r="R10" s="17">
        <f t="shared" si="6"/>
        <v>4</v>
      </c>
      <c r="S10" s="17">
        <f t="shared" si="7"/>
        <v>9</v>
      </c>
      <c r="T10" s="17">
        <f t="shared" si="8"/>
        <v>10</v>
      </c>
      <c r="U10" s="17">
        <f t="shared" si="9"/>
        <v>7</v>
      </c>
      <c r="W10" s="7">
        <v>0</v>
      </c>
      <c r="X10" s="7">
        <v>15420</v>
      </c>
      <c r="Y10" s="7">
        <v>17155</v>
      </c>
      <c r="Z10" s="7">
        <v>18203</v>
      </c>
      <c r="AA10" s="7">
        <v>5529</v>
      </c>
      <c r="AB10" s="13"/>
      <c r="AF10" s="2" t="str">
        <v>M4</v>
      </c>
      <c r="AG10" s="9">
        <v>133864</v>
      </c>
      <c r="AH10" s="9">
        <v>148579</v>
      </c>
      <c r="AI10" s="9">
        <v>93816</v>
      </c>
      <c r="AJ10" s="9">
        <v>158296</v>
      </c>
      <c r="AK10" s="9">
        <v>108328</v>
      </c>
    </row>
    <row r="11" spans="1:37" ht="15.9" customHeight="1" x14ac:dyDescent="0.3">
      <c r="A11" s="2" t="str">
        <v>A</v>
      </c>
      <c r="B11" s="38" t="str">
        <v>A</v>
      </c>
      <c r="C11" s="9">
        <f t="shared" si="0"/>
        <v>33</v>
      </c>
      <c r="D11" s="9">
        <f t="shared" si="1"/>
        <v>43</v>
      </c>
      <c r="E11" s="9">
        <f t="shared" si="2"/>
        <v>15</v>
      </c>
      <c r="F11" s="9">
        <f t="shared" si="3"/>
        <v>9</v>
      </c>
      <c r="G11" s="9">
        <f t="shared" si="4"/>
        <v>31</v>
      </c>
      <c r="H11" s="38">
        <v>7</v>
      </c>
      <c r="I11" s="52"/>
      <c r="J11" s="2">
        <v>7</v>
      </c>
      <c r="K11" s="41" t="s">
        <v>33</v>
      </c>
      <c r="L11" s="41" t="s">
        <v>31</v>
      </c>
      <c r="M11" s="41" t="s">
        <v>31</v>
      </c>
      <c r="N11" s="41" t="s">
        <v>32</v>
      </c>
      <c r="O11" s="41" t="s">
        <v>31</v>
      </c>
      <c r="Q11" s="17">
        <f t="shared" si="5"/>
        <v>8</v>
      </c>
      <c r="R11" s="17">
        <f t="shared" si="6"/>
        <v>6</v>
      </c>
      <c r="S11" s="17">
        <f t="shared" si="7"/>
        <v>6</v>
      </c>
      <c r="T11" s="17">
        <f t="shared" si="8"/>
        <v>7</v>
      </c>
      <c r="U11" s="17">
        <f t="shared" si="9"/>
        <v>6</v>
      </c>
      <c r="W11" s="7">
        <v>0</v>
      </c>
      <c r="X11" s="7">
        <v>5190</v>
      </c>
      <c r="Y11" s="7">
        <v>14072</v>
      </c>
      <c r="Z11" s="7">
        <v>5907</v>
      </c>
      <c r="AA11" s="7">
        <v>17814</v>
      </c>
      <c r="AB11" s="13"/>
      <c r="AF11" s="2" t="str">
        <v>A</v>
      </c>
      <c r="AG11" s="9">
        <v>203445</v>
      </c>
      <c r="AH11" s="9">
        <v>203896</v>
      </c>
      <c r="AI11" s="9">
        <v>193108</v>
      </c>
      <c r="AJ11" s="9">
        <v>218079</v>
      </c>
      <c r="AK11" s="9">
        <v>215994</v>
      </c>
    </row>
    <row r="12" spans="1:37" ht="15.9" customHeight="1" x14ac:dyDescent="0.3">
      <c r="A12" s="2" t="str">
        <v>K</v>
      </c>
      <c r="B12" s="38" t="str">
        <v>K</v>
      </c>
      <c r="C12" s="9">
        <f t="shared" si="0"/>
        <v>33</v>
      </c>
      <c r="D12" s="9">
        <f t="shared" si="1"/>
        <v>12</v>
      </c>
      <c r="E12" s="9">
        <f t="shared" si="2"/>
        <v>11</v>
      </c>
      <c r="F12" s="9">
        <f t="shared" si="3"/>
        <v>50</v>
      </c>
      <c r="G12" s="9">
        <f t="shared" si="4"/>
        <v>26</v>
      </c>
      <c r="H12" s="38">
        <v>8</v>
      </c>
      <c r="I12" s="52"/>
      <c r="J12" s="2">
        <v>8</v>
      </c>
      <c r="K12" s="41" t="s">
        <v>26</v>
      </c>
      <c r="L12" s="41" t="s">
        <v>36</v>
      </c>
      <c r="M12" s="41" t="s">
        <v>34</v>
      </c>
      <c r="N12" s="41" t="s">
        <v>34</v>
      </c>
      <c r="O12" s="41" t="s">
        <v>28</v>
      </c>
      <c r="Q12" s="17">
        <f t="shared" si="5"/>
        <v>2</v>
      </c>
      <c r="R12" s="17">
        <f t="shared" si="6"/>
        <v>11</v>
      </c>
      <c r="S12" s="17">
        <f t="shared" si="7"/>
        <v>9</v>
      </c>
      <c r="T12" s="17">
        <f t="shared" si="8"/>
        <v>9</v>
      </c>
      <c r="U12" s="17">
        <f t="shared" si="9"/>
        <v>3</v>
      </c>
      <c r="W12" s="7">
        <v>0</v>
      </c>
      <c r="X12" s="7">
        <v>4969</v>
      </c>
      <c r="Y12" s="7">
        <v>13862</v>
      </c>
      <c r="Z12" s="7">
        <v>4412</v>
      </c>
      <c r="AA12" s="7">
        <v>46429</v>
      </c>
      <c r="AB12" s="13"/>
      <c r="AF12" s="2" t="str">
        <v>K</v>
      </c>
      <c r="AG12" s="9">
        <v>60671</v>
      </c>
      <c r="AH12" s="9">
        <v>57568</v>
      </c>
      <c r="AI12" s="9">
        <v>55324</v>
      </c>
      <c r="AJ12" s="9">
        <v>65528</v>
      </c>
      <c r="AK12" s="9">
        <v>67322</v>
      </c>
    </row>
    <row r="13" spans="1:37" ht="15.9" customHeight="1" x14ac:dyDescent="0.3">
      <c r="A13" s="2" t="str">
        <v>Q</v>
      </c>
      <c r="B13" s="38" t="str">
        <v>Q</v>
      </c>
      <c r="C13" s="9">
        <f t="shared" si="0"/>
        <v>18</v>
      </c>
      <c r="D13" s="9">
        <f t="shared" si="1"/>
        <v>12</v>
      </c>
      <c r="E13" s="9">
        <f t="shared" si="2"/>
        <v>39</v>
      </c>
      <c r="F13" s="9">
        <f t="shared" si="3"/>
        <v>34</v>
      </c>
      <c r="G13" s="9">
        <f t="shared" si="4"/>
        <v>30</v>
      </c>
      <c r="H13" s="38">
        <v>9</v>
      </c>
      <c r="I13" s="52"/>
      <c r="J13" s="2">
        <v>9</v>
      </c>
      <c r="K13" s="41" t="s">
        <v>28</v>
      </c>
      <c r="L13" s="41" t="s">
        <v>28</v>
      </c>
      <c r="M13" s="41" t="s">
        <v>50</v>
      </c>
      <c r="N13" s="41" t="s">
        <v>30</v>
      </c>
      <c r="O13" s="41" t="s">
        <v>32</v>
      </c>
      <c r="Q13" s="17">
        <f t="shared" si="5"/>
        <v>3</v>
      </c>
      <c r="R13" s="17">
        <f t="shared" si="6"/>
        <v>3</v>
      </c>
      <c r="S13" s="17">
        <f t="shared" si="7"/>
        <v>18</v>
      </c>
      <c r="T13" s="17">
        <f t="shared" si="8"/>
        <v>5</v>
      </c>
      <c r="U13" s="17">
        <f t="shared" si="9"/>
        <v>7</v>
      </c>
      <c r="W13" s="7">
        <v>6529</v>
      </c>
      <c r="X13" s="7">
        <v>5529</v>
      </c>
      <c r="Y13" s="7">
        <v>27038</v>
      </c>
      <c r="Z13" s="7">
        <v>4412</v>
      </c>
      <c r="AA13" s="7">
        <v>50384</v>
      </c>
      <c r="AB13" s="13"/>
      <c r="AF13" s="2" t="str">
        <v>Q</v>
      </c>
      <c r="AG13" s="9">
        <v>258467</v>
      </c>
      <c r="AH13" s="9">
        <v>187024</v>
      </c>
      <c r="AI13" s="9">
        <v>243920</v>
      </c>
      <c r="AJ13" s="9">
        <v>203800</v>
      </c>
      <c r="AK13" s="9">
        <v>262802</v>
      </c>
    </row>
    <row r="14" spans="1:37" ht="15.9" customHeight="1" x14ac:dyDescent="0.3">
      <c r="A14" s="2" t="str">
        <v>J</v>
      </c>
      <c r="B14" s="38" t="str">
        <v>J</v>
      </c>
      <c r="C14" s="9">
        <f t="shared" si="0"/>
        <v>33</v>
      </c>
      <c r="D14" s="9">
        <f t="shared" si="1"/>
        <v>8</v>
      </c>
      <c r="E14" s="9">
        <f t="shared" si="2"/>
        <v>38</v>
      </c>
      <c r="F14" s="9">
        <f t="shared" si="3"/>
        <v>13</v>
      </c>
      <c r="G14" s="9">
        <f t="shared" si="4"/>
        <v>26</v>
      </c>
      <c r="H14" s="38">
        <v>10</v>
      </c>
      <c r="I14" s="52"/>
      <c r="J14" s="2">
        <v>10</v>
      </c>
      <c r="K14" s="41" t="s">
        <v>35</v>
      </c>
      <c r="L14" s="41" t="s">
        <v>44</v>
      </c>
      <c r="M14" s="41" t="s">
        <v>34</v>
      </c>
      <c r="N14" s="41" t="s">
        <v>33</v>
      </c>
      <c r="O14" s="41" t="s">
        <v>34</v>
      </c>
      <c r="Q14" s="17">
        <f t="shared" si="5"/>
        <v>10</v>
      </c>
      <c r="R14" s="17">
        <f t="shared" si="6"/>
        <v>15</v>
      </c>
      <c r="S14" s="17">
        <f t="shared" si="7"/>
        <v>9</v>
      </c>
      <c r="T14" s="17">
        <f t="shared" si="8"/>
        <v>8</v>
      </c>
      <c r="U14" s="17">
        <f t="shared" si="9"/>
        <v>9</v>
      </c>
      <c r="W14" s="7">
        <v>6436</v>
      </c>
      <c r="X14" s="7">
        <v>4843</v>
      </c>
      <c r="Y14" s="7">
        <v>13981</v>
      </c>
      <c r="Z14" s="7">
        <v>4412</v>
      </c>
      <c r="AA14" s="7">
        <v>17116</v>
      </c>
      <c r="AB14" s="13"/>
      <c r="AF14" s="2" t="str">
        <v>J</v>
      </c>
      <c r="AG14" s="9">
        <v>210203</v>
      </c>
      <c r="AH14" s="9">
        <v>148550</v>
      </c>
      <c r="AI14" s="9">
        <v>192783</v>
      </c>
      <c r="AJ14" s="9">
        <v>163524</v>
      </c>
      <c r="AK14" s="9">
        <v>218589</v>
      </c>
    </row>
    <row r="15" spans="1:37" ht="15.9" customHeight="1" x14ac:dyDescent="0.3">
      <c r="A15" s="2" t="str">
        <v>G1</v>
      </c>
      <c r="B15" s="38" t="str">
        <v>Golden M1</v>
      </c>
      <c r="C15" s="9">
        <f t="shared" si="0"/>
        <v>0</v>
      </c>
      <c r="D15" s="9">
        <f t="shared" si="1"/>
        <v>2</v>
      </c>
      <c r="E15" s="9">
        <f t="shared" si="2"/>
        <v>1</v>
      </c>
      <c r="F15" s="9">
        <f t="shared" si="3"/>
        <v>1</v>
      </c>
      <c r="G15" s="9">
        <f t="shared" si="4"/>
        <v>0</v>
      </c>
      <c r="H15" s="38">
        <v>11</v>
      </c>
      <c r="I15" s="52"/>
      <c r="J15" s="2">
        <v>11</v>
      </c>
      <c r="K15" s="41" t="s">
        <v>30</v>
      </c>
      <c r="L15" s="41" t="s">
        <v>29</v>
      </c>
      <c r="M15" s="41" t="s">
        <v>31</v>
      </c>
      <c r="N15" s="41" t="s">
        <v>28</v>
      </c>
      <c r="O15" s="41" t="s">
        <v>35</v>
      </c>
      <c r="Q15" s="17">
        <f t="shared" si="5"/>
        <v>5</v>
      </c>
      <c r="R15" s="17">
        <f t="shared" si="6"/>
        <v>4</v>
      </c>
      <c r="S15" s="17">
        <f t="shared" si="7"/>
        <v>6</v>
      </c>
      <c r="T15" s="17">
        <f t="shared" si="8"/>
        <v>3</v>
      </c>
      <c r="U15" s="17">
        <f t="shared" si="9"/>
        <v>10</v>
      </c>
      <c r="W15" s="7">
        <v>6020</v>
      </c>
      <c r="X15" s="7">
        <v>4770</v>
      </c>
      <c r="Y15" s="7">
        <v>12113</v>
      </c>
      <c r="Z15" s="7">
        <v>4412</v>
      </c>
      <c r="AA15" s="7">
        <v>6134</v>
      </c>
      <c r="AB15" s="13"/>
      <c r="AF15" s="2" t="str">
        <v>G1</v>
      </c>
      <c r="AG15" s="9">
        <v>0</v>
      </c>
      <c r="AH15" s="9">
        <v>8441</v>
      </c>
      <c r="AI15" s="9">
        <v>3278</v>
      </c>
      <c r="AJ15" s="9">
        <v>3836</v>
      </c>
      <c r="AK15" s="9">
        <v>0</v>
      </c>
    </row>
    <row r="16" spans="1:37" ht="15.9" customHeight="1" x14ac:dyDescent="0.3">
      <c r="A16" s="2" t="str">
        <v>G2</v>
      </c>
      <c r="B16" s="38" t="str">
        <v>Golden M2</v>
      </c>
      <c r="C16" s="9">
        <f t="shared" si="0"/>
        <v>0</v>
      </c>
      <c r="D16" s="9">
        <f t="shared" si="1"/>
        <v>5</v>
      </c>
      <c r="E16" s="9">
        <f t="shared" si="2"/>
        <v>2</v>
      </c>
      <c r="F16" s="9">
        <f t="shared" si="3"/>
        <v>1</v>
      </c>
      <c r="G16" s="9">
        <f t="shared" si="4"/>
        <v>0</v>
      </c>
      <c r="H16" s="38">
        <v>12</v>
      </c>
      <c r="I16" s="52"/>
      <c r="J16" s="2">
        <v>12</v>
      </c>
      <c r="K16" s="41" t="s">
        <v>29</v>
      </c>
      <c r="L16" s="41" t="s">
        <v>29</v>
      </c>
      <c r="M16" s="41" t="s">
        <v>35</v>
      </c>
      <c r="N16" s="41" t="s">
        <v>33</v>
      </c>
      <c r="O16" s="41" t="s">
        <v>32</v>
      </c>
      <c r="Q16" s="17">
        <f t="shared" si="5"/>
        <v>4</v>
      </c>
      <c r="R16" s="17">
        <f t="shared" si="6"/>
        <v>4</v>
      </c>
      <c r="S16" s="17">
        <f t="shared" si="7"/>
        <v>10</v>
      </c>
      <c r="T16" s="17">
        <f t="shared" si="8"/>
        <v>8</v>
      </c>
      <c r="U16" s="17">
        <f t="shared" si="9"/>
        <v>7</v>
      </c>
      <c r="W16" s="7">
        <v>0</v>
      </c>
      <c r="X16" s="7">
        <v>5214</v>
      </c>
      <c r="Y16" s="7">
        <v>5306</v>
      </c>
      <c r="Z16" s="7">
        <v>4412</v>
      </c>
      <c r="AA16" s="7">
        <v>5408</v>
      </c>
      <c r="AB16" s="13"/>
      <c r="AF16" s="2" t="str">
        <v>G2</v>
      </c>
      <c r="AG16" s="9">
        <v>0</v>
      </c>
      <c r="AH16" s="9">
        <v>4241</v>
      </c>
      <c r="AI16" s="9">
        <v>6212</v>
      </c>
      <c r="AJ16" s="9">
        <v>2502</v>
      </c>
      <c r="AK16" s="9">
        <v>0</v>
      </c>
    </row>
    <row r="17" spans="1:37" ht="15.9" customHeight="1" x14ac:dyDescent="0.3">
      <c r="A17" s="2" t="str">
        <v>G3</v>
      </c>
      <c r="B17" s="38" t="str">
        <v>Golden M3</v>
      </c>
      <c r="C17" s="9">
        <f t="shared" si="0"/>
        <v>0</v>
      </c>
      <c r="D17" s="9">
        <f t="shared" si="1"/>
        <v>2</v>
      </c>
      <c r="E17" s="9">
        <f t="shared" si="2"/>
        <v>4</v>
      </c>
      <c r="F17" s="9">
        <f t="shared" si="3"/>
        <v>1</v>
      </c>
      <c r="G17" s="9">
        <f t="shared" si="4"/>
        <v>0</v>
      </c>
      <c r="H17" s="38">
        <v>13</v>
      </c>
      <c r="I17" s="52"/>
      <c r="J17" s="2">
        <v>13</v>
      </c>
      <c r="K17" s="41" t="s">
        <v>31</v>
      </c>
      <c r="L17" s="41" t="s">
        <v>33</v>
      </c>
      <c r="M17" s="41" t="s">
        <v>35</v>
      </c>
      <c r="N17" s="41" t="s">
        <v>31</v>
      </c>
      <c r="O17" s="41" t="s">
        <v>34</v>
      </c>
      <c r="Q17" s="17">
        <f t="shared" si="5"/>
        <v>6</v>
      </c>
      <c r="R17" s="17">
        <f t="shared" si="6"/>
        <v>8</v>
      </c>
      <c r="S17" s="17">
        <f t="shared" si="7"/>
        <v>10</v>
      </c>
      <c r="T17" s="17">
        <f t="shared" si="8"/>
        <v>6</v>
      </c>
      <c r="U17" s="17">
        <f t="shared" si="9"/>
        <v>9</v>
      </c>
      <c r="W17" s="7">
        <v>0</v>
      </c>
      <c r="X17" s="7">
        <v>5214</v>
      </c>
      <c r="Y17" s="7">
        <v>5306</v>
      </c>
      <c r="Z17" s="7">
        <v>4412</v>
      </c>
      <c r="AA17" s="7">
        <v>5527</v>
      </c>
      <c r="AB17" s="13"/>
      <c r="AF17" s="2" t="str">
        <v>G3</v>
      </c>
      <c r="AG17" s="9">
        <v>0</v>
      </c>
      <c r="AH17" s="9">
        <v>6079</v>
      </c>
      <c r="AI17" s="9">
        <v>5057</v>
      </c>
      <c r="AJ17" s="9">
        <v>2922</v>
      </c>
      <c r="AK17" s="9">
        <v>0</v>
      </c>
    </row>
    <row r="18" spans="1:37" ht="15.9" customHeight="1" x14ac:dyDescent="0.3">
      <c r="A18" s="2" t="str">
        <v>G4</v>
      </c>
      <c r="B18" s="38" t="str">
        <v>Golden M4</v>
      </c>
      <c r="C18" s="9">
        <f t="shared" si="0"/>
        <v>0</v>
      </c>
      <c r="D18" s="9">
        <f t="shared" si="1"/>
        <v>7</v>
      </c>
      <c r="E18" s="9">
        <f t="shared" si="2"/>
        <v>2</v>
      </c>
      <c r="F18" s="9">
        <f t="shared" si="3"/>
        <v>3</v>
      </c>
      <c r="G18" s="9">
        <f t="shared" si="4"/>
        <v>0</v>
      </c>
      <c r="H18" s="38">
        <v>14</v>
      </c>
      <c r="I18" s="52"/>
      <c r="J18" s="9">
        <v>14</v>
      </c>
      <c r="K18" s="41" t="s">
        <v>31</v>
      </c>
      <c r="L18" s="41" t="s">
        <v>29</v>
      </c>
      <c r="M18" s="41" t="s">
        <v>30</v>
      </c>
      <c r="N18" s="41" t="s">
        <v>33</v>
      </c>
      <c r="O18" s="41" t="s">
        <v>32</v>
      </c>
      <c r="Q18" s="17">
        <f t="shared" si="5"/>
        <v>6</v>
      </c>
      <c r="R18" s="17">
        <f t="shared" si="6"/>
        <v>4</v>
      </c>
      <c r="S18" s="17">
        <f t="shared" si="7"/>
        <v>5</v>
      </c>
      <c r="T18" s="17">
        <f t="shared" si="8"/>
        <v>8</v>
      </c>
      <c r="U18" s="17">
        <f t="shared" si="9"/>
        <v>7</v>
      </c>
      <c r="W18" s="7">
        <v>0</v>
      </c>
      <c r="X18" s="7">
        <v>5465</v>
      </c>
      <c r="Y18" s="7">
        <v>12059</v>
      </c>
      <c r="Z18" s="7">
        <v>4412</v>
      </c>
      <c r="AA18" s="7">
        <v>5396</v>
      </c>
      <c r="AB18" s="13"/>
      <c r="AF18" s="2" t="str">
        <v>G4</v>
      </c>
      <c r="AG18" s="9">
        <v>0</v>
      </c>
      <c r="AH18" s="9">
        <v>27936</v>
      </c>
      <c r="AI18" s="9">
        <v>11443</v>
      </c>
      <c r="AJ18" s="9">
        <v>13558</v>
      </c>
      <c r="AK18" s="9">
        <v>0</v>
      </c>
    </row>
    <row r="19" spans="1:37" ht="15.9" customHeight="1" x14ac:dyDescent="0.3">
      <c r="A19" s="2" t="str">
        <v>GA</v>
      </c>
      <c r="B19" s="38" t="str">
        <v>Golden A</v>
      </c>
      <c r="C19" s="9">
        <f t="shared" si="0"/>
        <v>0</v>
      </c>
      <c r="D19" s="9">
        <f t="shared" si="1"/>
        <v>8</v>
      </c>
      <c r="E19" s="9">
        <f t="shared" si="2"/>
        <v>2</v>
      </c>
      <c r="F19" s="9">
        <f t="shared" si="3"/>
        <v>1</v>
      </c>
      <c r="G19" s="9">
        <f t="shared" si="4"/>
        <v>0</v>
      </c>
      <c r="H19" s="38">
        <v>15</v>
      </c>
      <c r="I19" s="52"/>
      <c r="J19" s="2">
        <v>15</v>
      </c>
      <c r="K19" s="41" t="s">
        <v>26</v>
      </c>
      <c r="L19" s="41" t="s">
        <v>42</v>
      </c>
      <c r="M19" s="41" t="s">
        <v>30</v>
      </c>
      <c r="N19" s="41" t="s">
        <v>33</v>
      </c>
      <c r="O19" s="41" t="s">
        <v>31</v>
      </c>
      <c r="Q19" s="17">
        <f t="shared" si="5"/>
        <v>2</v>
      </c>
      <c r="R19" s="17">
        <f t="shared" si="6"/>
        <v>14</v>
      </c>
      <c r="S19" s="17">
        <f t="shared" si="7"/>
        <v>5</v>
      </c>
      <c r="T19" s="17">
        <f t="shared" si="8"/>
        <v>8</v>
      </c>
      <c r="U19" s="17">
        <f t="shared" si="9"/>
        <v>6</v>
      </c>
      <c r="W19" s="7">
        <v>0</v>
      </c>
      <c r="X19" s="7">
        <v>6892</v>
      </c>
      <c r="Y19" s="7">
        <v>12059</v>
      </c>
      <c r="Z19" s="7">
        <v>4412</v>
      </c>
      <c r="AA19" s="7">
        <v>5414</v>
      </c>
      <c r="AB19" s="13"/>
      <c r="AF19" s="2" t="str">
        <v>GA</v>
      </c>
      <c r="AG19" s="9">
        <v>0</v>
      </c>
      <c r="AH19" s="9">
        <v>37404</v>
      </c>
      <c r="AI19" s="9">
        <v>23328</v>
      </c>
      <c r="AJ19" s="9">
        <v>18796</v>
      </c>
      <c r="AK19" s="9">
        <v>0</v>
      </c>
    </row>
    <row r="20" spans="1:37" ht="15.9" customHeight="1" x14ac:dyDescent="0.3">
      <c r="A20" s="2" t="str">
        <v>GK</v>
      </c>
      <c r="B20" s="38" t="str">
        <v>Golden K</v>
      </c>
      <c r="C20" s="9">
        <f t="shared" si="0"/>
        <v>0</v>
      </c>
      <c r="D20" s="9">
        <f t="shared" si="1"/>
        <v>2</v>
      </c>
      <c r="E20" s="9">
        <f t="shared" si="2"/>
        <v>1</v>
      </c>
      <c r="F20" s="9">
        <f t="shared" si="3"/>
        <v>4</v>
      </c>
      <c r="G20" s="9">
        <f t="shared" si="4"/>
        <v>0</v>
      </c>
      <c r="H20" s="38">
        <v>16</v>
      </c>
      <c r="I20" s="52"/>
      <c r="J20" s="2">
        <v>16</v>
      </c>
      <c r="K20" s="41" t="s">
        <v>30</v>
      </c>
      <c r="L20" s="41" t="s">
        <v>40</v>
      </c>
      <c r="M20" s="41" t="s">
        <v>30</v>
      </c>
      <c r="N20" s="41" t="s">
        <v>33</v>
      </c>
      <c r="O20" s="41" t="s">
        <v>30</v>
      </c>
      <c r="Q20" s="17">
        <f t="shared" si="5"/>
        <v>5</v>
      </c>
      <c r="R20" s="17">
        <f t="shared" si="6"/>
        <v>13</v>
      </c>
      <c r="S20" s="17">
        <f t="shared" si="7"/>
        <v>5</v>
      </c>
      <c r="T20" s="17">
        <f t="shared" si="8"/>
        <v>8</v>
      </c>
      <c r="U20" s="17">
        <f t="shared" si="9"/>
        <v>5</v>
      </c>
      <c r="W20" s="7">
        <v>6471</v>
      </c>
      <c r="X20" s="7">
        <v>6881</v>
      </c>
      <c r="Y20" s="7">
        <v>4422</v>
      </c>
      <c r="Z20" s="7">
        <v>4412</v>
      </c>
      <c r="AA20" s="7">
        <v>10519</v>
      </c>
      <c r="AB20" s="13"/>
      <c r="AF20" s="2" t="str">
        <v>GK</v>
      </c>
      <c r="AG20" s="9">
        <v>0</v>
      </c>
      <c r="AH20" s="9">
        <v>10809</v>
      </c>
      <c r="AI20" s="9">
        <v>6829</v>
      </c>
      <c r="AJ20" s="9">
        <v>5622</v>
      </c>
      <c r="AK20" s="9">
        <v>0</v>
      </c>
    </row>
    <row r="21" spans="1:37" ht="15.9" customHeight="1" x14ac:dyDescent="0.3">
      <c r="A21" s="2" t="str">
        <v>GQ</v>
      </c>
      <c r="B21" s="38" t="str">
        <v>Golden Q</v>
      </c>
      <c r="C21" s="9">
        <f t="shared" si="0"/>
        <v>0</v>
      </c>
      <c r="D21" s="9">
        <f t="shared" si="1"/>
        <v>2</v>
      </c>
      <c r="E21" s="9">
        <f t="shared" si="2"/>
        <v>4</v>
      </c>
      <c r="F21" s="9">
        <f t="shared" si="3"/>
        <v>4</v>
      </c>
      <c r="G21" s="9">
        <f t="shared" si="4"/>
        <v>0</v>
      </c>
      <c r="H21" s="38">
        <v>17</v>
      </c>
      <c r="I21" s="52"/>
      <c r="J21" s="2">
        <v>17</v>
      </c>
      <c r="K21" s="41" t="s">
        <v>33</v>
      </c>
      <c r="L21" s="41" t="s">
        <v>29</v>
      </c>
      <c r="M21" s="41" t="s">
        <v>33</v>
      </c>
      <c r="N21" s="41" t="s">
        <v>30</v>
      </c>
      <c r="O21" s="41" t="s">
        <v>26</v>
      </c>
      <c r="Q21" s="17">
        <f t="shared" si="5"/>
        <v>8</v>
      </c>
      <c r="R21" s="17">
        <f t="shared" si="6"/>
        <v>4</v>
      </c>
      <c r="S21" s="17">
        <f t="shared" si="7"/>
        <v>8</v>
      </c>
      <c r="T21" s="17">
        <f t="shared" si="8"/>
        <v>5</v>
      </c>
      <c r="U21" s="17">
        <f t="shared" si="9"/>
        <v>2</v>
      </c>
      <c r="W21" s="7">
        <v>17981</v>
      </c>
      <c r="X21" s="7">
        <v>5475</v>
      </c>
      <c r="Y21" s="7">
        <v>4422</v>
      </c>
      <c r="Z21" s="7">
        <v>4412</v>
      </c>
      <c r="AA21" s="7">
        <v>29044</v>
      </c>
      <c r="AB21" s="13"/>
      <c r="AF21" s="2" t="str">
        <v>GQ</v>
      </c>
      <c r="AG21" s="9">
        <v>0</v>
      </c>
      <c r="AH21" s="9">
        <v>33429</v>
      </c>
      <c r="AI21" s="9">
        <v>30247</v>
      </c>
      <c r="AJ21" s="9">
        <v>18688</v>
      </c>
      <c r="AK21" s="9">
        <v>0</v>
      </c>
    </row>
    <row r="22" spans="1:37" ht="15.9" customHeight="1" x14ac:dyDescent="0.3">
      <c r="A22" s="2" t="str">
        <v>GJ</v>
      </c>
      <c r="B22" s="38" t="str">
        <v>Golden J</v>
      </c>
      <c r="C22" s="9">
        <f t="shared" si="0"/>
        <v>0</v>
      </c>
      <c r="D22" s="9">
        <f t="shared" si="1"/>
        <v>2</v>
      </c>
      <c r="E22" s="9">
        <f t="shared" si="2"/>
        <v>10</v>
      </c>
      <c r="F22" s="9">
        <f t="shared" si="3"/>
        <v>1</v>
      </c>
      <c r="G22" s="9">
        <f t="shared" si="4"/>
        <v>0</v>
      </c>
      <c r="H22" s="38">
        <v>18</v>
      </c>
      <c r="I22" s="52"/>
      <c r="J22" s="2">
        <v>18</v>
      </c>
      <c r="K22" s="41" t="s">
        <v>32</v>
      </c>
      <c r="L22" s="41" t="s">
        <v>29</v>
      </c>
      <c r="M22" s="41" t="s">
        <v>30</v>
      </c>
      <c r="N22" s="41" t="s">
        <v>31</v>
      </c>
      <c r="O22" s="41" t="s">
        <v>32</v>
      </c>
      <c r="Q22" s="17">
        <f t="shared" si="5"/>
        <v>7</v>
      </c>
      <c r="R22" s="17">
        <f t="shared" si="6"/>
        <v>4</v>
      </c>
      <c r="S22" s="17">
        <f t="shared" si="7"/>
        <v>5</v>
      </c>
      <c r="T22" s="17">
        <f t="shared" si="8"/>
        <v>6</v>
      </c>
      <c r="U22" s="17">
        <f t="shared" si="9"/>
        <v>7</v>
      </c>
      <c r="W22" s="7">
        <v>19608</v>
      </c>
      <c r="X22" s="7">
        <v>4405</v>
      </c>
      <c r="Y22" s="7">
        <v>4422</v>
      </c>
      <c r="Z22" s="7">
        <v>4412</v>
      </c>
      <c r="AA22" s="7">
        <v>44961</v>
      </c>
      <c r="AB22" s="13"/>
      <c r="AF22" s="2" t="str">
        <v>GJ</v>
      </c>
      <c r="AG22" s="9">
        <v>0</v>
      </c>
      <c r="AH22" s="9">
        <v>27026</v>
      </c>
      <c r="AI22" s="9">
        <v>24788</v>
      </c>
      <c r="AJ22" s="9">
        <v>15584</v>
      </c>
      <c r="AK22" s="9">
        <v>0</v>
      </c>
    </row>
    <row r="23" spans="1:37" ht="15.9" customHeight="1" x14ac:dyDescent="0.3">
      <c r="C23" s="19">
        <f>SUM(C4:C22)</f>
        <v>200</v>
      </c>
      <c r="D23" s="19">
        <f>SUM(D4:D22)</f>
        <v>200</v>
      </c>
      <c r="E23" s="19">
        <f>SUM(E4:E22)</f>
        <v>200</v>
      </c>
      <c r="F23" s="19">
        <f>SUM(F4:F22)</f>
        <v>200</v>
      </c>
      <c r="G23" s="19">
        <f>SUM(G4:G22)</f>
        <v>200</v>
      </c>
      <c r="I23" s="52"/>
      <c r="J23" s="2">
        <v>19</v>
      </c>
      <c r="K23" s="41" t="s">
        <v>35</v>
      </c>
      <c r="L23" s="41" t="s">
        <v>38</v>
      </c>
      <c r="M23" s="41" t="s">
        <v>31</v>
      </c>
      <c r="N23" s="41" t="s">
        <v>33</v>
      </c>
      <c r="O23" s="41" t="s">
        <v>34</v>
      </c>
      <c r="Q23" s="17">
        <f t="shared" si="5"/>
        <v>10</v>
      </c>
      <c r="R23" s="17">
        <f t="shared" si="6"/>
        <v>12</v>
      </c>
      <c r="S23" s="17">
        <f t="shared" si="7"/>
        <v>6</v>
      </c>
      <c r="T23" s="17">
        <f t="shared" si="8"/>
        <v>8</v>
      </c>
      <c r="U23" s="17">
        <f t="shared" si="9"/>
        <v>9</v>
      </c>
      <c r="W23" s="7">
        <v>6260</v>
      </c>
      <c r="X23" s="7">
        <v>4405</v>
      </c>
      <c r="Y23" s="7">
        <v>4422</v>
      </c>
      <c r="Z23" s="7">
        <v>4412</v>
      </c>
      <c r="AA23" s="7">
        <v>15832</v>
      </c>
      <c r="AB23" s="13"/>
    </row>
    <row r="24" spans="1:37" ht="15.9" customHeight="1" x14ac:dyDescent="0.3">
      <c r="I24" s="52"/>
      <c r="J24" s="2">
        <v>20</v>
      </c>
      <c r="K24" s="41" t="s">
        <v>34</v>
      </c>
      <c r="L24" s="41" t="s">
        <v>33</v>
      </c>
      <c r="M24" s="41" t="s">
        <v>35</v>
      </c>
      <c r="N24" s="41" t="s">
        <v>35</v>
      </c>
      <c r="O24" s="41" t="s">
        <v>32</v>
      </c>
      <c r="Q24" s="17">
        <f t="shared" si="5"/>
        <v>9</v>
      </c>
      <c r="R24" s="17">
        <f t="shared" si="6"/>
        <v>8</v>
      </c>
      <c r="S24" s="17">
        <f t="shared" si="7"/>
        <v>10</v>
      </c>
      <c r="T24" s="17">
        <f t="shared" si="8"/>
        <v>10</v>
      </c>
      <c r="U24" s="17">
        <f t="shared" si="9"/>
        <v>7</v>
      </c>
      <c r="W24" s="7">
        <v>6481</v>
      </c>
      <c r="X24" s="7">
        <v>4261</v>
      </c>
      <c r="Y24" s="7">
        <v>4422</v>
      </c>
      <c r="Z24" s="7">
        <v>4412</v>
      </c>
      <c r="AA24" s="7">
        <v>17496</v>
      </c>
    </row>
    <row r="25" spans="1:37" ht="16.5" customHeight="1" x14ac:dyDescent="0.3">
      <c r="I25" s="52"/>
      <c r="J25" s="2">
        <v>21</v>
      </c>
      <c r="K25" s="41" t="s">
        <v>30</v>
      </c>
      <c r="L25" s="41" t="s">
        <v>29</v>
      </c>
      <c r="M25" s="41" t="s">
        <v>50</v>
      </c>
      <c r="N25" s="41" t="s">
        <v>33</v>
      </c>
      <c r="O25" s="41" t="s">
        <v>34</v>
      </c>
      <c r="Q25" s="17">
        <f t="shared" si="5"/>
        <v>5</v>
      </c>
      <c r="R25" s="17">
        <f t="shared" si="6"/>
        <v>4</v>
      </c>
      <c r="S25" s="17">
        <f t="shared" si="7"/>
        <v>18</v>
      </c>
      <c r="T25" s="17">
        <f t="shared" si="8"/>
        <v>8</v>
      </c>
      <c r="U25" s="17">
        <f t="shared" si="9"/>
        <v>9</v>
      </c>
      <c r="W25" s="7">
        <v>5938</v>
      </c>
      <c r="X25" s="7">
        <v>8646</v>
      </c>
      <c r="Y25" s="7">
        <v>4422</v>
      </c>
      <c r="Z25" s="7">
        <v>4412</v>
      </c>
      <c r="AA25" s="7">
        <v>6467</v>
      </c>
      <c r="AB25" s="13"/>
    </row>
    <row r="26" spans="1:37" ht="16.5" customHeight="1" x14ac:dyDescent="0.3">
      <c r="I26" s="52"/>
      <c r="J26" s="2">
        <v>22</v>
      </c>
      <c r="K26" s="41" t="s">
        <v>30</v>
      </c>
      <c r="L26" s="41" t="s">
        <v>32</v>
      </c>
      <c r="M26" s="41" t="s">
        <v>50</v>
      </c>
      <c r="N26" s="41" t="s">
        <v>31</v>
      </c>
      <c r="O26" s="41" t="s">
        <v>33</v>
      </c>
      <c r="Q26" s="17">
        <f t="shared" si="5"/>
        <v>5</v>
      </c>
      <c r="R26" s="17">
        <f t="shared" si="6"/>
        <v>7</v>
      </c>
      <c r="S26" s="17">
        <f t="shared" si="7"/>
        <v>18</v>
      </c>
      <c r="T26" s="17">
        <f t="shared" si="8"/>
        <v>6</v>
      </c>
      <c r="U26" s="17">
        <f t="shared" si="9"/>
        <v>8</v>
      </c>
      <c r="W26" s="7">
        <v>17193</v>
      </c>
      <c r="X26" s="7">
        <v>14310</v>
      </c>
      <c r="Y26" s="7">
        <v>4422</v>
      </c>
      <c r="Z26" s="7">
        <v>4412</v>
      </c>
      <c r="AA26" s="7">
        <v>6471</v>
      </c>
      <c r="AB26" s="13"/>
    </row>
    <row r="27" spans="1:37" ht="16.5" customHeight="1" x14ac:dyDescent="0.3">
      <c r="I27" s="52"/>
      <c r="J27" s="2">
        <v>23</v>
      </c>
      <c r="K27" s="41" t="s">
        <v>35</v>
      </c>
      <c r="L27" s="41" t="s">
        <v>32</v>
      </c>
      <c r="M27" s="41" t="s">
        <v>50</v>
      </c>
      <c r="N27" s="41" t="s">
        <v>33</v>
      </c>
      <c r="O27" s="41" t="s">
        <v>32</v>
      </c>
      <c r="Q27" s="17">
        <f t="shared" si="5"/>
        <v>10</v>
      </c>
      <c r="R27" s="17">
        <f t="shared" si="6"/>
        <v>7</v>
      </c>
      <c r="S27" s="17">
        <f t="shared" si="7"/>
        <v>18</v>
      </c>
      <c r="T27" s="17">
        <f t="shared" si="8"/>
        <v>8</v>
      </c>
      <c r="U27" s="17">
        <f t="shared" si="9"/>
        <v>7</v>
      </c>
      <c r="W27" s="7">
        <v>43425</v>
      </c>
      <c r="X27" s="7">
        <v>14310</v>
      </c>
      <c r="Y27" s="7">
        <v>4422</v>
      </c>
      <c r="Z27" s="7">
        <v>4575</v>
      </c>
      <c r="AA27" s="7">
        <v>18327</v>
      </c>
      <c r="AB27" s="13"/>
    </row>
    <row r="28" spans="1:37" ht="16.5" customHeight="1" x14ac:dyDescent="0.3">
      <c r="I28" s="52"/>
      <c r="J28" s="2">
        <v>24</v>
      </c>
      <c r="K28" s="41" t="s">
        <v>32</v>
      </c>
      <c r="L28" s="41" t="s">
        <v>32</v>
      </c>
      <c r="M28" s="41" t="s">
        <v>30</v>
      </c>
      <c r="N28" s="41" t="s">
        <v>28</v>
      </c>
      <c r="O28" s="41" t="s">
        <v>31</v>
      </c>
      <c r="Q28" s="17">
        <f t="shared" si="5"/>
        <v>7</v>
      </c>
      <c r="R28" s="17">
        <f t="shared" si="6"/>
        <v>7</v>
      </c>
      <c r="S28" s="17">
        <f t="shared" si="7"/>
        <v>5</v>
      </c>
      <c r="T28" s="17">
        <f t="shared" si="8"/>
        <v>3</v>
      </c>
      <c r="U28" s="17">
        <f t="shared" si="9"/>
        <v>6</v>
      </c>
      <c r="W28" s="7">
        <v>16677</v>
      </c>
      <c r="X28" s="7">
        <v>14310</v>
      </c>
      <c r="Y28" s="7">
        <v>4422</v>
      </c>
      <c r="Z28" s="7">
        <v>15411</v>
      </c>
      <c r="AA28" s="7">
        <v>18766</v>
      </c>
      <c r="AB28" s="13"/>
    </row>
    <row r="29" spans="1:37" ht="16.5" customHeight="1" x14ac:dyDescent="0.3">
      <c r="I29" s="52"/>
      <c r="J29" s="2">
        <v>25</v>
      </c>
      <c r="K29" s="41" t="s">
        <v>32</v>
      </c>
      <c r="L29" s="41" t="s">
        <v>31</v>
      </c>
      <c r="M29" s="41" t="s">
        <v>34</v>
      </c>
      <c r="N29" s="41" t="s">
        <v>29</v>
      </c>
      <c r="O29" s="41" t="s">
        <v>35</v>
      </c>
      <c r="Q29" s="17">
        <f t="shared" si="5"/>
        <v>7</v>
      </c>
      <c r="R29" s="17">
        <f t="shared" si="6"/>
        <v>6</v>
      </c>
      <c r="S29" s="17">
        <f t="shared" si="7"/>
        <v>9</v>
      </c>
      <c r="T29" s="17">
        <f t="shared" si="8"/>
        <v>4</v>
      </c>
      <c r="U29" s="17">
        <f t="shared" si="9"/>
        <v>10</v>
      </c>
      <c r="W29" s="7">
        <v>6556</v>
      </c>
      <c r="X29" s="7">
        <v>14310</v>
      </c>
      <c r="Y29" s="7">
        <v>37846</v>
      </c>
      <c r="Z29" s="7">
        <v>46491</v>
      </c>
      <c r="AA29" s="7">
        <v>49050</v>
      </c>
      <c r="AB29" s="13"/>
    </row>
    <row r="30" spans="1:37" ht="16.5" customHeight="1" x14ac:dyDescent="0.3">
      <c r="I30" s="52"/>
      <c r="J30" s="2">
        <v>26</v>
      </c>
      <c r="K30" s="41" t="s">
        <v>31</v>
      </c>
      <c r="L30" s="41" t="s">
        <v>31</v>
      </c>
      <c r="M30" s="41" t="s">
        <v>34</v>
      </c>
      <c r="N30" s="41" t="s">
        <v>48</v>
      </c>
      <c r="O30" s="41" t="s">
        <v>34</v>
      </c>
      <c r="Q30" s="17">
        <f t="shared" si="5"/>
        <v>6</v>
      </c>
      <c r="R30" s="17">
        <f t="shared" si="6"/>
        <v>6</v>
      </c>
      <c r="S30" s="17">
        <f t="shared" si="7"/>
        <v>9</v>
      </c>
      <c r="T30" s="17">
        <f t="shared" si="8"/>
        <v>17</v>
      </c>
      <c r="U30" s="17">
        <f t="shared" si="9"/>
        <v>9</v>
      </c>
      <c r="W30" s="7">
        <v>6366</v>
      </c>
      <c r="X30" s="7">
        <v>14310</v>
      </c>
      <c r="Y30" s="7">
        <v>11888</v>
      </c>
      <c r="Z30" s="7">
        <v>15779</v>
      </c>
      <c r="AA30" s="7">
        <v>52478</v>
      </c>
      <c r="AB30" s="13"/>
    </row>
    <row r="31" spans="1:37" ht="16.5" customHeight="1" x14ac:dyDescent="0.3">
      <c r="I31" s="52"/>
      <c r="J31" s="2">
        <v>27</v>
      </c>
      <c r="K31" s="41" t="s">
        <v>30</v>
      </c>
      <c r="L31" s="41" t="s">
        <v>32</v>
      </c>
      <c r="M31" s="41" t="s">
        <v>34</v>
      </c>
      <c r="N31" s="41" t="s">
        <v>34</v>
      </c>
      <c r="O31" s="41" t="s">
        <v>35</v>
      </c>
      <c r="Q31" s="17">
        <f t="shared" si="5"/>
        <v>5</v>
      </c>
      <c r="R31" s="17">
        <f t="shared" si="6"/>
        <v>7</v>
      </c>
      <c r="S31" s="17">
        <f t="shared" si="7"/>
        <v>9</v>
      </c>
      <c r="T31" s="17">
        <f t="shared" si="8"/>
        <v>9</v>
      </c>
      <c r="U31" s="17">
        <f t="shared" si="9"/>
        <v>10</v>
      </c>
      <c r="W31" s="7">
        <v>6458</v>
      </c>
      <c r="X31" s="7">
        <v>14310</v>
      </c>
      <c r="Y31" s="7">
        <v>5306</v>
      </c>
      <c r="Z31" s="7">
        <v>5688</v>
      </c>
      <c r="AA31" s="7">
        <v>19108</v>
      </c>
      <c r="AB31" s="13"/>
    </row>
    <row r="32" spans="1:37" ht="16.5" customHeight="1" x14ac:dyDescent="0.3">
      <c r="J32" s="2">
        <v>28</v>
      </c>
      <c r="K32" s="41" t="s">
        <v>33</v>
      </c>
      <c r="L32" s="41" t="s">
        <v>31</v>
      </c>
      <c r="M32" s="41" t="s">
        <v>34</v>
      </c>
      <c r="N32" s="41" t="s">
        <v>31</v>
      </c>
      <c r="O32" s="41" t="s">
        <v>34</v>
      </c>
      <c r="Q32" s="17">
        <f t="shared" si="5"/>
        <v>8</v>
      </c>
      <c r="R32" s="17">
        <f t="shared" si="6"/>
        <v>6</v>
      </c>
      <c r="S32" s="17">
        <f t="shared" si="7"/>
        <v>9</v>
      </c>
      <c r="T32" s="17">
        <f t="shared" si="8"/>
        <v>6</v>
      </c>
      <c r="U32" s="17">
        <f t="shared" si="9"/>
        <v>9</v>
      </c>
      <c r="W32" s="7">
        <v>6277</v>
      </c>
      <c r="X32" s="7">
        <v>14310</v>
      </c>
      <c r="Y32" s="7">
        <v>5306</v>
      </c>
      <c r="Z32" s="7">
        <v>5764</v>
      </c>
      <c r="AA32" s="7">
        <v>17780</v>
      </c>
      <c r="AB32" s="13"/>
    </row>
    <row r="33" spans="10:28" ht="16.5" customHeight="1" x14ac:dyDescent="0.3">
      <c r="J33" s="2">
        <v>29</v>
      </c>
      <c r="K33" s="41" t="s">
        <v>29</v>
      </c>
      <c r="L33" s="41" t="s">
        <v>32</v>
      </c>
      <c r="M33" s="41" t="s">
        <v>33</v>
      </c>
      <c r="N33" s="41" t="s">
        <v>34</v>
      </c>
      <c r="O33" s="41" t="s">
        <v>35</v>
      </c>
      <c r="Q33" s="17">
        <f t="shared" si="5"/>
        <v>4</v>
      </c>
      <c r="R33" s="17">
        <f t="shared" si="6"/>
        <v>7</v>
      </c>
      <c r="S33" s="17">
        <f t="shared" si="7"/>
        <v>8</v>
      </c>
      <c r="T33" s="17">
        <f t="shared" si="8"/>
        <v>9</v>
      </c>
      <c r="U33" s="17">
        <f t="shared" si="9"/>
        <v>10</v>
      </c>
      <c r="W33" s="7">
        <v>7360</v>
      </c>
      <c r="X33" s="7">
        <v>14310</v>
      </c>
      <c r="Y33" s="7">
        <v>5306</v>
      </c>
      <c r="Z33" s="7">
        <v>5295</v>
      </c>
      <c r="AA33" s="7">
        <v>14162</v>
      </c>
      <c r="AB33" s="13"/>
    </row>
    <row r="34" spans="10:28" ht="16.5" customHeight="1" x14ac:dyDescent="0.3">
      <c r="J34" s="2">
        <v>30</v>
      </c>
      <c r="K34" s="41" t="s">
        <v>28</v>
      </c>
      <c r="L34" s="41" t="s">
        <v>28</v>
      </c>
      <c r="M34" s="41" t="s">
        <v>28</v>
      </c>
      <c r="N34" s="41" t="s">
        <v>46</v>
      </c>
      <c r="O34" s="41" t="s">
        <v>32</v>
      </c>
      <c r="Q34" s="17">
        <f t="shared" si="5"/>
        <v>3</v>
      </c>
      <c r="R34" s="17">
        <f t="shared" si="6"/>
        <v>3</v>
      </c>
      <c r="S34" s="17">
        <f t="shared" si="7"/>
        <v>3</v>
      </c>
      <c r="T34" s="17">
        <f t="shared" si="8"/>
        <v>16</v>
      </c>
      <c r="U34" s="17">
        <f t="shared" si="9"/>
        <v>7</v>
      </c>
      <c r="W34" s="7">
        <v>6828</v>
      </c>
      <c r="X34" s="7">
        <v>14310</v>
      </c>
      <c r="Y34" s="7">
        <v>5306</v>
      </c>
      <c r="Z34" s="7">
        <v>5653</v>
      </c>
      <c r="AA34" s="7">
        <v>13618</v>
      </c>
      <c r="AB34" s="13"/>
    </row>
    <row r="35" spans="10:28" ht="16.5" customHeight="1" x14ac:dyDescent="0.3">
      <c r="J35" s="2">
        <v>31</v>
      </c>
      <c r="K35" s="41" t="s">
        <v>31</v>
      </c>
      <c r="L35" s="41" t="s">
        <v>46</v>
      </c>
      <c r="M35" s="41" t="s">
        <v>34</v>
      </c>
      <c r="N35" s="41" t="s">
        <v>34</v>
      </c>
      <c r="O35" s="41" t="s">
        <v>34</v>
      </c>
      <c r="Q35" s="17">
        <f t="shared" si="5"/>
        <v>6</v>
      </c>
      <c r="R35" s="17">
        <f t="shared" si="6"/>
        <v>16</v>
      </c>
      <c r="S35" s="17">
        <f t="shared" si="7"/>
        <v>9</v>
      </c>
      <c r="T35" s="17">
        <f t="shared" si="8"/>
        <v>9</v>
      </c>
      <c r="U35" s="17">
        <f t="shared" si="9"/>
        <v>9</v>
      </c>
      <c r="W35" s="7">
        <v>6788</v>
      </c>
      <c r="X35" s="7">
        <v>7120</v>
      </c>
      <c r="Y35" s="7">
        <v>13733</v>
      </c>
      <c r="Z35" s="7">
        <v>12842</v>
      </c>
      <c r="AA35" s="7">
        <v>37908</v>
      </c>
      <c r="AB35" s="13"/>
    </row>
    <row r="36" spans="10:28" ht="16.5" customHeight="1" x14ac:dyDescent="0.3">
      <c r="J36" s="2">
        <v>32</v>
      </c>
      <c r="K36" s="41" t="s">
        <v>34</v>
      </c>
      <c r="L36" s="41" t="s">
        <v>32</v>
      </c>
      <c r="M36" s="41" t="s">
        <v>32</v>
      </c>
      <c r="N36" s="41" t="s">
        <v>31</v>
      </c>
      <c r="O36" s="41" t="s">
        <v>32</v>
      </c>
      <c r="Q36" s="17">
        <f t="shared" ref="Q36:Q67" si="10">IF(K36="","",VLOOKUP(K36,$A$4:$H$22,8,FALSE))</f>
        <v>9</v>
      </c>
      <c r="R36" s="17">
        <f t="shared" ref="R36:R67" si="11">IF(L36="","",VLOOKUP(L36,$A$4:$H$22,8,FALSE))</f>
        <v>7</v>
      </c>
      <c r="S36" s="17">
        <f t="shared" ref="S36:S67" si="12">IF(M36="","",VLOOKUP(M36,$A$4:$H$22,8,FALSE))</f>
        <v>7</v>
      </c>
      <c r="T36" s="17">
        <f t="shared" ref="T36:T67" si="13">IF(N36="","",VLOOKUP(N36,$A$4:$H$22,8,FALSE))</f>
        <v>6</v>
      </c>
      <c r="U36" s="17">
        <f t="shared" ref="U36:U67" si="14">IF(O36="","",VLOOKUP(O36,$A$4:$H$22,8,FALSE))</f>
        <v>7</v>
      </c>
      <c r="W36" s="7">
        <v>7027</v>
      </c>
      <c r="X36" s="7">
        <v>6958</v>
      </c>
      <c r="Y36" s="7">
        <v>5306</v>
      </c>
      <c r="Z36" s="7">
        <v>8909</v>
      </c>
      <c r="AA36" s="7">
        <v>13012</v>
      </c>
      <c r="AB36" s="13"/>
    </row>
    <row r="37" spans="10:28" ht="16.5" customHeight="1" x14ac:dyDescent="0.3">
      <c r="J37" s="2">
        <v>33</v>
      </c>
      <c r="K37" s="41" t="s">
        <v>33</v>
      </c>
      <c r="L37" s="41" t="s">
        <v>30</v>
      </c>
      <c r="M37" s="41" t="s">
        <v>35</v>
      </c>
      <c r="N37" s="41" t="s">
        <v>31</v>
      </c>
      <c r="O37" s="41" t="s">
        <v>35</v>
      </c>
      <c r="Q37" s="17">
        <f t="shared" si="10"/>
        <v>8</v>
      </c>
      <c r="R37" s="17">
        <f t="shared" si="11"/>
        <v>5</v>
      </c>
      <c r="S37" s="17">
        <f t="shared" si="12"/>
        <v>10</v>
      </c>
      <c r="T37" s="17">
        <f t="shared" si="13"/>
        <v>6</v>
      </c>
      <c r="U37" s="17">
        <f t="shared" si="14"/>
        <v>10</v>
      </c>
      <c r="W37" s="7">
        <v>6302</v>
      </c>
      <c r="X37" s="7">
        <v>9170</v>
      </c>
      <c r="Y37" s="7">
        <v>5306</v>
      </c>
      <c r="Z37" s="7">
        <v>8829</v>
      </c>
      <c r="AA37" s="7">
        <v>5893</v>
      </c>
      <c r="AB37" s="13"/>
    </row>
    <row r="38" spans="10:28" ht="16.5" customHeight="1" x14ac:dyDescent="0.3">
      <c r="J38" s="2">
        <v>34</v>
      </c>
      <c r="K38" s="41" t="s">
        <v>30</v>
      </c>
      <c r="L38" s="41" t="s">
        <v>29</v>
      </c>
      <c r="M38" s="41" t="s">
        <v>34</v>
      </c>
      <c r="N38" s="41" t="s">
        <v>31</v>
      </c>
      <c r="O38" s="41" t="s">
        <v>35</v>
      </c>
      <c r="Q38" s="17">
        <f t="shared" si="10"/>
        <v>5</v>
      </c>
      <c r="R38" s="17">
        <f t="shared" si="11"/>
        <v>4</v>
      </c>
      <c r="S38" s="17">
        <f t="shared" si="12"/>
        <v>9</v>
      </c>
      <c r="T38" s="17">
        <f t="shared" si="13"/>
        <v>6</v>
      </c>
      <c r="U38" s="17">
        <f t="shared" si="14"/>
        <v>10</v>
      </c>
      <c r="W38" s="7">
        <v>17935</v>
      </c>
      <c r="X38" s="7">
        <v>5123</v>
      </c>
      <c r="Y38" s="7">
        <v>5306</v>
      </c>
      <c r="Z38" s="7">
        <v>13315</v>
      </c>
      <c r="AA38" s="7">
        <v>5413</v>
      </c>
      <c r="AB38" s="13"/>
    </row>
    <row r="39" spans="10:28" ht="16.5" customHeight="1" x14ac:dyDescent="0.3">
      <c r="J39" s="2">
        <v>35</v>
      </c>
      <c r="K39" s="41" t="s">
        <v>34</v>
      </c>
      <c r="L39" s="41" t="s">
        <v>32</v>
      </c>
      <c r="M39" s="41" t="s">
        <v>30</v>
      </c>
      <c r="N39" s="41" t="s">
        <v>28</v>
      </c>
      <c r="O39" s="41" t="s">
        <v>33</v>
      </c>
      <c r="Q39" s="17">
        <f t="shared" si="10"/>
        <v>9</v>
      </c>
      <c r="R39" s="17">
        <f t="shared" si="11"/>
        <v>7</v>
      </c>
      <c r="S39" s="17">
        <f t="shared" si="12"/>
        <v>5</v>
      </c>
      <c r="T39" s="17">
        <f t="shared" si="13"/>
        <v>3</v>
      </c>
      <c r="U39" s="17">
        <f t="shared" si="14"/>
        <v>8</v>
      </c>
      <c r="W39" s="7">
        <v>50279</v>
      </c>
      <c r="X39" s="7">
        <v>16184</v>
      </c>
      <c r="Y39" s="7">
        <v>5306</v>
      </c>
      <c r="Z39" s="7">
        <v>5306</v>
      </c>
      <c r="AA39" s="7">
        <v>5396</v>
      </c>
      <c r="AB39" s="13"/>
    </row>
    <row r="40" spans="10:28" ht="16.5" customHeight="1" x14ac:dyDescent="0.3">
      <c r="J40" s="2">
        <v>36</v>
      </c>
      <c r="K40" s="41" t="s">
        <v>34</v>
      </c>
      <c r="L40" s="41" t="s">
        <v>30</v>
      </c>
      <c r="M40" s="41" t="s">
        <v>35</v>
      </c>
      <c r="N40" s="41" t="s">
        <v>31</v>
      </c>
      <c r="O40" s="41" t="s">
        <v>32</v>
      </c>
      <c r="Q40" s="17">
        <f t="shared" si="10"/>
        <v>9</v>
      </c>
      <c r="R40" s="17">
        <f t="shared" si="11"/>
        <v>5</v>
      </c>
      <c r="S40" s="17">
        <f t="shared" si="12"/>
        <v>10</v>
      </c>
      <c r="T40" s="17">
        <f t="shared" si="13"/>
        <v>6</v>
      </c>
      <c r="U40" s="17">
        <f t="shared" si="14"/>
        <v>7</v>
      </c>
      <c r="W40" s="7">
        <v>16576</v>
      </c>
      <c r="X40" s="7">
        <v>17655</v>
      </c>
      <c r="Y40" s="7">
        <v>11342</v>
      </c>
      <c r="Z40" s="7">
        <v>5456</v>
      </c>
      <c r="AA40" s="7">
        <v>5396</v>
      </c>
      <c r="AB40" s="13"/>
    </row>
    <row r="41" spans="10:28" ht="16.5" customHeight="1" x14ac:dyDescent="0.3">
      <c r="J41" s="2">
        <v>37</v>
      </c>
      <c r="K41" s="41" t="s">
        <v>35</v>
      </c>
      <c r="L41" s="41" t="s">
        <v>42</v>
      </c>
      <c r="M41" s="41" t="s">
        <v>35</v>
      </c>
      <c r="N41" s="41" t="s">
        <v>34</v>
      </c>
      <c r="O41" s="41" t="s">
        <v>33</v>
      </c>
      <c r="Q41" s="17">
        <f t="shared" si="10"/>
        <v>10</v>
      </c>
      <c r="R41" s="17">
        <f t="shared" si="11"/>
        <v>14</v>
      </c>
      <c r="S41" s="17">
        <f t="shared" si="12"/>
        <v>10</v>
      </c>
      <c r="T41" s="17">
        <f t="shared" si="13"/>
        <v>9</v>
      </c>
      <c r="U41" s="17">
        <f t="shared" si="14"/>
        <v>8</v>
      </c>
      <c r="W41" s="7">
        <v>5831</v>
      </c>
      <c r="X41" s="7">
        <v>5870</v>
      </c>
      <c r="Y41" s="7">
        <v>11177</v>
      </c>
      <c r="Z41" s="7">
        <v>17448</v>
      </c>
      <c r="AA41" s="7">
        <v>5779</v>
      </c>
      <c r="AB41" s="13"/>
    </row>
    <row r="42" spans="10:28" ht="16.5" customHeight="1" x14ac:dyDescent="0.3">
      <c r="J42" s="2">
        <v>38</v>
      </c>
      <c r="K42" s="41" t="s">
        <v>35</v>
      </c>
      <c r="L42" s="41" t="s">
        <v>44</v>
      </c>
      <c r="M42" s="41" t="s">
        <v>32</v>
      </c>
      <c r="N42" s="41" t="s">
        <v>34</v>
      </c>
      <c r="O42" s="41" t="s">
        <v>29</v>
      </c>
      <c r="Q42" s="17">
        <f t="shared" si="10"/>
        <v>10</v>
      </c>
      <c r="R42" s="17">
        <f t="shared" si="11"/>
        <v>15</v>
      </c>
      <c r="S42" s="17">
        <f t="shared" si="12"/>
        <v>7</v>
      </c>
      <c r="T42" s="17">
        <f t="shared" si="13"/>
        <v>9</v>
      </c>
      <c r="U42" s="17">
        <f t="shared" si="14"/>
        <v>4</v>
      </c>
      <c r="W42" s="7">
        <v>6529</v>
      </c>
      <c r="X42" s="7">
        <v>5643</v>
      </c>
      <c r="Y42" s="7">
        <v>35428</v>
      </c>
      <c r="Z42" s="7">
        <v>16987</v>
      </c>
      <c r="AA42" s="7">
        <v>17842</v>
      </c>
      <c r="AB42" s="13"/>
    </row>
    <row r="43" spans="10:28" ht="16.5" customHeight="1" x14ac:dyDescent="0.3">
      <c r="J43" s="2">
        <v>39</v>
      </c>
      <c r="K43" s="41" t="s">
        <v>28</v>
      </c>
      <c r="L43" s="41" t="s">
        <v>32</v>
      </c>
      <c r="M43" s="41" t="s">
        <v>32</v>
      </c>
      <c r="N43" s="41" t="s">
        <v>34</v>
      </c>
      <c r="O43" s="41" t="s">
        <v>32</v>
      </c>
      <c r="Q43" s="17">
        <f t="shared" si="10"/>
        <v>3</v>
      </c>
      <c r="R43" s="17">
        <f t="shared" si="11"/>
        <v>7</v>
      </c>
      <c r="S43" s="17">
        <f t="shared" si="12"/>
        <v>7</v>
      </c>
      <c r="T43" s="17">
        <f t="shared" si="13"/>
        <v>9</v>
      </c>
      <c r="U43" s="17">
        <f t="shared" si="14"/>
        <v>7</v>
      </c>
      <c r="W43" s="7">
        <v>6861</v>
      </c>
      <c r="X43" s="7">
        <v>5691</v>
      </c>
      <c r="Y43" s="7">
        <v>12588</v>
      </c>
      <c r="Z43" s="7">
        <v>52939</v>
      </c>
      <c r="AA43" s="7">
        <v>6170</v>
      </c>
      <c r="AB43" s="13"/>
    </row>
    <row r="44" spans="10:28" ht="16.5" customHeight="1" x14ac:dyDescent="0.3">
      <c r="J44" s="2">
        <v>40</v>
      </c>
      <c r="K44" s="41" t="s">
        <v>29</v>
      </c>
      <c r="L44" s="41" t="s">
        <v>30</v>
      </c>
      <c r="M44" s="41" t="s">
        <v>35</v>
      </c>
      <c r="N44" s="41" t="s">
        <v>31</v>
      </c>
      <c r="O44" s="41" t="s">
        <v>30</v>
      </c>
      <c r="Q44" s="17">
        <f t="shared" si="10"/>
        <v>4</v>
      </c>
      <c r="R44" s="17">
        <f t="shared" si="11"/>
        <v>5</v>
      </c>
      <c r="S44" s="17">
        <f t="shared" si="12"/>
        <v>10</v>
      </c>
      <c r="T44" s="17">
        <f t="shared" si="13"/>
        <v>6</v>
      </c>
      <c r="U44" s="17">
        <f t="shared" si="14"/>
        <v>5</v>
      </c>
      <c r="W44" s="7">
        <v>7161</v>
      </c>
      <c r="X44" s="7">
        <v>4882</v>
      </c>
      <c r="Y44" s="7">
        <v>5514</v>
      </c>
      <c r="Z44" s="7">
        <v>20213</v>
      </c>
      <c r="AA44" s="7">
        <v>6092</v>
      </c>
      <c r="AB44" s="13"/>
    </row>
    <row r="45" spans="10:28" ht="16.5" customHeight="1" x14ac:dyDescent="0.3">
      <c r="J45" s="2">
        <v>41</v>
      </c>
      <c r="K45" s="41" t="s">
        <v>30</v>
      </c>
      <c r="L45" s="41" t="s">
        <v>31</v>
      </c>
      <c r="M45" s="41" t="s">
        <v>40</v>
      </c>
      <c r="N45" s="41" t="s">
        <v>34</v>
      </c>
      <c r="O45" s="41" t="s">
        <v>35</v>
      </c>
      <c r="Q45" s="17">
        <f t="shared" si="10"/>
        <v>5</v>
      </c>
      <c r="R45" s="17">
        <f t="shared" si="11"/>
        <v>6</v>
      </c>
      <c r="S45" s="17">
        <f t="shared" si="12"/>
        <v>13</v>
      </c>
      <c r="T45" s="17">
        <f t="shared" si="13"/>
        <v>9</v>
      </c>
      <c r="U45" s="17">
        <f t="shared" si="14"/>
        <v>10</v>
      </c>
      <c r="W45" s="7">
        <v>6271</v>
      </c>
      <c r="X45" s="7">
        <v>13578</v>
      </c>
      <c r="Y45" s="7">
        <v>4772</v>
      </c>
      <c r="Z45" s="7">
        <v>40549</v>
      </c>
      <c r="AA45" s="7">
        <v>4496</v>
      </c>
      <c r="AB45" s="13"/>
    </row>
    <row r="46" spans="10:28" ht="16.5" customHeight="1" x14ac:dyDescent="0.3">
      <c r="J46" s="2">
        <v>42</v>
      </c>
      <c r="K46" s="41" t="s">
        <v>31</v>
      </c>
      <c r="L46" s="41" t="s">
        <v>35</v>
      </c>
      <c r="M46" s="41" t="s">
        <v>35</v>
      </c>
      <c r="N46" s="41" t="s">
        <v>34</v>
      </c>
      <c r="O46" s="41" t="s">
        <v>28</v>
      </c>
      <c r="Q46" s="17">
        <f t="shared" si="10"/>
        <v>6</v>
      </c>
      <c r="R46" s="17">
        <f t="shared" si="11"/>
        <v>10</v>
      </c>
      <c r="S46" s="17">
        <f t="shared" si="12"/>
        <v>10</v>
      </c>
      <c r="T46" s="17">
        <f t="shared" si="13"/>
        <v>9</v>
      </c>
      <c r="U46" s="17">
        <f t="shared" si="14"/>
        <v>3</v>
      </c>
      <c r="W46" s="7">
        <v>18131</v>
      </c>
      <c r="X46" s="7">
        <v>39747</v>
      </c>
      <c r="Y46" s="7">
        <v>4491</v>
      </c>
      <c r="Z46" s="7">
        <v>8829</v>
      </c>
      <c r="AA46" s="7">
        <v>4496</v>
      </c>
      <c r="AB46" s="13"/>
    </row>
    <row r="47" spans="10:28" ht="16.5" customHeight="1" x14ac:dyDescent="0.3">
      <c r="J47" s="2">
        <v>43</v>
      </c>
      <c r="K47" s="41" t="s">
        <v>32</v>
      </c>
      <c r="L47" s="41" t="s">
        <v>35</v>
      </c>
      <c r="M47" s="41" t="s">
        <v>28</v>
      </c>
      <c r="N47" s="41" t="s">
        <v>34</v>
      </c>
      <c r="O47" s="41" t="s">
        <v>32</v>
      </c>
      <c r="Q47" s="17">
        <f t="shared" si="10"/>
        <v>7</v>
      </c>
      <c r="R47" s="17">
        <f t="shared" si="11"/>
        <v>10</v>
      </c>
      <c r="S47" s="17">
        <f t="shared" si="12"/>
        <v>3</v>
      </c>
      <c r="T47" s="17">
        <f t="shared" si="13"/>
        <v>9</v>
      </c>
      <c r="U47" s="17">
        <f t="shared" si="14"/>
        <v>7</v>
      </c>
      <c r="W47" s="7">
        <v>17434</v>
      </c>
      <c r="X47" s="7">
        <v>14878</v>
      </c>
      <c r="Y47" s="7">
        <v>4422</v>
      </c>
      <c r="Z47" s="7">
        <v>5477</v>
      </c>
      <c r="AA47" s="7">
        <v>4496</v>
      </c>
      <c r="AB47" s="13"/>
    </row>
    <row r="48" spans="10:28" ht="16.5" customHeight="1" x14ac:dyDescent="0.3">
      <c r="J48" s="2">
        <v>44</v>
      </c>
      <c r="K48" s="41" t="s">
        <v>33</v>
      </c>
      <c r="L48" s="41" t="s">
        <v>32</v>
      </c>
      <c r="M48" s="41" t="s">
        <v>33</v>
      </c>
      <c r="N48" s="41" t="s">
        <v>35</v>
      </c>
      <c r="O48" s="41" t="s">
        <v>32</v>
      </c>
      <c r="Q48" s="17">
        <f t="shared" si="10"/>
        <v>8</v>
      </c>
      <c r="R48" s="17">
        <f t="shared" si="11"/>
        <v>7</v>
      </c>
      <c r="S48" s="17">
        <f t="shared" si="12"/>
        <v>8</v>
      </c>
      <c r="T48" s="17">
        <f t="shared" si="13"/>
        <v>10</v>
      </c>
      <c r="U48" s="17">
        <f t="shared" si="14"/>
        <v>7</v>
      </c>
      <c r="W48" s="7">
        <v>6500</v>
      </c>
      <c r="X48" s="7">
        <v>5650</v>
      </c>
      <c r="Y48" s="7">
        <v>5306</v>
      </c>
      <c r="Z48" s="7">
        <v>16477</v>
      </c>
      <c r="AA48" s="7">
        <v>5396</v>
      </c>
      <c r="AB48" s="13"/>
    </row>
    <row r="49" spans="10:28" ht="16.5" customHeight="1" x14ac:dyDescent="0.3">
      <c r="J49" s="2">
        <v>45</v>
      </c>
      <c r="K49" s="41" t="s">
        <v>34</v>
      </c>
      <c r="L49" s="41" t="s">
        <v>31</v>
      </c>
      <c r="M49" s="41" t="s">
        <v>32</v>
      </c>
      <c r="N49" s="41" t="s">
        <v>29</v>
      </c>
      <c r="O49" s="41" t="s">
        <v>30</v>
      </c>
      <c r="Q49" s="17">
        <f t="shared" si="10"/>
        <v>9</v>
      </c>
      <c r="R49" s="17">
        <f t="shared" si="11"/>
        <v>6</v>
      </c>
      <c r="S49" s="17">
        <f t="shared" si="12"/>
        <v>7</v>
      </c>
      <c r="T49" s="17">
        <f t="shared" si="13"/>
        <v>4</v>
      </c>
      <c r="U49" s="17">
        <f t="shared" si="14"/>
        <v>5</v>
      </c>
      <c r="W49" s="7">
        <v>18157</v>
      </c>
      <c r="X49" s="7">
        <v>4770</v>
      </c>
      <c r="Y49" s="7">
        <v>0</v>
      </c>
      <c r="Z49" s="7">
        <v>13759</v>
      </c>
      <c r="AA49" s="7">
        <v>12611</v>
      </c>
      <c r="AB49" s="13"/>
    </row>
    <row r="50" spans="10:28" ht="16.5" customHeight="1" x14ac:dyDescent="0.3">
      <c r="J50" s="2">
        <v>46</v>
      </c>
      <c r="K50" s="41" t="s">
        <v>35</v>
      </c>
      <c r="L50" s="41" t="s">
        <v>29</v>
      </c>
      <c r="M50" s="41" t="s">
        <v>31</v>
      </c>
      <c r="N50" s="41" t="s">
        <v>34</v>
      </c>
      <c r="O50" s="41" t="s">
        <v>33</v>
      </c>
      <c r="Q50" s="17">
        <f t="shared" si="10"/>
        <v>10</v>
      </c>
      <c r="R50" s="17">
        <f t="shared" si="11"/>
        <v>4</v>
      </c>
      <c r="S50" s="17">
        <f t="shared" si="12"/>
        <v>6</v>
      </c>
      <c r="T50" s="17">
        <f t="shared" si="13"/>
        <v>9</v>
      </c>
      <c r="U50" s="17">
        <f t="shared" si="14"/>
        <v>8</v>
      </c>
      <c r="W50" s="7">
        <v>6095</v>
      </c>
      <c r="X50" s="7">
        <v>4770</v>
      </c>
      <c r="Y50" s="7">
        <v>0</v>
      </c>
      <c r="Z50" s="7">
        <v>38945</v>
      </c>
      <c r="AA50" s="7">
        <v>12479</v>
      </c>
      <c r="AB50" s="13"/>
    </row>
    <row r="51" spans="10:28" ht="16.5" customHeight="1" x14ac:dyDescent="0.3">
      <c r="J51" s="2">
        <v>47</v>
      </c>
      <c r="K51" s="41" t="s">
        <v>33</v>
      </c>
      <c r="L51" s="41" t="s">
        <v>32</v>
      </c>
      <c r="M51" s="41" t="s">
        <v>42</v>
      </c>
      <c r="N51" s="41" t="s">
        <v>32</v>
      </c>
      <c r="O51" s="41" t="s">
        <v>26</v>
      </c>
      <c r="Q51" s="17">
        <f t="shared" si="10"/>
        <v>8</v>
      </c>
      <c r="R51" s="17">
        <f t="shared" si="11"/>
        <v>7</v>
      </c>
      <c r="S51" s="17">
        <f t="shared" si="12"/>
        <v>14</v>
      </c>
      <c r="T51" s="17">
        <f t="shared" si="13"/>
        <v>7</v>
      </c>
      <c r="U51" s="17">
        <f t="shared" si="14"/>
        <v>2</v>
      </c>
      <c r="W51" s="7">
        <v>6089</v>
      </c>
      <c r="X51" s="7">
        <v>5447</v>
      </c>
      <c r="Y51" s="7">
        <v>0</v>
      </c>
      <c r="Z51" s="7">
        <v>0</v>
      </c>
      <c r="AA51" s="7">
        <v>30317</v>
      </c>
      <c r="AB51" s="13"/>
    </row>
    <row r="52" spans="10:28" ht="16.5" customHeight="1" x14ac:dyDescent="0.3">
      <c r="J52" s="2">
        <v>48</v>
      </c>
      <c r="K52" s="41" t="s">
        <v>32</v>
      </c>
      <c r="L52" s="41" t="s">
        <v>30</v>
      </c>
      <c r="M52" s="41" t="s">
        <v>26</v>
      </c>
      <c r="N52" s="41" t="s">
        <v>35</v>
      </c>
      <c r="O52" s="41" t="s">
        <v>34</v>
      </c>
      <c r="Q52" s="17">
        <f t="shared" si="10"/>
        <v>7</v>
      </c>
      <c r="R52" s="17">
        <f t="shared" si="11"/>
        <v>5</v>
      </c>
      <c r="S52" s="17">
        <f t="shared" si="12"/>
        <v>2</v>
      </c>
      <c r="T52" s="17">
        <f t="shared" si="13"/>
        <v>10</v>
      </c>
      <c r="U52" s="17">
        <f t="shared" si="14"/>
        <v>9</v>
      </c>
      <c r="W52" s="7">
        <v>6354</v>
      </c>
      <c r="X52" s="7">
        <v>5075</v>
      </c>
      <c r="Y52" s="7">
        <v>0</v>
      </c>
      <c r="Z52" s="7">
        <v>0</v>
      </c>
      <c r="AA52" s="7">
        <v>15323</v>
      </c>
      <c r="AB52" s="13"/>
    </row>
    <row r="53" spans="10:28" ht="16.5" customHeight="1" x14ac:dyDescent="0.3">
      <c r="J53" s="2">
        <v>49</v>
      </c>
      <c r="K53" s="41" t="s">
        <v>29</v>
      </c>
      <c r="L53" s="41" t="s">
        <v>38</v>
      </c>
      <c r="M53" s="41" t="s">
        <v>34</v>
      </c>
      <c r="N53" s="41" t="s">
        <v>30</v>
      </c>
      <c r="O53" s="41" t="s">
        <v>34</v>
      </c>
      <c r="Q53" s="17">
        <f t="shared" si="10"/>
        <v>4</v>
      </c>
      <c r="R53" s="17">
        <f t="shared" si="11"/>
        <v>12</v>
      </c>
      <c r="S53" s="17">
        <f t="shared" si="12"/>
        <v>9</v>
      </c>
      <c r="T53" s="17">
        <f t="shared" si="13"/>
        <v>5</v>
      </c>
      <c r="U53" s="17">
        <f t="shared" si="14"/>
        <v>9</v>
      </c>
      <c r="W53" s="7">
        <v>6168</v>
      </c>
      <c r="X53" s="7">
        <v>8432</v>
      </c>
      <c r="Y53" s="7">
        <v>5306</v>
      </c>
      <c r="Z53" s="7">
        <v>0</v>
      </c>
      <c r="AA53" s="7">
        <v>15213</v>
      </c>
      <c r="AB53" s="13"/>
    </row>
    <row r="54" spans="10:28" ht="16.5" customHeight="1" x14ac:dyDescent="0.3">
      <c r="J54" s="2">
        <v>50</v>
      </c>
      <c r="K54" s="41" t="s">
        <v>33</v>
      </c>
      <c r="L54" s="41" t="s">
        <v>31</v>
      </c>
      <c r="M54" s="41" t="s">
        <v>36</v>
      </c>
      <c r="N54" s="41" t="s">
        <v>26</v>
      </c>
      <c r="O54" s="41" t="s">
        <v>35</v>
      </c>
      <c r="Q54" s="17">
        <f t="shared" si="10"/>
        <v>8</v>
      </c>
      <c r="R54" s="17">
        <f t="shared" si="11"/>
        <v>6</v>
      </c>
      <c r="S54" s="17">
        <f t="shared" si="12"/>
        <v>11</v>
      </c>
      <c r="T54" s="17">
        <f t="shared" si="13"/>
        <v>2</v>
      </c>
      <c r="U54" s="17">
        <f t="shared" si="14"/>
        <v>10</v>
      </c>
      <c r="W54" s="7">
        <v>6034</v>
      </c>
      <c r="X54" s="7">
        <v>7636</v>
      </c>
      <c r="Y54" s="7">
        <v>5335</v>
      </c>
      <c r="Z54" s="7">
        <v>0</v>
      </c>
      <c r="AA54" s="7">
        <v>16729</v>
      </c>
      <c r="AB54" s="13"/>
    </row>
    <row r="55" spans="10:28" ht="16.5" customHeight="1" x14ac:dyDescent="0.3">
      <c r="J55" s="2">
        <v>51</v>
      </c>
      <c r="K55" s="41" t="s">
        <v>29</v>
      </c>
      <c r="L55" s="41" t="s">
        <v>32</v>
      </c>
      <c r="M55" s="41" t="s">
        <v>30</v>
      </c>
      <c r="N55" s="41" t="s">
        <v>33</v>
      </c>
      <c r="O55" s="41" t="s">
        <v>29</v>
      </c>
      <c r="Q55" s="17">
        <f t="shared" si="10"/>
        <v>4</v>
      </c>
      <c r="R55" s="17">
        <f t="shared" si="11"/>
        <v>7</v>
      </c>
      <c r="S55" s="17">
        <f t="shared" si="12"/>
        <v>5</v>
      </c>
      <c r="T55" s="17">
        <f t="shared" si="13"/>
        <v>8</v>
      </c>
      <c r="U55" s="17">
        <f t="shared" si="14"/>
        <v>4</v>
      </c>
      <c r="W55" s="7">
        <v>6095</v>
      </c>
      <c r="X55" s="7">
        <v>6892</v>
      </c>
      <c r="Y55" s="7">
        <v>5455</v>
      </c>
      <c r="Z55" s="7">
        <v>5295</v>
      </c>
      <c r="AA55" s="7">
        <v>5396</v>
      </c>
      <c r="AB55" s="13"/>
    </row>
    <row r="56" spans="10:28" ht="16.5" customHeight="1" x14ac:dyDescent="0.3">
      <c r="J56" s="2">
        <v>52</v>
      </c>
      <c r="K56" s="41" t="s">
        <v>35</v>
      </c>
      <c r="L56" s="41" t="s">
        <v>32</v>
      </c>
      <c r="M56" s="41" t="s">
        <v>30</v>
      </c>
      <c r="N56" s="41" t="s">
        <v>29</v>
      </c>
      <c r="O56" s="41" t="s">
        <v>31</v>
      </c>
      <c r="Q56" s="17">
        <f t="shared" si="10"/>
        <v>10</v>
      </c>
      <c r="R56" s="17">
        <f t="shared" si="11"/>
        <v>7</v>
      </c>
      <c r="S56" s="17">
        <f t="shared" si="12"/>
        <v>5</v>
      </c>
      <c r="T56" s="17">
        <f t="shared" si="13"/>
        <v>4</v>
      </c>
      <c r="U56" s="17">
        <f t="shared" si="14"/>
        <v>6</v>
      </c>
      <c r="W56" s="7">
        <v>6095</v>
      </c>
      <c r="X56" s="7">
        <v>6881</v>
      </c>
      <c r="Y56" s="7">
        <v>5814</v>
      </c>
      <c r="Z56" s="7">
        <v>5295</v>
      </c>
      <c r="AA56" s="7">
        <v>5771</v>
      </c>
      <c r="AB56" s="13"/>
    </row>
    <row r="57" spans="10:28" ht="16.5" customHeight="1" x14ac:dyDescent="0.3">
      <c r="J57" s="2">
        <v>53</v>
      </c>
      <c r="K57" s="41" t="s">
        <v>33</v>
      </c>
      <c r="L57" s="41" t="s">
        <v>28</v>
      </c>
      <c r="M57" s="41" t="s">
        <v>35</v>
      </c>
      <c r="N57" s="41" t="s">
        <v>28</v>
      </c>
      <c r="O57" s="41" t="s">
        <v>30</v>
      </c>
      <c r="Q57" s="17">
        <f t="shared" si="10"/>
        <v>8</v>
      </c>
      <c r="R57" s="17">
        <f t="shared" si="11"/>
        <v>3</v>
      </c>
      <c r="S57" s="17">
        <f t="shared" si="12"/>
        <v>10</v>
      </c>
      <c r="T57" s="17">
        <f t="shared" si="13"/>
        <v>3</v>
      </c>
      <c r="U57" s="17">
        <f t="shared" si="14"/>
        <v>5</v>
      </c>
      <c r="W57" s="7">
        <v>6089</v>
      </c>
      <c r="X57" s="7">
        <v>6958</v>
      </c>
      <c r="Y57" s="7">
        <v>14220</v>
      </c>
      <c r="Z57" s="7">
        <v>4412</v>
      </c>
      <c r="AA57" s="7">
        <v>5915</v>
      </c>
      <c r="AB57" s="13"/>
    </row>
    <row r="58" spans="10:28" ht="16.5" customHeight="1" x14ac:dyDescent="0.3">
      <c r="J58" s="2">
        <v>54</v>
      </c>
      <c r="K58" s="41" t="s">
        <v>32</v>
      </c>
      <c r="L58" s="41" t="s">
        <v>32</v>
      </c>
      <c r="M58" s="41" t="s">
        <v>34</v>
      </c>
      <c r="N58" s="41" t="s">
        <v>33</v>
      </c>
      <c r="O58" s="41" t="s">
        <v>30</v>
      </c>
      <c r="Q58" s="17">
        <f t="shared" si="10"/>
        <v>7</v>
      </c>
      <c r="R58" s="17">
        <f t="shared" si="11"/>
        <v>7</v>
      </c>
      <c r="S58" s="17">
        <f t="shared" si="12"/>
        <v>9</v>
      </c>
      <c r="T58" s="17">
        <f t="shared" si="13"/>
        <v>8</v>
      </c>
      <c r="U58" s="17">
        <f t="shared" si="14"/>
        <v>5</v>
      </c>
      <c r="W58" s="7">
        <v>6354</v>
      </c>
      <c r="X58" s="7">
        <v>9170</v>
      </c>
      <c r="Y58" s="7">
        <v>12738</v>
      </c>
      <c r="Z58" s="7">
        <v>4412</v>
      </c>
      <c r="AA58" s="7">
        <v>5035</v>
      </c>
      <c r="AB58" s="13"/>
    </row>
    <row r="59" spans="10:28" ht="16.5" customHeight="1" x14ac:dyDescent="0.3">
      <c r="J59" s="2">
        <v>55</v>
      </c>
      <c r="K59" s="41" t="s">
        <v>29</v>
      </c>
      <c r="L59" s="41" t="s">
        <v>44</v>
      </c>
      <c r="M59" s="41" t="s">
        <v>48</v>
      </c>
      <c r="N59" s="41" t="s">
        <v>32</v>
      </c>
      <c r="O59" s="41" t="s">
        <v>29</v>
      </c>
      <c r="Q59" s="17">
        <f t="shared" si="10"/>
        <v>4</v>
      </c>
      <c r="R59" s="17">
        <f t="shared" si="11"/>
        <v>15</v>
      </c>
      <c r="S59" s="17">
        <f t="shared" si="12"/>
        <v>17</v>
      </c>
      <c r="T59" s="17">
        <f t="shared" si="13"/>
        <v>7</v>
      </c>
      <c r="U59" s="17">
        <f t="shared" si="14"/>
        <v>4</v>
      </c>
      <c r="W59" s="7">
        <v>6168</v>
      </c>
      <c r="X59" s="7">
        <v>5123</v>
      </c>
      <c r="Y59" s="7">
        <v>5439</v>
      </c>
      <c r="Z59" s="7">
        <v>4412</v>
      </c>
      <c r="AA59" s="7">
        <v>8525</v>
      </c>
      <c r="AB59" s="13"/>
    </row>
    <row r="60" spans="10:28" ht="16.5" customHeight="1" x14ac:dyDescent="0.3">
      <c r="J60" s="2">
        <v>56</v>
      </c>
      <c r="K60" s="41" t="s">
        <v>33</v>
      </c>
      <c r="L60" s="41" t="s">
        <v>32</v>
      </c>
      <c r="M60" s="41" t="s">
        <v>28</v>
      </c>
      <c r="N60" s="41" t="s">
        <v>33</v>
      </c>
      <c r="O60" s="41" t="s">
        <v>34</v>
      </c>
      <c r="Q60" s="17">
        <f t="shared" si="10"/>
        <v>8</v>
      </c>
      <c r="R60" s="17">
        <f t="shared" si="11"/>
        <v>7</v>
      </c>
      <c r="S60" s="17">
        <f t="shared" si="12"/>
        <v>3</v>
      </c>
      <c r="T60" s="17">
        <f t="shared" si="13"/>
        <v>8</v>
      </c>
      <c r="U60" s="17">
        <f t="shared" si="14"/>
        <v>9</v>
      </c>
      <c r="W60" s="7">
        <v>6034</v>
      </c>
      <c r="X60" s="7">
        <v>8432</v>
      </c>
      <c r="Y60" s="7">
        <v>5306</v>
      </c>
      <c r="Z60" s="7">
        <v>4412</v>
      </c>
      <c r="AA60" s="7">
        <v>8817</v>
      </c>
      <c r="AB60" s="13"/>
    </row>
    <row r="61" spans="10:28" ht="15.6" customHeight="1" x14ac:dyDescent="0.3">
      <c r="J61" s="2">
        <v>57</v>
      </c>
      <c r="K61" s="41" t="s">
        <v>29</v>
      </c>
      <c r="L61" s="41" t="s">
        <v>32</v>
      </c>
      <c r="M61" s="41" t="s">
        <v>30</v>
      </c>
      <c r="N61" s="41" t="s">
        <v>33</v>
      </c>
      <c r="O61" s="41" t="s">
        <v>34</v>
      </c>
      <c r="Q61" s="17">
        <f t="shared" si="10"/>
        <v>4</v>
      </c>
      <c r="R61" s="17">
        <f t="shared" si="11"/>
        <v>7</v>
      </c>
      <c r="S61" s="17">
        <f t="shared" si="12"/>
        <v>5</v>
      </c>
      <c r="T61" s="17">
        <f t="shared" si="13"/>
        <v>8</v>
      </c>
      <c r="U61" s="17">
        <f t="shared" si="14"/>
        <v>9</v>
      </c>
      <c r="W61" s="7">
        <v>6095</v>
      </c>
      <c r="X61" s="7">
        <v>7636</v>
      </c>
      <c r="Y61" s="7">
        <v>5306</v>
      </c>
      <c r="Z61" s="7">
        <v>4412</v>
      </c>
      <c r="AA61" s="7">
        <v>7870</v>
      </c>
      <c r="AB61" s="13"/>
    </row>
    <row r="62" spans="10:28" ht="15.6" customHeight="1" x14ac:dyDescent="0.3">
      <c r="J62" s="2">
        <v>58</v>
      </c>
      <c r="K62" s="41" t="s">
        <v>35</v>
      </c>
      <c r="L62" s="41" t="s">
        <v>32</v>
      </c>
      <c r="M62" s="41" t="s">
        <v>30</v>
      </c>
      <c r="N62" s="41" t="s">
        <v>33</v>
      </c>
      <c r="O62" s="41" t="s">
        <v>34</v>
      </c>
      <c r="Q62" s="17">
        <f t="shared" si="10"/>
        <v>10</v>
      </c>
      <c r="R62" s="17">
        <f t="shared" si="11"/>
        <v>7</v>
      </c>
      <c r="S62" s="17">
        <f t="shared" si="12"/>
        <v>5</v>
      </c>
      <c r="T62" s="17">
        <f t="shared" si="13"/>
        <v>8</v>
      </c>
      <c r="U62" s="17">
        <f t="shared" si="14"/>
        <v>9</v>
      </c>
      <c r="W62" s="7">
        <v>6095</v>
      </c>
      <c r="X62" s="7">
        <v>16288</v>
      </c>
      <c r="Y62" s="7">
        <v>5768</v>
      </c>
      <c r="Z62" s="7">
        <v>4412</v>
      </c>
      <c r="AA62" s="7">
        <v>5396</v>
      </c>
      <c r="AB62" s="13"/>
    </row>
    <row r="63" spans="10:28" ht="16.5" customHeight="1" x14ac:dyDescent="0.3">
      <c r="J63" s="2">
        <v>59</v>
      </c>
      <c r="K63" s="41" t="s">
        <v>33</v>
      </c>
      <c r="L63" s="41" t="s">
        <v>38</v>
      </c>
      <c r="M63" s="41" t="s">
        <v>29</v>
      </c>
      <c r="N63" s="41" t="s">
        <v>31</v>
      </c>
      <c r="O63" s="41" t="s">
        <v>32</v>
      </c>
      <c r="Q63" s="17">
        <f t="shared" si="10"/>
        <v>8</v>
      </c>
      <c r="R63" s="17">
        <f t="shared" si="11"/>
        <v>12</v>
      </c>
      <c r="S63" s="17">
        <f t="shared" si="12"/>
        <v>4</v>
      </c>
      <c r="T63" s="17">
        <f t="shared" si="13"/>
        <v>6</v>
      </c>
      <c r="U63" s="17">
        <f t="shared" si="14"/>
        <v>7</v>
      </c>
      <c r="W63" s="7">
        <v>6089</v>
      </c>
      <c r="X63" s="7">
        <v>16762</v>
      </c>
      <c r="Y63" s="7">
        <v>5353</v>
      </c>
      <c r="Z63" s="7">
        <v>4412</v>
      </c>
      <c r="AA63" s="7">
        <v>5396</v>
      </c>
      <c r="AB63" s="13"/>
    </row>
    <row r="64" spans="10:28" ht="16.5" customHeight="1" x14ac:dyDescent="0.3">
      <c r="J64" s="2">
        <v>60</v>
      </c>
      <c r="K64" s="41" t="s">
        <v>32</v>
      </c>
      <c r="L64" s="41" t="s">
        <v>32</v>
      </c>
      <c r="M64" s="41" t="s">
        <v>35</v>
      </c>
      <c r="N64" s="41" t="s">
        <v>33</v>
      </c>
      <c r="O64" s="41" t="s">
        <v>35</v>
      </c>
      <c r="Q64" s="17">
        <f t="shared" si="10"/>
        <v>7</v>
      </c>
      <c r="R64" s="17">
        <f t="shared" si="11"/>
        <v>7</v>
      </c>
      <c r="S64" s="17">
        <f t="shared" si="12"/>
        <v>10</v>
      </c>
      <c r="T64" s="17">
        <f t="shared" si="13"/>
        <v>8</v>
      </c>
      <c r="U64" s="17">
        <f t="shared" si="14"/>
        <v>10</v>
      </c>
      <c r="W64" s="7">
        <v>6354</v>
      </c>
      <c r="X64" s="7">
        <v>15726</v>
      </c>
      <c r="Y64" s="7">
        <v>5371</v>
      </c>
      <c r="Z64" s="7">
        <v>4412</v>
      </c>
      <c r="AA64" s="7">
        <v>8493</v>
      </c>
      <c r="AB64" s="13"/>
    </row>
    <row r="65" spans="10:28" ht="16.5" customHeight="1" x14ac:dyDescent="0.3">
      <c r="J65" s="2">
        <v>61</v>
      </c>
      <c r="K65" s="41" t="s">
        <v>29</v>
      </c>
      <c r="L65" s="41" t="s">
        <v>31</v>
      </c>
      <c r="M65" s="41" t="s">
        <v>30</v>
      </c>
      <c r="N65" s="41" t="s">
        <v>33</v>
      </c>
      <c r="O65" s="41" t="s">
        <v>34</v>
      </c>
      <c r="Q65" s="17">
        <f t="shared" si="10"/>
        <v>4</v>
      </c>
      <c r="R65" s="17">
        <f t="shared" si="11"/>
        <v>6</v>
      </c>
      <c r="S65" s="17">
        <f t="shared" si="12"/>
        <v>5</v>
      </c>
      <c r="T65" s="17">
        <f t="shared" si="13"/>
        <v>8</v>
      </c>
      <c r="U65" s="17">
        <f t="shared" si="14"/>
        <v>9</v>
      </c>
      <c r="W65" s="7">
        <v>6168</v>
      </c>
      <c r="X65" s="7">
        <v>6310</v>
      </c>
      <c r="Y65" s="7">
        <v>4528</v>
      </c>
      <c r="Z65" s="7">
        <v>4412</v>
      </c>
      <c r="AA65" s="7">
        <v>5396</v>
      </c>
      <c r="AB65" s="13"/>
    </row>
    <row r="66" spans="10:28" ht="16.5" customHeight="1" x14ac:dyDescent="0.3">
      <c r="J66" s="2">
        <v>62</v>
      </c>
      <c r="K66" s="41" t="s">
        <v>33</v>
      </c>
      <c r="L66" s="41" t="s">
        <v>32</v>
      </c>
      <c r="M66" s="41" t="s">
        <v>33</v>
      </c>
      <c r="N66" s="41" t="s">
        <v>33</v>
      </c>
      <c r="O66" s="41" t="s">
        <v>29</v>
      </c>
      <c r="Q66" s="17">
        <f t="shared" si="10"/>
        <v>8</v>
      </c>
      <c r="R66" s="17">
        <f t="shared" si="11"/>
        <v>7</v>
      </c>
      <c r="S66" s="17">
        <f t="shared" si="12"/>
        <v>8</v>
      </c>
      <c r="T66" s="17">
        <f t="shared" si="13"/>
        <v>8</v>
      </c>
      <c r="U66" s="17">
        <f t="shared" si="14"/>
        <v>4</v>
      </c>
      <c r="W66" s="7">
        <v>6034</v>
      </c>
      <c r="X66" s="7">
        <v>5865</v>
      </c>
      <c r="Y66" s="7">
        <v>4571</v>
      </c>
      <c r="Z66" s="7">
        <v>4412</v>
      </c>
      <c r="AA66" s="7">
        <v>5771</v>
      </c>
      <c r="AB66" s="13"/>
    </row>
    <row r="67" spans="10:28" ht="16.5" customHeight="1" x14ac:dyDescent="0.3">
      <c r="J67" s="2">
        <v>63</v>
      </c>
      <c r="K67" s="41" t="s">
        <v>29</v>
      </c>
      <c r="L67" s="41" t="s">
        <v>30</v>
      </c>
      <c r="M67" s="41" t="s">
        <v>30</v>
      </c>
      <c r="N67" s="41" t="s">
        <v>31</v>
      </c>
      <c r="O67" s="41" t="s">
        <v>34</v>
      </c>
      <c r="Q67" s="17">
        <f t="shared" si="10"/>
        <v>4</v>
      </c>
      <c r="R67" s="17">
        <f t="shared" si="11"/>
        <v>5</v>
      </c>
      <c r="S67" s="17">
        <f t="shared" si="12"/>
        <v>5</v>
      </c>
      <c r="T67" s="17">
        <f t="shared" si="13"/>
        <v>6</v>
      </c>
      <c r="U67" s="17">
        <f t="shared" si="14"/>
        <v>9</v>
      </c>
      <c r="W67" s="7">
        <v>6095</v>
      </c>
      <c r="X67" s="7">
        <v>5605</v>
      </c>
      <c r="Y67" s="7">
        <v>4576</v>
      </c>
      <c r="Z67" s="7">
        <v>4412</v>
      </c>
      <c r="AA67" s="7">
        <v>5915</v>
      </c>
      <c r="AB67" s="13"/>
    </row>
    <row r="68" spans="10:28" ht="16.5" customHeight="1" x14ac:dyDescent="0.3">
      <c r="J68" s="2">
        <v>64</v>
      </c>
      <c r="K68" s="41" t="s">
        <v>35</v>
      </c>
      <c r="L68" s="41" t="s">
        <v>28</v>
      </c>
      <c r="M68" s="41" t="s">
        <v>30</v>
      </c>
      <c r="N68" s="41" t="s">
        <v>42</v>
      </c>
      <c r="O68" s="41" t="s">
        <v>33</v>
      </c>
      <c r="Q68" s="17">
        <f t="shared" ref="Q68:Q99" si="15">IF(K68="","",VLOOKUP(K68,$A$4:$H$22,8,FALSE))</f>
        <v>10</v>
      </c>
      <c r="R68" s="17">
        <f t="shared" ref="R68:R99" si="16">IF(L68="","",VLOOKUP(L68,$A$4:$H$22,8,FALSE))</f>
        <v>3</v>
      </c>
      <c r="S68" s="17">
        <f t="shared" ref="S68:S99" si="17">IF(M68="","",VLOOKUP(M68,$A$4:$H$22,8,FALSE))</f>
        <v>5</v>
      </c>
      <c r="T68" s="17">
        <f t="shared" ref="T68:T99" si="18">IF(N68="","",VLOOKUP(N68,$A$4:$H$22,8,FALSE))</f>
        <v>14</v>
      </c>
      <c r="U68" s="17">
        <f t="shared" ref="U68:U99" si="19">IF(O68="","",VLOOKUP(O68,$A$4:$H$22,8,FALSE))</f>
        <v>8</v>
      </c>
      <c r="W68" s="7">
        <v>6095</v>
      </c>
      <c r="X68" s="7">
        <v>5564</v>
      </c>
      <c r="Y68" s="7">
        <v>4522</v>
      </c>
      <c r="Z68" s="7">
        <v>4412</v>
      </c>
      <c r="AA68" s="7">
        <v>5035</v>
      </c>
      <c r="AB68" s="13"/>
    </row>
    <row r="69" spans="10:28" ht="16.5" customHeight="1" x14ac:dyDescent="0.3">
      <c r="J69" s="2">
        <v>65</v>
      </c>
      <c r="K69" s="41" t="s">
        <v>33</v>
      </c>
      <c r="L69" s="41" t="s">
        <v>44</v>
      </c>
      <c r="M69" s="41" t="s">
        <v>28</v>
      </c>
      <c r="N69" s="41" t="s">
        <v>31</v>
      </c>
      <c r="O69" s="41" t="s">
        <v>30</v>
      </c>
      <c r="Q69" s="17">
        <f t="shared" si="15"/>
        <v>8</v>
      </c>
      <c r="R69" s="17">
        <f t="shared" si="16"/>
        <v>15</v>
      </c>
      <c r="S69" s="17">
        <f t="shared" si="17"/>
        <v>3</v>
      </c>
      <c r="T69" s="17">
        <f t="shared" si="18"/>
        <v>6</v>
      </c>
      <c r="U69" s="17">
        <f t="shared" si="19"/>
        <v>5</v>
      </c>
      <c r="W69" s="7">
        <v>0</v>
      </c>
      <c r="X69" s="7">
        <v>14815</v>
      </c>
      <c r="Y69" s="7">
        <v>14761</v>
      </c>
      <c r="Z69" s="7">
        <v>0</v>
      </c>
      <c r="AA69" s="7">
        <v>8525</v>
      </c>
      <c r="AB69" s="13"/>
    </row>
    <row r="70" spans="10:28" ht="16.5" customHeight="1" x14ac:dyDescent="0.3">
      <c r="J70" s="2">
        <v>66</v>
      </c>
      <c r="K70" s="41" t="s">
        <v>32</v>
      </c>
      <c r="L70" s="41" t="s">
        <v>34</v>
      </c>
      <c r="M70" s="41" t="s">
        <v>28</v>
      </c>
      <c r="N70" s="41" t="s">
        <v>33</v>
      </c>
      <c r="O70" s="41" t="s">
        <v>29</v>
      </c>
      <c r="Q70" s="17">
        <f t="shared" si="15"/>
        <v>7</v>
      </c>
      <c r="R70" s="17">
        <f t="shared" si="16"/>
        <v>9</v>
      </c>
      <c r="S70" s="17">
        <f t="shared" si="17"/>
        <v>3</v>
      </c>
      <c r="T70" s="17">
        <f t="shared" si="18"/>
        <v>8</v>
      </c>
      <c r="U70" s="17">
        <f t="shared" si="19"/>
        <v>4</v>
      </c>
      <c r="W70" s="7">
        <v>0</v>
      </c>
      <c r="X70" s="7">
        <v>14769</v>
      </c>
      <c r="Y70" s="7">
        <v>14905</v>
      </c>
      <c r="Z70" s="7">
        <v>0</v>
      </c>
      <c r="AA70" s="7">
        <v>8817</v>
      </c>
      <c r="AB70" s="13"/>
    </row>
    <row r="71" spans="10:28" ht="16.5" customHeight="1" x14ac:dyDescent="0.3">
      <c r="J71" s="2">
        <v>67</v>
      </c>
      <c r="K71" s="41" t="s">
        <v>29</v>
      </c>
      <c r="L71" s="41" t="s">
        <v>31</v>
      </c>
      <c r="M71" s="41" t="s">
        <v>28</v>
      </c>
      <c r="N71" s="41" t="s">
        <v>31</v>
      </c>
      <c r="O71" s="41" t="s">
        <v>34</v>
      </c>
      <c r="Q71" s="17">
        <f t="shared" si="15"/>
        <v>4</v>
      </c>
      <c r="R71" s="17">
        <f t="shared" si="16"/>
        <v>6</v>
      </c>
      <c r="S71" s="17">
        <f t="shared" si="17"/>
        <v>3</v>
      </c>
      <c r="T71" s="17">
        <f t="shared" si="18"/>
        <v>6</v>
      </c>
      <c r="U71" s="17">
        <f t="shared" si="19"/>
        <v>9</v>
      </c>
      <c r="W71" s="7">
        <v>0</v>
      </c>
      <c r="X71" s="7">
        <v>37565</v>
      </c>
      <c r="Y71" s="7">
        <v>5308</v>
      </c>
      <c r="Z71" s="7">
        <v>0</v>
      </c>
      <c r="AA71" s="7">
        <v>7870</v>
      </c>
      <c r="AB71" s="13"/>
    </row>
    <row r="72" spans="10:28" ht="16.5" customHeight="1" x14ac:dyDescent="0.3">
      <c r="J72" s="2">
        <v>68</v>
      </c>
      <c r="K72" s="41" t="s">
        <v>26</v>
      </c>
      <c r="L72" s="41" t="s">
        <v>33</v>
      </c>
      <c r="M72" s="41" t="s">
        <v>42</v>
      </c>
      <c r="N72" s="41" t="s">
        <v>26</v>
      </c>
      <c r="O72" s="41" t="s">
        <v>34</v>
      </c>
      <c r="Q72" s="17">
        <f t="shared" si="15"/>
        <v>2</v>
      </c>
      <c r="R72" s="17">
        <f t="shared" si="16"/>
        <v>8</v>
      </c>
      <c r="S72" s="17">
        <f t="shared" si="17"/>
        <v>14</v>
      </c>
      <c r="T72" s="17">
        <f t="shared" si="18"/>
        <v>2</v>
      </c>
      <c r="U72" s="17">
        <f t="shared" si="19"/>
        <v>9</v>
      </c>
      <c r="W72" s="7">
        <v>0</v>
      </c>
      <c r="X72" s="7">
        <v>25399</v>
      </c>
      <c r="Y72" s="7">
        <v>4422</v>
      </c>
      <c r="Z72" s="7">
        <v>0</v>
      </c>
      <c r="AA72" s="7">
        <v>5396</v>
      </c>
      <c r="AB72" s="13"/>
    </row>
    <row r="73" spans="10:28" ht="16.5" customHeight="1" x14ac:dyDescent="0.3">
      <c r="J73" s="2">
        <v>69</v>
      </c>
      <c r="K73" s="41" t="s">
        <v>35</v>
      </c>
      <c r="L73" s="41" t="s">
        <v>31</v>
      </c>
      <c r="M73" s="41" t="s">
        <v>30</v>
      </c>
      <c r="N73" s="41" t="s">
        <v>33</v>
      </c>
      <c r="O73" s="41" t="s">
        <v>34</v>
      </c>
      <c r="Q73" s="17">
        <f t="shared" si="15"/>
        <v>10</v>
      </c>
      <c r="R73" s="17">
        <f t="shared" si="16"/>
        <v>6</v>
      </c>
      <c r="S73" s="17">
        <f t="shared" si="17"/>
        <v>5</v>
      </c>
      <c r="T73" s="17">
        <f t="shared" si="18"/>
        <v>8</v>
      </c>
      <c r="U73" s="17">
        <f t="shared" si="19"/>
        <v>9</v>
      </c>
      <c r="W73" s="7">
        <v>5423</v>
      </c>
      <c r="X73" s="7">
        <v>9035</v>
      </c>
      <c r="Y73" s="7">
        <v>4422</v>
      </c>
      <c r="Z73" s="7">
        <v>13995</v>
      </c>
      <c r="AA73" s="7">
        <v>5396</v>
      </c>
      <c r="AB73" s="13"/>
    </row>
    <row r="74" spans="10:28" ht="16.5" customHeight="1" x14ac:dyDescent="0.3">
      <c r="J74" s="2">
        <v>70</v>
      </c>
      <c r="K74" s="41" t="s">
        <v>32</v>
      </c>
      <c r="L74" s="41" t="s">
        <v>44</v>
      </c>
      <c r="M74" s="41" t="s">
        <v>35</v>
      </c>
      <c r="N74" s="41" t="s">
        <v>28</v>
      </c>
      <c r="O74" s="41" t="s">
        <v>31</v>
      </c>
      <c r="Q74" s="17">
        <f t="shared" si="15"/>
        <v>7</v>
      </c>
      <c r="R74" s="17">
        <f t="shared" si="16"/>
        <v>15</v>
      </c>
      <c r="S74" s="17">
        <f t="shared" si="17"/>
        <v>10</v>
      </c>
      <c r="T74" s="17">
        <f t="shared" si="18"/>
        <v>3</v>
      </c>
      <c r="U74" s="17">
        <f t="shared" si="19"/>
        <v>6</v>
      </c>
      <c r="W74" s="7">
        <v>5529</v>
      </c>
      <c r="X74" s="7">
        <v>9175</v>
      </c>
      <c r="Y74" s="7">
        <v>4422</v>
      </c>
      <c r="Z74" s="7">
        <v>8909</v>
      </c>
      <c r="AA74" s="7">
        <v>8493</v>
      </c>
      <c r="AB74" s="13"/>
    </row>
    <row r="75" spans="10:28" ht="16.5" customHeight="1" x14ac:dyDescent="0.3">
      <c r="J75" s="2">
        <v>71</v>
      </c>
      <c r="K75" s="41" t="s">
        <v>33</v>
      </c>
      <c r="L75" s="41" t="s">
        <v>26</v>
      </c>
      <c r="M75" s="41" t="s">
        <v>34</v>
      </c>
      <c r="N75" s="41" t="s">
        <v>31</v>
      </c>
      <c r="O75" s="41" t="s">
        <v>32</v>
      </c>
      <c r="Q75" s="17">
        <f t="shared" si="15"/>
        <v>8</v>
      </c>
      <c r="R75" s="17">
        <f t="shared" si="16"/>
        <v>2</v>
      </c>
      <c r="S75" s="17">
        <f t="shared" si="17"/>
        <v>9</v>
      </c>
      <c r="T75" s="17">
        <f t="shared" si="18"/>
        <v>6</v>
      </c>
      <c r="U75" s="17">
        <f t="shared" si="19"/>
        <v>7</v>
      </c>
      <c r="W75" s="7">
        <v>5029</v>
      </c>
      <c r="X75" s="7">
        <v>4770</v>
      </c>
      <c r="Y75" s="7">
        <v>13841</v>
      </c>
      <c r="Z75" s="7">
        <v>8829</v>
      </c>
      <c r="AA75" s="7">
        <v>6254</v>
      </c>
      <c r="AB75" s="13"/>
    </row>
    <row r="76" spans="10:28" ht="16.5" customHeight="1" x14ac:dyDescent="0.3">
      <c r="J76" s="2">
        <v>72</v>
      </c>
      <c r="K76" s="41" t="s">
        <v>33</v>
      </c>
      <c r="L76" s="41" t="s">
        <v>33</v>
      </c>
      <c r="M76" s="41" t="s">
        <v>30</v>
      </c>
      <c r="N76" s="41" t="s">
        <v>31</v>
      </c>
      <c r="O76" s="41" t="s">
        <v>32</v>
      </c>
      <c r="Q76" s="17">
        <f t="shared" si="15"/>
        <v>8</v>
      </c>
      <c r="R76" s="17">
        <f t="shared" si="16"/>
        <v>8</v>
      </c>
      <c r="S76" s="17">
        <f t="shared" si="17"/>
        <v>5</v>
      </c>
      <c r="T76" s="17">
        <f t="shared" si="18"/>
        <v>6</v>
      </c>
      <c r="U76" s="17">
        <f t="shared" si="19"/>
        <v>7</v>
      </c>
      <c r="W76" s="7">
        <v>6089</v>
      </c>
      <c r="X76" s="7">
        <v>5291</v>
      </c>
      <c r="Y76" s="7">
        <v>36295</v>
      </c>
      <c r="Z76" s="7">
        <v>5477</v>
      </c>
      <c r="AA76" s="7">
        <v>20206</v>
      </c>
      <c r="AB76" s="13"/>
    </row>
    <row r="77" spans="10:28" ht="16.5" customHeight="1" x14ac:dyDescent="0.3">
      <c r="J77" s="2">
        <v>73</v>
      </c>
      <c r="K77" s="41" t="s">
        <v>32</v>
      </c>
      <c r="L77" s="41" t="s">
        <v>34</v>
      </c>
      <c r="M77" s="41" t="s">
        <v>48</v>
      </c>
      <c r="N77" s="41" t="s">
        <v>33</v>
      </c>
      <c r="O77" s="41" t="s">
        <v>32</v>
      </c>
      <c r="Q77" s="17">
        <f t="shared" si="15"/>
        <v>7</v>
      </c>
      <c r="R77" s="17">
        <f t="shared" si="16"/>
        <v>9</v>
      </c>
      <c r="S77" s="17">
        <f t="shared" si="17"/>
        <v>17</v>
      </c>
      <c r="T77" s="17">
        <f t="shared" si="18"/>
        <v>8</v>
      </c>
      <c r="U77" s="17">
        <f t="shared" si="19"/>
        <v>7</v>
      </c>
      <c r="W77" s="7">
        <v>6095</v>
      </c>
      <c r="X77" s="7">
        <v>14449</v>
      </c>
      <c r="Y77" s="7">
        <v>13624</v>
      </c>
      <c r="Z77" s="7">
        <v>4412</v>
      </c>
      <c r="AA77" s="7">
        <v>6949</v>
      </c>
      <c r="AB77" s="13"/>
    </row>
    <row r="78" spans="10:28" ht="16.5" customHeight="1" x14ac:dyDescent="0.3">
      <c r="J78" s="2">
        <v>74</v>
      </c>
      <c r="K78" s="41" t="s">
        <v>33</v>
      </c>
      <c r="L78" s="41" t="s">
        <v>42</v>
      </c>
      <c r="M78" s="41" t="s">
        <v>34</v>
      </c>
      <c r="N78" s="41" t="s">
        <v>48</v>
      </c>
      <c r="O78" s="41" t="s">
        <v>35</v>
      </c>
      <c r="Q78" s="17">
        <f t="shared" si="15"/>
        <v>8</v>
      </c>
      <c r="R78" s="17">
        <f t="shared" si="16"/>
        <v>14</v>
      </c>
      <c r="S78" s="17">
        <f t="shared" si="17"/>
        <v>9</v>
      </c>
      <c r="T78" s="17">
        <f t="shared" si="18"/>
        <v>17</v>
      </c>
      <c r="U78" s="17">
        <f t="shared" si="19"/>
        <v>10</v>
      </c>
      <c r="W78" s="7">
        <v>6095</v>
      </c>
      <c r="X78" s="7">
        <v>12866</v>
      </c>
      <c r="Y78" s="7">
        <v>5578</v>
      </c>
      <c r="Z78" s="7">
        <v>8909</v>
      </c>
      <c r="AA78" s="7">
        <v>6697</v>
      </c>
      <c r="AB78" s="13"/>
    </row>
    <row r="79" spans="10:28" ht="16.5" customHeight="1" x14ac:dyDescent="0.3">
      <c r="J79" s="2">
        <v>75</v>
      </c>
      <c r="K79" s="41" t="s">
        <v>29</v>
      </c>
      <c r="L79" s="41" t="s">
        <v>33</v>
      </c>
      <c r="M79" s="41" t="s">
        <v>29</v>
      </c>
      <c r="N79" s="41" t="s">
        <v>33</v>
      </c>
      <c r="O79" s="41" t="s">
        <v>31</v>
      </c>
      <c r="Q79" s="17">
        <f t="shared" si="15"/>
        <v>4</v>
      </c>
      <c r="R79" s="17">
        <f t="shared" si="16"/>
        <v>8</v>
      </c>
      <c r="S79" s="17">
        <f t="shared" si="17"/>
        <v>4</v>
      </c>
      <c r="T79" s="17">
        <f t="shared" si="18"/>
        <v>8</v>
      </c>
      <c r="U79" s="17">
        <f t="shared" si="19"/>
        <v>6</v>
      </c>
      <c r="W79" s="7">
        <v>18139</v>
      </c>
      <c r="X79" s="7">
        <v>11702</v>
      </c>
      <c r="Y79" s="7">
        <v>5817</v>
      </c>
      <c r="Z79" s="7">
        <v>13698</v>
      </c>
      <c r="AA79" s="7">
        <v>18383</v>
      </c>
      <c r="AB79" s="13"/>
    </row>
    <row r="80" spans="10:28" ht="15.6" customHeight="1" x14ac:dyDescent="0.3">
      <c r="J80" s="2">
        <v>76</v>
      </c>
      <c r="K80" s="41" t="s">
        <v>35</v>
      </c>
      <c r="L80" s="41" t="s">
        <v>34</v>
      </c>
      <c r="M80" s="41" t="s">
        <v>33</v>
      </c>
      <c r="N80" s="41" t="s">
        <v>31</v>
      </c>
      <c r="O80" s="41" t="s">
        <v>35</v>
      </c>
      <c r="Q80" s="17">
        <f t="shared" si="15"/>
        <v>10</v>
      </c>
      <c r="R80" s="17">
        <f t="shared" si="16"/>
        <v>9</v>
      </c>
      <c r="S80" s="17">
        <f t="shared" si="17"/>
        <v>8</v>
      </c>
      <c r="T80" s="17">
        <f t="shared" si="18"/>
        <v>6</v>
      </c>
      <c r="U80" s="17">
        <f t="shared" si="19"/>
        <v>10</v>
      </c>
      <c r="W80" s="7">
        <v>47203</v>
      </c>
      <c r="X80" s="7">
        <v>12275</v>
      </c>
      <c r="Y80" s="7">
        <v>4848</v>
      </c>
      <c r="Z80" s="7">
        <v>5159</v>
      </c>
      <c r="AA80" s="7">
        <v>5957</v>
      </c>
      <c r="AB80" s="13"/>
    </row>
    <row r="81" spans="10:28" ht="15.6" customHeight="1" x14ac:dyDescent="0.3">
      <c r="J81" s="2">
        <v>77</v>
      </c>
      <c r="K81" s="41" t="s">
        <v>32</v>
      </c>
      <c r="L81" s="41" t="s">
        <v>34</v>
      </c>
      <c r="M81" s="41" t="s">
        <v>30</v>
      </c>
      <c r="N81" s="41" t="s">
        <v>31</v>
      </c>
      <c r="O81" s="41" t="s">
        <v>28</v>
      </c>
      <c r="Q81" s="17">
        <f t="shared" si="15"/>
        <v>7</v>
      </c>
      <c r="R81" s="17">
        <f t="shared" si="16"/>
        <v>9</v>
      </c>
      <c r="S81" s="17">
        <f t="shared" si="17"/>
        <v>5</v>
      </c>
      <c r="T81" s="17">
        <f t="shared" si="18"/>
        <v>6</v>
      </c>
      <c r="U81" s="17">
        <f t="shared" si="19"/>
        <v>3</v>
      </c>
      <c r="W81" s="7">
        <v>18095</v>
      </c>
      <c r="X81" s="7">
        <v>14381</v>
      </c>
      <c r="Y81" s="7">
        <v>9114</v>
      </c>
      <c r="Z81" s="7">
        <v>6265</v>
      </c>
      <c r="AA81" s="7">
        <v>4649</v>
      </c>
      <c r="AB81" s="13"/>
    </row>
    <row r="82" spans="10:28" ht="15.6" customHeight="1" x14ac:dyDescent="0.3">
      <c r="J82" s="2">
        <v>78</v>
      </c>
      <c r="K82" s="41" t="s">
        <v>34</v>
      </c>
      <c r="L82" s="41" t="s">
        <v>31</v>
      </c>
      <c r="M82" s="41" t="s">
        <v>35</v>
      </c>
      <c r="N82" s="41" t="s">
        <v>33</v>
      </c>
      <c r="O82" s="41" t="s">
        <v>33</v>
      </c>
      <c r="Q82" s="17">
        <f t="shared" si="15"/>
        <v>9</v>
      </c>
      <c r="R82" s="17">
        <f t="shared" si="16"/>
        <v>6</v>
      </c>
      <c r="S82" s="17">
        <f t="shared" si="17"/>
        <v>10</v>
      </c>
      <c r="T82" s="17">
        <f t="shared" si="18"/>
        <v>8</v>
      </c>
      <c r="U82" s="17">
        <f t="shared" si="19"/>
        <v>8</v>
      </c>
      <c r="W82" s="7">
        <v>6296</v>
      </c>
      <c r="X82" s="7">
        <v>14524</v>
      </c>
      <c r="Y82" s="7">
        <v>27038</v>
      </c>
      <c r="Z82" s="7">
        <v>5580</v>
      </c>
      <c r="AA82" s="7">
        <v>4496</v>
      </c>
      <c r="AB82" s="13"/>
    </row>
    <row r="83" spans="10:28" ht="15.6" customHeight="1" x14ac:dyDescent="0.3">
      <c r="J83" s="2">
        <v>79</v>
      </c>
      <c r="K83" s="41" t="s">
        <v>34</v>
      </c>
      <c r="L83" s="41" t="s">
        <v>31</v>
      </c>
      <c r="M83" s="41" t="s">
        <v>34</v>
      </c>
      <c r="N83" s="41" t="s">
        <v>34</v>
      </c>
      <c r="O83" s="41" t="s">
        <v>28</v>
      </c>
      <c r="Q83" s="17">
        <f t="shared" si="15"/>
        <v>9</v>
      </c>
      <c r="R83" s="17">
        <f t="shared" si="16"/>
        <v>6</v>
      </c>
      <c r="S83" s="17">
        <f t="shared" si="17"/>
        <v>9</v>
      </c>
      <c r="T83" s="17">
        <f t="shared" si="18"/>
        <v>9</v>
      </c>
      <c r="U83" s="17">
        <f t="shared" si="19"/>
        <v>3</v>
      </c>
      <c r="W83" s="7">
        <v>6504</v>
      </c>
      <c r="X83" s="7">
        <v>14839</v>
      </c>
      <c r="Y83" s="7">
        <v>20899</v>
      </c>
      <c r="Z83" s="7">
        <v>6335</v>
      </c>
      <c r="AA83" s="7">
        <v>4496</v>
      </c>
      <c r="AB83" s="13"/>
    </row>
    <row r="84" spans="10:28" ht="15.6" customHeight="1" x14ac:dyDescent="0.3">
      <c r="J84" s="2">
        <v>80</v>
      </c>
      <c r="K84" s="41" t="s">
        <v>30</v>
      </c>
      <c r="L84" s="41" t="s">
        <v>48</v>
      </c>
      <c r="M84" s="41" t="s">
        <v>35</v>
      </c>
      <c r="N84" s="41" t="s">
        <v>32</v>
      </c>
      <c r="O84" s="41" t="s">
        <v>28</v>
      </c>
      <c r="Q84" s="17">
        <f t="shared" si="15"/>
        <v>5</v>
      </c>
      <c r="R84" s="17">
        <f t="shared" si="16"/>
        <v>17</v>
      </c>
      <c r="S84" s="17">
        <f t="shared" si="17"/>
        <v>10</v>
      </c>
      <c r="T84" s="17">
        <f t="shared" si="18"/>
        <v>7</v>
      </c>
      <c r="U84" s="17">
        <f t="shared" si="19"/>
        <v>3</v>
      </c>
      <c r="W84" s="7">
        <v>6458</v>
      </c>
      <c r="X84" s="7">
        <v>13826</v>
      </c>
      <c r="Y84" s="7">
        <v>6717</v>
      </c>
      <c r="Z84" s="7">
        <v>16180</v>
      </c>
      <c r="AA84" s="7">
        <v>4496</v>
      </c>
      <c r="AB84" s="13"/>
    </row>
    <row r="85" spans="10:28" ht="15.6" customHeight="1" x14ac:dyDescent="0.3">
      <c r="J85" s="2">
        <v>81</v>
      </c>
      <c r="K85" s="41" t="s">
        <v>33</v>
      </c>
      <c r="L85" s="41" t="s">
        <v>31</v>
      </c>
      <c r="M85" s="41" t="s">
        <v>31</v>
      </c>
      <c r="N85" s="41" t="s">
        <v>34</v>
      </c>
      <c r="O85" s="41" t="s">
        <v>28</v>
      </c>
      <c r="Q85" s="17">
        <f t="shared" si="15"/>
        <v>8</v>
      </c>
      <c r="R85" s="17">
        <f t="shared" si="16"/>
        <v>6</v>
      </c>
      <c r="S85" s="17">
        <f t="shared" si="17"/>
        <v>6</v>
      </c>
      <c r="T85" s="17">
        <f t="shared" si="18"/>
        <v>9</v>
      </c>
      <c r="U85" s="17">
        <f t="shared" si="19"/>
        <v>3</v>
      </c>
      <c r="W85" s="7">
        <v>6415</v>
      </c>
      <c r="X85" s="7">
        <v>5575</v>
      </c>
      <c r="Y85" s="7">
        <v>4985</v>
      </c>
      <c r="Z85" s="7">
        <v>15661</v>
      </c>
      <c r="AA85" s="7">
        <v>6207</v>
      </c>
      <c r="AB85" s="13"/>
    </row>
    <row r="86" spans="10:28" ht="15.6" customHeight="1" x14ac:dyDescent="0.3">
      <c r="J86" s="2">
        <v>82</v>
      </c>
      <c r="K86" s="41" t="s">
        <v>29</v>
      </c>
      <c r="L86" s="41" t="s">
        <v>32</v>
      </c>
      <c r="M86" s="41" t="s">
        <v>50</v>
      </c>
      <c r="N86" s="41" t="s">
        <v>30</v>
      </c>
      <c r="O86" s="41" t="s">
        <v>35</v>
      </c>
      <c r="Q86" s="17">
        <f t="shared" si="15"/>
        <v>4</v>
      </c>
      <c r="R86" s="17">
        <f t="shared" si="16"/>
        <v>7</v>
      </c>
      <c r="S86" s="17">
        <f t="shared" si="17"/>
        <v>18</v>
      </c>
      <c r="T86" s="17">
        <f t="shared" si="18"/>
        <v>5</v>
      </c>
      <c r="U86" s="17">
        <f t="shared" si="19"/>
        <v>10</v>
      </c>
      <c r="W86" s="7">
        <v>7021</v>
      </c>
      <c r="X86" s="7">
        <v>4507</v>
      </c>
      <c r="Y86" s="7">
        <v>5388</v>
      </c>
      <c r="Z86" s="7">
        <v>15616</v>
      </c>
      <c r="AA86" s="7">
        <v>6267</v>
      </c>
      <c r="AB86" s="13"/>
    </row>
    <row r="87" spans="10:28" ht="15.6" customHeight="1" x14ac:dyDescent="0.3">
      <c r="J87" s="2">
        <v>83</v>
      </c>
      <c r="K87" s="41" t="s">
        <v>28</v>
      </c>
      <c r="L87" s="41" t="s">
        <v>31</v>
      </c>
      <c r="M87" s="41" t="s">
        <v>34</v>
      </c>
      <c r="N87" s="41" t="s">
        <v>31</v>
      </c>
      <c r="O87" s="41" t="s">
        <v>30</v>
      </c>
      <c r="Q87" s="17">
        <f t="shared" si="15"/>
        <v>3</v>
      </c>
      <c r="R87" s="17">
        <f t="shared" si="16"/>
        <v>6</v>
      </c>
      <c r="S87" s="17">
        <f t="shared" si="17"/>
        <v>9</v>
      </c>
      <c r="T87" s="17">
        <f t="shared" si="18"/>
        <v>6</v>
      </c>
      <c r="U87" s="17">
        <f t="shared" si="19"/>
        <v>5</v>
      </c>
      <c r="W87" s="7">
        <v>5850</v>
      </c>
      <c r="X87" s="7">
        <v>4124</v>
      </c>
      <c r="Y87" s="7">
        <v>4884</v>
      </c>
      <c r="Z87" s="7">
        <v>5406</v>
      </c>
      <c r="AA87" s="7">
        <v>5461</v>
      </c>
      <c r="AB87" s="13"/>
    </row>
    <row r="88" spans="10:28" ht="15.6" customHeight="1" x14ac:dyDescent="0.3">
      <c r="J88" s="2">
        <v>84</v>
      </c>
      <c r="K88" s="41" t="s">
        <v>34</v>
      </c>
      <c r="L88" s="41" t="s">
        <v>33</v>
      </c>
      <c r="M88" s="41" t="s">
        <v>34</v>
      </c>
      <c r="N88" s="41" t="s">
        <v>31</v>
      </c>
      <c r="O88" s="41" t="s">
        <v>29</v>
      </c>
      <c r="Q88" s="17">
        <f t="shared" si="15"/>
        <v>9</v>
      </c>
      <c r="R88" s="17">
        <f t="shared" si="16"/>
        <v>8</v>
      </c>
      <c r="S88" s="17">
        <f t="shared" si="17"/>
        <v>9</v>
      </c>
      <c r="T88" s="17">
        <f t="shared" si="18"/>
        <v>6</v>
      </c>
      <c r="U88" s="17">
        <f t="shared" si="19"/>
        <v>4</v>
      </c>
      <c r="W88" s="7">
        <v>6099</v>
      </c>
      <c r="X88" s="7">
        <v>4036</v>
      </c>
      <c r="Y88" s="7">
        <v>5167</v>
      </c>
      <c r="Z88" s="7">
        <v>4523</v>
      </c>
      <c r="AA88" s="7">
        <v>5396</v>
      </c>
      <c r="AB88" s="13"/>
    </row>
    <row r="89" spans="10:28" ht="15.6" customHeight="1" x14ac:dyDescent="0.3">
      <c r="J89" s="2">
        <v>85</v>
      </c>
      <c r="K89" s="41" t="s">
        <v>29</v>
      </c>
      <c r="L89" s="41" t="s">
        <v>28</v>
      </c>
      <c r="M89" s="41" t="s">
        <v>38</v>
      </c>
      <c r="N89" s="41" t="s">
        <v>30</v>
      </c>
      <c r="O89" s="41" t="s">
        <v>30</v>
      </c>
      <c r="Q89" s="17">
        <f t="shared" si="15"/>
        <v>4</v>
      </c>
      <c r="R89" s="17">
        <f t="shared" si="16"/>
        <v>3</v>
      </c>
      <c r="S89" s="17">
        <f t="shared" si="17"/>
        <v>12</v>
      </c>
      <c r="T89" s="17">
        <f t="shared" si="18"/>
        <v>5</v>
      </c>
      <c r="U89" s="17">
        <f t="shared" si="19"/>
        <v>5</v>
      </c>
      <c r="W89" s="7">
        <v>5786</v>
      </c>
      <c r="X89" s="7">
        <v>4770</v>
      </c>
      <c r="Y89" s="7">
        <v>4422</v>
      </c>
      <c r="Z89" s="7">
        <v>4412</v>
      </c>
      <c r="AA89" s="7">
        <v>5527</v>
      </c>
      <c r="AB89" s="13"/>
    </row>
    <row r="90" spans="10:28" ht="15.6" customHeight="1" x14ac:dyDescent="0.3">
      <c r="J90" s="2">
        <v>86</v>
      </c>
      <c r="K90" s="41" t="s">
        <v>29</v>
      </c>
      <c r="L90" s="41" t="s">
        <v>38</v>
      </c>
      <c r="M90" s="41" t="s">
        <v>29</v>
      </c>
      <c r="N90" s="41" t="s">
        <v>30</v>
      </c>
      <c r="O90" s="41" t="s">
        <v>32</v>
      </c>
      <c r="Q90" s="17">
        <f t="shared" si="15"/>
        <v>4</v>
      </c>
      <c r="R90" s="17">
        <f t="shared" si="16"/>
        <v>12</v>
      </c>
      <c r="S90" s="17">
        <f t="shared" si="17"/>
        <v>4</v>
      </c>
      <c r="T90" s="17">
        <f t="shared" si="18"/>
        <v>5</v>
      </c>
      <c r="U90" s="17">
        <f t="shared" si="19"/>
        <v>7</v>
      </c>
      <c r="W90" s="7">
        <v>18504</v>
      </c>
      <c r="X90" s="7">
        <v>4770</v>
      </c>
      <c r="Y90" s="7">
        <v>4510</v>
      </c>
      <c r="Z90" s="7">
        <v>5295</v>
      </c>
      <c r="AA90" s="7">
        <v>6041</v>
      </c>
      <c r="AB90" s="13"/>
    </row>
    <row r="91" spans="10:28" ht="15.6" customHeight="1" x14ac:dyDescent="0.3">
      <c r="J91" s="2">
        <v>87</v>
      </c>
      <c r="K91" s="41" t="s">
        <v>32</v>
      </c>
      <c r="L91" s="41" t="s">
        <v>33</v>
      </c>
      <c r="M91" s="41" t="s">
        <v>29</v>
      </c>
      <c r="N91" s="41" t="s">
        <v>34</v>
      </c>
      <c r="O91" s="41" t="s">
        <v>29</v>
      </c>
      <c r="Q91" s="17">
        <f t="shared" si="15"/>
        <v>7</v>
      </c>
      <c r="R91" s="17">
        <f t="shared" si="16"/>
        <v>8</v>
      </c>
      <c r="S91" s="17">
        <f t="shared" si="17"/>
        <v>4</v>
      </c>
      <c r="T91" s="17">
        <f t="shared" si="18"/>
        <v>9</v>
      </c>
      <c r="U91" s="17">
        <f t="shared" si="19"/>
        <v>4</v>
      </c>
      <c r="W91" s="7">
        <v>44017</v>
      </c>
      <c r="X91" s="7">
        <v>12370</v>
      </c>
      <c r="Y91" s="7">
        <v>4510</v>
      </c>
      <c r="Z91" s="7">
        <v>0</v>
      </c>
      <c r="AA91" s="7">
        <v>5451</v>
      </c>
      <c r="AB91" s="13"/>
    </row>
    <row r="92" spans="10:28" ht="15.6" customHeight="1" x14ac:dyDescent="0.3">
      <c r="J92" s="2">
        <v>88</v>
      </c>
      <c r="K92" s="41" t="s">
        <v>34</v>
      </c>
      <c r="L92" s="41" t="s">
        <v>26</v>
      </c>
      <c r="M92" s="41" t="s">
        <v>34</v>
      </c>
      <c r="N92" s="41" t="s">
        <v>32</v>
      </c>
      <c r="O92" s="41" t="s">
        <v>30</v>
      </c>
      <c r="Q92" s="17">
        <f t="shared" si="15"/>
        <v>9</v>
      </c>
      <c r="R92" s="17">
        <f t="shared" si="16"/>
        <v>2</v>
      </c>
      <c r="S92" s="17">
        <f t="shared" si="17"/>
        <v>9</v>
      </c>
      <c r="T92" s="17">
        <f t="shared" si="18"/>
        <v>7</v>
      </c>
      <c r="U92" s="17">
        <f t="shared" si="19"/>
        <v>5</v>
      </c>
      <c r="W92" s="7">
        <v>16076</v>
      </c>
      <c r="X92" s="7">
        <v>10271</v>
      </c>
      <c r="Y92" s="7">
        <v>14935</v>
      </c>
      <c r="Z92" s="7">
        <v>0</v>
      </c>
      <c r="AA92" s="7">
        <v>5396</v>
      </c>
      <c r="AB92" s="13"/>
    </row>
    <row r="93" spans="10:28" ht="15.6" customHeight="1" x14ac:dyDescent="0.3">
      <c r="J93" s="2">
        <v>89</v>
      </c>
      <c r="K93" s="41" t="s">
        <v>35</v>
      </c>
      <c r="L93" s="41" t="s">
        <v>30</v>
      </c>
      <c r="M93" s="41" t="s">
        <v>35</v>
      </c>
      <c r="N93" s="41" t="s">
        <v>33</v>
      </c>
      <c r="O93" s="41" t="s">
        <v>33</v>
      </c>
      <c r="Q93" s="17">
        <f t="shared" si="15"/>
        <v>10</v>
      </c>
      <c r="R93" s="17">
        <f t="shared" si="16"/>
        <v>5</v>
      </c>
      <c r="S93" s="17">
        <f t="shared" si="17"/>
        <v>10</v>
      </c>
      <c r="T93" s="17">
        <f t="shared" si="18"/>
        <v>8</v>
      </c>
      <c r="U93" s="17">
        <f t="shared" si="19"/>
        <v>8</v>
      </c>
      <c r="W93" s="7">
        <v>6067</v>
      </c>
      <c r="X93" s="7">
        <v>15733</v>
      </c>
      <c r="Y93" s="7">
        <v>42236</v>
      </c>
      <c r="Z93" s="7">
        <v>0</v>
      </c>
      <c r="AA93" s="7">
        <v>12049</v>
      </c>
      <c r="AB93" s="13"/>
    </row>
    <row r="94" spans="10:28" ht="15.6" customHeight="1" x14ac:dyDescent="0.3">
      <c r="J94" s="2">
        <v>90</v>
      </c>
      <c r="K94" s="41" t="s">
        <v>35</v>
      </c>
      <c r="L94" s="41" t="s">
        <v>31</v>
      </c>
      <c r="M94" s="41" t="s">
        <v>32</v>
      </c>
      <c r="N94" s="41" t="s">
        <v>26</v>
      </c>
      <c r="O94" s="41" t="s">
        <v>26</v>
      </c>
      <c r="Q94" s="17">
        <f t="shared" si="15"/>
        <v>10</v>
      </c>
      <c r="R94" s="17">
        <f t="shared" si="16"/>
        <v>6</v>
      </c>
      <c r="S94" s="17">
        <f t="shared" si="17"/>
        <v>7</v>
      </c>
      <c r="T94" s="17">
        <f t="shared" si="18"/>
        <v>2</v>
      </c>
      <c r="U94" s="17">
        <f t="shared" si="19"/>
        <v>2</v>
      </c>
      <c r="W94" s="7">
        <v>7432</v>
      </c>
      <c r="X94" s="7">
        <v>14132</v>
      </c>
      <c r="Y94" s="7">
        <v>13038</v>
      </c>
      <c r="Z94" s="7">
        <v>0</v>
      </c>
      <c r="AA94" s="7">
        <v>10385</v>
      </c>
      <c r="AB94" s="13"/>
    </row>
    <row r="95" spans="10:28" ht="15.6" customHeight="1" x14ac:dyDescent="0.3">
      <c r="J95" s="2">
        <v>91</v>
      </c>
      <c r="K95" s="41" t="s">
        <v>30</v>
      </c>
      <c r="L95" s="41" t="s">
        <v>44</v>
      </c>
      <c r="M95" s="41" t="s">
        <v>35</v>
      </c>
      <c r="N95" s="41" t="s">
        <v>48</v>
      </c>
      <c r="O95" s="41" t="s">
        <v>30</v>
      </c>
      <c r="Q95" s="17">
        <f t="shared" si="15"/>
        <v>5</v>
      </c>
      <c r="R95" s="17">
        <f t="shared" si="16"/>
        <v>15</v>
      </c>
      <c r="S95" s="17">
        <f t="shared" si="17"/>
        <v>10</v>
      </c>
      <c r="T95" s="17">
        <f t="shared" si="18"/>
        <v>17</v>
      </c>
      <c r="U95" s="17">
        <f t="shared" si="19"/>
        <v>5</v>
      </c>
      <c r="W95" s="7">
        <v>6535</v>
      </c>
      <c r="X95" s="7">
        <v>12796</v>
      </c>
      <c r="Y95" s="7">
        <v>5306</v>
      </c>
      <c r="Z95" s="7">
        <v>16695</v>
      </c>
      <c r="AA95" s="7">
        <v>6269</v>
      </c>
      <c r="AB95" s="13"/>
    </row>
    <row r="96" spans="10:28" ht="15.6" customHeight="1" x14ac:dyDescent="0.3">
      <c r="J96" s="2">
        <v>92</v>
      </c>
      <c r="K96" s="41" t="s">
        <v>28</v>
      </c>
      <c r="L96" s="41" t="s">
        <v>34</v>
      </c>
      <c r="M96" s="41" t="s">
        <v>34</v>
      </c>
      <c r="N96" s="41" t="s">
        <v>34</v>
      </c>
      <c r="O96" s="41" t="s">
        <v>32</v>
      </c>
      <c r="Q96" s="17">
        <f t="shared" si="15"/>
        <v>3</v>
      </c>
      <c r="R96" s="17">
        <f t="shared" si="16"/>
        <v>9</v>
      </c>
      <c r="S96" s="17">
        <f t="shared" si="17"/>
        <v>9</v>
      </c>
      <c r="T96" s="17">
        <f t="shared" si="18"/>
        <v>9</v>
      </c>
      <c r="U96" s="17">
        <f t="shared" si="19"/>
        <v>7</v>
      </c>
      <c r="W96" s="7">
        <v>18654</v>
      </c>
      <c r="X96" s="7">
        <v>5435</v>
      </c>
      <c r="Y96" s="7">
        <v>5306</v>
      </c>
      <c r="Z96" s="7">
        <v>41501</v>
      </c>
      <c r="AA96" s="7">
        <v>6272</v>
      </c>
      <c r="AB96" s="13"/>
    </row>
    <row r="97" spans="10:28" ht="15.6" customHeight="1" x14ac:dyDescent="0.3">
      <c r="J97" s="2">
        <v>93</v>
      </c>
      <c r="K97" s="41" t="s">
        <v>31</v>
      </c>
      <c r="L97" s="41" t="s">
        <v>30</v>
      </c>
      <c r="M97" s="41" t="s">
        <v>33</v>
      </c>
      <c r="N97" s="41" t="s">
        <v>35</v>
      </c>
      <c r="O97" s="41" t="s">
        <v>35</v>
      </c>
      <c r="Q97" s="17">
        <f t="shared" si="15"/>
        <v>6</v>
      </c>
      <c r="R97" s="17">
        <f t="shared" si="16"/>
        <v>5</v>
      </c>
      <c r="S97" s="17">
        <f t="shared" si="17"/>
        <v>8</v>
      </c>
      <c r="T97" s="17">
        <f t="shared" si="18"/>
        <v>10</v>
      </c>
      <c r="U97" s="17">
        <f t="shared" si="19"/>
        <v>10</v>
      </c>
      <c r="W97" s="7">
        <v>48681</v>
      </c>
      <c r="X97" s="7">
        <v>4867</v>
      </c>
      <c r="Y97" s="7">
        <v>0</v>
      </c>
      <c r="Z97" s="7">
        <v>42068</v>
      </c>
      <c r="AA97" s="7">
        <v>6381</v>
      </c>
      <c r="AB97" s="13"/>
    </row>
    <row r="98" spans="10:28" ht="15.6" customHeight="1" x14ac:dyDescent="0.3">
      <c r="J98" s="2">
        <v>94</v>
      </c>
      <c r="K98" s="41" t="s">
        <v>31</v>
      </c>
      <c r="L98" s="41" t="s">
        <v>29</v>
      </c>
      <c r="M98" s="41" t="s">
        <v>30</v>
      </c>
      <c r="N98" s="41" t="s">
        <v>42</v>
      </c>
      <c r="O98" s="41" t="s">
        <v>33</v>
      </c>
      <c r="Q98" s="17">
        <f t="shared" si="15"/>
        <v>6</v>
      </c>
      <c r="R98" s="17">
        <f t="shared" si="16"/>
        <v>4</v>
      </c>
      <c r="S98" s="17">
        <f t="shared" si="17"/>
        <v>5</v>
      </c>
      <c r="T98" s="17">
        <f t="shared" si="18"/>
        <v>14</v>
      </c>
      <c r="U98" s="17">
        <f t="shared" si="19"/>
        <v>8</v>
      </c>
      <c r="W98" s="7">
        <v>15962</v>
      </c>
      <c r="X98" s="7">
        <v>6194</v>
      </c>
      <c r="Y98" s="7">
        <v>0</v>
      </c>
      <c r="Z98" s="7">
        <v>14101</v>
      </c>
      <c r="AA98" s="7">
        <v>7224</v>
      </c>
      <c r="AB98" s="13"/>
    </row>
    <row r="99" spans="10:28" ht="15.6" customHeight="1" x14ac:dyDescent="0.3">
      <c r="J99" s="2">
        <v>95</v>
      </c>
      <c r="K99" s="41" t="s">
        <v>31</v>
      </c>
      <c r="L99" s="41" t="s">
        <v>34</v>
      </c>
      <c r="M99" s="41" t="s">
        <v>38</v>
      </c>
      <c r="N99" s="41" t="s">
        <v>31</v>
      </c>
      <c r="O99" s="41" t="s">
        <v>30</v>
      </c>
      <c r="Q99" s="17">
        <f t="shared" si="15"/>
        <v>6</v>
      </c>
      <c r="R99" s="17">
        <f t="shared" si="16"/>
        <v>9</v>
      </c>
      <c r="S99" s="17">
        <f t="shared" si="17"/>
        <v>12</v>
      </c>
      <c r="T99" s="17">
        <f t="shared" si="18"/>
        <v>6</v>
      </c>
      <c r="U99" s="17">
        <f t="shared" si="19"/>
        <v>5</v>
      </c>
      <c r="W99" s="7">
        <v>6234</v>
      </c>
      <c r="X99" s="7">
        <v>5483</v>
      </c>
      <c r="Y99" s="7">
        <v>0</v>
      </c>
      <c r="Z99" s="7">
        <v>14398</v>
      </c>
      <c r="AA99" s="7">
        <v>7026</v>
      </c>
      <c r="AB99" s="13"/>
    </row>
    <row r="100" spans="10:28" ht="15.6" customHeight="1" x14ac:dyDescent="0.3">
      <c r="J100" s="2">
        <v>96</v>
      </c>
      <c r="K100" s="41" t="s">
        <v>35</v>
      </c>
      <c r="L100" s="41" t="s">
        <v>30</v>
      </c>
      <c r="M100" s="41" t="s">
        <v>26</v>
      </c>
      <c r="N100" s="41" t="s">
        <v>31</v>
      </c>
      <c r="O100" s="41" t="s">
        <v>33</v>
      </c>
      <c r="Q100" s="17">
        <f t="shared" ref="Q100:Q131" si="20">IF(K100="","",VLOOKUP(K100,$A$4:$H$22,8,FALSE))</f>
        <v>10</v>
      </c>
      <c r="R100" s="17">
        <f t="shared" ref="R100:R131" si="21">IF(L100="","",VLOOKUP(L100,$A$4:$H$22,8,FALSE))</f>
        <v>5</v>
      </c>
      <c r="S100" s="17">
        <f t="shared" ref="S100:S131" si="22">IF(M100="","",VLOOKUP(M100,$A$4:$H$22,8,FALSE))</f>
        <v>2</v>
      </c>
      <c r="T100" s="17">
        <f t="shared" ref="T100:T131" si="23">IF(N100="","",VLOOKUP(N100,$A$4:$H$22,8,FALSE))</f>
        <v>6</v>
      </c>
      <c r="U100" s="17">
        <f t="shared" ref="U100:U131" si="24">IF(O100="","",VLOOKUP(O100,$A$4:$H$22,8,FALSE))</f>
        <v>8</v>
      </c>
      <c r="W100" s="7">
        <v>6071</v>
      </c>
      <c r="X100" s="7">
        <v>16752</v>
      </c>
      <c r="Y100" s="7">
        <v>0</v>
      </c>
      <c r="Z100" s="7">
        <v>13995</v>
      </c>
      <c r="AA100" s="7">
        <v>4923</v>
      </c>
      <c r="AB100" s="13"/>
    </row>
    <row r="101" spans="10:28" ht="15.6" customHeight="1" x14ac:dyDescent="0.3">
      <c r="J101" s="2">
        <v>97</v>
      </c>
      <c r="K101" s="41" t="s">
        <v>33</v>
      </c>
      <c r="L101" s="41" t="s">
        <v>42</v>
      </c>
      <c r="M101" s="41" t="s">
        <v>35</v>
      </c>
      <c r="N101" s="41" t="s">
        <v>33</v>
      </c>
      <c r="O101" s="41" t="s">
        <v>28</v>
      </c>
      <c r="Q101" s="17">
        <f t="shared" si="20"/>
        <v>8</v>
      </c>
      <c r="R101" s="17">
        <f t="shared" si="21"/>
        <v>14</v>
      </c>
      <c r="S101" s="17">
        <f t="shared" si="22"/>
        <v>10</v>
      </c>
      <c r="T101" s="17">
        <f t="shared" si="23"/>
        <v>8</v>
      </c>
      <c r="U101" s="17">
        <f t="shared" si="24"/>
        <v>3</v>
      </c>
      <c r="W101" s="7">
        <v>6071</v>
      </c>
      <c r="X101" s="7">
        <v>14925</v>
      </c>
      <c r="Y101" s="7">
        <v>4763</v>
      </c>
      <c r="Z101" s="7">
        <v>4412</v>
      </c>
      <c r="AA101" s="7">
        <v>4889</v>
      </c>
      <c r="AB101" s="13"/>
    </row>
    <row r="102" spans="10:28" ht="15.6" customHeight="1" x14ac:dyDescent="0.3">
      <c r="J102" s="2">
        <v>98</v>
      </c>
      <c r="K102" s="41" t="s">
        <v>29</v>
      </c>
      <c r="L102" s="41" t="s">
        <v>33</v>
      </c>
      <c r="M102" s="41" t="s">
        <v>28</v>
      </c>
      <c r="N102" s="41" t="s">
        <v>32</v>
      </c>
      <c r="O102" s="41" t="s">
        <v>29</v>
      </c>
      <c r="Q102" s="17">
        <f t="shared" si="20"/>
        <v>4</v>
      </c>
      <c r="R102" s="17">
        <f t="shared" si="21"/>
        <v>8</v>
      </c>
      <c r="S102" s="17">
        <f t="shared" si="22"/>
        <v>3</v>
      </c>
      <c r="T102" s="17">
        <f t="shared" si="23"/>
        <v>7</v>
      </c>
      <c r="U102" s="17">
        <f t="shared" si="24"/>
        <v>4</v>
      </c>
      <c r="W102" s="7">
        <v>6540</v>
      </c>
      <c r="X102" s="7">
        <v>4885</v>
      </c>
      <c r="Y102" s="7">
        <v>4432</v>
      </c>
      <c r="Z102" s="7">
        <v>5477</v>
      </c>
      <c r="AA102" s="7">
        <v>4738</v>
      </c>
      <c r="AB102" s="13"/>
    </row>
    <row r="103" spans="10:28" ht="15.6" customHeight="1" x14ac:dyDescent="0.3">
      <c r="J103" s="2">
        <v>99</v>
      </c>
      <c r="K103" s="41" t="s">
        <v>28</v>
      </c>
      <c r="L103" s="41" t="s">
        <v>31</v>
      </c>
      <c r="M103" s="41" t="s">
        <v>32</v>
      </c>
      <c r="N103" s="41" t="s">
        <v>31</v>
      </c>
      <c r="O103" s="41" t="s">
        <v>33</v>
      </c>
      <c r="Q103" s="17">
        <f t="shared" si="20"/>
        <v>3</v>
      </c>
      <c r="R103" s="17">
        <f t="shared" si="21"/>
        <v>6</v>
      </c>
      <c r="S103" s="17">
        <f t="shared" si="22"/>
        <v>7</v>
      </c>
      <c r="T103" s="17">
        <f t="shared" si="23"/>
        <v>6</v>
      </c>
      <c r="U103" s="17">
        <f t="shared" si="24"/>
        <v>8</v>
      </c>
      <c r="W103" s="7">
        <v>6529</v>
      </c>
      <c r="X103" s="7">
        <v>4709</v>
      </c>
      <c r="Y103" s="7">
        <v>5366</v>
      </c>
      <c r="Z103" s="7">
        <v>4412</v>
      </c>
      <c r="AA103" s="7">
        <v>4811</v>
      </c>
      <c r="AB103" s="13"/>
    </row>
    <row r="104" spans="10:28" ht="15.6" customHeight="1" x14ac:dyDescent="0.3">
      <c r="J104" s="2">
        <v>100</v>
      </c>
      <c r="K104" s="41" t="s">
        <v>35</v>
      </c>
      <c r="L104" s="41" t="s">
        <v>31</v>
      </c>
      <c r="M104" s="41" t="s">
        <v>44</v>
      </c>
      <c r="N104" s="41" t="s">
        <v>48</v>
      </c>
      <c r="O104" s="41" t="s">
        <v>29</v>
      </c>
      <c r="Q104" s="17">
        <f t="shared" si="20"/>
        <v>10</v>
      </c>
      <c r="R104" s="17">
        <f t="shared" si="21"/>
        <v>6</v>
      </c>
      <c r="S104" s="17">
        <f t="shared" si="22"/>
        <v>15</v>
      </c>
      <c r="T104" s="17">
        <f t="shared" si="23"/>
        <v>17</v>
      </c>
      <c r="U104" s="17">
        <f t="shared" si="24"/>
        <v>4</v>
      </c>
      <c r="W104" s="7">
        <v>6576</v>
      </c>
      <c r="X104" s="7">
        <v>4128</v>
      </c>
      <c r="Y104" s="7">
        <v>14190</v>
      </c>
      <c r="Z104" s="7">
        <v>4412</v>
      </c>
      <c r="AA104" s="7">
        <v>4886</v>
      </c>
      <c r="AB104" s="13"/>
    </row>
    <row r="105" spans="10:28" ht="15.6" customHeight="1" x14ac:dyDescent="0.3">
      <c r="J105" s="2">
        <v>101</v>
      </c>
      <c r="K105" s="41" t="s">
        <v>29</v>
      </c>
      <c r="L105" s="41" t="s">
        <v>29</v>
      </c>
      <c r="M105" s="41" t="s">
        <v>32</v>
      </c>
      <c r="N105" s="41" t="s">
        <v>33</v>
      </c>
      <c r="O105" s="41" t="s">
        <v>34</v>
      </c>
      <c r="Q105" s="17">
        <f t="shared" si="20"/>
        <v>4</v>
      </c>
      <c r="R105" s="17">
        <f t="shared" si="21"/>
        <v>4</v>
      </c>
      <c r="S105" s="17">
        <f t="shared" si="22"/>
        <v>7</v>
      </c>
      <c r="T105" s="17">
        <f t="shared" si="23"/>
        <v>8</v>
      </c>
      <c r="U105" s="17">
        <f t="shared" si="24"/>
        <v>9</v>
      </c>
      <c r="W105" s="7">
        <v>7165</v>
      </c>
      <c r="X105" s="7">
        <v>4960</v>
      </c>
      <c r="Y105" s="7">
        <v>13756</v>
      </c>
      <c r="Z105" s="7">
        <v>5477</v>
      </c>
      <c r="AA105" s="7">
        <v>4961</v>
      </c>
      <c r="AB105" s="13"/>
    </row>
    <row r="106" spans="10:28" ht="15.6" customHeight="1" x14ac:dyDescent="0.3">
      <c r="J106" s="2">
        <v>102</v>
      </c>
      <c r="K106" s="41" t="s">
        <v>30</v>
      </c>
      <c r="L106" s="41" t="s">
        <v>28</v>
      </c>
      <c r="M106" s="41" t="s">
        <v>34</v>
      </c>
      <c r="N106" s="41" t="s">
        <v>33</v>
      </c>
      <c r="O106" s="41" t="s">
        <v>29</v>
      </c>
      <c r="Q106" s="17">
        <f t="shared" si="20"/>
        <v>5</v>
      </c>
      <c r="R106" s="17">
        <f t="shared" si="21"/>
        <v>3</v>
      </c>
      <c r="S106" s="17">
        <f t="shared" si="22"/>
        <v>9</v>
      </c>
      <c r="T106" s="17">
        <f t="shared" si="23"/>
        <v>8</v>
      </c>
      <c r="U106" s="17">
        <f t="shared" si="24"/>
        <v>4</v>
      </c>
      <c r="W106" s="7">
        <v>20841</v>
      </c>
      <c r="X106" s="7">
        <v>4960</v>
      </c>
      <c r="Y106" s="7">
        <v>34781</v>
      </c>
      <c r="Z106" s="7">
        <v>4412</v>
      </c>
      <c r="AA106" s="7">
        <v>5120</v>
      </c>
      <c r="AB106" s="13"/>
    </row>
    <row r="107" spans="10:28" ht="15.6" customHeight="1" x14ac:dyDescent="0.3">
      <c r="J107" s="2">
        <v>103</v>
      </c>
      <c r="K107" s="41" t="s">
        <v>34</v>
      </c>
      <c r="L107" s="41" t="s">
        <v>29</v>
      </c>
      <c r="M107" s="41" t="s">
        <v>32</v>
      </c>
      <c r="N107" s="41" t="s">
        <v>33</v>
      </c>
      <c r="O107" s="41" t="s">
        <v>29</v>
      </c>
      <c r="Q107" s="17">
        <f t="shared" si="20"/>
        <v>9</v>
      </c>
      <c r="R107" s="17">
        <f t="shared" si="21"/>
        <v>4</v>
      </c>
      <c r="S107" s="17">
        <f t="shared" si="22"/>
        <v>7</v>
      </c>
      <c r="T107" s="17">
        <f t="shared" si="23"/>
        <v>8</v>
      </c>
      <c r="U107" s="17">
        <f t="shared" si="24"/>
        <v>4</v>
      </c>
      <c r="W107" s="7">
        <v>59471</v>
      </c>
      <c r="X107" s="7">
        <v>5214</v>
      </c>
      <c r="Y107" s="7">
        <v>32430</v>
      </c>
      <c r="Z107" s="7">
        <v>4412</v>
      </c>
      <c r="AA107" s="7">
        <v>4970</v>
      </c>
      <c r="AB107" s="13"/>
    </row>
    <row r="108" spans="10:28" ht="15.6" customHeight="1" x14ac:dyDescent="0.3">
      <c r="J108" s="2">
        <v>104</v>
      </c>
      <c r="K108" s="41" t="s">
        <v>35</v>
      </c>
      <c r="L108" s="41" t="s">
        <v>29</v>
      </c>
      <c r="M108" s="41" t="s">
        <v>35</v>
      </c>
      <c r="N108" s="41" t="s">
        <v>33</v>
      </c>
      <c r="O108" s="41" t="s">
        <v>29</v>
      </c>
      <c r="Q108" s="17">
        <f t="shared" si="20"/>
        <v>10</v>
      </c>
      <c r="R108" s="17">
        <f t="shared" si="21"/>
        <v>4</v>
      </c>
      <c r="S108" s="17">
        <f t="shared" si="22"/>
        <v>10</v>
      </c>
      <c r="T108" s="17">
        <f t="shared" si="23"/>
        <v>8</v>
      </c>
      <c r="U108" s="17">
        <f t="shared" si="24"/>
        <v>4</v>
      </c>
      <c r="W108" s="7">
        <v>18700</v>
      </c>
      <c r="X108" s="7">
        <v>5781</v>
      </c>
      <c r="Y108" s="7">
        <v>0</v>
      </c>
      <c r="Z108" s="7">
        <v>5477</v>
      </c>
      <c r="AA108" s="7">
        <v>5771</v>
      </c>
      <c r="AB108" s="13"/>
    </row>
    <row r="109" spans="10:28" ht="15.6" customHeight="1" x14ac:dyDescent="0.3">
      <c r="J109" s="2">
        <v>105</v>
      </c>
      <c r="K109" s="41" t="s">
        <v>34</v>
      </c>
      <c r="L109" s="41" t="s">
        <v>28</v>
      </c>
      <c r="M109" s="41" t="s">
        <v>50</v>
      </c>
      <c r="N109" s="41" t="s">
        <v>33</v>
      </c>
      <c r="O109" s="41" t="s">
        <v>35</v>
      </c>
      <c r="Q109" s="17">
        <f t="shared" si="20"/>
        <v>9</v>
      </c>
      <c r="R109" s="17">
        <f t="shared" si="21"/>
        <v>3</v>
      </c>
      <c r="S109" s="17">
        <f t="shared" si="22"/>
        <v>18</v>
      </c>
      <c r="T109" s="17">
        <f t="shared" si="23"/>
        <v>8</v>
      </c>
      <c r="U109" s="17">
        <f t="shared" si="24"/>
        <v>10</v>
      </c>
      <c r="W109" s="7">
        <v>5923</v>
      </c>
      <c r="X109" s="7">
        <v>5173</v>
      </c>
      <c r="Y109" s="7">
        <v>0</v>
      </c>
      <c r="Z109" s="7">
        <v>4412</v>
      </c>
      <c r="AA109" s="7">
        <v>5396</v>
      </c>
      <c r="AB109" s="13"/>
    </row>
    <row r="110" spans="10:28" ht="15.6" customHeight="1" x14ac:dyDescent="0.3">
      <c r="J110" s="2">
        <v>106</v>
      </c>
      <c r="K110" s="41" t="s">
        <v>35</v>
      </c>
      <c r="L110" s="41" t="s">
        <v>29</v>
      </c>
      <c r="M110" s="41" t="s">
        <v>30</v>
      </c>
      <c r="N110" s="41" t="s">
        <v>34</v>
      </c>
      <c r="O110" s="41" t="s">
        <v>30</v>
      </c>
      <c r="Q110" s="17">
        <f t="shared" si="20"/>
        <v>10</v>
      </c>
      <c r="R110" s="17">
        <f t="shared" si="21"/>
        <v>4</v>
      </c>
      <c r="S110" s="17">
        <f t="shared" si="22"/>
        <v>5</v>
      </c>
      <c r="T110" s="17">
        <f t="shared" si="23"/>
        <v>9</v>
      </c>
      <c r="U110" s="17">
        <f t="shared" si="24"/>
        <v>5</v>
      </c>
      <c r="W110" s="7">
        <v>6304</v>
      </c>
      <c r="X110" s="7">
        <v>14815</v>
      </c>
      <c r="Y110" s="7">
        <v>0</v>
      </c>
      <c r="Z110" s="7">
        <v>13523</v>
      </c>
      <c r="AA110" s="7">
        <v>16309</v>
      </c>
      <c r="AB110" s="13"/>
    </row>
    <row r="111" spans="10:28" ht="15.6" customHeight="1" x14ac:dyDescent="0.3">
      <c r="J111" s="2">
        <v>107</v>
      </c>
      <c r="K111" s="41" t="s">
        <v>30</v>
      </c>
      <c r="L111" s="41" t="s">
        <v>32</v>
      </c>
      <c r="M111" s="41" t="s">
        <v>26</v>
      </c>
      <c r="N111" s="41" t="s">
        <v>30</v>
      </c>
      <c r="O111" s="41" t="s">
        <v>29</v>
      </c>
      <c r="Q111" s="17">
        <f t="shared" si="20"/>
        <v>5</v>
      </c>
      <c r="R111" s="17">
        <f t="shared" si="21"/>
        <v>7</v>
      </c>
      <c r="S111" s="17">
        <f t="shared" si="22"/>
        <v>2</v>
      </c>
      <c r="T111" s="17">
        <f t="shared" si="23"/>
        <v>5</v>
      </c>
      <c r="U111" s="17">
        <f t="shared" si="24"/>
        <v>4</v>
      </c>
      <c r="W111" s="7">
        <v>6443</v>
      </c>
      <c r="X111" s="7">
        <v>14847</v>
      </c>
      <c r="Y111" s="7">
        <v>0</v>
      </c>
      <c r="Z111" s="7">
        <v>13078</v>
      </c>
      <c r="AA111" s="7">
        <v>5964</v>
      </c>
      <c r="AB111" s="13"/>
    </row>
    <row r="112" spans="10:28" ht="15.6" customHeight="1" x14ac:dyDescent="0.3">
      <c r="J112" s="2">
        <v>108</v>
      </c>
      <c r="K112" s="41" t="s">
        <v>30</v>
      </c>
      <c r="L112" s="41" t="s">
        <v>33</v>
      </c>
      <c r="M112" s="41" t="s">
        <v>29</v>
      </c>
      <c r="N112" s="41" t="s">
        <v>31</v>
      </c>
      <c r="O112" s="41" t="s">
        <v>30</v>
      </c>
      <c r="Q112" s="17">
        <f t="shared" si="20"/>
        <v>5</v>
      </c>
      <c r="R112" s="17">
        <f t="shared" si="21"/>
        <v>8</v>
      </c>
      <c r="S112" s="17">
        <f t="shared" si="22"/>
        <v>4</v>
      </c>
      <c r="T112" s="17">
        <f t="shared" si="23"/>
        <v>6</v>
      </c>
      <c r="U112" s="17">
        <f t="shared" si="24"/>
        <v>5</v>
      </c>
      <c r="W112" s="7">
        <v>6852</v>
      </c>
      <c r="X112" s="7">
        <v>5402</v>
      </c>
      <c r="Y112" s="7">
        <v>5362</v>
      </c>
      <c r="Z112" s="7">
        <v>15776</v>
      </c>
      <c r="AA112" s="7">
        <v>6062</v>
      </c>
      <c r="AB112" s="13"/>
    </row>
    <row r="113" spans="10:28" ht="15.6" customHeight="1" x14ac:dyDescent="0.3">
      <c r="J113" s="2">
        <v>109</v>
      </c>
      <c r="K113" s="41" t="s">
        <v>35</v>
      </c>
      <c r="L113" s="41" t="s">
        <v>32</v>
      </c>
      <c r="M113" s="41" t="s">
        <v>30</v>
      </c>
      <c r="N113" s="41" t="s">
        <v>29</v>
      </c>
      <c r="O113" s="41" t="s">
        <v>28</v>
      </c>
      <c r="Q113" s="17">
        <f t="shared" si="20"/>
        <v>10</v>
      </c>
      <c r="R113" s="17">
        <f t="shared" si="21"/>
        <v>7</v>
      </c>
      <c r="S113" s="17">
        <f t="shared" si="22"/>
        <v>5</v>
      </c>
      <c r="T113" s="17">
        <f t="shared" si="23"/>
        <v>4</v>
      </c>
      <c r="U113" s="17">
        <f t="shared" si="24"/>
        <v>3</v>
      </c>
      <c r="W113" s="7">
        <v>6478</v>
      </c>
      <c r="X113" s="7">
        <v>16531</v>
      </c>
      <c r="Y113" s="7">
        <v>5381</v>
      </c>
      <c r="Z113" s="7">
        <v>5669</v>
      </c>
      <c r="AA113" s="7">
        <v>6725</v>
      </c>
      <c r="AB113" s="13"/>
    </row>
    <row r="114" spans="10:28" ht="15.6" customHeight="1" x14ac:dyDescent="0.3">
      <c r="J114" s="2">
        <v>110</v>
      </c>
      <c r="K114" s="41" t="s">
        <v>34</v>
      </c>
      <c r="L114" s="41" t="s">
        <v>31</v>
      </c>
      <c r="M114" s="41" t="s">
        <v>33</v>
      </c>
      <c r="N114" s="41" t="s">
        <v>33</v>
      </c>
      <c r="O114" s="41" t="s">
        <v>33</v>
      </c>
      <c r="Q114" s="17">
        <f t="shared" si="20"/>
        <v>9</v>
      </c>
      <c r="R114" s="17">
        <f t="shared" si="21"/>
        <v>6</v>
      </c>
      <c r="S114" s="17">
        <f t="shared" si="22"/>
        <v>8</v>
      </c>
      <c r="T114" s="17">
        <f t="shared" si="23"/>
        <v>8</v>
      </c>
      <c r="U114" s="17">
        <f t="shared" si="24"/>
        <v>8</v>
      </c>
      <c r="W114" s="7">
        <v>5079</v>
      </c>
      <c r="X114" s="7">
        <v>15974</v>
      </c>
      <c r="Y114" s="7">
        <v>4433</v>
      </c>
      <c r="Z114" s="7">
        <v>4412</v>
      </c>
      <c r="AA114" s="7">
        <v>5918</v>
      </c>
      <c r="AB114" s="13"/>
    </row>
    <row r="115" spans="10:28" ht="15.6" customHeight="1" x14ac:dyDescent="0.3">
      <c r="J115" s="2">
        <v>111</v>
      </c>
      <c r="K115" s="41" t="s">
        <v>29</v>
      </c>
      <c r="L115" s="41" t="s">
        <v>31</v>
      </c>
      <c r="M115" s="41" t="s">
        <v>34</v>
      </c>
      <c r="N115" s="41" t="s">
        <v>31</v>
      </c>
      <c r="O115" s="41" t="s">
        <v>28</v>
      </c>
      <c r="Q115" s="17">
        <f t="shared" si="20"/>
        <v>4</v>
      </c>
      <c r="R115" s="17">
        <f t="shared" si="21"/>
        <v>6</v>
      </c>
      <c r="S115" s="17">
        <f t="shared" si="22"/>
        <v>9</v>
      </c>
      <c r="T115" s="17">
        <f t="shared" si="23"/>
        <v>6</v>
      </c>
      <c r="U115" s="17">
        <f t="shared" si="24"/>
        <v>3</v>
      </c>
      <c r="W115" s="7">
        <v>5029</v>
      </c>
      <c r="X115" s="7">
        <v>5321</v>
      </c>
      <c r="Y115" s="7">
        <v>4422</v>
      </c>
      <c r="Z115" s="7">
        <v>4412</v>
      </c>
      <c r="AA115" s="7">
        <v>6740</v>
      </c>
      <c r="AB115" s="13"/>
    </row>
    <row r="116" spans="10:28" ht="15.6" customHeight="1" x14ac:dyDescent="0.3">
      <c r="J116" s="2">
        <v>112</v>
      </c>
      <c r="K116" s="41" t="s">
        <v>33</v>
      </c>
      <c r="L116" s="41" t="s">
        <v>30</v>
      </c>
      <c r="M116" s="41" t="s">
        <v>35</v>
      </c>
      <c r="N116" s="41" t="s">
        <v>38</v>
      </c>
      <c r="O116" s="41" t="s">
        <v>29</v>
      </c>
      <c r="Q116" s="17">
        <f t="shared" si="20"/>
        <v>8</v>
      </c>
      <c r="R116" s="17">
        <f t="shared" si="21"/>
        <v>5</v>
      </c>
      <c r="S116" s="17">
        <f t="shared" si="22"/>
        <v>10</v>
      </c>
      <c r="T116" s="17">
        <f t="shared" si="23"/>
        <v>12</v>
      </c>
      <c r="U116" s="17">
        <f t="shared" si="24"/>
        <v>4</v>
      </c>
      <c r="W116" s="7">
        <v>5029</v>
      </c>
      <c r="X116" s="7">
        <v>5548</v>
      </c>
      <c r="Y116" s="7">
        <v>4562</v>
      </c>
      <c r="Z116" s="7">
        <v>4412</v>
      </c>
      <c r="AA116" s="7">
        <v>5625</v>
      </c>
      <c r="AB116" s="13"/>
    </row>
    <row r="117" spans="10:28" ht="15.6" customHeight="1" x14ac:dyDescent="0.3">
      <c r="J117" s="2">
        <v>113</v>
      </c>
      <c r="K117" s="41" t="s">
        <v>33</v>
      </c>
      <c r="L117" s="41" t="s">
        <v>31</v>
      </c>
      <c r="M117" s="41" t="s">
        <v>40</v>
      </c>
      <c r="N117" s="41" t="s">
        <v>29</v>
      </c>
      <c r="O117" s="41" t="s">
        <v>33</v>
      </c>
      <c r="Q117" s="17">
        <f t="shared" si="20"/>
        <v>8</v>
      </c>
      <c r="R117" s="17">
        <f t="shared" si="21"/>
        <v>6</v>
      </c>
      <c r="S117" s="17">
        <f t="shared" si="22"/>
        <v>13</v>
      </c>
      <c r="T117" s="17">
        <f t="shared" si="23"/>
        <v>4</v>
      </c>
      <c r="U117" s="17">
        <f t="shared" si="24"/>
        <v>8</v>
      </c>
      <c r="W117" s="7">
        <v>5029</v>
      </c>
      <c r="X117" s="7">
        <v>4842</v>
      </c>
      <c r="Y117" s="7">
        <v>4632</v>
      </c>
      <c r="Z117" s="7">
        <v>5669</v>
      </c>
      <c r="AA117" s="7">
        <v>5656</v>
      </c>
      <c r="AB117" s="13"/>
    </row>
    <row r="118" spans="10:28" ht="15.6" customHeight="1" x14ac:dyDescent="0.3">
      <c r="J118" s="2">
        <v>114</v>
      </c>
      <c r="K118" s="41" t="s">
        <v>33</v>
      </c>
      <c r="L118" s="41" t="s">
        <v>31</v>
      </c>
      <c r="M118" s="41" t="s">
        <v>28</v>
      </c>
      <c r="N118" s="41" t="s">
        <v>36</v>
      </c>
      <c r="O118" s="41" t="s">
        <v>35</v>
      </c>
      <c r="Q118" s="17">
        <f t="shared" si="20"/>
        <v>8</v>
      </c>
      <c r="R118" s="17">
        <f t="shared" si="21"/>
        <v>6</v>
      </c>
      <c r="S118" s="17">
        <f t="shared" si="22"/>
        <v>3</v>
      </c>
      <c r="T118" s="17">
        <f t="shared" si="23"/>
        <v>11</v>
      </c>
      <c r="U118" s="17">
        <f t="shared" si="24"/>
        <v>10</v>
      </c>
      <c r="W118" s="7">
        <v>6999</v>
      </c>
      <c r="X118" s="7">
        <v>4948</v>
      </c>
      <c r="Y118" s="7">
        <v>5636</v>
      </c>
      <c r="Z118" s="7">
        <v>15713</v>
      </c>
      <c r="AA118" s="7">
        <v>5657</v>
      </c>
      <c r="AB118" s="13"/>
    </row>
    <row r="119" spans="10:28" ht="15.6" customHeight="1" x14ac:dyDescent="0.3">
      <c r="J119" s="2">
        <v>115</v>
      </c>
      <c r="K119" s="41" t="s">
        <v>31</v>
      </c>
      <c r="L119" s="41" t="s">
        <v>33</v>
      </c>
      <c r="M119" s="41" t="s">
        <v>35</v>
      </c>
      <c r="N119" s="41" t="s">
        <v>34</v>
      </c>
      <c r="O119" s="41" t="s">
        <v>32</v>
      </c>
      <c r="Q119" s="17">
        <f t="shared" si="20"/>
        <v>6</v>
      </c>
      <c r="R119" s="17">
        <f t="shared" si="21"/>
        <v>8</v>
      </c>
      <c r="S119" s="17">
        <f t="shared" si="22"/>
        <v>10</v>
      </c>
      <c r="T119" s="17">
        <f t="shared" si="23"/>
        <v>9</v>
      </c>
      <c r="U119" s="17">
        <f t="shared" si="24"/>
        <v>7</v>
      </c>
      <c r="W119" s="7">
        <v>19453</v>
      </c>
      <c r="X119" s="7">
        <v>5403</v>
      </c>
      <c r="Y119" s="7">
        <v>5376</v>
      </c>
      <c r="Z119" s="7">
        <v>49167</v>
      </c>
      <c r="AA119" s="7">
        <v>6955</v>
      </c>
      <c r="AB119" s="13"/>
    </row>
    <row r="120" spans="10:28" ht="15.6" customHeight="1" x14ac:dyDescent="0.3">
      <c r="J120" s="2">
        <v>116</v>
      </c>
      <c r="K120" s="41" t="s">
        <v>28</v>
      </c>
      <c r="L120" s="41" t="s">
        <v>28</v>
      </c>
      <c r="M120" s="41" t="s">
        <v>29</v>
      </c>
      <c r="N120" s="41" t="s">
        <v>35</v>
      </c>
      <c r="O120" s="41" t="s">
        <v>30</v>
      </c>
      <c r="Q120" s="17">
        <f t="shared" si="20"/>
        <v>3</v>
      </c>
      <c r="R120" s="17">
        <f t="shared" si="21"/>
        <v>3</v>
      </c>
      <c r="S120" s="17">
        <f t="shared" si="22"/>
        <v>4</v>
      </c>
      <c r="T120" s="17">
        <f t="shared" si="23"/>
        <v>10</v>
      </c>
      <c r="U120" s="17">
        <f t="shared" si="24"/>
        <v>5</v>
      </c>
      <c r="W120" s="7">
        <v>6835</v>
      </c>
      <c r="X120" s="7">
        <v>6184</v>
      </c>
      <c r="Y120" s="7">
        <v>4437</v>
      </c>
      <c r="Z120" s="7">
        <v>45689</v>
      </c>
      <c r="AA120" s="7">
        <v>5771</v>
      </c>
      <c r="AB120" s="13"/>
    </row>
    <row r="121" spans="10:28" ht="15.6" customHeight="1" x14ac:dyDescent="0.3">
      <c r="J121" s="2">
        <v>117</v>
      </c>
      <c r="K121" s="41" t="s">
        <v>34</v>
      </c>
      <c r="L121" s="41" t="s">
        <v>32</v>
      </c>
      <c r="M121" s="41" t="s">
        <v>40</v>
      </c>
      <c r="N121" s="41" t="s">
        <v>34</v>
      </c>
      <c r="O121" s="41" t="s">
        <v>30</v>
      </c>
      <c r="Q121" s="17">
        <f t="shared" si="20"/>
        <v>9</v>
      </c>
      <c r="R121" s="17">
        <f t="shared" si="21"/>
        <v>7</v>
      </c>
      <c r="S121" s="17">
        <f t="shared" si="22"/>
        <v>13</v>
      </c>
      <c r="T121" s="17">
        <f t="shared" si="23"/>
        <v>9</v>
      </c>
      <c r="U121" s="17">
        <f t="shared" si="24"/>
        <v>5</v>
      </c>
      <c r="W121" s="7">
        <v>6887</v>
      </c>
      <c r="X121" s="7">
        <v>15315</v>
      </c>
      <c r="Y121" s="7">
        <v>5167</v>
      </c>
      <c r="Z121" s="7">
        <v>52416</v>
      </c>
      <c r="AA121" s="7">
        <v>5396</v>
      </c>
      <c r="AB121" s="13"/>
    </row>
    <row r="122" spans="10:28" ht="15.6" customHeight="1" x14ac:dyDescent="0.3">
      <c r="J122" s="2">
        <v>118</v>
      </c>
      <c r="K122" s="41" t="s">
        <v>32</v>
      </c>
      <c r="L122" s="41" t="s">
        <v>35</v>
      </c>
      <c r="M122" s="41" t="s">
        <v>30</v>
      </c>
      <c r="N122" s="41" t="s">
        <v>31</v>
      </c>
      <c r="O122" s="41" t="s">
        <v>30</v>
      </c>
      <c r="Q122" s="17">
        <f t="shared" si="20"/>
        <v>7</v>
      </c>
      <c r="R122" s="17">
        <f t="shared" si="21"/>
        <v>10</v>
      </c>
      <c r="S122" s="17">
        <f t="shared" si="22"/>
        <v>5</v>
      </c>
      <c r="T122" s="17">
        <f t="shared" si="23"/>
        <v>6</v>
      </c>
      <c r="U122" s="17">
        <f t="shared" si="24"/>
        <v>5</v>
      </c>
      <c r="W122" s="7">
        <v>6344</v>
      </c>
      <c r="X122" s="7">
        <v>15169</v>
      </c>
      <c r="Y122" s="7">
        <v>4421</v>
      </c>
      <c r="Z122" s="7">
        <v>17862</v>
      </c>
      <c r="AA122" s="7">
        <v>16309</v>
      </c>
      <c r="AB122" s="13"/>
    </row>
    <row r="123" spans="10:28" ht="15.6" customHeight="1" x14ac:dyDescent="0.3">
      <c r="J123" s="2">
        <v>119</v>
      </c>
      <c r="K123" s="41" t="s">
        <v>29</v>
      </c>
      <c r="L123" s="41" t="s">
        <v>32</v>
      </c>
      <c r="M123" s="41" t="s">
        <v>30</v>
      </c>
      <c r="N123" s="41" t="s">
        <v>34</v>
      </c>
      <c r="O123" s="41" t="s">
        <v>34</v>
      </c>
      <c r="Q123" s="17">
        <f t="shared" si="20"/>
        <v>4</v>
      </c>
      <c r="R123" s="17">
        <f t="shared" si="21"/>
        <v>7</v>
      </c>
      <c r="S123" s="17">
        <f t="shared" si="22"/>
        <v>5</v>
      </c>
      <c r="T123" s="17">
        <f t="shared" si="23"/>
        <v>9</v>
      </c>
      <c r="U123" s="17">
        <f t="shared" si="24"/>
        <v>9</v>
      </c>
      <c r="W123" s="7">
        <v>6109</v>
      </c>
      <c r="X123" s="7">
        <v>12410</v>
      </c>
      <c r="Y123" s="7">
        <v>4510</v>
      </c>
      <c r="Z123" s="7">
        <v>6011</v>
      </c>
      <c r="AA123" s="7">
        <v>17407</v>
      </c>
      <c r="AB123" s="13"/>
    </row>
    <row r="124" spans="10:28" ht="15.6" customHeight="1" x14ac:dyDescent="0.3">
      <c r="J124" s="2">
        <v>120</v>
      </c>
      <c r="K124" s="41" t="s">
        <v>30</v>
      </c>
      <c r="L124" s="41" t="s">
        <v>31</v>
      </c>
      <c r="M124" s="41" t="s">
        <v>28</v>
      </c>
      <c r="N124" s="41" t="s">
        <v>44</v>
      </c>
      <c r="O124" s="41" t="s">
        <v>33</v>
      </c>
      <c r="Q124" s="17">
        <f t="shared" si="20"/>
        <v>5</v>
      </c>
      <c r="R124" s="17">
        <f t="shared" si="21"/>
        <v>6</v>
      </c>
      <c r="S124" s="17">
        <f t="shared" si="22"/>
        <v>3</v>
      </c>
      <c r="T124" s="17">
        <f t="shared" si="23"/>
        <v>15</v>
      </c>
      <c r="U124" s="17">
        <f t="shared" si="24"/>
        <v>8</v>
      </c>
      <c r="W124" s="7">
        <v>5630</v>
      </c>
      <c r="X124" s="7">
        <v>36064</v>
      </c>
      <c r="Y124" s="7">
        <v>4510</v>
      </c>
      <c r="Z124" s="7">
        <v>5303</v>
      </c>
      <c r="AA124" s="7">
        <v>5847</v>
      </c>
      <c r="AB124" s="13"/>
    </row>
    <row r="125" spans="10:28" ht="15.6" customHeight="1" x14ac:dyDescent="0.3">
      <c r="J125" s="2">
        <v>121</v>
      </c>
      <c r="K125" s="41" t="s">
        <v>33</v>
      </c>
      <c r="L125" s="41" t="s">
        <v>31</v>
      </c>
      <c r="M125" s="41" t="s">
        <v>29</v>
      </c>
      <c r="N125" s="41" t="s">
        <v>33</v>
      </c>
      <c r="O125" s="41" t="s">
        <v>31</v>
      </c>
      <c r="Q125" s="17">
        <f t="shared" si="20"/>
        <v>8</v>
      </c>
      <c r="R125" s="17">
        <f t="shared" si="21"/>
        <v>6</v>
      </c>
      <c r="S125" s="17">
        <f t="shared" si="22"/>
        <v>4</v>
      </c>
      <c r="T125" s="17">
        <f t="shared" si="23"/>
        <v>8</v>
      </c>
      <c r="U125" s="17">
        <f t="shared" si="24"/>
        <v>6</v>
      </c>
      <c r="W125" s="7">
        <v>14839</v>
      </c>
      <c r="X125" s="7">
        <v>12993</v>
      </c>
      <c r="Y125" s="7">
        <v>7081</v>
      </c>
      <c r="Z125" s="7">
        <v>5303</v>
      </c>
      <c r="AA125" s="7">
        <v>15711</v>
      </c>
      <c r="AB125" s="13"/>
    </row>
    <row r="126" spans="10:28" ht="15.6" customHeight="1" x14ac:dyDescent="0.3">
      <c r="J126" s="2">
        <v>122</v>
      </c>
      <c r="K126" s="41" t="s">
        <v>35</v>
      </c>
      <c r="L126" s="41" t="s">
        <v>31</v>
      </c>
      <c r="M126" s="41" t="s">
        <v>34</v>
      </c>
      <c r="N126" s="41" t="s">
        <v>34</v>
      </c>
      <c r="O126" s="41" t="s">
        <v>33</v>
      </c>
      <c r="Q126" s="17">
        <f t="shared" si="20"/>
        <v>10</v>
      </c>
      <c r="R126" s="17">
        <f t="shared" si="21"/>
        <v>6</v>
      </c>
      <c r="S126" s="17">
        <f t="shared" si="22"/>
        <v>9</v>
      </c>
      <c r="T126" s="17">
        <f t="shared" si="23"/>
        <v>9</v>
      </c>
      <c r="U126" s="17">
        <f t="shared" si="24"/>
        <v>8</v>
      </c>
      <c r="W126" s="7">
        <v>15958</v>
      </c>
      <c r="X126" s="7">
        <v>13777</v>
      </c>
      <c r="Y126" s="7">
        <v>20899</v>
      </c>
      <c r="Z126" s="7">
        <v>5303</v>
      </c>
      <c r="AA126" s="7">
        <v>16847</v>
      </c>
      <c r="AB126" s="13"/>
    </row>
    <row r="127" spans="10:28" ht="15.6" customHeight="1" x14ac:dyDescent="0.3">
      <c r="J127" s="2">
        <v>123</v>
      </c>
      <c r="K127" s="41" t="s">
        <v>35</v>
      </c>
      <c r="L127" s="41" t="s">
        <v>46</v>
      </c>
      <c r="M127" s="41" t="s">
        <v>35</v>
      </c>
      <c r="N127" s="41" t="s">
        <v>30</v>
      </c>
      <c r="O127" s="41" t="s">
        <v>32</v>
      </c>
      <c r="Q127" s="17">
        <f t="shared" si="20"/>
        <v>10</v>
      </c>
      <c r="R127" s="17">
        <f t="shared" si="21"/>
        <v>16</v>
      </c>
      <c r="S127" s="17">
        <f t="shared" si="22"/>
        <v>10</v>
      </c>
      <c r="T127" s="17">
        <f t="shared" si="23"/>
        <v>5</v>
      </c>
      <c r="U127" s="17">
        <f t="shared" si="24"/>
        <v>7</v>
      </c>
      <c r="W127" s="7">
        <v>6914</v>
      </c>
      <c r="X127" s="7">
        <v>5550</v>
      </c>
      <c r="Y127" s="7">
        <v>6717</v>
      </c>
      <c r="Z127" s="7">
        <v>6143</v>
      </c>
      <c r="AA127" s="7">
        <v>5835</v>
      </c>
      <c r="AB127" s="13"/>
    </row>
    <row r="128" spans="10:28" ht="15.6" customHeight="1" x14ac:dyDescent="0.3">
      <c r="J128" s="2">
        <v>124</v>
      </c>
      <c r="K128" s="41" t="s">
        <v>32</v>
      </c>
      <c r="L128" s="41" t="s">
        <v>29</v>
      </c>
      <c r="M128" s="41" t="s">
        <v>34</v>
      </c>
      <c r="N128" s="41" t="s">
        <v>35</v>
      </c>
      <c r="O128" s="41" t="s">
        <v>35</v>
      </c>
      <c r="Q128" s="17">
        <f t="shared" si="20"/>
        <v>7</v>
      </c>
      <c r="R128" s="17">
        <f t="shared" si="21"/>
        <v>4</v>
      </c>
      <c r="S128" s="17">
        <f t="shared" si="22"/>
        <v>9</v>
      </c>
      <c r="T128" s="17">
        <f t="shared" si="23"/>
        <v>10</v>
      </c>
      <c r="U128" s="17">
        <f t="shared" si="24"/>
        <v>10</v>
      </c>
      <c r="W128" s="7">
        <v>5691</v>
      </c>
      <c r="X128" s="7">
        <v>4798</v>
      </c>
      <c r="Y128" s="7">
        <v>5421</v>
      </c>
      <c r="Z128" s="7">
        <v>17547</v>
      </c>
      <c r="AA128" s="7">
        <v>18602</v>
      </c>
      <c r="AB128" s="13"/>
    </row>
    <row r="129" spans="10:28" ht="15.6" customHeight="1" x14ac:dyDescent="0.3">
      <c r="J129" s="2">
        <v>125</v>
      </c>
      <c r="K129" s="41" t="s">
        <v>28</v>
      </c>
      <c r="L129" s="41" t="s">
        <v>34</v>
      </c>
      <c r="M129" s="41" t="s">
        <v>34</v>
      </c>
      <c r="N129" s="41" t="s">
        <v>31</v>
      </c>
      <c r="O129" s="41" t="s">
        <v>34</v>
      </c>
      <c r="Q129" s="17">
        <f t="shared" si="20"/>
        <v>3</v>
      </c>
      <c r="R129" s="17">
        <f t="shared" si="21"/>
        <v>9</v>
      </c>
      <c r="S129" s="17">
        <f t="shared" si="22"/>
        <v>9</v>
      </c>
      <c r="T129" s="17">
        <f t="shared" si="23"/>
        <v>6</v>
      </c>
      <c r="U129" s="17">
        <f t="shared" si="24"/>
        <v>9</v>
      </c>
      <c r="W129" s="7">
        <v>5433</v>
      </c>
      <c r="X129" s="7">
        <v>5330</v>
      </c>
      <c r="Y129" s="7">
        <v>5817</v>
      </c>
      <c r="Z129" s="7">
        <v>5409</v>
      </c>
      <c r="AA129" s="7">
        <v>6599</v>
      </c>
      <c r="AB129" s="13"/>
    </row>
    <row r="130" spans="10:28" ht="15.6" customHeight="1" x14ac:dyDescent="0.3">
      <c r="J130" s="2">
        <v>126</v>
      </c>
      <c r="K130" s="41" t="s">
        <v>30</v>
      </c>
      <c r="L130" s="41" t="s">
        <v>32</v>
      </c>
      <c r="M130" s="41" t="s">
        <v>34</v>
      </c>
      <c r="N130" s="41" t="s">
        <v>32</v>
      </c>
      <c r="O130" s="41" t="s">
        <v>29</v>
      </c>
      <c r="Q130" s="17">
        <f t="shared" si="20"/>
        <v>5</v>
      </c>
      <c r="R130" s="17">
        <f t="shared" si="21"/>
        <v>7</v>
      </c>
      <c r="S130" s="17">
        <f t="shared" si="22"/>
        <v>9</v>
      </c>
      <c r="T130" s="17">
        <f t="shared" si="23"/>
        <v>7</v>
      </c>
      <c r="U130" s="17">
        <f t="shared" si="24"/>
        <v>4</v>
      </c>
      <c r="W130" s="7">
        <v>6407</v>
      </c>
      <c r="X130" s="7">
        <v>5345</v>
      </c>
      <c r="Y130" s="7">
        <v>4848</v>
      </c>
      <c r="Z130" s="7">
        <v>5676</v>
      </c>
      <c r="AA130" s="7">
        <v>5061</v>
      </c>
      <c r="AB130" s="13"/>
    </row>
    <row r="131" spans="10:28" ht="15.6" customHeight="1" x14ac:dyDescent="0.3">
      <c r="J131" s="2">
        <v>127</v>
      </c>
      <c r="K131" s="41" t="s">
        <v>30</v>
      </c>
      <c r="L131" s="41" t="s">
        <v>30</v>
      </c>
      <c r="M131" s="41" t="s">
        <v>50</v>
      </c>
      <c r="N131" s="41" t="s">
        <v>35</v>
      </c>
      <c r="O131" s="41" t="s">
        <v>33</v>
      </c>
      <c r="Q131" s="17">
        <f t="shared" si="20"/>
        <v>5</v>
      </c>
      <c r="R131" s="17">
        <f t="shared" si="21"/>
        <v>5</v>
      </c>
      <c r="S131" s="17">
        <f t="shared" si="22"/>
        <v>18</v>
      </c>
      <c r="T131" s="17">
        <f t="shared" si="23"/>
        <v>10</v>
      </c>
      <c r="U131" s="17">
        <f t="shared" si="24"/>
        <v>8</v>
      </c>
      <c r="W131" s="7">
        <v>5469</v>
      </c>
      <c r="X131" s="7">
        <v>13777</v>
      </c>
      <c r="Y131" s="7">
        <v>9114</v>
      </c>
      <c r="Z131" s="7">
        <v>6082</v>
      </c>
      <c r="AA131" s="7">
        <v>4568</v>
      </c>
      <c r="AB131" s="13"/>
    </row>
    <row r="132" spans="10:28" ht="15.6" customHeight="1" x14ac:dyDescent="0.3">
      <c r="J132" s="2">
        <v>128</v>
      </c>
      <c r="K132" s="41" t="s">
        <v>35</v>
      </c>
      <c r="L132" s="41" t="s">
        <v>29</v>
      </c>
      <c r="M132" s="41" t="s">
        <v>50</v>
      </c>
      <c r="N132" s="41" t="s">
        <v>33</v>
      </c>
      <c r="O132" s="41" t="s">
        <v>30</v>
      </c>
      <c r="Q132" s="17">
        <f t="shared" ref="Q132:Q163" si="25">IF(K132="","",VLOOKUP(K132,$A$4:$H$22,8,FALSE))</f>
        <v>10</v>
      </c>
      <c r="R132" s="17">
        <f t="shared" ref="R132:R163" si="26">IF(L132="","",VLOOKUP(L132,$A$4:$H$22,8,FALSE))</f>
        <v>4</v>
      </c>
      <c r="S132" s="17">
        <f t="shared" ref="S132:S163" si="27">IF(M132="","",VLOOKUP(M132,$A$4:$H$22,8,FALSE))</f>
        <v>18</v>
      </c>
      <c r="T132" s="17">
        <f t="shared" ref="T132:T163" si="28">IF(N132="","",VLOOKUP(N132,$A$4:$H$22,8,FALSE))</f>
        <v>8</v>
      </c>
      <c r="U132" s="17">
        <f t="shared" ref="U132:U163" si="29">IF(O132="","",VLOOKUP(O132,$A$4:$H$22,8,FALSE))</f>
        <v>5</v>
      </c>
      <c r="W132" s="7">
        <v>15280</v>
      </c>
      <c r="X132" s="7">
        <v>8676</v>
      </c>
      <c r="Y132" s="7">
        <v>27038</v>
      </c>
      <c r="Z132" s="7">
        <v>5445</v>
      </c>
      <c r="AA132" s="7">
        <v>4496</v>
      </c>
      <c r="AB132" s="13"/>
    </row>
    <row r="133" spans="10:28" ht="15.6" customHeight="1" x14ac:dyDescent="0.3">
      <c r="J133" s="2">
        <v>129</v>
      </c>
      <c r="K133" s="41" t="s">
        <v>35</v>
      </c>
      <c r="L133" s="41" t="s">
        <v>36</v>
      </c>
      <c r="M133" s="41" t="s">
        <v>34</v>
      </c>
      <c r="N133" s="41" t="s">
        <v>29</v>
      </c>
      <c r="O133" s="41" t="s">
        <v>30</v>
      </c>
      <c r="Q133" s="17">
        <f t="shared" si="25"/>
        <v>10</v>
      </c>
      <c r="R133" s="17">
        <f t="shared" si="26"/>
        <v>11</v>
      </c>
      <c r="S133" s="17">
        <f t="shared" si="27"/>
        <v>9</v>
      </c>
      <c r="T133" s="17">
        <f t="shared" si="28"/>
        <v>4</v>
      </c>
      <c r="U133" s="17">
        <f t="shared" si="29"/>
        <v>5</v>
      </c>
      <c r="W133" s="7">
        <v>17656</v>
      </c>
      <c r="X133" s="7">
        <v>14470</v>
      </c>
      <c r="Y133" s="7">
        <v>6853</v>
      </c>
      <c r="Z133" s="7">
        <v>5591</v>
      </c>
      <c r="AA133" s="7">
        <v>5396</v>
      </c>
      <c r="AB133" s="13"/>
    </row>
    <row r="134" spans="10:28" ht="15.6" customHeight="1" x14ac:dyDescent="0.3">
      <c r="J134" s="2">
        <v>130</v>
      </c>
      <c r="K134" s="41" t="s">
        <v>33</v>
      </c>
      <c r="L134" s="41" t="s">
        <v>32</v>
      </c>
      <c r="M134" s="41" t="s">
        <v>35</v>
      </c>
      <c r="N134" s="41" t="s">
        <v>35</v>
      </c>
      <c r="O134" s="41" t="s">
        <v>26</v>
      </c>
      <c r="Q134" s="17">
        <f t="shared" si="25"/>
        <v>8</v>
      </c>
      <c r="R134" s="17">
        <f t="shared" si="26"/>
        <v>7</v>
      </c>
      <c r="S134" s="17">
        <f t="shared" si="27"/>
        <v>10</v>
      </c>
      <c r="T134" s="17">
        <f t="shared" si="28"/>
        <v>10</v>
      </c>
      <c r="U134" s="17">
        <f t="shared" si="29"/>
        <v>2</v>
      </c>
      <c r="W134" s="7">
        <v>6403</v>
      </c>
      <c r="X134" s="7">
        <v>8487</v>
      </c>
      <c r="Y134" s="7">
        <v>4421</v>
      </c>
      <c r="Z134" s="7">
        <v>16659</v>
      </c>
      <c r="AA134" s="7">
        <v>4525</v>
      </c>
      <c r="AB134" s="13"/>
    </row>
    <row r="135" spans="10:28" ht="15.6" customHeight="1" x14ac:dyDescent="0.3">
      <c r="J135" s="2">
        <v>131</v>
      </c>
      <c r="K135" s="41" t="s">
        <v>32</v>
      </c>
      <c r="L135" s="41" t="s">
        <v>34</v>
      </c>
      <c r="M135" s="41" t="s">
        <v>32</v>
      </c>
      <c r="N135" s="41" t="s">
        <v>29</v>
      </c>
      <c r="O135" s="41" t="s">
        <v>29</v>
      </c>
      <c r="Q135" s="17">
        <f t="shared" si="25"/>
        <v>7</v>
      </c>
      <c r="R135" s="17">
        <f t="shared" si="26"/>
        <v>9</v>
      </c>
      <c r="S135" s="17">
        <f t="shared" si="27"/>
        <v>7</v>
      </c>
      <c r="T135" s="17">
        <f t="shared" si="28"/>
        <v>4</v>
      </c>
      <c r="U135" s="17">
        <f t="shared" si="29"/>
        <v>4</v>
      </c>
      <c r="W135" s="7">
        <v>5429</v>
      </c>
      <c r="X135" s="7">
        <v>7058</v>
      </c>
      <c r="Y135" s="7">
        <v>4510</v>
      </c>
      <c r="Z135" s="7">
        <v>5900</v>
      </c>
      <c r="AA135" s="7">
        <v>4961</v>
      </c>
      <c r="AB135" s="13"/>
    </row>
    <row r="136" spans="10:28" ht="15.6" customHeight="1" x14ac:dyDescent="0.3">
      <c r="J136" s="2">
        <v>132</v>
      </c>
      <c r="K136" s="41" t="s">
        <v>31</v>
      </c>
      <c r="L136" s="41" t="s">
        <v>31</v>
      </c>
      <c r="M136" s="41" t="s">
        <v>30</v>
      </c>
      <c r="N136" s="41" t="s">
        <v>34</v>
      </c>
      <c r="O136" s="41" t="s">
        <v>29</v>
      </c>
      <c r="Q136" s="17">
        <f t="shared" si="25"/>
        <v>6</v>
      </c>
      <c r="R136" s="17">
        <f t="shared" si="26"/>
        <v>6</v>
      </c>
      <c r="S136" s="17">
        <f t="shared" si="27"/>
        <v>5</v>
      </c>
      <c r="T136" s="17">
        <f t="shared" si="28"/>
        <v>9</v>
      </c>
      <c r="U136" s="17">
        <f t="shared" si="29"/>
        <v>4</v>
      </c>
      <c r="W136" s="7">
        <v>5028</v>
      </c>
      <c r="X136" s="7">
        <v>8676</v>
      </c>
      <c r="Y136" s="7">
        <v>5960</v>
      </c>
      <c r="Z136" s="7">
        <v>5667</v>
      </c>
      <c r="AA136" s="7">
        <v>5120</v>
      </c>
      <c r="AB136" s="13"/>
    </row>
    <row r="137" spans="10:28" ht="15.6" customHeight="1" x14ac:dyDescent="0.3">
      <c r="J137" s="2">
        <v>133</v>
      </c>
      <c r="K137" s="41" t="s">
        <v>33</v>
      </c>
      <c r="L137" s="41" t="s">
        <v>29</v>
      </c>
      <c r="M137" s="41" t="s">
        <v>33</v>
      </c>
      <c r="N137" s="41" t="s">
        <v>33</v>
      </c>
      <c r="O137" s="41" t="s">
        <v>29</v>
      </c>
      <c r="Q137" s="17">
        <f t="shared" si="25"/>
        <v>8</v>
      </c>
      <c r="R137" s="17">
        <f t="shared" si="26"/>
        <v>4</v>
      </c>
      <c r="S137" s="17">
        <f t="shared" si="27"/>
        <v>8</v>
      </c>
      <c r="T137" s="17">
        <f t="shared" si="28"/>
        <v>8</v>
      </c>
      <c r="U137" s="17">
        <f t="shared" si="29"/>
        <v>4</v>
      </c>
      <c r="W137" s="7">
        <v>5086</v>
      </c>
      <c r="X137" s="7">
        <v>4289</v>
      </c>
      <c r="Y137" s="7">
        <v>15858</v>
      </c>
      <c r="Z137" s="7">
        <v>12792</v>
      </c>
      <c r="AA137" s="7">
        <v>4954</v>
      </c>
      <c r="AB137" s="13"/>
    </row>
    <row r="138" spans="10:28" ht="15.6" customHeight="1" x14ac:dyDescent="0.3">
      <c r="J138" s="2">
        <v>134</v>
      </c>
      <c r="K138" s="41" t="s">
        <v>33</v>
      </c>
      <c r="L138" s="41" t="s">
        <v>29</v>
      </c>
      <c r="M138" s="41" t="s">
        <v>35</v>
      </c>
      <c r="N138" s="41" t="s">
        <v>29</v>
      </c>
      <c r="O138" s="41" t="s">
        <v>33</v>
      </c>
      <c r="Q138" s="17">
        <f t="shared" si="25"/>
        <v>8</v>
      </c>
      <c r="R138" s="17">
        <f t="shared" si="26"/>
        <v>4</v>
      </c>
      <c r="S138" s="17">
        <f t="shared" si="27"/>
        <v>10</v>
      </c>
      <c r="T138" s="17">
        <f t="shared" si="28"/>
        <v>4</v>
      </c>
      <c r="U138" s="17">
        <f t="shared" si="29"/>
        <v>8</v>
      </c>
      <c r="W138" s="7">
        <v>6458</v>
      </c>
      <c r="X138" s="7">
        <v>4418</v>
      </c>
      <c r="Y138" s="7">
        <v>15580</v>
      </c>
      <c r="Z138" s="7">
        <v>4712</v>
      </c>
      <c r="AA138" s="7">
        <v>5945</v>
      </c>
      <c r="AB138" s="13"/>
    </row>
    <row r="139" spans="10:28" ht="15.6" customHeight="1" x14ac:dyDescent="0.3">
      <c r="J139" s="2">
        <v>135</v>
      </c>
      <c r="K139" s="41" t="s">
        <v>30</v>
      </c>
      <c r="L139" s="41" t="s">
        <v>29</v>
      </c>
      <c r="M139" s="41" t="s">
        <v>29</v>
      </c>
      <c r="N139" s="41" t="s">
        <v>46</v>
      </c>
      <c r="O139" s="41" t="s">
        <v>28</v>
      </c>
      <c r="Q139" s="17">
        <f t="shared" si="25"/>
        <v>5</v>
      </c>
      <c r="R139" s="17">
        <f t="shared" si="26"/>
        <v>4</v>
      </c>
      <c r="S139" s="17">
        <f t="shared" si="27"/>
        <v>4</v>
      </c>
      <c r="T139" s="17">
        <f t="shared" si="28"/>
        <v>16</v>
      </c>
      <c r="U139" s="17">
        <f t="shared" si="29"/>
        <v>3</v>
      </c>
      <c r="W139" s="7">
        <v>7010</v>
      </c>
      <c r="X139" s="7">
        <v>4405</v>
      </c>
      <c r="Y139" s="7">
        <v>5125</v>
      </c>
      <c r="Z139" s="7">
        <v>4798</v>
      </c>
      <c r="AA139" s="7">
        <v>6946</v>
      </c>
      <c r="AB139" s="13"/>
    </row>
    <row r="140" spans="10:28" ht="15.6" customHeight="1" x14ac:dyDescent="0.3">
      <c r="J140" s="2">
        <v>136</v>
      </c>
      <c r="K140" s="41" t="s">
        <v>29</v>
      </c>
      <c r="L140" s="41" t="s">
        <v>30</v>
      </c>
      <c r="M140" s="41" t="s">
        <v>31</v>
      </c>
      <c r="N140" s="41" t="s">
        <v>33</v>
      </c>
      <c r="O140" s="41" t="s">
        <v>30</v>
      </c>
      <c r="Q140" s="17">
        <f t="shared" si="25"/>
        <v>4</v>
      </c>
      <c r="R140" s="17">
        <f t="shared" si="26"/>
        <v>5</v>
      </c>
      <c r="S140" s="17">
        <f t="shared" si="27"/>
        <v>6</v>
      </c>
      <c r="T140" s="17">
        <f t="shared" si="28"/>
        <v>8</v>
      </c>
      <c r="U140" s="17">
        <f t="shared" si="29"/>
        <v>5</v>
      </c>
      <c r="W140" s="7">
        <v>6415</v>
      </c>
      <c r="X140" s="7">
        <v>4261</v>
      </c>
      <c r="Y140" s="7">
        <v>6000</v>
      </c>
      <c r="Z140" s="7">
        <v>5897</v>
      </c>
      <c r="AA140" s="7">
        <v>15262</v>
      </c>
      <c r="AB140" s="13"/>
    </row>
    <row r="141" spans="10:28" ht="15.6" customHeight="1" x14ac:dyDescent="0.3">
      <c r="J141" s="2">
        <v>137</v>
      </c>
      <c r="K141" s="41" t="s">
        <v>28</v>
      </c>
      <c r="L141" s="41" t="s">
        <v>32</v>
      </c>
      <c r="M141" s="41" t="s">
        <v>31</v>
      </c>
      <c r="N141" s="41" t="s">
        <v>28</v>
      </c>
      <c r="O141" s="41" t="s">
        <v>34</v>
      </c>
      <c r="Q141" s="17">
        <f t="shared" si="25"/>
        <v>3</v>
      </c>
      <c r="R141" s="17">
        <f t="shared" si="26"/>
        <v>7</v>
      </c>
      <c r="S141" s="17">
        <f t="shared" si="27"/>
        <v>6</v>
      </c>
      <c r="T141" s="17">
        <f t="shared" si="28"/>
        <v>3</v>
      </c>
      <c r="U141" s="17">
        <f t="shared" si="29"/>
        <v>9</v>
      </c>
      <c r="W141" s="7">
        <v>6556</v>
      </c>
      <c r="X141" s="7">
        <v>8646</v>
      </c>
      <c r="Y141" s="7">
        <v>5867</v>
      </c>
      <c r="Z141" s="7">
        <v>5444</v>
      </c>
      <c r="AA141" s="7">
        <v>5722</v>
      </c>
      <c r="AB141" s="13"/>
    </row>
    <row r="142" spans="10:28" ht="15.6" customHeight="1" x14ac:dyDescent="0.3">
      <c r="J142" s="2">
        <v>138</v>
      </c>
      <c r="K142" s="41" t="s">
        <v>34</v>
      </c>
      <c r="L142" s="41" t="s">
        <v>29</v>
      </c>
      <c r="M142" s="41" t="s">
        <v>31</v>
      </c>
      <c r="N142" s="41" t="s">
        <v>33</v>
      </c>
      <c r="O142" s="41" t="s">
        <v>35</v>
      </c>
      <c r="Q142" s="17">
        <f t="shared" si="25"/>
        <v>9</v>
      </c>
      <c r="R142" s="17">
        <f t="shared" si="26"/>
        <v>4</v>
      </c>
      <c r="S142" s="17">
        <f t="shared" si="27"/>
        <v>6</v>
      </c>
      <c r="T142" s="17">
        <f t="shared" si="28"/>
        <v>8</v>
      </c>
      <c r="U142" s="17">
        <f t="shared" si="29"/>
        <v>10</v>
      </c>
      <c r="W142" s="7">
        <v>16327</v>
      </c>
      <c r="X142" s="7">
        <v>7120</v>
      </c>
      <c r="Y142" s="7">
        <v>5858</v>
      </c>
      <c r="Z142" s="7">
        <v>5302</v>
      </c>
      <c r="AA142" s="7">
        <v>15148</v>
      </c>
      <c r="AB142" s="13"/>
    </row>
    <row r="143" spans="10:28" ht="15.6" customHeight="1" x14ac:dyDescent="0.3">
      <c r="J143" s="2">
        <v>139</v>
      </c>
      <c r="K143" s="41" t="s">
        <v>33</v>
      </c>
      <c r="L143" s="41" t="s">
        <v>32</v>
      </c>
      <c r="M143" s="41" t="s">
        <v>30</v>
      </c>
      <c r="N143" s="41" t="s">
        <v>28</v>
      </c>
      <c r="O143" s="41" t="s">
        <v>35</v>
      </c>
      <c r="Q143" s="17">
        <f t="shared" si="25"/>
        <v>8</v>
      </c>
      <c r="R143" s="17">
        <f t="shared" si="26"/>
        <v>7</v>
      </c>
      <c r="S143" s="17">
        <f t="shared" si="27"/>
        <v>5</v>
      </c>
      <c r="T143" s="17">
        <f t="shared" si="28"/>
        <v>3</v>
      </c>
      <c r="U143" s="17">
        <f t="shared" si="29"/>
        <v>10</v>
      </c>
      <c r="W143" s="7">
        <v>8149</v>
      </c>
      <c r="X143" s="7">
        <v>6628</v>
      </c>
      <c r="Y143" s="7">
        <v>5437</v>
      </c>
      <c r="Z143" s="7">
        <v>4412</v>
      </c>
      <c r="AA143" s="7">
        <v>11161</v>
      </c>
      <c r="AB143" s="13"/>
    </row>
    <row r="144" spans="10:28" ht="15.6" customHeight="1" x14ac:dyDescent="0.3">
      <c r="J144" s="2">
        <v>140</v>
      </c>
      <c r="K144" s="41" t="s">
        <v>32</v>
      </c>
      <c r="L144" s="41" t="s">
        <v>29</v>
      </c>
      <c r="M144" s="41" t="s">
        <v>29</v>
      </c>
      <c r="N144" s="41" t="s">
        <v>33</v>
      </c>
      <c r="O144" s="41" t="s">
        <v>30</v>
      </c>
      <c r="Q144" s="17">
        <f t="shared" si="25"/>
        <v>7</v>
      </c>
      <c r="R144" s="17">
        <f t="shared" si="26"/>
        <v>4</v>
      </c>
      <c r="S144" s="17">
        <f t="shared" si="27"/>
        <v>4</v>
      </c>
      <c r="T144" s="17">
        <f t="shared" si="28"/>
        <v>8</v>
      </c>
      <c r="U144" s="17">
        <f t="shared" si="29"/>
        <v>5</v>
      </c>
      <c r="W144" s="7">
        <v>32896</v>
      </c>
      <c r="X144" s="7">
        <v>7105</v>
      </c>
      <c r="Y144" s="7">
        <v>5465</v>
      </c>
      <c r="Z144" s="7">
        <v>4412</v>
      </c>
      <c r="AA144" s="7">
        <v>12723</v>
      </c>
      <c r="AB144" s="13"/>
    </row>
    <row r="145" spans="10:28" ht="15.6" customHeight="1" x14ac:dyDescent="0.3">
      <c r="J145" s="2">
        <v>141</v>
      </c>
      <c r="K145" s="41" t="s">
        <v>32</v>
      </c>
      <c r="L145" s="41" t="s">
        <v>32</v>
      </c>
      <c r="M145" s="41" t="s">
        <v>34</v>
      </c>
      <c r="N145" s="41" t="s">
        <v>32</v>
      </c>
      <c r="O145" s="41" t="s">
        <v>34</v>
      </c>
      <c r="Q145" s="17">
        <f t="shared" si="25"/>
        <v>7</v>
      </c>
      <c r="R145" s="17">
        <f t="shared" si="26"/>
        <v>7</v>
      </c>
      <c r="S145" s="17">
        <f t="shared" si="27"/>
        <v>9</v>
      </c>
      <c r="T145" s="17">
        <f t="shared" si="28"/>
        <v>7</v>
      </c>
      <c r="U145" s="17">
        <f t="shared" si="29"/>
        <v>9</v>
      </c>
      <c r="W145" s="7">
        <v>8616</v>
      </c>
      <c r="X145" s="7">
        <v>8646</v>
      </c>
      <c r="Y145" s="7">
        <v>5324</v>
      </c>
      <c r="Z145" s="7">
        <v>4412</v>
      </c>
      <c r="AA145" s="7">
        <v>39145</v>
      </c>
      <c r="AB145" s="13"/>
    </row>
    <row r="146" spans="10:28" ht="15.6" customHeight="1" x14ac:dyDescent="0.3">
      <c r="J146" s="2">
        <v>142</v>
      </c>
      <c r="K146" s="41" t="s">
        <v>31</v>
      </c>
      <c r="L146" s="41" t="s">
        <v>32</v>
      </c>
      <c r="M146" s="41" t="s">
        <v>30</v>
      </c>
      <c r="N146" s="41" t="s">
        <v>33</v>
      </c>
      <c r="O146" s="41" t="s">
        <v>35</v>
      </c>
      <c r="Q146" s="17">
        <f t="shared" si="25"/>
        <v>6</v>
      </c>
      <c r="R146" s="17">
        <f t="shared" si="26"/>
        <v>7</v>
      </c>
      <c r="S146" s="17">
        <f t="shared" si="27"/>
        <v>5</v>
      </c>
      <c r="T146" s="17">
        <f t="shared" si="28"/>
        <v>8</v>
      </c>
      <c r="U146" s="17">
        <f t="shared" si="29"/>
        <v>10</v>
      </c>
      <c r="W146" s="7">
        <v>8490</v>
      </c>
      <c r="X146" s="7">
        <v>27086</v>
      </c>
      <c r="Y146" s="7">
        <v>15691</v>
      </c>
      <c r="Z146" s="7">
        <v>5456</v>
      </c>
      <c r="AA146" s="7">
        <v>13571</v>
      </c>
      <c r="AB146" s="13"/>
    </row>
    <row r="147" spans="10:28" ht="15.6" customHeight="1" x14ac:dyDescent="0.3">
      <c r="J147" s="2">
        <v>143</v>
      </c>
      <c r="K147" s="41" t="s">
        <v>31</v>
      </c>
      <c r="L147" s="41" t="s">
        <v>35</v>
      </c>
      <c r="M147" s="41" t="s">
        <v>35</v>
      </c>
      <c r="N147" s="41" t="s">
        <v>29</v>
      </c>
      <c r="O147" s="41" t="s">
        <v>35</v>
      </c>
      <c r="Q147" s="17">
        <f t="shared" si="25"/>
        <v>6</v>
      </c>
      <c r="R147" s="17">
        <f t="shared" si="26"/>
        <v>10</v>
      </c>
      <c r="S147" s="17">
        <f t="shared" si="27"/>
        <v>10</v>
      </c>
      <c r="T147" s="17">
        <f t="shared" si="28"/>
        <v>4</v>
      </c>
      <c r="U147" s="17">
        <f t="shared" si="29"/>
        <v>10</v>
      </c>
      <c r="W147" s="7">
        <v>9128</v>
      </c>
      <c r="X147" s="7">
        <v>15300</v>
      </c>
      <c r="Y147" s="7">
        <v>5421</v>
      </c>
      <c r="Z147" s="7">
        <v>13957</v>
      </c>
      <c r="AA147" s="7">
        <v>10967</v>
      </c>
      <c r="AB147" s="13"/>
    </row>
    <row r="148" spans="10:28" ht="15.6" customHeight="1" x14ac:dyDescent="0.3">
      <c r="J148" s="2">
        <v>144</v>
      </c>
      <c r="K148" s="41" t="s">
        <v>29</v>
      </c>
      <c r="L148" s="41" t="s">
        <v>31</v>
      </c>
      <c r="M148" s="41" t="s">
        <v>29</v>
      </c>
      <c r="N148" s="41" t="s">
        <v>33</v>
      </c>
      <c r="O148" s="41" t="s">
        <v>35</v>
      </c>
      <c r="Q148" s="17">
        <f t="shared" si="25"/>
        <v>4</v>
      </c>
      <c r="R148" s="17">
        <f t="shared" si="26"/>
        <v>6</v>
      </c>
      <c r="S148" s="17">
        <f t="shared" si="27"/>
        <v>4</v>
      </c>
      <c r="T148" s="17">
        <f t="shared" si="28"/>
        <v>8</v>
      </c>
      <c r="U148" s="17">
        <f t="shared" si="29"/>
        <v>10</v>
      </c>
      <c r="W148" s="7">
        <v>6095</v>
      </c>
      <c r="X148" s="7">
        <v>16530</v>
      </c>
      <c r="Y148" s="7">
        <v>5421</v>
      </c>
      <c r="Z148" s="7">
        <v>14304</v>
      </c>
      <c r="AA148" s="7">
        <v>11254</v>
      </c>
      <c r="AB148" s="13"/>
    </row>
    <row r="149" spans="10:28" ht="15.6" customHeight="1" x14ac:dyDescent="0.3">
      <c r="J149" s="2">
        <v>145</v>
      </c>
      <c r="K149" s="41" t="s">
        <v>35</v>
      </c>
      <c r="L149" s="41" t="s">
        <v>34</v>
      </c>
      <c r="M149" s="41" t="s">
        <v>35</v>
      </c>
      <c r="N149" s="41" t="s">
        <v>34</v>
      </c>
      <c r="O149" s="41" t="s">
        <v>31</v>
      </c>
      <c r="Q149" s="17">
        <f t="shared" si="25"/>
        <v>10</v>
      </c>
      <c r="R149" s="17">
        <f t="shared" si="26"/>
        <v>9</v>
      </c>
      <c r="S149" s="17">
        <f t="shared" si="27"/>
        <v>10</v>
      </c>
      <c r="T149" s="17">
        <f t="shared" si="28"/>
        <v>9</v>
      </c>
      <c r="U149" s="17">
        <f t="shared" si="29"/>
        <v>6</v>
      </c>
      <c r="W149" s="7">
        <v>6095</v>
      </c>
      <c r="X149" s="7">
        <v>6535</v>
      </c>
      <c r="Y149" s="7">
        <v>5677</v>
      </c>
      <c r="Z149" s="7">
        <v>42367</v>
      </c>
      <c r="AA149" s="7">
        <v>5396</v>
      </c>
      <c r="AB149" s="13"/>
    </row>
    <row r="150" spans="10:28" ht="15.6" customHeight="1" x14ac:dyDescent="0.3">
      <c r="J150" s="2">
        <v>146</v>
      </c>
      <c r="K150" s="41" t="s">
        <v>32</v>
      </c>
      <c r="L150" s="41" t="s">
        <v>31</v>
      </c>
      <c r="M150" s="41" t="s">
        <v>30</v>
      </c>
      <c r="N150" s="41" t="s">
        <v>31</v>
      </c>
      <c r="O150" s="41" t="s">
        <v>26</v>
      </c>
      <c r="Q150" s="17">
        <f t="shared" si="25"/>
        <v>7</v>
      </c>
      <c r="R150" s="17">
        <f t="shared" si="26"/>
        <v>6</v>
      </c>
      <c r="S150" s="17">
        <f t="shared" si="27"/>
        <v>5</v>
      </c>
      <c r="T150" s="17">
        <f t="shared" si="28"/>
        <v>6</v>
      </c>
      <c r="U150" s="17">
        <f t="shared" si="29"/>
        <v>2</v>
      </c>
      <c r="W150" s="7">
        <v>6095</v>
      </c>
      <c r="X150" s="7">
        <v>6308</v>
      </c>
      <c r="Y150" s="7">
        <v>5724</v>
      </c>
      <c r="Z150" s="7">
        <v>15493</v>
      </c>
      <c r="AA150" s="7">
        <v>12210</v>
      </c>
      <c r="AB150" s="13"/>
    </row>
    <row r="151" spans="10:28" ht="15.6" customHeight="1" x14ac:dyDescent="0.3">
      <c r="J151" s="2">
        <v>147</v>
      </c>
      <c r="K151" s="41" t="s">
        <v>33</v>
      </c>
      <c r="L151" s="41" t="s">
        <v>31</v>
      </c>
      <c r="M151" s="41" t="s">
        <v>34</v>
      </c>
      <c r="N151" s="41" t="s">
        <v>31</v>
      </c>
      <c r="O151" s="41" t="s">
        <v>30</v>
      </c>
      <c r="Q151" s="17">
        <f t="shared" si="25"/>
        <v>8</v>
      </c>
      <c r="R151" s="17">
        <f t="shared" si="26"/>
        <v>6</v>
      </c>
      <c r="S151" s="17">
        <f t="shared" si="27"/>
        <v>9</v>
      </c>
      <c r="T151" s="17">
        <f t="shared" si="28"/>
        <v>6</v>
      </c>
      <c r="U151" s="17">
        <f t="shared" si="29"/>
        <v>5</v>
      </c>
      <c r="W151" s="7">
        <v>6095</v>
      </c>
      <c r="X151" s="7">
        <v>15580</v>
      </c>
      <c r="Y151" s="7">
        <v>5685</v>
      </c>
      <c r="Z151" s="7">
        <v>5373</v>
      </c>
      <c r="AA151" s="7">
        <v>17475</v>
      </c>
      <c r="AB151" s="13"/>
    </row>
    <row r="152" spans="10:28" ht="15.6" customHeight="1" x14ac:dyDescent="0.3">
      <c r="J152" s="2">
        <v>148</v>
      </c>
      <c r="K152" s="41" t="s">
        <v>29</v>
      </c>
      <c r="L152" s="41" t="s">
        <v>31</v>
      </c>
      <c r="M152" s="41" t="s">
        <v>32</v>
      </c>
      <c r="N152" s="41" t="s">
        <v>31</v>
      </c>
      <c r="O152" s="41" t="s">
        <v>28</v>
      </c>
      <c r="Q152" s="17">
        <f t="shared" si="25"/>
        <v>4</v>
      </c>
      <c r="R152" s="17">
        <f t="shared" si="26"/>
        <v>6</v>
      </c>
      <c r="S152" s="17">
        <f t="shared" si="27"/>
        <v>7</v>
      </c>
      <c r="T152" s="17">
        <f t="shared" si="28"/>
        <v>6</v>
      </c>
      <c r="U152" s="17">
        <f t="shared" si="29"/>
        <v>3</v>
      </c>
      <c r="W152" s="7">
        <v>6095</v>
      </c>
      <c r="X152" s="7">
        <v>16204</v>
      </c>
      <c r="Y152" s="7">
        <v>12999</v>
      </c>
      <c r="Z152" s="7">
        <v>4600</v>
      </c>
      <c r="AA152" s="7">
        <v>6967</v>
      </c>
      <c r="AB152" s="13"/>
    </row>
    <row r="153" spans="10:28" ht="15.6" customHeight="1" x14ac:dyDescent="0.3">
      <c r="J153" s="2">
        <v>149</v>
      </c>
      <c r="K153" s="41" t="s">
        <v>35</v>
      </c>
      <c r="L153" s="41" t="s">
        <v>50</v>
      </c>
      <c r="M153" s="41" t="s">
        <v>33</v>
      </c>
      <c r="N153" s="41" t="s">
        <v>30</v>
      </c>
      <c r="O153" s="41" t="s">
        <v>32</v>
      </c>
      <c r="Q153" s="17">
        <f t="shared" si="25"/>
        <v>10</v>
      </c>
      <c r="R153" s="17">
        <f t="shared" si="26"/>
        <v>18</v>
      </c>
      <c r="S153" s="17">
        <f t="shared" si="27"/>
        <v>8</v>
      </c>
      <c r="T153" s="17">
        <f t="shared" si="28"/>
        <v>5</v>
      </c>
      <c r="U153" s="17">
        <f t="shared" si="29"/>
        <v>7</v>
      </c>
      <c r="W153" s="7">
        <v>8657</v>
      </c>
      <c r="X153" s="7">
        <v>37705</v>
      </c>
      <c r="Y153" s="7">
        <v>9114</v>
      </c>
      <c r="Z153" s="7">
        <v>4503</v>
      </c>
      <c r="AA153" s="7">
        <v>6534</v>
      </c>
      <c r="AB153" s="13"/>
    </row>
    <row r="154" spans="10:28" ht="15.6" customHeight="1" x14ac:dyDescent="0.3">
      <c r="J154" s="2">
        <v>150</v>
      </c>
      <c r="K154" s="41" t="s">
        <v>32</v>
      </c>
      <c r="L154" s="41" t="s">
        <v>35</v>
      </c>
      <c r="M154" s="41" t="s">
        <v>46</v>
      </c>
      <c r="N154" s="41" t="s">
        <v>31</v>
      </c>
      <c r="O154" s="41" t="s">
        <v>34</v>
      </c>
      <c r="Q154" s="17">
        <f t="shared" si="25"/>
        <v>7</v>
      </c>
      <c r="R154" s="17">
        <f t="shared" si="26"/>
        <v>10</v>
      </c>
      <c r="S154" s="17">
        <f t="shared" si="27"/>
        <v>16</v>
      </c>
      <c r="T154" s="17">
        <f t="shared" si="28"/>
        <v>6</v>
      </c>
      <c r="U154" s="17">
        <f t="shared" si="29"/>
        <v>9</v>
      </c>
      <c r="W154" s="7">
        <v>8556</v>
      </c>
      <c r="X154" s="7">
        <v>35074</v>
      </c>
      <c r="Y154" s="7">
        <v>7624</v>
      </c>
      <c r="Z154" s="7">
        <v>5295</v>
      </c>
      <c r="AA154" s="7">
        <v>6298</v>
      </c>
      <c r="AB154" s="13"/>
    </row>
    <row r="155" spans="10:28" ht="15.6" customHeight="1" x14ac:dyDescent="0.3">
      <c r="J155" s="2">
        <v>151</v>
      </c>
      <c r="K155" s="41" t="s">
        <v>33</v>
      </c>
      <c r="L155" s="41" t="s">
        <v>35</v>
      </c>
      <c r="M155" s="41" t="s">
        <v>30</v>
      </c>
      <c r="N155" s="41" t="s">
        <v>33</v>
      </c>
      <c r="O155" s="41" t="s">
        <v>31</v>
      </c>
      <c r="Q155" s="17">
        <f t="shared" si="25"/>
        <v>8</v>
      </c>
      <c r="R155" s="17">
        <f t="shared" si="26"/>
        <v>10</v>
      </c>
      <c r="S155" s="17">
        <f t="shared" si="27"/>
        <v>5</v>
      </c>
      <c r="T155" s="17">
        <f t="shared" si="28"/>
        <v>8</v>
      </c>
      <c r="U155" s="17">
        <f t="shared" si="29"/>
        <v>6</v>
      </c>
      <c r="W155" s="7">
        <v>8149</v>
      </c>
      <c r="X155" s="7">
        <v>34825</v>
      </c>
      <c r="Y155" s="7">
        <v>8264</v>
      </c>
      <c r="Z155" s="7">
        <v>5295</v>
      </c>
      <c r="AA155" s="7">
        <v>6527</v>
      </c>
      <c r="AB155" s="13"/>
    </row>
    <row r="156" spans="10:28" ht="15.6" customHeight="1" x14ac:dyDescent="0.3">
      <c r="J156" s="2">
        <v>152</v>
      </c>
      <c r="K156" s="41" t="s">
        <v>32</v>
      </c>
      <c r="L156" s="41" t="s">
        <v>32</v>
      </c>
      <c r="M156" s="41" t="s">
        <v>32</v>
      </c>
      <c r="N156" s="41" t="s">
        <v>46</v>
      </c>
      <c r="O156" s="41" t="s">
        <v>33</v>
      </c>
      <c r="Q156" s="17">
        <f t="shared" si="25"/>
        <v>7</v>
      </c>
      <c r="R156" s="17">
        <f t="shared" si="26"/>
        <v>7</v>
      </c>
      <c r="S156" s="17">
        <f t="shared" si="27"/>
        <v>7</v>
      </c>
      <c r="T156" s="17">
        <f t="shared" si="28"/>
        <v>16</v>
      </c>
      <c r="U156" s="17">
        <f t="shared" si="29"/>
        <v>8</v>
      </c>
      <c r="W156" s="7">
        <v>32896</v>
      </c>
      <c r="X156" s="7">
        <v>33785</v>
      </c>
      <c r="Y156" s="7">
        <v>8648</v>
      </c>
      <c r="Z156" s="7">
        <v>5583</v>
      </c>
      <c r="AA156" s="7">
        <v>6638</v>
      </c>
      <c r="AB156" s="13"/>
    </row>
    <row r="157" spans="10:28" ht="15.6" customHeight="1" x14ac:dyDescent="0.3">
      <c r="J157" s="2">
        <v>153</v>
      </c>
      <c r="K157" s="41" t="s">
        <v>32</v>
      </c>
      <c r="L157" s="41" t="s">
        <v>32</v>
      </c>
      <c r="M157" s="41" t="s">
        <v>29</v>
      </c>
      <c r="N157" s="41" t="s">
        <v>29</v>
      </c>
      <c r="O157" s="41" t="s">
        <v>32</v>
      </c>
      <c r="Q157" s="17">
        <f t="shared" si="25"/>
        <v>7</v>
      </c>
      <c r="R157" s="17">
        <f t="shared" si="26"/>
        <v>7</v>
      </c>
      <c r="S157" s="17">
        <f t="shared" si="27"/>
        <v>4</v>
      </c>
      <c r="T157" s="17">
        <f t="shared" si="28"/>
        <v>4</v>
      </c>
      <c r="U157" s="17">
        <f t="shared" si="29"/>
        <v>7</v>
      </c>
      <c r="W157" s="7">
        <v>8616</v>
      </c>
      <c r="X157" s="7">
        <v>10662</v>
      </c>
      <c r="Y157" s="7">
        <v>7595</v>
      </c>
      <c r="Z157" s="7">
        <v>5295</v>
      </c>
      <c r="AA157" s="7">
        <v>6794</v>
      </c>
      <c r="AB157" s="13"/>
    </row>
    <row r="158" spans="10:28" ht="15.6" customHeight="1" x14ac:dyDescent="0.3">
      <c r="J158" s="2">
        <v>154</v>
      </c>
      <c r="K158" s="41" t="s">
        <v>31</v>
      </c>
      <c r="L158" s="41" t="s">
        <v>32</v>
      </c>
      <c r="M158" s="41" t="s">
        <v>30</v>
      </c>
      <c r="N158" s="41" t="s">
        <v>33</v>
      </c>
      <c r="O158" s="41" t="s">
        <v>31</v>
      </c>
      <c r="Q158" s="17">
        <f t="shared" si="25"/>
        <v>6</v>
      </c>
      <c r="R158" s="17">
        <f t="shared" si="26"/>
        <v>7</v>
      </c>
      <c r="S158" s="17">
        <f t="shared" si="27"/>
        <v>5</v>
      </c>
      <c r="T158" s="17">
        <f t="shared" si="28"/>
        <v>8</v>
      </c>
      <c r="U158" s="17">
        <f t="shared" si="29"/>
        <v>6</v>
      </c>
      <c r="W158" s="7">
        <v>8490</v>
      </c>
      <c r="X158" s="7">
        <v>4853</v>
      </c>
      <c r="Y158" s="7">
        <v>20755</v>
      </c>
      <c r="Z158" s="7">
        <v>5667</v>
      </c>
      <c r="AA158" s="7">
        <v>6674</v>
      </c>
      <c r="AB158" s="13"/>
    </row>
    <row r="159" spans="10:28" ht="15.6" customHeight="1" x14ac:dyDescent="0.3">
      <c r="J159" s="2">
        <v>155</v>
      </c>
      <c r="K159" s="41" t="s">
        <v>31</v>
      </c>
      <c r="L159" s="41" t="s">
        <v>31</v>
      </c>
      <c r="M159" s="41" t="s">
        <v>34</v>
      </c>
      <c r="N159" s="41" t="s">
        <v>29</v>
      </c>
      <c r="O159" s="41" t="s">
        <v>34</v>
      </c>
      <c r="Q159" s="17">
        <f t="shared" si="25"/>
        <v>6</v>
      </c>
      <c r="R159" s="17">
        <f t="shared" si="26"/>
        <v>6</v>
      </c>
      <c r="S159" s="17">
        <f t="shared" si="27"/>
        <v>9</v>
      </c>
      <c r="T159" s="17">
        <f t="shared" si="28"/>
        <v>4</v>
      </c>
      <c r="U159" s="17">
        <f t="shared" si="29"/>
        <v>9</v>
      </c>
      <c r="W159" s="7">
        <v>9128</v>
      </c>
      <c r="X159" s="7">
        <v>3975</v>
      </c>
      <c r="Y159" s="7">
        <v>7624</v>
      </c>
      <c r="Z159" s="7">
        <v>6122</v>
      </c>
      <c r="AA159" s="7">
        <v>4866</v>
      </c>
      <c r="AB159" s="13"/>
    </row>
    <row r="160" spans="10:28" ht="15.6" customHeight="1" x14ac:dyDescent="0.3">
      <c r="J160" s="2">
        <v>156</v>
      </c>
      <c r="K160" s="41" t="s">
        <v>29</v>
      </c>
      <c r="L160" s="41" t="s">
        <v>48</v>
      </c>
      <c r="M160" s="41" t="s">
        <v>34</v>
      </c>
      <c r="N160" s="41" t="s">
        <v>30</v>
      </c>
      <c r="O160" s="41" t="s">
        <v>28</v>
      </c>
      <c r="Q160" s="17">
        <f t="shared" si="25"/>
        <v>4</v>
      </c>
      <c r="R160" s="17">
        <f t="shared" si="26"/>
        <v>17</v>
      </c>
      <c r="S160" s="17">
        <f t="shared" si="27"/>
        <v>9</v>
      </c>
      <c r="T160" s="17">
        <f t="shared" si="28"/>
        <v>5</v>
      </c>
      <c r="U160" s="17">
        <f t="shared" si="29"/>
        <v>3</v>
      </c>
      <c r="W160" s="7">
        <v>6095</v>
      </c>
      <c r="X160" s="7">
        <v>4026</v>
      </c>
      <c r="Y160" s="7">
        <v>8264</v>
      </c>
      <c r="Z160" s="7">
        <v>5353</v>
      </c>
      <c r="AA160" s="7">
        <v>5297</v>
      </c>
      <c r="AB160" s="13"/>
    </row>
    <row r="161" spans="10:28" ht="15.6" customHeight="1" x14ac:dyDescent="0.3">
      <c r="J161" s="2">
        <v>157</v>
      </c>
      <c r="K161" s="41" t="s">
        <v>35</v>
      </c>
      <c r="L161" s="41" t="s">
        <v>33</v>
      </c>
      <c r="M161" s="41" t="s">
        <v>35</v>
      </c>
      <c r="N161" s="41" t="s">
        <v>29</v>
      </c>
      <c r="O161" s="41" t="s">
        <v>31</v>
      </c>
      <c r="Q161" s="17">
        <f t="shared" si="25"/>
        <v>10</v>
      </c>
      <c r="R161" s="17">
        <f t="shared" si="26"/>
        <v>8</v>
      </c>
      <c r="S161" s="17">
        <f t="shared" si="27"/>
        <v>10</v>
      </c>
      <c r="T161" s="17">
        <f t="shared" si="28"/>
        <v>4</v>
      </c>
      <c r="U161" s="17">
        <f t="shared" si="29"/>
        <v>6</v>
      </c>
      <c r="W161" s="7">
        <v>8657</v>
      </c>
      <c r="X161" s="7">
        <v>4406</v>
      </c>
      <c r="Y161" s="7">
        <v>8648</v>
      </c>
      <c r="Z161" s="7">
        <v>6060</v>
      </c>
      <c r="AA161" s="7">
        <v>14153</v>
      </c>
      <c r="AB161" s="13"/>
    </row>
    <row r="162" spans="10:28" ht="15.6" customHeight="1" x14ac:dyDescent="0.3">
      <c r="J162" s="2">
        <v>158</v>
      </c>
      <c r="K162" s="41" t="s">
        <v>32</v>
      </c>
      <c r="L162" s="41" t="s">
        <v>33</v>
      </c>
      <c r="M162" s="41" t="s">
        <v>50</v>
      </c>
      <c r="N162" s="41" t="s">
        <v>33</v>
      </c>
      <c r="O162" s="41" t="s">
        <v>35</v>
      </c>
      <c r="Q162" s="17">
        <f t="shared" si="25"/>
        <v>7</v>
      </c>
      <c r="R162" s="17">
        <f t="shared" si="26"/>
        <v>8</v>
      </c>
      <c r="S162" s="17">
        <f t="shared" si="27"/>
        <v>18</v>
      </c>
      <c r="T162" s="17">
        <f t="shared" si="28"/>
        <v>8</v>
      </c>
      <c r="U162" s="17">
        <f t="shared" si="29"/>
        <v>10</v>
      </c>
      <c r="W162" s="7">
        <v>8556</v>
      </c>
      <c r="X162" s="7">
        <v>5326</v>
      </c>
      <c r="Y162" s="7">
        <v>7595</v>
      </c>
      <c r="Z162" s="7">
        <v>5669</v>
      </c>
      <c r="AA162" s="7">
        <v>6632</v>
      </c>
      <c r="AB162" s="13"/>
    </row>
    <row r="163" spans="10:28" ht="15.6" customHeight="1" x14ac:dyDescent="0.3">
      <c r="J163" s="2">
        <v>159</v>
      </c>
      <c r="K163" s="41" t="s">
        <v>33</v>
      </c>
      <c r="L163" s="41" t="s">
        <v>29</v>
      </c>
      <c r="M163" s="41" t="s">
        <v>34</v>
      </c>
      <c r="N163" s="41" t="s">
        <v>30</v>
      </c>
      <c r="O163" s="41" t="s">
        <v>33</v>
      </c>
      <c r="Q163" s="17">
        <f t="shared" si="25"/>
        <v>8</v>
      </c>
      <c r="R163" s="17">
        <f t="shared" si="26"/>
        <v>4</v>
      </c>
      <c r="S163" s="17">
        <f t="shared" si="27"/>
        <v>9</v>
      </c>
      <c r="T163" s="17">
        <f t="shared" si="28"/>
        <v>5</v>
      </c>
      <c r="U163" s="17">
        <f t="shared" si="29"/>
        <v>8</v>
      </c>
      <c r="W163" s="7">
        <v>6018</v>
      </c>
      <c r="X163" s="7">
        <v>5408</v>
      </c>
      <c r="Y163" s="7">
        <v>44207</v>
      </c>
      <c r="Z163" s="7">
        <v>5420</v>
      </c>
      <c r="AA163" s="7">
        <v>6565</v>
      </c>
      <c r="AB163" s="13"/>
    </row>
    <row r="164" spans="10:28" ht="15.6" customHeight="1" x14ac:dyDescent="0.3">
      <c r="J164" s="2">
        <v>160</v>
      </c>
      <c r="K164" s="41" t="s">
        <v>32</v>
      </c>
      <c r="L164" s="41" t="s">
        <v>42</v>
      </c>
      <c r="M164" s="41" t="s">
        <v>35</v>
      </c>
      <c r="N164" s="41" t="s">
        <v>50</v>
      </c>
      <c r="O164" s="41" t="s">
        <v>30</v>
      </c>
      <c r="Q164" s="17">
        <f t="shared" ref="Q164:Q195" si="30">IF(K164="","",VLOOKUP(K164,$A$4:$H$22,8,FALSE))</f>
        <v>7</v>
      </c>
      <c r="R164" s="17">
        <f t="shared" ref="R164:R195" si="31">IF(L164="","",VLOOKUP(L164,$A$4:$H$22,8,FALSE))</f>
        <v>14</v>
      </c>
      <c r="S164" s="17">
        <f t="shared" ref="S164:S195" si="32">IF(M164="","",VLOOKUP(M164,$A$4:$H$22,8,FALSE))</f>
        <v>10</v>
      </c>
      <c r="T164" s="17">
        <f t="shared" ref="T164:T195" si="33">IF(N164="","",VLOOKUP(N164,$A$4:$H$22,8,FALSE))</f>
        <v>18</v>
      </c>
      <c r="U164" s="17">
        <f t="shared" ref="U164:U195" si="34">IF(O164="","",VLOOKUP(O164,$A$4:$H$22,8,FALSE))</f>
        <v>5</v>
      </c>
      <c r="W164" s="7">
        <v>6049</v>
      </c>
      <c r="X164" s="7">
        <v>6285</v>
      </c>
      <c r="Y164" s="7">
        <v>11086</v>
      </c>
      <c r="Z164" s="7">
        <v>15355</v>
      </c>
      <c r="AA164" s="7">
        <v>18599</v>
      </c>
      <c r="AB164" s="13"/>
    </row>
    <row r="165" spans="10:28" ht="15.6" customHeight="1" x14ac:dyDescent="0.3">
      <c r="J165" s="2">
        <v>161</v>
      </c>
      <c r="K165" s="41" t="s">
        <v>32</v>
      </c>
      <c r="L165" s="41" t="s">
        <v>34</v>
      </c>
      <c r="M165" s="41" t="s">
        <v>34</v>
      </c>
      <c r="N165" s="41" t="s">
        <v>35</v>
      </c>
      <c r="O165" s="41" t="s">
        <v>34</v>
      </c>
      <c r="Q165" s="17">
        <f t="shared" si="30"/>
        <v>7</v>
      </c>
      <c r="R165" s="17">
        <f t="shared" si="31"/>
        <v>9</v>
      </c>
      <c r="S165" s="17">
        <f t="shared" si="32"/>
        <v>9</v>
      </c>
      <c r="T165" s="17">
        <f t="shared" si="33"/>
        <v>10</v>
      </c>
      <c r="U165" s="17">
        <f t="shared" si="34"/>
        <v>9</v>
      </c>
      <c r="W165" s="7">
        <v>6777</v>
      </c>
      <c r="X165" s="7">
        <v>16491</v>
      </c>
      <c r="Y165" s="7">
        <v>11086</v>
      </c>
      <c r="Z165" s="7">
        <v>17814</v>
      </c>
      <c r="AA165" s="7">
        <v>5396</v>
      </c>
      <c r="AB165" s="13"/>
    </row>
    <row r="166" spans="10:28" ht="15.6" customHeight="1" x14ac:dyDescent="0.3">
      <c r="J166" s="2">
        <v>162</v>
      </c>
      <c r="K166" s="41" t="s">
        <v>30</v>
      </c>
      <c r="L166" s="41" t="s">
        <v>32</v>
      </c>
      <c r="M166" s="41" t="s">
        <v>34</v>
      </c>
      <c r="N166" s="41" t="s">
        <v>31</v>
      </c>
      <c r="O166" s="41" t="s">
        <v>33</v>
      </c>
      <c r="Q166" s="17">
        <f t="shared" si="30"/>
        <v>5</v>
      </c>
      <c r="R166" s="17">
        <f t="shared" si="31"/>
        <v>7</v>
      </c>
      <c r="S166" s="17">
        <f t="shared" si="32"/>
        <v>9</v>
      </c>
      <c r="T166" s="17">
        <f t="shared" si="33"/>
        <v>6</v>
      </c>
      <c r="U166" s="17">
        <f t="shared" si="34"/>
        <v>8</v>
      </c>
      <c r="W166" s="7">
        <v>5761</v>
      </c>
      <c r="X166" s="7">
        <v>7058</v>
      </c>
      <c r="Y166" s="7">
        <v>11086</v>
      </c>
      <c r="Z166" s="7">
        <v>6158</v>
      </c>
      <c r="AA166" s="7">
        <v>5919</v>
      </c>
      <c r="AB166" s="13"/>
    </row>
    <row r="167" spans="10:28" ht="15.6" customHeight="1" x14ac:dyDescent="0.3">
      <c r="J167" s="2">
        <v>163</v>
      </c>
      <c r="K167" s="41" t="s">
        <v>29</v>
      </c>
      <c r="L167" s="41" t="s">
        <v>32</v>
      </c>
      <c r="M167" s="41" t="s">
        <v>28</v>
      </c>
      <c r="N167" s="41" t="s">
        <v>33</v>
      </c>
      <c r="O167" s="41" t="s">
        <v>32</v>
      </c>
      <c r="Q167" s="17">
        <f t="shared" si="30"/>
        <v>4</v>
      </c>
      <c r="R167" s="17">
        <f t="shared" si="31"/>
        <v>7</v>
      </c>
      <c r="S167" s="17">
        <f t="shared" si="32"/>
        <v>3</v>
      </c>
      <c r="T167" s="17">
        <f t="shared" si="33"/>
        <v>8</v>
      </c>
      <c r="U167" s="17">
        <f t="shared" si="34"/>
        <v>7</v>
      </c>
      <c r="W167" s="7">
        <v>15576</v>
      </c>
      <c r="X167" s="7">
        <v>8676</v>
      </c>
      <c r="Y167" s="7">
        <v>11086</v>
      </c>
      <c r="Z167" s="7">
        <v>5825</v>
      </c>
      <c r="AA167" s="7">
        <v>11161</v>
      </c>
      <c r="AB167" s="13"/>
    </row>
    <row r="168" spans="10:28" ht="15.6" customHeight="1" x14ac:dyDescent="0.3">
      <c r="J168" s="2">
        <v>164</v>
      </c>
      <c r="K168" s="41" t="s">
        <v>35</v>
      </c>
      <c r="L168" s="41" t="s">
        <v>32</v>
      </c>
      <c r="M168" s="41" t="s">
        <v>35</v>
      </c>
      <c r="N168" s="41" t="s">
        <v>34</v>
      </c>
      <c r="O168" s="41" t="s">
        <v>33</v>
      </c>
      <c r="Q168" s="17">
        <f t="shared" si="30"/>
        <v>10</v>
      </c>
      <c r="R168" s="17">
        <f t="shared" si="31"/>
        <v>7</v>
      </c>
      <c r="S168" s="17">
        <f t="shared" si="32"/>
        <v>10</v>
      </c>
      <c r="T168" s="17">
        <f t="shared" si="33"/>
        <v>9</v>
      </c>
      <c r="U168" s="17">
        <f t="shared" si="34"/>
        <v>8</v>
      </c>
      <c r="W168" s="7">
        <v>43991</v>
      </c>
      <c r="X168" s="7">
        <v>4289</v>
      </c>
      <c r="Y168" s="7">
        <v>15580</v>
      </c>
      <c r="Z168" s="7">
        <v>5295</v>
      </c>
      <c r="AA168" s="7">
        <v>8276</v>
      </c>
      <c r="AB168" s="13"/>
    </row>
    <row r="169" spans="10:28" ht="15.6" customHeight="1" x14ac:dyDescent="0.3">
      <c r="J169" s="2">
        <v>165</v>
      </c>
      <c r="K169" s="41" t="s">
        <v>35</v>
      </c>
      <c r="L169" s="41" t="s">
        <v>32</v>
      </c>
      <c r="M169" s="41" t="s">
        <v>48</v>
      </c>
      <c r="N169" s="41" t="s">
        <v>33</v>
      </c>
      <c r="O169" s="41" t="s">
        <v>32</v>
      </c>
      <c r="Q169" s="17">
        <f t="shared" si="30"/>
        <v>10</v>
      </c>
      <c r="R169" s="17">
        <f t="shared" si="31"/>
        <v>7</v>
      </c>
      <c r="S169" s="17">
        <f t="shared" si="32"/>
        <v>17</v>
      </c>
      <c r="T169" s="17">
        <f t="shared" si="33"/>
        <v>8</v>
      </c>
      <c r="U169" s="17">
        <f t="shared" si="34"/>
        <v>7</v>
      </c>
      <c r="W169" s="7">
        <v>43425</v>
      </c>
      <c r="X169" s="7">
        <v>4418</v>
      </c>
      <c r="Y169" s="7">
        <v>5125</v>
      </c>
      <c r="Z169" s="7">
        <v>5295</v>
      </c>
      <c r="AA169" s="7">
        <v>25022</v>
      </c>
      <c r="AB169" s="13"/>
    </row>
    <row r="170" spans="10:28" ht="15.6" customHeight="1" x14ac:dyDescent="0.3">
      <c r="J170" s="2">
        <v>166</v>
      </c>
      <c r="K170" s="41" t="s">
        <v>32</v>
      </c>
      <c r="L170" s="41" t="s">
        <v>44</v>
      </c>
      <c r="M170" s="41" t="s">
        <v>34</v>
      </c>
      <c r="N170" s="41" t="s">
        <v>31</v>
      </c>
      <c r="O170" s="41" t="s">
        <v>31</v>
      </c>
      <c r="Q170" s="17">
        <f t="shared" si="30"/>
        <v>7</v>
      </c>
      <c r="R170" s="17">
        <f t="shared" si="31"/>
        <v>15</v>
      </c>
      <c r="S170" s="17">
        <f t="shared" si="32"/>
        <v>9</v>
      </c>
      <c r="T170" s="17">
        <f t="shared" si="33"/>
        <v>6</v>
      </c>
      <c r="U170" s="17">
        <f t="shared" si="34"/>
        <v>6</v>
      </c>
      <c r="W170" s="7">
        <v>32896</v>
      </c>
      <c r="X170" s="7">
        <v>4405</v>
      </c>
      <c r="Y170" s="7">
        <v>5777</v>
      </c>
      <c r="Z170" s="7">
        <v>5295</v>
      </c>
      <c r="AA170" s="7">
        <v>8365</v>
      </c>
      <c r="AB170" s="13"/>
    </row>
    <row r="171" spans="10:28" ht="15.6" customHeight="1" x14ac:dyDescent="0.3">
      <c r="J171" s="2">
        <v>167</v>
      </c>
      <c r="K171" s="41" t="s">
        <v>32</v>
      </c>
      <c r="L171" s="41" t="s">
        <v>44</v>
      </c>
      <c r="M171" s="41" t="s">
        <v>40</v>
      </c>
      <c r="N171" s="41" t="s">
        <v>34</v>
      </c>
      <c r="O171" s="41" t="s">
        <v>35</v>
      </c>
      <c r="Q171" s="17">
        <f t="shared" si="30"/>
        <v>7</v>
      </c>
      <c r="R171" s="17">
        <f t="shared" si="31"/>
        <v>15</v>
      </c>
      <c r="S171" s="17">
        <f t="shared" si="32"/>
        <v>13</v>
      </c>
      <c r="T171" s="17">
        <f t="shared" si="33"/>
        <v>9</v>
      </c>
      <c r="U171" s="17">
        <f t="shared" si="34"/>
        <v>10</v>
      </c>
      <c r="W171" s="7">
        <v>15661</v>
      </c>
      <c r="X171" s="7">
        <v>4261</v>
      </c>
      <c r="Y171" s="7">
        <v>5655</v>
      </c>
      <c r="Z171" s="7">
        <v>5445</v>
      </c>
      <c r="AA171" s="7">
        <v>5919</v>
      </c>
      <c r="AB171" s="13"/>
    </row>
    <row r="172" spans="10:28" ht="15.6" customHeight="1" x14ac:dyDescent="0.3">
      <c r="J172" s="2">
        <v>168</v>
      </c>
      <c r="K172" s="41" t="s">
        <v>31</v>
      </c>
      <c r="L172" s="41" t="s">
        <v>31</v>
      </c>
      <c r="M172" s="41" t="s">
        <v>30</v>
      </c>
      <c r="N172" s="41" t="s">
        <v>28</v>
      </c>
      <c r="O172" s="41" t="s">
        <v>29</v>
      </c>
      <c r="Q172" s="17">
        <f t="shared" si="30"/>
        <v>6</v>
      </c>
      <c r="R172" s="17">
        <f t="shared" si="31"/>
        <v>6</v>
      </c>
      <c r="S172" s="17">
        <f t="shared" si="32"/>
        <v>5</v>
      </c>
      <c r="T172" s="17">
        <f t="shared" si="33"/>
        <v>3</v>
      </c>
      <c r="U172" s="17">
        <f t="shared" si="34"/>
        <v>4</v>
      </c>
      <c r="W172" s="7">
        <v>5673</v>
      </c>
      <c r="X172" s="7">
        <v>8646</v>
      </c>
      <c r="Y172" s="7">
        <v>4908</v>
      </c>
      <c r="Z172" s="7">
        <v>6288</v>
      </c>
      <c r="AA172" s="7">
        <v>11161</v>
      </c>
      <c r="AB172" s="13"/>
    </row>
    <row r="173" spans="10:28" ht="15.6" customHeight="1" x14ac:dyDescent="0.3">
      <c r="J173" s="2">
        <v>169</v>
      </c>
      <c r="K173" s="41" t="s">
        <v>31</v>
      </c>
      <c r="L173" s="41" t="s">
        <v>29</v>
      </c>
      <c r="M173" s="41" t="s">
        <v>29</v>
      </c>
      <c r="N173" s="41" t="s">
        <v>33</v>
      </c>
      <c r="O173" s="41" t="s">
        <v>33</v>
      </c>
      <c r="Q173" s="17">
        <f t="shared" si="30"/>
        <v>6</v>
      </c>
      <c r="R173" s="17">
        <f t="shared" si="31"/>
        <v>4</v>
      </c>
      <c r="S173" s="17">
        <f t="shared" si="32"/>
        <v>4</v>
      </c>
      <c r="T173" s="17">
        <f t="shared" si="33"/>
        <v>8</v>
      </c>
      <c r="U173" s="17">
        <f t="shared" si="34"/>
        <v>8</v>
      </c>
      <c r="W173" s="7">
        <v>6702</v>
      </c>
      <c r="X173" s="7">
        <v>27086</v>
      </c>
      <c r="Y173" s="7">
        <v>14607</v>
      </c>
      <c r="Z173" s="7">
        <v>6018</v>
      </c>
      <c r="AA173" s="7">
        <v>8276</v>
      </c>
      <c r="AB173" s="13"/>
    </row>
    <row r="174" spans="10:28" ht="15.6" customHeight="1" x14ac:dyDescent="0.3">
      <c r="J174" s="2">
        <v>170</v>
      </c>
      <c r="K174" s="41" t="s">
        <v>33</v>
      </c>
      <c r="L174" s="41" t="s">
        <v>32</v>
      </c>
      <c r="M174" s="41" t="s">
        <v>33</v>
      </c>
      <c r="N174" s="41" t="s">
        <v>34</v>
      </c>
      <c r="O174" s="41" t="s">
        <v>33</v>
      </c>
      <c r="Q174" s="17">
        <f t="shared" si="30"/>
        <v>8</v>
      </c>
      <c r="R174" s="17">
        <f t="shared" si="31"/>
        <v>7</v>
      </c>
      <c r="S174" s="17">
        <f t="shared" si="32"/>
        <v>8</v>
      </c>
      <c r="T174" s="17">
        <f t="shared" si="33"/>
        <v>9</v>
      </c>
      <c r="U174" s="17">
        <f t="shared" si="34"/>
        <v>8</v>
      </c>
      <c r="W174" s="7">
        <v>6044</v>
      </c>
      <c r="X174" s="7">
        <v>20340</v>
      </c>
      <c r="Y174" s="7">
        <v>35349</v>
      </c>
      <c r="Z174" s="7">
        <v>17189</v>
      </c>
      <c r="AA174" s="7">
        <v>25022</v>
      </c>
      <c r="AB174" s="13"/>
    </row>
    <row r="175" spans="10:28" ht="15.6" customHeight="1" x14ac:dyDescent="0.3">
      <c r="J175" s="2">
        <v>171</v>
      </c>
      <c r="K175" s="41" t="s">
        <v>29</v>
      </c>
      <c r="L175" s="41" t="s">
        <v>32</v>
      </c>
      <c r="M175" s="41" t="s">
        <v>31</v>
      </c>
      <c r="N175" s="41" t="s">
        <v>34</v>
      </c>
      <c r="O175" s="41" t="s">
        <v>32</v>
      </c>
      <c r="Q175" s="17">
        <f t="shared" si="30"/>
        <v>4</v>
      </c>
      <c r="R175" s="17">
        <f t="shared" si="31"/>
        <v>7</v>
      </c>
      <c r="S175" s="17">
        <f t="shared" si="32"/>
        <v>6</v>
      </c>
      <c r="T175" s="17">
        <f t="shared" si="33"/>
        <v>9</v>
      </c>
      <c r="U175" s="17">
        <f t="shared" si="34"/>
        <v>7</v>
      </c>
      <c r="W175" s="7">
        <v>20459</v>
      </c>
      <c r="X175" s="7">
        <v>8676</v>
      </c>
      <c r="Y175" s="7">
        <v>35504</v>
      </c>
      <c r="Z175" s="7">
        <v>15774</v>
      </c>
      <c r="AA175" s="7">
        <v>8365</v>
      </c>
      <c r="AB175" s="13"/>
    </row>
    <row r="176" spans="10:28" ht="15.6" customHeight="1" x14ac:dyDescent="0.3">
      <c r="J176" s="2">
        <v>172</v>
      </c>
      <c r="K176" s="41" t="s">
        <v>34</v>
      </c>
      <c r="L176" s="41" t="s">
        <v>34</v>
      </c>
      <c r="M176" s="41" t="s">
        <v>35</v>
      </c>
      <c r="N176" s="41" t="s">
        <v>31</v>
      </c>
      <c r="O176" s="41" t="s">
        <v>34</v>
      </c>
      <c r="Q176" s="17">
        <f t="shared" si="30"/>
        <v>9</v>
      </c>
      <c r="R176" s="17">
        <f t="shared" si="31"/>
        <v>9</v>
      </c>
      <c r="S176" s="17">
        <f t="shared" si="32"/>
        <v>10</v>
      </c>
      <c r="T176" s="17">
        <f t="shared" si="33"/>
        <v>6</v>
      </c>
      <c r="U176" s="17">
        <f t="shared" si="34"/>
        <v>9</v>
      </c>
      <c r="W176" s="7">
        <v>19276</v>
      </c>
      <c r="X176" s="7">
        <v>4289</v>
      </c>
      <c r="Y176" s="7">
        <v>35545</v>
      </c>
      <c r="Z176" s="7">
        <v>15713</v>
      </c>
      <c r="AA176" s="7">
        <v>5919</v>
      </c>
      <c r="AB176" s="13"/>
    </row>
    <row r="177" spans="10:28" ht="15.6" customHeight="1" x14ac:dyDescent="0.3">
      <c r="J177" s="2">
        <v>173</v>
      </c>
      <c r="K177" s="41" t="s">
        <v>34</v>
      </c>
      <c r="L177" s="41" t="s">
        <v>31</v>
      </c>
      <c r="M177" s="41" t="s">
        <v>32</v>
      </c>
      <c r="N177" s="41" t="s">
        <v>33</v>
      </c>
      <c r="O177" s="41" t="s">
        <v>34</v>
      </c>
      <c r="Q177" s="17">
        <f t="shared" si="30"/>
        <v>9</v>
      </c>
      <c r="R177" s="17">
        <f t="shared" si="31"/>
        <v>6</v>
      </c>
      <c r="S177" s="17">
        <f t="shared" si="32"/>
        <v>7</v>
      </c>
      <c r="T177" s="17">
        <f t="shared" si="33"/>
        <v>8</v>
      </c>
      <c r="U177" s="17">
        <f t="shared" si="34"/>
        <v>9</v>
      </c>
      <c r="W177" s="7">
        <v>18352</v>
      </c>
      <c r="X177" s="7">
        <v>4288</v>
      </c>
      <c r="Y177" s="7">
        <v>35436</v>
      </c>
      <c r="Z177" s="7">
        <v>16332</v>
      </c>
      <c r="AA177" s="7">
        <v>5399</v>
      </c>
      <c r="AB177" s="13"/>
    </row>
    <row r="178" spans="10:28" ht="15.6" customHeight="1" x14ac:dyDescent="0.3">
      <c r="J178" s="2">
        <v>174</v>
      </c>
      <c r="K178" s="41" t="s">
        <v>34</v>
      </c>
      <c r="L178" s="41" t="s">
        <v>29</v>
      </c>
      <c r="M178" s="41" t="s">
        <v>34</v>
      </c>
      <c r="N178" s="41" t="s">
        <v>34</v>
      </c>
      <c r="O178" s="41" t="s">
        <v>34</v>
      </c>
      <c r="Q178" s="17">
        <f t="shared" si="30"/>
        <v>9</v>
      </c>
      <c r="R178" s="17">
        <f t="shared" si="31"/>
        <v>4</v>
      </c>
      <c r="S178" s="17">
        <f t="shared" si="32"/>
        <v>9</v>
      </c>
      <c r="T178" s="17">
        <f t="shared" si="33"/>
        <v>9</v>
      </c>
      <c r="U178" s="17">
        <f t="shared" si="34"/>
        <v>9</v>
      </c>
      <c r="W178" s="7">
        <v>19738</v>
      </c>
      <c r="X178" s="7">
        <v>4418</v>
      </c>
      <c r="Y178" s="7">
        <v>10601</v>
      </c>
      <c r="Z178" s="7">
        <v>14046</v>
      </c>
      <c r="AA178" s="7">
        <v>4633</v>
      </c>
      <c r="AB178" s="13"/>
    </row>
    <row r="179" spans="10:28" ht="15.6" customHeight="1" x14ac:dyDescent="0.3">
      <c r="J179" s="2">
        <v>175</v>
      </c>
      <c r="K179" s="41" t="s">
        <v>28</v>
      </c>
      <c r="L179" s="41" t="s">
        <v>32</v>
      </c>
      <c r="M179" s="41" t="s">
        <v>34</v>
      </c>
      <c r="N179" s="41" t="s">
        <v>33</v>
      </c>
      <c r="O179" s="41" t="s">
        <v>35</v>
      </c>
      <c r="Q179" s="17">
        <f t="shared" si="30"/>
        <v>3</v>
      </c>
      <c r="R179" s="17">
        <f t="shared" si="31"/>
        <v>7</v>
      </c>
      <c r="S179" s="17">
        <f t="shared" si="32"/>
        <v>9</v>
      </c>
      <c r="T179" s="17">
        <f t="shared" si="33"/>
        <v>8</v>
      </c>
      <c r="U179" s="17">
        <f t="shared" si="34"/>
        <v>10</v>
      </c>
      <c r="W179" s="7">
        <v>16562</v>
      </c>
      <c r="X179" s="7">
        <v>5130</v>
      </c>
      <c r="Y179" s="7">
        <v>12917</v>
      </c>
      <c r="Z179" s="7">
        <v>5555</v>
      </c>
      <c r="AA179" s="7">
        <v>4568</v>
      </c>
      <c r="AB179" s="13"/>
    </row>
    <row r="180" spans="10:28" ht="15.6" customHeight="1" x14ac:dyDescent="0.3">
      <c r="J180" s="2">
        <v>176</v>
      </c>
      <c r="K180" s="41" t="s">
        <v>35</v>
      </c>
      <c r="L180" s="41" t="s">
        <v>31</v>
      </c>
      <c r="M180" s="41" t="s">
        <v>35</v>
      </c>
      <c r="N180" s="41" t="s">
        <v>34</v>
      </c>
      <c r="O180" s="41" t="s">
        <v>30</v>
      </c>
      <c r="Q180" s="17">
        <f t="shared" si="30"/>
        <v>10</v>
      </c>
      <c r="R180" s="17">
        <f t="shared" si="31"/>
        <v>6</v>
      </c>
      <c r="S180" s="17">
        <f t="shared" si="32"/>
        <v>10</v>
      </c>
      <c r="T180" s="17">
        <f t="shared" si="33"/>
        <v>9</v>
      </c>
      <c r="U180" s="17">
        <f t="shared" si="34"/>
        <v>5</v>
      </c>
      <c r="W180" s="7">
        <v>16051</v>
      </c>
      <c r="X180" s="7">
        <v>14114</v>
      </c>
      <c r="Y180" s="7">
        <v>5308</v>
      </c>
      <c r="Z180" s="7">
        <v>5334</v>
      </c>
      <c r="AA180" s="7">
        <v>4496</v>
      </c>
      <c r="AB180" s="13"/>
    </row>
    <row r="181" spans="10:28" ht="15.6" customHeight="1" x14ac:dyDescent="0.3">
      <c r="J181" s="2">
        <v>177</v>
      </c>
      <c r="K181" s="41" t="s">
        <v>32</v>
      </c>
      <c r="L181" s="41" t="s">
        <v>29</v>
      </c>
      <c r="M181" s="41" t="s">
        <v>32</v>
      </c>
      <c r="N181" s="41" t="s">
        <v>42</v>
      </c>
      <c r="O181" s="41" t="s">
        <v>30</v>
      </c>
      <c r="Q181" s="17">
        <f t="shared" si="30"/>
        <v>7</v>
      </c>
      <c r="R181" s="17">
        <f t="shared" si="31"/>
        <v>4</v>
      </c>
      <c r="S181" s="17">
        <f t="shared" si="32"/>
        <v>7</v>
      </c>
      <c r="T181" s="17">
        <f t="shared" si="33"/>
        <v>14</v>
      </c>
      <c r="U181" s="17">
        <f t="shared" si="34"/>
        <v>5</v>
      </c>
      <c r="W181" s="7">
        <v>5881</v>
      </c>
      <c r="X181" s="7">
        <v>5259</v>
      </c>
      <c r="Y181" s="7">
        <v>5371</v>
      </c>
      <c r="Z181" s="7">
        <v>15875</v>
      </c>
      <c r="AA181" s="7">
        <v>5396</v>
      </c>
      <c r="AB181" s="13"/>
    </row>
    <row r="182" spans="10:28" ht="15.6" customHeight="1" x14ac:dyDescent="0.3">
      <c r="J182" s="2">
        <v>178</v>
      </c>
      <c r="K182" s="41" t="s">
        <v>32</v>
      </c>
      <c r="L182" s="41" t="s">
        <v>35</v>
      </c>
      <c r="M182" s="41" t="s">
        <v>29</v>
      </c>
      <c r="N182" s="41" t="s">
        <v>28</v>
      </c>
      <c r="O182" s="41" t="s">
        <v>26</v>
      </c>
      <c r="Q182" s="17">
        <f t="shared" si="30"/>
        <v>7</v>
      </c>
      <c r="R182" s="17">
        <f t="shared" si="31"/>
        <v>10</v>
      </c>
      <c r="S182" s="17">
        <f t="shared" si="32"/>
        <v>4</v>
      </c>
      <c r="T182" s="17">
        <f t="shared" si="33"/>
        <v>3</v>
      </c>
      <c r="U182" s="17">
        <f t="shared" si="34"/>
        <v>2</v>
      </c>
      <c r="W182" s="7">
        <v>6703</v>
      </c>
      <c r="X182" s="7">
        <v>6628</v>
      </c>
      <c r="Y182" s="7">
        <v>5437</v>
      </c>
      <c r="Z182" s="7">
        <v>13916</v>
      </c>
      <c r="AA182" s="7">
        <v>4525</v>
      </c>
      <c r="AB182" s="13"/>
    </row>
    <row r="183" spans="10:28" ht="15.6" customHeight="1" x14ac:dyDescent="0.3">
      <c r="J183" s="2">
        <v>179</v>
      </c>
      <c r="K183" s="41" t="s">
        <v>33</v>
      </c>
      <c r="L183" s="41" t="s">
        <v>29</v>
      </c>
      <c r="M183" s="41" t="s">
        <v>44</v>
      </c>
      <c r="N183" s="41" t="s">
        <v>35</v>
      </c>
      <c r="O183" s="41" t="s">
        <v>29</v>
      </c>
      <c r="Q183" s="17">
        <f t="shared" si="30"/>
        <v>8</v>
      </c>
      <c r="R183" s="17">
        <f t="shared" si="31"/>
        <v>4</v>
      </c>
      <c r="S183" s="17">
        <f t="shared" si="32"/>
        <v>15</v>
      </c>
      <c r="T183" s="17">
        <f t="shared" si="33"/>
        <v>10</v>
      </c>
      <c r="U183" s="17">
        <f t="shared" si="34"/>
        <v>4</v>
      </c>
      <c r="W183" s="7">
        <v>5459</v>
      </c>
      <c r="X183" s="7">
        <v>7105</v>
      </c>
      <c r="Y183" s="7">
        <v>5362</v>
      </c>
      <c r="Z183" s="7">
        <v>39724</v>
      </c>
      <c r="AA183" s="7">
        <v>4961</v>
      </c>
      <c r="AB183" s="13"/>
    </row>
    <row r="184" spans="10:28" ht="15.6" customHeight="1" x14ac:dyDescent="0.3">
      <c r="J184" s="2">
        <v>180</v>
      </c>
      <c r="K184" s="41" t="s">
        <v>28</v>
      </c>
      <c r="L184" s="41" t="s">
        <v>42</v>
      </c>
      <c r="M184" s="41" t="s">
        <v>30</v>
      </c>
      <c r="N184" s="41" t="s">
        <v>34</v>
      </c>
      <c r="O184" s="41" t="s">
        <v>29</v>
      </c>
      <c r="Q184" s="17">
        <f t="shared" si="30"/>
        <v>3</v>
      </c>
      <c r="R184" s="17">
        <f t="shared" si="31"/>
        <v>14</v>
      </c>
      <c r="S184" s="17">
        <f t="shared" si="32"/>
        <v>5</v>
      </c>
      <c r="T184" s="17">
        <f t="shared" si="33"/>
        <v>9</v>
      </c>
      <c r="U184" s="17">
        <f t="shared" si="34"/>
        <v>4</v>
      </c>
      <c r="W184" s="7">
        <v>5916</v>
      </c>
      <c r="X184" s="7">
        <v>8646</v>
      </c>
      <c r="Y184" s="7">
        <v>14120</v>
      </c>
      <c r="Z184" s="7">
        <v>41591</v>
      </c>
      <c r="AA184" s="7">
        <v>5120</v>
      </c>
      <c r="AB184" s="13"/>
    </row>
    <row r="185" spans="10:28" ht="15.6" customHeight="1" x14ac:dyDescent="0.3">
      <c r="J185" s="2">
        <v>181</v>
      </c>
      <c r="K185" s="41" t="s">
        <v>35</v>
      </c>
      <c r="L185" s="41" t="s">
        <v>50</v>
      </c>
      <c r="M185" s="41" t="s">
        <v>35</v>
      </c>
      <c r="N185" s="41" t="s">
        <v>34</v>
      </c>
      <c r="O185" s="41" t="s">
        <v>29</v>
      </c>
      <c r="Q185" s="17">
        <f t="shared" si="30"/>
        <v>10</v>
      </c>
      <c r="R185" s="17">
        <f t="shared" si="31"/>
        <v>18</v>
      </c>
      <c r="S185" s="17">
        <f t="shared" si="32"/>
        <v>10</v>
      </c>
      <c r="T185" s="17">
        <f t="shared" si="33"/>
        <v>9</v>
      </c>
      <c r="U185" s="17">
        <f t="shared" si="34"/>
        <v>4</v>
      </c>
      <c r="W185" s="7">
        <v>5446</v>
      </c>
      <c r="X185" s="7">
        <v>27086</v>
      </c>
      <c r="Y185" s="7">
        <v>38813</v>
      </c>
      <c r="Z185" s="7">
        <v>13811</v>
      </c>
      <c r="AA185" s="7">
        <v>4970</v>
      </c>
      <c r="AB185" s="13"/>
    </row>
    <row r="186" spans="10:28" ht="15.6" customHeight="1" x14ac:dyDescent="0.3">
      <c r="J186" s="2">
        <v>182</v>
      </c>
      <c r="K186" s="41" t="s">
        <v>35</v>
      </c>
      <c r="L186" s="41" t="s">
        <v>31</v>
      </c>
      <c r="M186" s="41" t="s">
        <v>31</v>
      </c>
      <c r="N186" s="41" t="s">
        <v>31</v>
      </c>
      <c r="O186" s="41" t="s">
        <v>31</v>
      </c>
      <c r="Q186" s="17">
        <f t="shared" si="30"/>
        <v>10</v>
      </c>
      <c r="R186" s="17">
        <f t="shared" si="31"/>
        <v>6</v>
      </c>
      <c r="S186" s="17">
        <f t="shared" si="32"/>
        <v>6</v>
      </c>
      <c r="T186" s="17">
        <f t="shared" si="33"/>
        <v>6</v>
      </c>
      <c r="U186" s="17">
        <f t="shared" si="34"/>
        <v>6</v>
      </c>
      <c r="W186" s="7">
        <v>6415</v>
      </c>
      <c r="X186" s="7">
        <v>20340</v>
      </c>
      <c r="Y186" s="7">
        <v>14867</v>
      </c>
      <c r="Z186" s="7">
        <v>20213</v>
      </c>
      <c r="AA186" s="7">
        <v>5449</v>
      </c>
      <c r="AB186" s="13"/>
    </row>
    <row r="187" spans="10:28" ht="15.6" customHeight="1" x14ac:dyDescent="0.3">
      <c r="J187" s="2">
        <v>183</v>
      </c>
      <c r="K187" s="41" t="s">
        <v>29</v>
      </c>
      <c r="L187" s="41" t="s">
        <v>32</v>
      </c>
      <c r="M187" s="41" t="s">
        <v>35</v>
      </c>
      <c r="N187" s="41" t="s">
        <v>34</v>
      </c>
      <c r="O187" s="41" t="s">
        <v>32</v>
      </c>
      <c r="Q187" s="17">
        <f t="shared" si="30"/>
        <v>4</v>
      </c>
      <c r="R187" s="17">
        <f t="shared" si="31"/>
        <v>7</v>
      </c>
      <c r="S187" s="17">
        <f t="shared" si="32"/>
        <v>10</v>
      </c>
      <c r="T187" s="17">
        <f t="shared" si="33"/>
        <v>9</v>
      </c>
      <c r="U187" s="17">
        <f t="shared" si="34"/>
        <v>7</v>
      </c>
      <c r="W187" s="7">
        <v>0</v>
      </c>
      <c r="X187" s="7">
        <v>8676</v>
      </c>
      <c r="Y187" s="7">
        <v>14919</v>
      </c>
      <c r="Z187" s="7">
        <v>14492</v>
      </c>
      <c r="AA187" s="7">
        <v>6288</v>
      </c>
      <c r="AB187" s="13"/>
    </row>
    <row r="188" spans="10:28" ht="15.6" customHeight="1" x14ac:dyDescent="0.3">
      <c r="J188" s="2">
        <v>184</v>
      </c>
      <c r="K188" s="41" t="s">
        <v>30</v>
      </c>
      <c r="L188" s="41" t="s">
        <v>31</v>
      </c>
      <c r="M188" s="41" t="s">
        <v>32</v>
      </c>
      <c r="N188" s="41" t="s">
        <v>33</v>
      </c>
      <c r="O188" s="41" t="s">
        <v>32</v>
      </c>
      <c r="Q188" s="17">
        <f t="shared" si="30"/>
        <v>5</v>
      </c>
      <c r="R188" s="17">
        <f t="shared" si="31"/>
        <v>6</v>
      </c>
      <c r="S188" s="17">
        <f t="shared" si="32"/>
        <v>7</v>
      </c>
      <c r="T188" s="17">
        <f t="shared" si="33"/>
        <v>8</v>
      </c>
      <c r="U188" s="17">
        <f t="shared" si="34"/>
        <v>7</v>
      </c>
      <c r="W188" s="7">
        <v>0</v>
      </c>
      <c r="X188" s="7">
        <v>4288</v>
      </c>
      <c r="Y188" s="7">
        <v>13564</v>
      </c>
      <c r="Z188" s="7">
        <v>13811</v>
      </c>
      <c r="AA188" s="7">
        <v>14317</v>
      </c>
      <c r="AB188" s="13"/>
    </row>
    <row r="189" spans="10:28" ht="15.6" customHeight="1" x14ac:dyDescent="0.3">
      <c r="J189" s="2">
        <v>185</v>
      </c>
      <c r="K189" s="41" t="s">
        <v>32</v>
      </c>
      <c r="L189" s="41" t="s">
        <v>29</v>
      </c>
      <c r="M189" s="41" t="s">
        <v>35</v>
      </c>
      <c r="N189" s="41" t="s">
        <v>32</v>
      </c>
      <c r="O189" s="41" t="s">
        <v>28</v>
      </c>
      <c r="Q189" s="17">
        <f t="shared" si="30"/>
        <v>7</v>
      </c>
      <c r="R189" s="17">
        <f t="shared" si="31"/>
        <v>4</v>
      </c>
      <c r="S189" s="17">
        <f t="shared" si="32"/>
        <v>10</v>
      </c>
      <c r="T189" s="17">
        <f t="shared" si="33"/>
        <v>7</v>
      </c>
      <c r="U189" s="17">
        <f t="shared" si="34"/>
        <v>3</v>
      </c>
      <c r="W189" s="7">
        <v>0</v>
      </c>
      <c r="X189" s="7">
        <v>4288</v>
      </c>
      <c r="Y189" s="7">
        <v>4524</v>
      </c>
      <c r="Z189" s="7">
        <v>20213</v>
      </c>
      <c r="AA189" s="7">
        <v>14823</v>
      </c>
      <c r="AB189" s="13"/>
    </row>
    <row r="190" spans="10:28" ht="15.6" customHeight="1" x14ac:dyDescent="0.3">
      <c r="J190" s="2">
        <v>186</v>
      </c>
      <c r="K190" s="41" t="s">
        <v>26</v>
      </c>
      <c r="L190" s="41" t="s">
        <v>29</v>
      </c>
      <c r="M190" s="41" t="s">
        <v>50</v>
      </c>
      <c r="N190" s="41" t="s">
        <v>31</v>
      </c>
      <c r="O190" s="41" t="s">
        <v>32</v>
      </c>
      <c r="Q190" s="17">
        <f t="shared" si="30"/>
        <v>2</v>
      </c>
      <c r="R190" s="17">
        <f t="shared" si="31"/>
        <v>4</v>
      </c>
      <c r="S190" s="17">
        <f t="shared" si="32"/>
        <v>18</v>
      </c>
      <c r="T190" s="17">
        <f t="shared" si="33"/>
        <v>6</v>
      </c>
      <c r="U190" s="17">
        <f t="shared" si="34"/>
        <v>7</v>
      </c>
      <c r="W190" s="7">
        <v>0</v>
      </c>
      <c r="X190" s="7">
        <v>4418</v>
      </c>
      <c r="Y190" s="7">
        <v>11536</v>
      </c>
      <c r="Z190" s="7">
        <v>14492</v>
      </c>
      <c r="AA190" s="7">
        <v>15495</v>
      </c>
      <c r="AB190" s="13"/>
    </row>
    <row r="191" spans="10:28" ht="15.6" customHeight="1" x14ac:dyDescent="0.3">
      <c r="J191" s="2">
        <v>187</v>
      </c>
      <c r="K191" s="41" t="s">
        <v>28</v>
      </c>
      <c r="L191" s="41" t="s">
        <v>29</v>
      </c>
      <c r="M191" s="41" t="s">
        <v>34</v>
      </c>
      <c r="N191" s="41" t="s">
        <v>31</v>
      </c>
      <c r="O191" s="41" t="s">
        <v>31</v>
      </c>
      <c r="Q191" s="17">
        <f t="shared" si="30"/>
        <v>3</v>
      </c>
      <c r="R191" s="17">
        <f t="shared" si="31"/>
        <v>4</v>
      </c>
      <c r="S191" s="17">
        <f t="shared" si="32"/>
        <v>9</v>
      </c>
      <c r="T191" s="17">
        <f t="shared" si="33"/>
        <v>6</v>
      </c>
      <c r="U191" s="17">
        <f t="shared" si="34"/>
        <v>6</v>
      </c>
      <c r="W191" s="7">
        <v>7166</v>
      </c>
      <c r="X191" s="7">
        <v>5130</v>
      </c>
      <c r="Y191" s="7">
        <v>15691</v>
      </c>
      <c r="Z191" s="7">
        <v>13811</v>
      </c>
      <c r="AA191" s="7">
        <v>15288</v>
      </c>
      <c r="AB191" s="13"/>
    </row>
    <row r="192" spans="10:28" ht="15.6" customHeight="1" x14ac:dyDescent="0.3">
      <c r="J192" s="2">
        <v>188</v>
      </c>
      <c r="K192" s="41" t="s">
        <v>34</v>
      </c>
      <c r="L192" s="41" t="s">
        <v>32</v>
      </c>
      <c r="M192" s="41" t="s">
        <v>33</v>
      </c>
      <c r="N192" s="41" t="s">
        <v>34</v>
      </c>
      <c r="O192" s="41" t="s">
        <v>35</v>
      </c>
      <c r="Q192" s="17">
        <f t="shared" si="30"/>
        <v>9</v>
      </c>
      <c r="R192" s="17">
        <f t="shared" si="31"/>
        <v>7</v>
      </c>
      <c r="S192" s="17">
        <f t="shared" si="32"/>
        <v>8</v>
      </c>
      <c r="T192" s="17">
        <f t="shared" si="33"/>
        <v>9</v>
      </c>
      <c r="U192" s="17">
        <f t="shared" si="34"/>
        <v>10</v>
      </c>
      <c r="W192" s="7">
        <v>17024</v>
      </c>
      <c r="X192" s="7">
        <v>8487</v>
      </c>
      <c r="Y192" s="7">
        <v>13281</v>
      </c>
      <c r="Z192" s="7">
        <v>20213</v>
      </c>
      <c r="AA192" s="7">
        <v>18364</v>
      </c>
      <c r="AB192" s="13"/>
    </row>
    <row r="193" spans="10:28" ht="15.6" customHeight="1" x14ac:dyDescent="0.3">
      <c r="J193" s="2">
        <v>189</v>
      </c>
      <c r="K193" s="41" t="s">
        <v>29</v>
      </c>
      <c r="L193" s="41" t="s">
        <v>42</v>
      </c>
      <c r="M193" s="41" t="s">
        <v>35</v>
      </c>
      <c r="N193" s="41" t="s">
        <v>46</v>
      </c>
      <c r="O193" s="41" t="s">
        <v>31</v>
      </c>
      <c r="Q193" s="17">
        <f t="shared" si="30"/>
        <v>4</v>
      </c>
      <c r="R193" s="17">
        <f t="shared" si="31"/>
        <v>14</v>
      </c>
      <c r="S193" s="17">
        <f t="shared" si="32"/>
        <v>10</v>
      </c>
      <c r="T193" s="17">
        <f t="shared" si="33"/>
        <v>16</v>
      </c>
      <c r="U193" s="17">
        <f t="shared" si="34"/>
        <v>6</v>
      </c>
      <c r="W193" s="7">
        <v>6159</v>
      </c>
      <c r="X193" s="7">
        <v>16920</v>
      </c>
      <c r="Y193" s="7">
        <v>35577</v>
      </c>
      <c r="Z193" s="7">
        <v>14492</v>
      </c>
      <c r="AA193" s="7">
        <v>6801</v>
      </c>
      <c r="AB193" s="13"/>
    </row>
    <row r="194" spans="10:28" ht="15.6" customHeight="1" x14ac:dyDescent="0.3">
      <c r="J194" s="2">
        <v>190</v>
      </c>
      <c r="K194" s="41" t="s">
        <v>32</v>
      </c>
      <c r="L194" s="41" t="s">
        <v>34</v>
      </c>
      <c r="M194" s="41" t="s">
        <v>35</v>
      </c>
      <c r="N194" s="41" t="s">
        <v>31</v>
      </c>
      <c r="O194" s="41" t="s">
        <v>34</v>
      </c>
      <c r="Q194" s="17">
        <f t="shared" si="30"/>
        <v>7</v>
      </c>
      <c r="R194" s="17">
        <f t="shared" si="31"/>
        <v>9</v>
      </c>
      <c r="S194" s="17">
        <f t="shared" si="32"/>
        <v>10</v>
      </c>
      <c r="T194" s="17">
        <f t="shared" si="33"/>
        <v>6</v>
      </c>
      <c r="U194" s="17">
        <f t="shared" si="34"/>
        <v>9</v>
      </c>
      <c r="W194" s="7">
        <v>17734</v>
      </c>
      <c r="X194" s="7">
        <v>15948</v>
      </c>
      <c r="Y194" s="7">
        <v>36116</v>
      </c>
      <c r="Z194" s="7">
        <v>39854</v>
      </c>
      <c r="AA194" s="7">
        <v>18172</v>
      </c>
      <c r="AB194" s="13"/>
    </row>
    <row r="195" spans="10:28" ht="15.6" customHeight="1" x14ac:dyDescent="0.3">
      <c r="J195" s="2">
        <v>191</v>
      </c>
      <c r="K195" s="41" t="s">
        <v>35</v>
      </c>
      <c r="L195" s="41" t="s">
        <v>35</v>
      </c>
      <c r="M195" s="41" t="s">
        <v>48</v>
      </c>
      <c r="N195" s="41" t="s">
        <v>31</v>
      </c>
      <c r="O195" s="41" t="s">
        <v>28</v>
      </c>
      <c r="Q195" s="17">
        <f t="shared" si="30"/>
        <v>10</v>
      </c>
      <c r="R195" s="17">
        <f t="shared" si="31"/>
        <v>10</v>
      </c>
      <c r="S195" s="17">
        <f t="shared" si="32"/>
        <v>17</v>
      </c>
      <c r="T195" s="17">
        <f t="shared" si="33"/>
        <v>6</v>
      </c>
      <c r="U195" s="17">
        <f t="shared" si="34"/>
        <v>3</v>
      </c>
      <c r="W195" s="7">
        <v>18226</v>
      </c>
      <c r="X195" s="7">
        <v>10879</v>
      </c>
      <c r="Y195" s="7">
        <v>14559</v>
      </c>
      <c r="Z195" s="7">
        <v>13689</v>
      </c>
      <c r="AA195" s="7">
        <v>17267</v>
      </c>
      <c r="AB195" s="13"/>
    </row>
    <row r="196" spans="10:28" ht="15.6" customHeight="1" x14ac:dyDescent="0.3">
      <c r="J196" s="2">
        <v>192</v>
      </c>
      <c r="K196" s="41" t="s">
        <v>33</v>
      </c>
      <c r="L196" s="41" t="s">
        <v>38</v>
      </c>
      <c r="M196" s="41" t="s">
        <v>31</v>
      </c>
      <c r="N196" s="41" t="s">
        <v>31</v>
      </c>
      <c r="O196" s="41" t="s">
        <v>34</v>
      </c>
      <c r="Q196" s="17">
        <f t="shared" ref="Q196:Q203" si="35">IF(K196="","",VLOOKUP(K196,$A$4:$H$22,8,FALSE))</f>
        <v>8</v>
      </c>
      <c r="R196" s="17">
        <f t="shared" ref="R196:R203" si="36">IF(L196="","",VLOOKUP(L196,$A$4:$H$22,8,FALSE))</f>
        <v>12</v>
      </c>
      <c r="S196" s="17">
        <f t="shared" ref="S196:S203" si="37">IF(M196="","",VLOOKUP(M196,$A$4:$H$22,8,FALSE))</f>
        <v>6</v>
      </c>
      <c r="T196" s="17">
        <f t="shared" ref="T196:T203" si="38">IF(N196="","",VLOOKUP(N196,$A$4:$H$22,8,FALSE))</f>
        <v>6</v>
      </c>
      <c r="U196" s="17">
        <f t="shared" ref="U196:U203" si="39">IF(O196="","",VLOOKUP(O196,$A$4:$H$22,8,FALSE))</f>
        <v>9</v>
      </c>
      <c r="W196" s="7">
        <v>6394</v>
      </c>
      <c r="X196" s="7">
        <v>4770</v>
      </c>
      <c r="Y196" s="7">
        <v>4640</v>
      </c>
      <c r="Z196" s="7">
        <v>0</v>
      </c>
      <c r="AA196" s="7">
        <v>6374</v>
      </c>
      <c r="AB196" s="13"/>
    </row>
    <row r="197" spans="10:28" ht="15.6" customHeight="1" x14ac:dyDescent="0.3">
      <c r="J197" s="2">
        <v>193</v>
      </c>
      <c r="K197" s="41" t="s">
        <v>35</v>
      </c>
      <c r="L197" s="41" t="s">
        <v>29</v>
      </c>
      <c r="M197" s="41" t="s">
        <v>31</v>
      </c>
      <c r="N197" s="41" t="s">
        <v>34</v>
      </c>
      <c r="O197" s="41" t="s">
        <v>29</v>
      </c>
      <c r="Q197" s="17">
        <f t="shared" si="35"/>
        <v>10</v>
      </c>
      <c r="R197" s="17">
        <f t="shared" si="36"/>
        <v>4</v>
      </c>
      <c r="S197" s="17">
        <f t="shared" si="37"/>
        <v>6</v>
      </c>
      <c r="T197" s="17">
        <f t="shared" si="38"/>
        <v>9</v>
      </c>
      <c r="U197" s="17">
        <f t="shared" si="39"/>
        <v>4</v>
      </c>
      <c r="W197" s="7">
        <v>6095</v>
      </c>
      <c r="X197" s="7">
        <v>4906</v>
      </c>
      <c r="Y197" s="7">
        <v>4541</v>
      </c>
      <c r="Z197" s="7">
        <v>0</v>
      </c>
      <c r="AA197" s="7">
        <v>5462</v>
      </c>
      <c r="AB197" s="13"/>
    </row>
    <row r="198" spans="10:28" ht="15.6" customHeight="1" x14ac:dyDescent="0.3">
      <c r="J198" s="2">
        <v>194</v>
      </c>
      <c r="K198" s="41" t="s">
        <v>32</v>
      </c>
      <c r="L198" s="41" t="s">
        <v>26</v>
      </c>
      <c r="M198" s="41" t="s">
        <v>29</v>
      </c>
      <c r="N198" s="41" t="s">
        <v>31</v>
      </c>
      <c r="O198" s="41" t="s">
        <v>32</v>
      </c>
      <c r="Q198" s="17">
        <f t="shared" si="35"/>
        <v>7</v>
      </c>
      <c r="R198" s="17">
        <f t="shared" si="36"/>
        <v>2</v>
      </c>
      <c r="S198" s="17">
        <f t="shared" si="37"/>
        <v>4</v>
      </c>
      <c r="T198" s="17">
        <f t="shared" si="38"/>
        <v>6</v>
      </c>
      <c r="U198" s="17">
        <f t="shared" si="39"/>
        <v>7</v>
      </c>
      <c r="W198" s="7">
        <v>6575</v>
      </c>
      <c r="X198" s="7">
        <v>4770</v>
      </c>
      <c r="Y198" s="7">
        <v>4874</v>
      </c>
      <c r="Z198" s="7">
        <v>0</v>
      </c>
      <c r="AA198" s="7">
        <v>4954</v>
      </c>
      <c r="AB198" s="13"/>
    </row>
    <row r="199" spans="10:28" ht="15.6" customHeight="1" x14ac:dyDescent="0.3">
      <c r="J199" s="2">
        <v>195</v>
      </c>
      <c r="K199" s="41" t="s">
        <v>33</v>
      </c>
      <c r="L199" s="41" t="s">
        <v>29</v>
      </c>
      <c r="M199" s="41" t="s">
        <v>30</v>
      </c>
      <c r="N199" s="41" t="s">
        <v>26</v>
      </c>
      <c r="O199" s="41" t="s">
        <v>30</v>
      </c>
      <c r="Q199" s="17">
        <f t="shared" si="35"/>
        <v>8</v>
      </c>
      <c r="R199" s="17">
        <f t="shared" si="36"/>
        <v>4</v>
      </c>
      <c r="S199" s="17">
        <f t="shared" si="37"/>
        <v>5</v>
      </c>
      <c r="T199" s="17">
        <f t="shared" si="38"/>
        <v>2</v>
      </c>
      <c r="U199" s="17">
        <f t="shared" si="39"/>
        <v>5</v>
      </c>
      <c r="W199" s="7">
        <v>6376</v>
      </c>
      <c r="X199" s="7">
        <v>5781</v>
      </c>
      <c r="Y199" s="7">
        <v>4510</v>
      </c>
      <c r="Z199" s="7">
        <v>0</v>
      </c>
      <c r="AA199" s="7">
        <v>4664</v>
      </c>
      <c r="AB199" s="13"/>
    </row>
    <row r="200" spans="10:28" ht="15.6" customHeight="1" x14ac:dyDescent="0.3">
      <c r="J200" s="2">
        <v>196</v>
      </c>
      <c r="K200" s="41" t="s">
        <v>29</v>
      </c>
      <c r="L200" s="41" t="s">
        <v>32</v>
      </c>
      <c r="M200" s="41" t="s">
        <v>29</v>
      </c>
      <c r="N200" s="41" t="s">
        <v>30</v>
      </c>
      <c r="O200" s="41" t="s">
        <v>33</v>
      </c>
      <c r="Q200" s="17">
        <f t="shared" si="35"/>
        <v>4</v>
      </c>
      <c r="R200" s="17">
        <f t="shared" si="36"/>
        <v>7</v>
      </c>
      <c r="S200" s="17">
        <f t="shared" si="37"/>
        <v>4</v>
      </c>
      <c r="T200" s="17">
        <f t="shared" si="38"/>
        <v>5</v>
      </c>
      <c r="U200" s="17">
        <f t="shared" si="39"/>
        <v>8</v>
      </c>
      <c r="W200" s="7">
        <v>6872</v>
      </c>
      <c r="X200" s="7">
        <v>16288</v>
      </c>
      <c r="Y200" s="7">
        <v>7081</v>
      </c>
      <c r="Z200" s="7">
        <v>4412</v>
      </c>
      <c r="AA200" s="7">
        <v>4600</v>
      </c>
      <c r="AB200" s="13"/>
    </row>
    <row r="201" spans="10:28" ht="15.6" customHeight="1" x14ac:dyDescent="0.3">
      <c r="J201" s="2">
        <v>197</v>
      </c>
      <c r="K201" s="41" t="s">
        <v>31</v>
      </c>
      <c r="L201" s="41" t="s">
        <v>29</v>
      </c>
      <c r="M201" s="41" t="s">
        <v>35</v>
      </c>
      <c r="N201" s="41" t="s">
        <v>33</v>
      </c>
      <c r="O201" s="41" t="s">
        <v>33</v>
      </c>
      <c r="Q201" s="17">
        <f t="shared" si="35"/>
        <v>6</v>
      </c>
      <c r="R201" s="17">
        <f t="shared" si="36"/>
        <v>4</v>
      </c>
      <c r="S201" s="17">
        <f t="shared" si="37"/>
        <v>10</v>
      </c>
      <c r="T201" s="17">
        <f t="shared" si="38"/>
        <v>8</v>
      </c>
      <c r="U201" s="17">
        <f t="shared" si="39"/>
        <v>8</v>
      </c>
      <c r="W201" s="7">
        <v>7623</v>
      </c>
      <c r="X201" s="7">
        <v>15199</v>
      </c>
      <c r="Y201" s="7">
        <v>6853</v>
      </c>
      <c r="Z201" s="7">
        <v>4412</v>
      </c>
      <c r="AA201" s="7">
        <v>5396</v>
      </c>
      <c r="AB201" s="13"/>
    </row>
    <row r="202" spans="10:28" ht="15.6" customHeight="1" x14ac:dyDescent="0.3">
      <c r="J202" s="2">
        <v>198</v>
      </c>
      <c r="K202" s="41" t="s">
        <v>29</v>
      </c>
      <c r="L202" s="41" t="s">
        <v>31</v>
      </c>
      <c r="M202" s="41" t="s">
        <v>35</v>
      </c>
      <c r="N202" s="41" t="s">
        <v>33</v>
      </c>
      <c r="O202" s="41" t="s">
        <v>33</v>
      </c>
      <c r="Q202" s="17">
        <f t="shared" si="35"/>
        <v>4</v>
      </c>
      <c r="R202" s="17">
        <f t="shared" si="36"/>
        <v>6</v>
      </c>
      <c r="S202" s="17">
        <f t="shared" si="37"/>
        <v>10</v>
      </c>
      <c r="T202" s="17">
        <f t="shared" si="38"/>
        <v>8</v>
      </c>
      <c r="U202" s="17">
        <f t="shared" si="39"/>
        <v>8</v>
      </c>
      <c r="W202" s="7">
        <v>6951</v>
      </c>
      <c r="X202" s="7">
        <v>4788</v>
      </c>
      <c r="Y202" s="7">
        <v>0</v>
      </c>
      <c r="Z202" s="7">
        <v>5295</v>
      </c>
      <c r="AA202" s="7">
        <v>5396</v>
      </c>
      <c r="AB202" s="13"/>
    </row>
    <row r="203" spans="10:28" ht="15.6" customHeight="1" x14ac:dyDescent="0.3">
      <c r="J203" s="2">
        <v>199</v>
      </c>
      <c r="K203" s="41" t="s">
        <v>28</v>
      </c>
      <c r="L203" s="41" t="s">
        <v>32</v>
      </c>
      <c r="M203" s="41" t="s">
        <v>35</v>
      </c>
      <c r="N203" s="41" t="s">
        <v>33</v>
      </c>
      <c r="O203" s="41" t="s">
        <v>30</v>
      </c>
      <c r="Q203" s="17">
        <f t="shared" si="35"/>
        <v>3</v>
      </c>
      <c r="R203" s="17">
        <f t="shared" si="36"/>
        <v>7</v>
      </c>
      <c r="S203" s="17">
        <f t="shared" si="37"/>
        <v>10</v>
      </c>
      <c r="T203" s="17">
        <f t="shared" si="38"/>
        <v>8</v>
      </c>
      <c r="U203" s="17">
        <f t="shared" si="39"/>
        <v>5</v>
      </c>
      <c r="W203" s="7">
        <v>7246</v>
      </c>
      <c r="X203" s="7">
        <v>3975</v>
      </c>
      <c r="Y203" s="7">
        <v>0</v>
      </c>
      <c r="Z203" s="7">
        <v>6167</v>
      </c>
      <c r="AA203" s="7">
        <v>5396</v>
      </c>
      <c r="AB203" s="13"/>
    </row>
    <row r="204" spans="10:28" ht="15.6" customHeight="1" x14ac:dyDescent="0.3">
      <c r="AB204" s="13"/>
    </row>
    <row r="205" spans="10:28" ht="15.6" customHeight="1" x14ac:dyDescent="0.3">
      <c r="AB205" s="13"/>
    </row>
    <row r="206" spans="10:28" ht="15.6" customHeight="1" x14ac:dyDescent="0.3">
      <c r="AB206" s="13"/>
    </row>
    <row r="207" spans="10:28" ht="15.6" customHeight="1" x14ac:dyDescent="0.3">
      <c r="AB207" s="13"/>
    </row>
    <row r="208" spans="10:28" ht="15.6" customHeight="1" x14ac:dyDescent="0.3">
      <c r="AB208" s="13"/>
    </row>
    <row r="209" spans="28:28" ht="15.6" customHeight="1" x14ac:dyDescent="0.3">
      <c r="AB209" s="13"/>
    </row>
    <row r="210" spans="28:28" ht="15.6" customHeight="1" x14ac:dyDescent="0.3">
      <c r="AB210" s="13"/>
    </row>
    <row r="211" spans="28:28" ht="15.6" customHeight="1" x14ac:dyDescent="0.3">
      <c r="AB211" s="13"/>
    </row>
    <row r="212" spans="28:28" ht="15.6" customHeight="1" x14ac:dyDescent="0.3">
      <c r="AB212" s="13"/>
    </row>
    <row r="213" spans="28:28" ht="15.6" customHeight="1" x14ac:dyDescent="0.3">
      <c r="AB213" s="13"/>
    </row>
    <row r="214" spans="28:28" ht="15.6" customHeight="1" x14ac:dyDescent="0.3">
      <c r="AB214" s="13"/>
    </row>
    <row r="215" spans="28:28" ht="15.6" customHeight="1" x14ac:dyDescent="0.3">
      <c r="AB215" s="13"/>
    </row>
    <row r="216" spans="28:28" ht="15.6" customHeight="1" x14ac:dyDescent="0.3">
      <c r="AB216" s="13"/>
    </row>
    <row r="217" spans="28:28" ht="15.6" customHeight="1" x14ac:dyDescent="0.3">
      <c r="AB217" s="13"/>
    </row>
    <row r="218" spans="28:28" ht="15.6" customHeight="1" x14ac:dyDescent="0.3">
      <c r="AB218" s="13"/>
    </row>
    <row r="219" spans="28:28" ht="15.6" customHeight="1" x14ac:dyDescent="0.3">
      <c r="AB219" s="13"/>
    </row>
    <row r="220" spans="28:28" ht="15.6" customHeight="1" x14ac:dyDescent="0.3">
      <c r="AB220" s="13"/>
    </row>
    <row r="221" spans="28:28" ht="15.6" customHeight="1" x14ac:dyDescent="0.3">
      <c r="AB221" s="13"/>
    </row>
    <row r="222" spans="28:28" ht="15.6" customHeight="1" x14ac:dyDescent="0.3">
      <c r="AB222" s="13"/>
    </row>
    <row r="223" spans="28:28" ht="15.6" customHeight="1" x14ac:dyDescent="0.3">
      <c r="AB223" s="13"/>
    </row>
    <row r="224" spans="28:28" ht="15.6" customHeight="1" x14ac:dyDescent="0.3">
      <c r="AB224" s="13"/>
    </row>
    <row r="225" spans="28:28" ht="15.6" customHeight="1" x14ac:dyDescent="0.3">
      <c r="AB225" s="13"/>
    </row>
    <row r="226" spans="28:28" ht="15.6" customHeight="1" x14ac:dyDescent="0.3">
      <c r="AB226" s="13"/>
    </row>
    <row r="227" spans="28:28" ht="15.6" customHeight="1" x14ac:dyDescent="0.3">
      <c r="AB227" s="13"/>
    </row>
    <row r="228" spans="28:28" ht="15.6" customHeight="1" x14ac:dyDescent="0.3">
      <c r="AB228" s="13"/>
    </row>
    <row r="229" spans="28:28" ht="15.6" customHeight="1" x14ac:dyDescent="0.3">
      <c r="AB229" s="13"/>
    </row>
    <row r="230" spans="28:28" ht="15.6" customHeight="1" x14ac:dyDescent="0.3">
      <c r="AB230" s="13"/>
    </row>
    <row r="231" spans="28:28" ht="15.6" customHeight="1" x14ac:dyDescent="0.3">
      <c r="AB231" s="13"/>
    </row>
    <row r="232" spans="28:28" ht="15.6" customHeight="1" x14ac:dyDescent="0.3">
      <c r="AB232" s="13"/>
    </row>
    <row r="233" spans="28:28" ht="15.6" customHeight="1" x14ac:dyDescent="0.3">
      <c r="AB233" s="13"/>
    </row>
    <row r="234" spans="28:28" ht="15.6" customHeight="1" x14ac:dyDescent="0.3">
      <c r="AB234" s="13"/>
    </row>
    <row r="235" spans="28:28" ht="15.6" customHeight="1" x14ac:dyDescent="0.3">
      <c r="AB235" s="13"/>
    </row>
    <row r="236" spans="28:28" ht="15.6" customHeight="1" x14ac:dyDescent="0.3">
      <c r="AB236" s="13"/>
    </row>
    <row r="237" spans="28:28" ht="15.6" customHeight="1" x14ac:dyDescent="0.3">
      <c r="AB237" s="13"/>
    </row>
    <row r="238" spans="28:28" ht="15.6" customHeight="1" x14ac:dyDescent="0.3">
      <c r="AB238" s="13"/>
    </row>
    <row r="239" spans="28:28" ht="15.6" customHeight="1" x14ac:dyDescent="0.3">
      <c r="AB239" s="13"/>
    </row>
    <row r="240" spans="28:28" ht="15.6" customHeight="1" x14ac:dyDescent="0.3">
      <c r="AB240" s="13"/>
    </row>
    <row r="241" spans="28:28" ht="15.6" customHeight="1" x14ac:dyDescent="0.3">
      <c r="AB241" s="13"/>
    </row>
    <row r="242" spans="28:28" ht="15.6" customHeight="1" x14ac:dyDescent="0.3">
      <c r="AB242" s="13"/>
    </row>
    <row r="243" spans="28:28" ht="15.6" customHeight="1" x14ac:dyDescent="0.3">
      <c r="AB243" s="13"/>
    </row>
    <row r="244" spans="28:28" ht="15.6" customHeight="1" x14ac:dyDescent="0.3">
      <c r="AB244" s="13"/>
    </row>
    <row r="245" spans="28:28" ht="15.6" customHeight="1" x14ac:dyDescent="0.3">
      <c r="AB245" s="13"/>
    </row>
    <row r="246" spans="28:28" ht="15.6" customHeight="1" x14ac:dyDescent="0.3">
      <c r="AB246" s="13"/>
    </row>
    <row r="247" spans="28:28" ht="15.6" customHeight="1" x14ac:dyDescent="0.3">
      <c r="AB247" s="13"/>
    </row>
    <row r="248" spans="28:28" ht="15.6" customHeight="1" x14ac:dyDescent="0.3">
      <c r="AB248" s="13"/>
    </row>
    <row r="249" spans="28:28" ht="15.6" customHeight="1" x14ac:dyDescent="0.3">
      <c r="AB249" s="13"/>
    </row>
    <row r="250" spans="28:28" ht="15.6" customHeight="1" x14ac:dyDescent="0.3">
      <c r="AB250" s="13"/>
    </row>
    <row r="251" spans="28:28" ht="15.6" customHeight="1" x14ac:dyDescent="0.3">
      <c r="AB251" s="13"/>
    </row>
    <row r="252" spans="28:28" ht="15.6" customHeight="1" x14ac:dyDescent="0.3">
      <c r="AB252" s="13"/>
    </row>
    <row r="253" spans="28:28" ht="15.6" customHeight="1" x14ac:dyDescent="0.3">
      <c r="AB253" s="13"/>
    </row>
    <row r="254" spans="28:28" ht="15.6" customHeight="1" x14ac:dyDescent="0.3">
      <c r="AB254" s="13"/>
    </row>
    <row r="255" spans="28:28" ht="15.6" customHeight="1" x14ac:dyDescent="0.3">
      <c r="AB255" s="13"/>
    </row>
    <row r="256" spans="28:28" ht="15.6" customHeight="1" x14ac:dyDescent="0.3">
      <c r="AB256" s="13"/>
    </row>
    <row r="257" spans="28:28" ht="15.6" customHeight="1" x14ac:dyDescent="0.3">
      <c r="AB257" s="13"/>
    </row>
    <row r="258" spans="28:28" ht="15.6" customHeight="1" x14ac:dyDescent="0.3">
      <c r="AB258" s="13"/>
    </row>
    <row r="259" spans="28:28" ht="15.6" customHeight="1" x14ac:dyDescent="0.3">
      <c r="AB259" s="13"/>
    </row>
    <row r="260" spans="28:28" ht="15.6" customHeight="1" x14ac:dyDescent="0.3">
      <c r="AB260" s="13"/>
    </row>
    <row r="261" spans="28:28" ht="15.6" customHeight="1" x14ac:dyDescent="0.3">
      <c r="AB261" s="13"/>
    </row>
    <row r="262" spans="28:28" ht="15.6" customHeight="1" x14ac:dyDescent="0.3">
      <c r="AB262" s="13"/>
    </row>
    <row r="263" spans="28:28" ht="15.6" customHeight="1" x14ac:dyDescent="0.3">
      <c r="AB263" s="13"/>
    </row>
    <row r="264" spans="28:28" ht="15.6" customHeight="1" x14ac:dyDescent="0.3">
      <c r="AB264" s="13"/>
    </row>
    <row r="265" spans="28:28" ht="15.6" customHeight="1" x14ac:dyDescent="0.3">
      <c r="AB265" s="13"/>
    </row>
    <row r="266" spans="28:28" ht="15.6" customHeight="1" x14ac:dyDescent="0.3">
      <c r="AB266" s="13"/>
    </row>
    <row r="267" spans="28:28" ht="15.6" customHeight="1" x14ac:dyDescent="0.3">
      <c r="AB267" s="13"/>
    </row>
    <row r="268" spans="28:28" ht="15.6" customHeight="1" x14ac:dyDescent="0.3">
      <c r="AB268" s="13"/>
    </row>
    <row r="269" spans="28:28" ht="15.6" customHeight="1" x14ac:dyDescent="0.3">
      <c r="AB269" s="13"/>
    </row>
    <row r="270" spans="28:28" ht="15.6" customHeight="1" x14ac:dyDescent="0.3">
      <c r="AB270" s="13"/>
    </row>
    <row r="271" spans="28:28" ht="15.6" customHeight="1" x14ac:dyDescent="0.3">
      <c r="AB271" s="13"/>
    </row>
    <row r="272" spans="28:28" ht="15.6" customHeight="1" x14ac:dyDescent="0.3">
      <c r="AB272" s="13"/>
    </row>
    <row r="273" spans="28:28" ht="15.6" customHeight="1" x14ac:dyDescent="0.3">
      <c r="AB273" s="13"/>
    </row>
    <row r="274" spans="28:28" ht="15.6" customHeight="1" x14ac:dyDescent="0.3">
      <c r="AB274" s="13"/>
    </row>
    <row r="275" spans="28:28" ht="15.6" customHeight="1" x14ac:dyDescent="0.3">
      <c r="AB275" s="13"/>
    </row>
    <row r="276" spans="28:28" ht="15.6" customHeight="1" x14ac:dyDescent="0.3">
      <c r="AB276" s="13"/>
    </row>
    <row r="277" spans="28:28" ht="15.6" customHeight="1" x14ac:dyDescent="0.3">
      <c r="AB277" s="13"/>
    </row>
    <row r="278" spans="28:28" ht="15.6" customHeight="1" x14ac:dyDescent="0.3">
      <c r="AB278" s="13"/>
    </row>
    <row r="279" spans="28:28" ht="15.6" customHeight="1" x14ac:dyDescent="0.3">
      <c r="AB279" s="13"/>
    </row>
    <row r="280" spans="28:28" ht="15.6" customHeight="1" x14ac:dyDescent="0.3">
      <c r="AB280" s="13"/>
    </row>
    <row r="281" spans="28:28" ht="15.6" customHeight="1" x14ac:dyDescent="0.3">
      <c r="AB281" s="13"/>
    </row>
    <row r="282" spans="28:28" ht="15.6" customHeight="1" x14ac:dyDescent="0.3">
      <c r="AB282" s="13"/>
    </row>
    <row r="283" spans="28:28" ht="15.6" customHeight="1" x14ac:dyDescent="0.3">
      <c r="AB283" s="13"/>
    </row>
    <row r="284" spans="28:28" ht="15.6" customHeight="1" x14ac:dyDescent="0.3">
      <c r="AB284" s="13"/>
    </row>
    <row r="285" spans="28:28" ht="15.6" customHeight="1" x14ac:dyDescent="0.3">
      <c r="AB285" s="13"/>
    </row>
    <row r="286" spans="28:28" ht="15.6" customHeight="1" x14ac:dyDescent="0.3">
      <c r="AB286" s="13"/>
    </row>
    <row r="287" spans="28:28" ht="15.6" customHeight="1" x14ac:dyDescent="0.3">
      <c r="AB287" s="13"/>
    </row>
    <row r="288" spans="28:28" ht="15.6" customHeight="1" x14ac:dyDescent="0.3">
      <c r="AB288" s="13"/>
    </row>
    <row r="289" spans="28:28" ht="15.6" customHeight="1" x14ac:dyDescent="0.3">
      <c r="AB289" s="13"/>
    </row>
    <row r="290" spans="28:28" ht="15.6" customHeight="1" x14ac:dyDescent="0.3">
      <c r="AB290" s="13"/>
    </row>
    <row r="291" spans="28:28" ht="15.6" customHeight="1" x14ac:dyDescent="0.3">
      <c r="AB291" s="13"/>
    </row>
    <row r="292" spans="28:28" ht="15.6" customHeight="1" x14ac:dyDescent="0.3">
      <c r="AB292" s="13"/>
    </row>
    <row r="293" spans="28:28" ht="15.6" customHeight="1" x14ac:dyDescent="0.3">
      <c r="AB293" s="13"/>
    </row>
    <row r="294" spans="28:28" ht="15.6" customHeight="1" x14ac:dyDescent="0.3">
      <c r="AB294" s="13"/>
    </row>
    <row r="295" spans="28:28" ht="15.6" customHeight="1" x14ac:dyDescent="0.3">
      <c r="AB295" s="13"/>
    </row>
    <row r="296" spans="28:28" ht="15.6" customHeight="1" x14ac:dyDescent="0.3">
      <c r="AB296" s="13"/>
    </row>
    <row r="297" spans="28:28" ht="15.6" customHeight="1" x14ac:dyDescent="0.3">
      <c r="AB297" s="13"/>
    </row>
    <row r="298" spans="28:28" ht="15.6" customHeight="1" x14ac:dyDescent="0.3">
      <c r="AB298" s="13"/>
    </row>
    <row r="299" spans="28:28" ht="15.6" customHeight="1" x14ac:dyDescent="0.3">
      <c r="AB299" s="13"/>
    </row>
    <row r="300" spans="28:28" ht="15.6" customHeight="1" x14ac:dyDescent="0.3">
      <c r="AB300" s="13"/>
    </row>
    <row r="301" spans="28:28" ht="15.6" customHeight="1" x14ac:dyDescent="0.3">
      <c r="AB301" s="13"/>
    </row>
    <row r="302" spans="28:28" ht="15.6" customHeight="1" x14ac:dyDescent="0.3">
      <c r="AB302" s="13"/>
    </row>
    <row r="303" spans="28:28" ht="15.6" customHeight="1" x14ac:dyDescent="0.3">
      <c r="AB303" s="13"/>
    </row>
    <row r="304" spans="28:28" ht="15.6" customHeight="1" x14ac:dyDescent="0.3">
      <c r="AB304" s="13"/>
    </row>
    <row r="305" spans="28:28" ht="15.6" customHeight="1" x14ac:dyDescent="0.3">
      <c r="AB305" s="13"/>
    </row>
    <row r="306" spans="28:28" ht="15.6" customHeight="1" x14ac:dyDescent="0.3">
      <c r="AB306" s="13"/>
    </row>
    <row r="307" spans="28:28" ht="15.6" customHeight="1" x14ac:dyDescent="0.3">
      <c r="AB307" s="13"/>
    </row>
    <row r="308" spans="28:28" ht="15.6" customHeight="1" x14ac:dyDescent="0.3">
      <c r="AB308" s="13"/>
    </row>
    <row r="309" spans="28:28" ht="15.6" customHeight="1" x14ac:dyDescent="0.3">
      <c r="AB309" s="13"/>
    </row>
    <row r="310" spans="28:28" ht="15.6" customHeight="1" x14ac:dyDescent="0.3">
      <c r="AB310" s="13"/>
    </row>
    <row r="311" spans="28:28" ht="15.6" customHeight="1" x14ac:dyDescent="0.3">
      <c r="AB311" s="13"/>
    </row>
    <row r="312" spans="28:28" ht="15.6" customHeight="1" x14ac:dyDescent="0.3">
      <c r="AB312" s="13"/>
    </row>
    <row r="313" spans="28:28" ht="15.6" customHeight="1" x14ac:dyDescent="0.3">
      <c r="AB313" s="13"/>
    </row>
    <row r="314" spans="28:28" ht="15.6" customHeight="1" x14ac:dyDescent="0.3">
      <c r="AB314" s="13"/>
    </row>
    <row r="315" spans="28:28" ht="15.6" customHeight="1" x14ac:dyDescent="0.3">
      <c r="AB315" s="13"/>
    </row>
    <row r="316" spans="28:28" ht="15.6" customHeight="1" x14ac:dyDescent="0.3">
      <c r="AB316" s="13"/>
    </row>
    <row r="317" spans="28:28" ht="15.6" customHeight="1" x14ac:dyDescent="0.3">
      <c r="AB317" s="13"/>
    </row>
    <row r="318" spans="28:28" ht="15.6" customHeight="1" x14ac:dyDescent="0.3">
      <c r="AB318" s="13"/>
    </row>
    <row r="319" spans="28:28" ht="15.6" customHeight="1" x14ac:dyDescent="0.3">
      <c r="AB319" s="13"/>
    </row>
    <row r="320" spans="28:28" ht="15.6" customHeight="1" x14ac:dyDescent="0.3">
      <c r="AB320" s="13"/>
    </row>
    <row r="321" spans="28:28" ht="15.6" customHeight="1" x14ac:dyDescent="0.3">
      <c r="AB321" s="13"/>
    </row>
    <row r="322" spans="28:28" ht="15.6" customHeight="1" x14ac:dyDescent="0.3">
      <c r="AB322" s="13"/>
    </row>
    <row r="323" spans="28:28" ht="15.6" customHeight="1" x14ac:dyDescent="0.3">
      <c r="AB323" s="13"/>
    </row>
    <row r="324" spans="28:28" ht="15.6" customHeight="1" x14ac:dyDescent="0.3">
      <c r="AB324" s="13"/>
    </row>
    <row r="325" spans="28:28" ht="15.6" customHeight="1" x14ac:dyDescent="0.3">
      <c r="AB325" s="13"/>
    </row>
    <row r="326" spans="28:28" ht="15.6" customHeight="1" x14ac:dyDescent="0.3">
      <c r="AB326" s="13"/>
    </row>
    <row r="327" spans="28:28" ht="15.6" customHeight="1" x14ac:dyDescent="0.3">
      <c r="AB327" s="13"/>
    </row>
    <row r="328" spans="28:28" ht="15.6" customHeight="1" x14ac:dyDescent="0.3">
      <c r="AB328" s="13"/>
    </row>
    <row r="329" spans="28:28" ht="15.6" customHeight="1" x14ac:dyDescent="0.3">
      <c r="AB329" s="13"/>
    </row>
    <row r="330" spans="28:28" ht="15.6" customHeight="1" x14ac:dyDescent="0.3">
      <c r="AB330" s="13"/>
    </row>
    <row r="331" spans="28:28" ht="15.6" customHeight="1" x14ac:dyDescent="0.3">
      <c r="AB331" s="13"/>
    </row>
    <row r="332" spans="28:28" ht="15.6" customHeight="1" x14ac:dyDescent="0.3">
      <c r="AB332" s="13"/>
    </row>
    <row r="333" spans="28:28" ht="15.6" customHeight="1" x14ac:dyDescent="0.3">
      <c r="AB333" s="13"/>
    </row>
    <row r="334" spans="28:28" ht="15.6" customHeight="1" x14ac:dyDescent="0.3">
      <c r="AB334" s="13"/>
    </row>
    <row r="335" spans="28:28" ht="15.6" customHeight="1" x14ac:dyDescent="0.3">
      <c r="AB335" s="13"/>
    </row>
    <row r="336" spans="28:28" ht="15.6" customHeight="1" x14ac:dyDescent="0.3">
      <c r="AB336" s="13"/>
    </row>
    <row r="337" spans="28:28" ht="15.6" customHeight="1" x14ac:dyDescent="0.3">
      <c r="AB337" s="13"/>
    </row>
    <row r="338" spans="28:28" ht="15.6" customHeight="1" x14ac:dyDescent="0.3">
      <c r="AB338" s="13"/>
    </row>
    <row r="339" spans="28:28" ht="15.6" customHeight="1" x14ac:dyDescent="0.3">
      <c r="AB339" s="13"/>
    </row>
    <row r="340" spans="28:28" ht="15.6" customHeight="1" x14ac:dyDescent="0.3">
      <c r="AB340" s="13"/>
    </row>
    <row r="341" spans="28:28" ht="15.6" customHeight="1" x14ac:dyDescent="0.3">
      <c r="AB341" s="13"/>
    </row>
    <row r="342" spans="28:28" ht="15.6" customHeight="1" x14ac:dyDescent="0.3">
      <c r="AB342" s="13"/>
    </row>
    <row r="343" spans="28:28" ht="15.6" customHeight="1" x14ac:dyDescent="0.3">
      <c r="AB343" s="13"/>
    </row>
    <row r="344" spans="28:28" ht="15.6" customHeight="1" x14ac:dyDescent="0.3">
      <c r="AB344" s="13"/>
    </row>
    <row r="345" spans="28:28" ht="15.6" customHeight="1" x14ac:dyDescent="0.3">
      <c r="AB345" s="13"/>
    </row>
    <row r="346" spans="28:28" ht="15.6" customHeight="1" x14ac:dyDescent="0.3">
      <c r="AB346" s="13"/>
    </row>
    <row r="347" spans="28:28" ht="15.6" customHeight="1" x14ac:dyDescent="0.3">
      <c r="AB347" s="13"/>
    </row>
    <row r="348" spans="28:28" ht="15.6" customHeight="1" x14ac:dyDescent="0.3">
      <c r="AB348" s="13"/>
    </row>
    <row r="349" spans="28:28" ht="15.6" customHeight="1" x14ac:dyDescent="0.3">
      <c r="AB349" s="13"/>
    </row>
    <row r="350" spans="28:28" ht="15.6" customHeight="1" x14ac:dyDescent="0.3">
      <c r="AB350" s="13"/>
    </row>
    <row r="351" spans="28:28" ht="15.6" customHeight="1" x14ac:dyDescent="0.3">
      <c r="AB351" s="13"/>
    </row>
    <row r="352" spans="28:28" ht="15.6" customHeight="1" x14ac:dyDescent="0.3">
      <c r="AB352" s="13"/>
    </row>
    <row r="353" spans="28:28" ht="15.6" customHeight="1" x14ac:dyDescent="0.3">
      <c r="AB353" s="13"/>
    </row>
    <row r="354" spans="28:28" ht="15.6" customHeight="1" x14ac:dyDescent="0.3">
      <c r="AB354" s="13"/>
    </row>
    <row r="355" spans="28:28" ht="15.6" customHeight="1" x14ac:dyDescent="0.3">
      <c r="AB355" s="13"/>
    </row>
    <row r="356" spans="28:28" ht="15.6" customHeight="1" x14ac:dyDescent="0.3">
      <c r="AB356" s="13"/>
    </row>
    <row r="357" spans="28:28" ht="15.6" customHeight="1" x14ac:dyDescent="0.3">
      <c r="AB357" s="13"/>
    </row>
    <row r="358" spans="28:28" ht="15.6" customHeight="1" x14ac:dyDescent="0.3">
      <c r="AB358" s="13"/>
    </row>
    <row r="359" spans="28:28" ht="15.6" customHeight="1" x14ac:dyDescent="0.3">
      <c r="AB359" s="13"/>
    </row>
    <row r="360" spans="28:28" ht="15.6" customHeight="1" x14ac:dyDescent="0.3">
      <c r="AB360" s="13"/>
    </row>
    <row r="361" spans="28:28" ht="15.6" customHeight="1" x14ac:dyDescent="0.3">
      <c r="AB361" s="13"/>
    </row>
    <row r="362" spans="28:28" ht="15.6" customHeight="1" x14ac:dyDescent="0.3">
      <c r="AB362" s="13"/>
    </row>
    <row r="363" spans="28:28" ht="15.6" customHeight="1" x14ac:dyDescent="0.3">
      <c r="AB363" s="13"/>
    </row>
    <row r="364" spans="28:28" ht="15.6" customHeight="1" x14ac:dyDescent="0.3">
      <c r="AB364" s="13"/>
    </row>
    <row r="365" spans="28:28" ht="15.6" customHeight="1" x14ac:dyDescent="0.3">
      <c r="AB365" s="13"/>
    </row>
    <row r="366" spans="28:28" ht="15.6" customHeight="1" x14ac:dyDescent="0.3">
      <c r="AB366" s="13"/>
    </row>
    <row r="367" spans="28:28" ht="15.6" customHeight="1" x14ac:dyDescent="0.3">
      <c r="AB367" s="13"/>
    </row>
    <row r="368" spans="28:28" ht="15.6" customHeight="1" x14ac:dyDescent="0.3">
      <c r="AB368" s="13"/>
    </row>
    <row r="369" spans="28:28" ht="15.6" customHeight="1" x14ac:dyDescent="0.3">
      <c r="AB369" s="13"/>
    </row>
    <row r="370" spans="28:28" ht="15.6" customHeight="1" x14ac:dyDescent="0.3">
      <c r="AB370" s="13"/>
    </row>
    <row r="371" spans="28:28" ht="15.6" customHeight="1" x14ac:dyDescent="0.3">
      <c r="AB371" s="13"/>
    </row>
    <row r="372" spans="28:28" ht="15.6" customHeight="1" x14ac:dyDescent="0.3">
      <c r="AB372" s="13"/>
    </row>
    <row r="373" spans="28:28" ht="15.6" customHeight="1" x14ac:dyDescent="0.3">
      <c r="AB373" s="13"/>
    </row>
    <row r="374" spans="28:28" ht="15.6" customHeight="1" x14ac:dyDescent="0.3">
      <c r="AB374" s="13"/>
    </row>
    <row r="375" spans="28:28" ht="15.6" customHeight="1" x14ac:dyDescent="0.3">
      <c r="AB375" s="13"/>
    </row>
    <row r="376" spans="28:28" ht="15.6" customHeight="1" x14ac:dyDescent="0.3">
      <c r="AB376" s="13"/>
    </row>
    <row r="377" spans="28:28" ht="15.6" customHeight="1" x14ac:dyDescent="0.3">
      <c r="AB377" s="13"/>
    </row>
    <row r="378" spans="28:28" ht="15.6" customHeight="1" x14ac:dyDescent="0.3">
      <c r="AB378" s="13"/>
    </row>
    <row r="379" spans="28:28" ht="15.6" customHeight="1" x14ac:dyDescent="0.3">
      <c r="AB379" s="13"/>
    </row>
    <row r="380" spans="28:28" ht="15.6" customHeight="1" x14ac:dyDescent="0.3">
      <c r="AB380" s="13"/>
    </row>
    <row r="381" spans="28:28" ht="15.6" customHeight="1" x14ac:dyDescent="0.3">
      <c r="AB381" s="13"/>
    </row>
    <row r="382" spans="28:28" ht="15.6" customHeight="1" x14ac:dyDescent="0.3">
      <c r="AB382" s="13"/>
    </row>
    <row r="383" spans="28:28" ht="15.6" customHeight="1" x14ac:dyDescent="0.3">
      <c r="AB383" s="13"/>
    </row>
    <row r="384" spans="28:28" ht="15.6" customHeight="1" x14ac:dyDescent="0.3">
      <c r="AB384" s="13"/>
    </row>
    <row r="385" spans="28:28" ht="15.6" customHeight="1" x14ac:dyDescent="0.3">
      <c r="AB385" s="13"/>
    </row>
    <row r="386" spans="28:28" ht="15.6" customHeight="1" x14ac:dyDescent="0.3">
      <c r="AB386" s="13"/>
    </row>
    <row r="387" spans="28:28" ht="15.6" customHeight="1" x14ac:dyDescent="0.3">
      <c r="AB387" s="13"/>
    </row>
    <row r="388" spans="28:28" ht="15.6" customHeight="1" x14ac:dyDescent="0.3">
      <c r="AB388" s="13"/>
    </row>
    <row r="389" spans="28:28" ht="15.6" customHeight="1" x14ac:dyDescent="0.3">
      <c r="AB389" s="13"/>
    </row>
    <row r="390" spans="28:28" ht="15.6" customHeight="1" x14ac:dyDescent="0.3">
      <c r="AB390" s="13"/>
    </row>
    <row r="391" spans="28:28" ht="15.6" customHeight="1" x14ac:dyDescent="0.3">
      <c r="AB391" s="13"/>
    </row>
    <row r="392" spans="28:28" ht="15.6" customHeight="1" x14ac:dyDescent="0.3">
      <c r="AB392" s="13"/>
    </row>
    <row r="393" spans="28:28" ht="15.6" customHeight="1" x14ac:dyDescent="0.3">
      <c r="AB393" s="13"/>
    </row>
    <row r="394" spans="28:28" ht="15.6" customHeight="1" x14ac:dyDescent="0.3">
      <c r="AB394" s="13"/>
    </row>
    <row r="395" spans="28:28" ht="15.6" customHeight="1" x14ac:dyDescent="0.3">
      <c r="AB395" s="13"/>
    </row>
    <row r="396" spans="28:28" ht="15.6" customHeight="1" x14ac:dyDescent="0.3">
      <c r="AB396" s="13"/>
    </row>
    <row r="397" spans="28:28" ht="15.6" customHeight="1" x14ac:dyDescent="0.3">
      <c r="AB397" s="13"/>
    </row>
    <row r="398" spans="28:28" ht="15.6" customHeight="1" x14ac:dyDescent="0.3">
      <c r="AB398" s="13"/>
    </row>
    <row r="399" spans="28:28" ht="15.6" customHeight="1" x14ac:dyDescent="0.3">
      <c r="AB399" s="13"/>
    </row>
    <row r="400" spans="28:28" ht="15.6" customHeight="1" x14ac:dyDescent="0.3">
      <c r="AB400" s="13"/>
    </row>
    <row r="401" spans="28:28" ht="15.6" customHeight="1" x14ac:dyDescent="0.3">
      <c r="AB401" s="13"/>
    </row>
    <row r="402" spans="28:28" ht="15.6" customHeight="1" x14ac:dyDescent="0.3">
      <c r="AB402" s="13"/>
    </row>
    <row r="403" spans="28:28" ht="15.6" customHeight="1" x14ac:dyDescent="0.3">
      <c r="AB403" s="13"/>
    </row>
  </sheetData>
  <phoneticPr fontId="20" type="noConversion"/>
  <conditionalFormatting sqref="K1:O3 K198:O1048576">
    <cfRule type="cellIs" dxfId="197" priority="16" operator="equal">
      <formula>$A$10</formula>
    </cfRule>
    <cfRule type="cellIs" dxfId="196" priority="17" operator="equal">
      <formula>$A$9</formula>
    </cfRule>
    <cfRule type="cellIs" dxfId="195" priority="18" operator="equal">
      <formula>$A$8</formula>
    </cfRule>
    <cfRule type="cellIs" dxfId="194" priority="19" operator="equal">
      <formula>$A$7</formula>
    </cfRule>
    <cfRule type="cellIs" dxfId="193" priority="20" operator="equal">
      <formula>$A$6</formula>
    </cfRule>
    <cfRule type="cellIs" dxfId="192" priority="21" operator="equal">
      <formula>$A$5</formula>
    </cfRule>
    <cfRule type="cellIs" dxfId="191" priority="22" operator="equal">
      <formula>$A$4</formula>
    </cfRule>
  </conditionalFormatting>
  <conditionalFormatting sqref="K4:O197">
    <cfRule type="cellIs" dxfId="190" priority="9" operator="equal">
      <formula>$A$10</formula>
    </cfRule>
    <cfRule type="cellIs" dxfId="189" priority="10" operator="equal">
      <formula>$A$9</formula>
    </cfRule>
    <cfRule type="cellIs" dxfId="188" priority="11" operator="equal">
      <formula>$A$8</formula>
    </cfRule>
    <cfRule type="cellIs" dxfId="187" priority="12" operator="equal">
      <formula>$A$7</formula>
    </cfRule>
    <cfRule type="cellIs" dxfId="186" priority="13" operator="equal">
      <formula>$A$6</formula>
    </cfRule>
    <cfRule type="cellIs" dxfId="185" priority="14" operator="equal">
      <formula>$A$5</formula>
    </cfRule>
    <cfRule type="cellIs" dxfId="184" priority="15" operator="equal">
      <formula>$A$4</formula>
    </cfRule>
  </conditionalFormatting>
  <conditionalFormatting sqref="AA1">
    <cfRule type="cellIs" dxfId="183" priority="2" operator="equal">
      <formula>$A$10</formula>
    </cfRule>
    <cfRule type="cellIs" dxfId="182" priority="3" operator="equal">
      <formula>$A$9</formula>
    </cfRule>
    <cfRule type="cellIs" dxfId="181" priority="4" operator="equal">
      <formula>$A$8</formula>
    </cfRule>
    <cfRule type="cellIs" dxfId="180" priority="5" operator="equal">
      <formula>$A$7</formula>
    </cfRule>
    <cfRule type="cellIs" dxfId="179" priority="6" operator="equal">
      <formula>$A$6</formula>
    </cfRule>
    <cfRule type="cellIs" dxfId="178" priority="7" operator="equal">
      <formula>$A$5</formula>
    </cfRule>
    <cfRule type="cellIs" dxfId="177" priority="8" operator="equal">
      <formula>$A$4</formula>
    </cfRule>
  </conditionalFormatting>
  <conditionalFormatting sqref="W4:AA203">
    <cfRule type="expression" dxfId="176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403"/>
  <sheetViews>
    <sheetView workbookViewId="0">
      <selection activeCell="W1" sqref="W1:AA1048576"/>
    </sheetView>
  </sheetViews>
  <sheetFormatPr defaultColWidth="9" defaultRowHeight="15.6" x14ac:dyDescent="0.3"/>
  <cols>
    <col min="1" max="1" width="10.21875" style="13" bestFit="1" customWidth="1"/>
    <col min="2" max="2" width="17.88671875" style="13" bestFit="1" customWidth="1"/>
    <col min="3" max="7" width="6.109375" style="13" bestFit="1" customWidth="1"/>
    <col min="8" max="8" width="4.6640625" style="13" bestFit="1" customWidth="1"/>
    <col min="9" max="9" width="4.33203125" style="13" customWidth="1"/>
    <col min="10" max="10" width="10.21875" style="13" bestFit="1" customWidth="1"/>
    <col min="11" max="15" width="4.6640625" style="13" bestFit="1" customWidth="1"/>
    <col min="16" max="16" width="4.33203125" style="13" customWidth="1"/>
    <col min="17" max="17" width="14.6640625" style="13" bestFit="1" customWidth="1"/>
    <col min="18" max="21" width="4.6640625" style="6" bestFit="1" customWidth="1"/>
    <col min="22" max="22" width="4.33203125" style="13" customWidth="1"/>
    <col min="23" max="23" width="19.77734375" style="13" bestFit="1" customWidth="1"/>
    <col min="24" max="27" width="8.21875" style="6" bestFit="1" customWidth="1"/>
    <col min="28" max="28" width="9" style="11" customWidth="1"/>
    <col min="29" max="29" width="41" style="13" bestFit="1" customWidth="1"/>
    <col min="30" max="30" width="10.21875" style="13" bestFit="1" customWidth="1"/>
    <col min="31" max="31" width="9" style="13" customWidth="1"/>
    <col min="32" max="32" width="28.5546875" style="6" bestFit="1" customWidth="1"/>
    <col min="33" max="37" width="10.21875" style="13" bestFit="1" customWidth="1"/>
    <col min="38" max="49" width="9" style="13" customWidth="1"/>
    <col min="50" max="16384" width="9" style="13"/>
  </cols>
  <sheetData>
    <row r="1" spans="1:37" ht="15.6" customHeight="1" x14ac:dyDescent="0.3"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3"/>
    </row>
    <row r="2" spans="1:37" ht="15.9" customHeight="1" x14ac:dyDescent="0.3">
      <c r="I2" s="4"/>
      <c r="J2" s="16" t="s">
        <v>19</v>
      </c>
      <c r="K2" s="16"/>
      <c r="L2" s="16"/>
      <c r="M2" s="16"/>
      <c r="N2" s="16"/>
      <c r="O2" s="16"/>
      <c r="P2" s="16"/>
      <c r="Q2" s="16" t="s">
        <v>68</v>
      </c>
      <c r="R2" s="46"/>
      <c r="S2" s="46"/>
      <c r="T2" s="46"/>
      <c r="U2" s="46"/>
      <c r="V2" s="16"/>
      <c r="W2" s="16" t="s">
        <v>69</v>
      </c>
      <c r="X2" s="46"/>
      <c r="AB2" s="13"/>
      <c r="AC2" s="16" t="s">
        <v>70</v>
      </c>
      <c r="AF2" s="6" t="s">
        <v>71</v>
      </c>
    </row>
    <row r="3" spans="1:37" ht="15.9" customHeight="1" x14ac:dyDescent="0.3">
      <c r="A3" s="5" t="s">
        <v>19</v>
      </c>
      <c r="B3" s="5" t="s">
        <v>20</v>
      </c>
      <c r="C3" s="5" t="s">
        <v>72</v>
      </c>
      <c r="D3" s="5" t="s">
        <v>73</v>
      </c>
      <c r="E3" s="5" t="s">
        <v>74</v>
      </c>
      <c r="F3" s="5" t="s">
        <v>75</v>
      </c>
      <c r="G3" s="5" t="s">
        <v>76</v>
      </c>
      <c r="H3" s="5" t="s">
        <v>77</v>
      </c>
      <c r="I3" s="4"/>
      <c r="J3" s="5" t="s">
        <v>78</v>
      </c>
      <c r="K3" s="5" t="s">
        <v>72</v>
      </c>
      <c r="L3" s="5" t="s">
        <v>73</v>
      </c>
      <c r="M3" s="5" t="s">
        <v>74</v>
      </c>
      <c r="N3" s="5" t="s">
        <v>75</v>
      </c>
      <c r="O3" s="5" t="s">
        <v>76</v>
      </c>
      <c r="Q3" s="5" t="s">
        <v>72</v>
      </c>
      <c r="R3" s="5" t="s">
        <v>73</v>
      </c>
      <c r="S3" s="5" t="s">
        <v>74</v>
      </c>
      <c r="T3" s="5" t="s">
        <v>75</v>
      </c>
      <c r="U3" s="5" t="s">
        <v>76</v>
      </c>
      <c r="W3" s="5" t="s">
        <v>72</v>
      </c>
      <c r="X3" s="5" t="s">
        <v>73</v>
      </c>
      <c r="Y3" s="5" t="s">
        <v>74</v>
      </c>
      <c r="Z3" s="5" t="s">
        <v>75</v>
      </c>
      <c r="AA3" s="5" t="s">
        <v>76</v>
      </c>
      <c r="AB3" s="13"/>
      <c r="AC3" s="5" t="s">
        <v>79</v>
      </c>
      <c r="AD3" s="5" t="s">
        <v>54</v>
      </c>
      <c r="AF3" s="5" t="s">
        <v>19</v>
      </c>
      <c r="AG3" s="5" t="s">
        <v>72</v>
      </c>
      <c r="AH3" s="5" t="s">
        <v>73</v>
      </c>
      <c r="AI3" s="5" t="s">
        <v>74</v>
      </c>
      <c r="AJ3" s="5" t="s">
        <v>75</v>
      </c>
      <c r="AK3" s="5" t="s">
        <v>76</v>
      </c>
    </row>
    <row r="4" spans="1:37" ht="15.9" customHeight="1" x14ac:dyDescent="0.3">
      <c r="A4" s="9" t="str">
        <f t="array" ref="A4:A22">Overview!A30:A48</f>
        <v>WW</v>
      </c>
      <c r="B4" s="38" t="str">
        <f t="array" ref="B4:B22">Overview!B30:B48</f>
        <v>Wild</v>
      </c>
      <c r="C4" s="9">
        <f t="shared" ref="C4:C22" si="0">COUNTIF(K:K,$A4)</f>
        <v>0</v>
      </c>
      <c r="D4" s="9">
        <f t="shared" ref="D4:D22" si="1">COUNTIF(L:L,$A4)</f>
        <v>0</v>
      </c>
      <c r="E4" s="9">
        <f t="shared" ref="E4:E22" si="2">COUNTIF(M:M,$A4)</f>
        <v>0</v>
      </c>
      <c r="F4" s="9">
        <f t="shared" ref="F4:F22" si="3">COUNTIF(N:N,$A4)</f>
        <v>0</v>
      </c>
      <c r="G4" s="9">
        <f t="shared" ref="G4:G22" si="4">COUNTIF(O:O,$A4)</f>
        <v>0</v>
      </c>
      <c r="H4" s="38">
        <f t="array" ref="H4:H22">Overview!H30:H48</f>
        <v>0</v>
      </c>
      <c r="I4" s="52"/>
      <c r="J4" s="7">
        <v>0</v>
      </c>
      <c r="K4" s="41" t="s">
        <v>31</v>
      </c>
      <c r="L4" s="8" t="s">
        <v>28</v>
      </c>
      <c r="M4" s="8" t="s">
        <v>35</v>
      </c>
      <c r="N4" s="8" t="s">
        <v>33</v>
      </c>
      <c r="O4" s="8" t="s">
        <v>29</v>
      </c>
      <c r="Q4" s="17">
        <f t="shared" ref="Q4:Q67" si="5">IF(K4="","",VLOOKUP(K4,$A$4:$H$22,8,FALSE))</f>
        <v>6</v>
      </c>
      <c r="R4" s="17">
        <f t="shared" ref="R4:R67" si="6">IF(L4="","",VLOOKUP(L4,$A$4:$H$22,8,FALSE))</f>
        <v>3</v>
      </c>
      <c r="S4" s="17">
        <f t="shared" ref="S4:S67" si="7">IF(M4="","",VLOOKUP(M4,$A$4:$H$22,8,FALSE))</f>
        <v>10</v>
      </c>
      <c r="T4" s="17">
        <f t="shared" ref="T4:T67" si="8">IF(N4="","",VLOOKUP(N4,$A$4:$H$22,8,FALSE))</f>
        <v>8</v>
      </c>
      <c r="U4" s="17">
        <f t="shared" ref="U4:U67" si="9">IF(O4="","",VLOOKUP(O4,$A$4:$H$22,8,FALSE))</f>
        <v>4</v>
      </c>
      <c r="W4" s="7">
        <v>10416</v>
      </c>
      <c r="X4" s="7">
        <v>8833</v>
      </c>
      <c r="Y4" s="7">
        <v>14188</v>
      </c>
      <c r="Z4" s="7">
        <v>10719</v>
      </c>
      <c r="AA4" s="7">
        <v>10237</v>
      </c>
      <c r="AB4" s="13"/>
      <c r="AC4" s="38">
        <v>0</v>
      </c>
      <c r="AD4" s="10">
        <v>1</v>
      </c>
      <c r="AF4" s="9" t="str">
        <f t="array" ref="AF4:AF22">A4:A22</f>
        <v>WW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</row>
    <row r="5" spans="1:37" ht="15.9" customHeight="1" x14ac:dyDescent="0.3">
      <c r="A5" s="2" t="str">
        <v>W2</v>
      </c>
      <c r="B5" s="38" t="str">
        <v>Super Wild</v>
      </c>
      <c r="C5" s="9">
        <f t="shared" si="0"/>
        <v>0</v>
      </c>
      <c r="D5" s="9">
        <f t="shared" si="1"/>
        <v>0</v>
      </c>
      <c r="E5" s="9">
        <f t="shared" si="2"/>
        <v>0</v>
      </c>
      <c r="F5" s="9">
        <f t="shared" si="3"/>
        <v>0</v>
      </c>
      <c r="G5" s="9">
        <f t="shared" si="4"/>
        <v>0</v>
      </c>
      <c r="H5" s="38">
        <v>1</v>
      </c>
      <c r="I5" s="52"/>
      <c r="J5" s="2">
        <v>1</v>
      </c>
      <c r="K5" s="41" t="s">
        <v>32</v>
      </c>
      <c r="L5" s="41" t="s">
        <v>40</v>
      </c>
      <c r="M5" s="41" t="s">
        <v>26</v>
      </c>
      <c r="N5" s="41" t="s">
        <v>35</v>
      </c>
      <c r="O5" s="41" t="s">
        <v>32</v>
      </c>
      <c r="Q5" s="17">
        <f t="shared" si="5"/>
        <v>7</v>
      </c>
      <c r="R5" s="17">
        <f t="shared" si="6"/>
        <v>13</v>
      </c>
      <c r="S5" s="17">
        <f t="shared" si="7"/>
        <v>2</v>
      </c>
      <c r="T5" s="17">
        <f t="shared" si="8"/>
        <v>10</v>
      </c>
      <c r="U5" s="17">
        <f t="shared" si="9"/>
        <v>7</v>
      </c>
      <c r="W5" s="7">
        <v>10416</v>
      </c>
      <c r="X5" s="7">
        <v>8833</v>
      </c>
      <c r="Y5" s="7">
        <v>11824</v>
      </c>
      <c r="Z5" s="7">
        <v>10719</v>
      </c>
      <c r="AA5" s="7">
        <v>10237</v>
      </c>
      <c r="AB5" s="13"/>
      <c r="AC5" s="38">
        <v>2</v>
      </c>
      <c r="AD5" s="10">
        <v>0</v>
      </c>
      <c r="AF5" s="2" t="str">
        <v>W2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</row>
    <row r="6" spans="1:37" ht="15.9" customHeight="1" x14ac:dyDescent="0.3">
      <c r="A6" s="2" t="str">
        <v>C1</v>
      </c>
      <c r="B6" s="38" t="str">
        <v>Scatter</v>
      </c>
      <c r="C6" s="9">
        <f t="shared" si="0"/>
        <v>4</v>
      </c>
      <c r="D6" s="9">
        <f t="shared" si="1"/>
        <v>4</v>
      </c>
      <c r="E6" s="9">
        <f t="shared" si="2"/>
        <v>4</v>
      </c>
      <c r="F6" s="9">
        <f t="shared" si="3"/>
        <v>4</v>
      </c>
      <c r="G6" s="9">
        <f t="shared" si="4"/>
        <v>6</v>
      </c>
      <c r="H6" s="38">
        <v>2</v>
      </c>
      <c r="I6" s="52"/>
      <c r="J6" s="2">
        <v>2</v>
      </c>
      <c r="K6" s="41" t="s">
        <v>33</v>
      </c>
      <c r="L6" s="41" t="s">
        <v>30</v>
      </c>
      <c r="M6" s="41" t="s">
        <v>34</v>
      </c>
      <c r="N6" s="41" t="s">
        <v>34</v>
      </c>
      <c r="O6" s="41" t="s">
        <v>30</v>
      </c>
      <c r="Q6" s="17">
        <f t="shared" si="5"/>
        <v>8</v>
      </c>
      <c r="R6" s="17">
        <f t="shared" si="6"/>
        <v>5</v>
      </c>
      <c r="S6" s="17">
        <f t="shared" si="7"/>
        <v>9</v>
      </c>
      <c r="T6" s="17">
        <f t="shared" si="8"/>
        <v>9</v>
      </c>
      <c r="U6" s="17">
        <f t="shared" si="9"/>
        <v>5</v>
      </c>
      <c r="W6" s="7">
        <v>10416</v>
      </c>
      <c r="X6" s="7">
        <v>11660</v>
      </c>
      <c r="Y6" s="7">
        <v>8957</v>
      </c>
      <c r="Z6" s="7">
        <v>10719</v>
      </c>
      <c r="AA6" s="7">
        <v>10237</v>
      </c>
      <c r="AB6" s="13"/>
      <c r="AC6" s="38">
        <v>3</v>
      </c>
      <c r="AD6" s="10">
        <v>0</v>
      </c>
      <c r="AF6" s="2" t="str">
        <v>C1</v>
      </c>
      <c r="AG6" s="9">
        <v>19997</v>
      </c>
      <c r="AH6" s="9">
        <v>19703</v>
      </c>
      <c r="AI6" s="9">
        <v>0</v>
      </c>
      <c r="AJ6" s="9">
        <v>20405</v>
      </c>
      <c r="AK6" s="9">
        <v>0</v>
      </c>
    </row>
    <row r="7" spans="1:37" ht="15.9" customHeight="1" x14ac:dyDescent="0.3">
      <c r="A7" s="2" t="str">
        <v>M1</v>
      </c>
      <c r="B7" s="38" t="str">
        <v>M1</v>
      </c>
      <c r="C7" s="9">
        <f t="shared" si="0"/>
        <v>14</v>
      </c>
      <c r="D7" s="9">
        <f t="shared" si="1"/>
        <v>9</v>
      </c>
      <c r="E7" s="9">
        <f t="shared" si="2"/>
        <v>10</v>
      </c>
      <c r="F7" s="9">
        <f t="shared" si="3"/>
        <v>9</v>
      </c>
      <c r="G7" s="9">
        <f t="shared" si="4"/>
        <v>14</v>
      </c>
      <c r="H7" s="38">
        <v>3</v>
      </c>
      <c r="I7" s="52"/>
      <c r="J7" s="2">
        <v>3</v>
      </c>
      <c r="K7" s="41" t="s">
        <v>28</v>
      </c>
      <c r="L7" s="41" t="s">
        <v>31</v>
      </c>
      <c r="M7" s="41" t="s">
        <v>34</v>
      </c>
      <c r="N7" s="41" t="s">
        <v>35</v>
      </c>
      <c r="O7" s="41" t="s">
        <v>33</v>
      </c>
      <c r="Q7" s="17">
        <f t="shared" si="5"/>
        <v>3</v>
      </c>
      <c r="R7" s="17">
        <f t="shared" si="6"/>
        <v>6</v>
      </c>
      <c r="S7" s="17">
        <f t="shared" si="7"/>
        <v>9</v>
      </c>
      <c r="T7" s="17">
        <f t="shared" si="8"/>
        <v>10</v>
      </c>
      <c r="U7" s="17">
        <f t="shared" si="9"/>
        <v>8</v>
      </c>
      <c r="W7" s="7">
        <v>10416</v>
      </c>
      <c r="X7" s="7">
        <v>13992</v>
      </c>
      <c r="Y7" s="7">
        <v>8957</v>
      </c>
      <c r="Z7" s="7">
        <v>8933</v>
      </c>
      <c r="AA7" s="7">
        <v>10237</v>
      </c>
      <c r="AB7" s="13"/>
      <c r="AC7" s="38">
        <v>4</v>
      </c>
      <c r="AD7" s="10">
        <v>0</v>
      </c>
      <c r="AF7" s="2" t="str">
        <v>M1</v>
      </c>
      <c r="AG7" s="9">
        <v>49120</v>
      </c>
      <c r="AH7" s="9">
        <v>84034</v>
      </c>
      <c r="AI7" s="9">
        <v>46185</v>
      </c>
      <c r="AJ7" s="9">
        <v>92053</v>
      </c>
      <c r="AK7" s="9">
        <v>50452</v>
      </c>
    </row>
    <row r="8" spans="1:37" ht="15.9" customHeight="1" x14ac:dyDescent="0.3">
      <c r="A8" s="2" t="str">
        <v>M2</v>
      </c>
      <c r="B8" s="38" t="str">
        <v>M2</v>
      </c>
      <c r="C8" s="9">
        <f t="shared" si="0"/>
        <v>28</v>
      </c>
      <c r="D8" s="9">
        <f t="shared" si="1"/>
        <v>33</v>
      </c>
      <c r="E8" s="9">
        <f t="shared" si="2"/>
        <v>15</v>
      </c>
      <c r="F8" s="9">
        <f t="shared" si="3"/>
        <v>12</v>
      </c>
      <c r="G8" s="9">
        <f t="shared" si="4"/>
        <v>24</v>
      </c>
      <c r="H8" s="38">
        <v>4</v>
      </c>
      <c r="I8" s="52"/>
      <c r="J8" s="2">
        <v>4</v>
      </c>
      <c r="K8" s="41" t="s">
        <v>32</v>
      </c>
      <c r="L8" s="41" t="s">
        <v>29</v>
      </c>
      <c r="M8" s="41" t="s">
        <v>34</v>
      </c>
      <c r="N8" s="41" t="s">
        <v>40</v>
      </c>
      <c r="O8" s="41" t="s">
        <v>30</v>
      </c>
      <c r="Q8" s="17">
        <f t="shared" si="5"/>
        <v>7</v>
      </c>
      <c r="R8" s="17">
        <f t="shared" si="6"/>
        <v>4</v>
      </c>
      <c r="S8" s="17">
        <f t="shared" si="7"/>
        <v>9</v>
      </c>
      <c r="T8" s="17">
        <f t="shared" si="8"/>
        <v>13</v>
      </c>
      <c r="U8" s="17">
        <f t="shared" si="9"/>
        <v>5</v>
      </c>
      <c r="W8" s="7">
        <v>10416</v>
      </c>
      <c r="X8" s="7">
        <v>13992</v>
      </c>
      <c r="Y8" s="7">
        <v>10748</v>
      </c>
      <c r="Z8" s="7">
        <v>8933</v>
      </c>
      <c r="AA8" s="7">
        <v>8531</v>
      </c>
      <c r="AB8" s="13"/>
      <c r="AF8" s="2" t="str">
        <v>M2</v>
      </c>
      <c r="AG8" s="9">
        <v>98476</v>
      </c>
      <c r="AH8" s="9">
        <v>40816</v>
      </c>
      <c r="AI8" s="9">
        <v>91061</v>
      </c>
      <c r="AJ8" s="9">
        <v>45059</v>
      </c>
      <c r="AK8" s="9">
        <v>104798</v>
      </c>
    </row>
    <row r="9" spans="1:37" ht="15.9" customHeight="1" x14ac:dyDescent="0.3">
      <c r="A9" s="2" t="str">
        <v>M3</v>
      </c>
      <c r="B9" s="38" t="str">
        <v>M3</v>
      </c>
      <c r="C9" s="9">
        <f t="shared" si="0"/>
        <v>18</v>
      </c>
      <c r="D9" s="9">
        <f t="shared" si="1"/>
        <v>12</v>
      </c>
      <c r="E9" s="9">
        <f t="shared" si="2"/>
        <v>30</v>
      </c>
      <c r="F9" s="9">
        <f t="shared" si="3"/>
        <v>13</v>
      </c>
      <c r="G9" s="9">
        <f t="shared" si="4"/>
        <v>28</v>
      </c>
      <c r="H9" s="38">
        <v>5</v>
      </c>
      <c r="I9" s="52"/>
      <c r="J9" s="2">
        <v>5</v>
      </c>
      <c r="K9" s="41" t="s">
        <v>35</v>
      </c>
      <c r="L9" s="41" t="s">
        <v>26</v>
      </c>
      <c r="M9" s="41" t="s">
        <v>32</v>
      </c>
      <c r="N9" s="41" t="s">
        <v>30</v>
      </c>
      <c r="O9" s="41" t="s">
        <v>35</v>
      </c>
      <c r="Q9" s="17">
        <f t="shared" si="5"/>
        <v>10</v>
      </c>
      <c r="R9" s="17">
        <f t="shared" si="6"/>
        <v>2</v>
      </c>
      <c r="S9" s="17">
        <f t="shared" si="7"/>
        <v>7</v>
      </c>
      <c r="T9" s="17">
        <f t="shared" si="8"/>
        <v>5</v>
      </c>
      <c r="U9" s="17">
        <f t="shared" si="9"/>
        <v>10</v>
      </c>
      <c r="W9" s="7">
        <v>13750</v>
      </c>
      <c r="X9" s="7">
        <v>13992</v>
      </c>
      <c r="Y9" s="7">
        <v>10748</v>
      </c>
      <c r="Z9" s="7">
        <v>8933</v>
      </c>
      <c r="AA9" s="7">
        <v>8531</v>
      </c>
      <c r="AB9" s="13"/>
      <c r="AF9" s="2" t="str">
        <v>M3</v>
      </c>
      <c r="AG9" s="9">
        <v>98374</v>
      </c>
      <c r="AH9" s="9">
        <v>60794</v>
      </c>
      <c r="AI9" s="9">
        <v>71224</v>
      </c>
      <c r="AJ9" s="9">
        <v>66363</v>
      </c>
      <c r="AK9" s="9">
        <v>82539</v>
      </c>
    </row>
    <row r="10" spans="1:37" ht="15.9" customHeight="1" x14ac:dyDescent="0.3">
      <c r="A10" s="2" t="str">
        <v>M4</v>
      </c>
      <c r="B10" s="38" t="str">
        <v>M4</v>
      </c>
      <c r="C10" s="9">
        <f t="shared" si="0"/>
        <v>19</v>
      </c>
      <c r="D10" s="9">
        <f t="shared" si="1"/>
        <v>37</v>
      </c>
      <c r="E10" s="9">
        <f t="shared" si="2"/>
        <v>12</v>
      </c>
      <c r="F10" s="9">
        <f t="shared" si="3"/>
        <v>40</v>
      </c>
      <c r="G10" s="9">
        <f t="shared" si="4"/>
        <v>15</v>
      </c>
      <c r="H10" s="38">
        <v>6</v>
      </c>
      <c r="I10" s="52"/>
      <c r="J10" s="2">
        <v>6</v>
      </c>
      <c r="K10" s="41" t="s">
        <v>31</v>
      </c>
      <c r="L10" s="41" t="s">
        <v>29</v>
      </c>
      <c r="M10" s="41" t="s">
        <v>34</v>
      </c>
      <c r="N10" s="41" t="s">
        <v>35</v>
      </c>
      <c r="O10" s="41" t="s">
        <v>32</v>
      </c>
      <c r="Q10" s="17">
        <f t="shared" si="5"/>
        <v>6</v>
      </c>
      <c r="R10" s="17">
        <f t="shared" si="6"/>
        <v>4</v>
      </c>
      <c r="S10" s="17">
        <f t="shared" si="7"/>
        <v>9</v>
      </c>
      <c r="T10" s="17">
        <f t="shared" si="8"/>
        <v>10</v>
      </c>
      <c r="U10" s="17">
        <f t="shared" si="9"/>
        <v>7</v>
      </c>
      <c r="W10" s="7">
        <v>13750</v>
      </c>
      <c r="X10" s="7">
        <v>8833</v>
      </c>
      <c r="Y10" s="7">
        <v>10748</v>
      </c>
      <c r="Z10" s="7">
        <v>10719</v>
      </c>
      <c r="AA10" s="7">
        <v>8531</v>
      </c>
      <c r="AB10" s="13"/>
      <c r="AF10" s="2" t="str">
        <v>M4</v>
      </c>
      <c r="AG10" s="9">
        <v>94918</v>
      </c>
      <c r="AH10" s="9">
        <v>105806</v>
      </c>
      <c r="AI10" s="9">
        <v>68378</v>
      </c>
      <c r="AJ10" s="9">
        <v>111968</v>
      </c>
      <c r="AK10" s="9">
        <v>77965</v>
      </c>
    </row>
    <row r="11" spans="1:37" ht="15.9" customHeight="1" x14ac:dyDescent="0.3">
      <c r="A11" s="2" t="str">
        <v>A</v>
      </c>
      <c r="B11" s="38" t="str">
        <v>A</v>
      </c>
      <c r="C11" s="9">
        <f t="shared" si="0"/>
        <v>33</v>
      </c>
      <c r="D11" s="9">
        <f t="shared" si="1"/>
        <v>43</v>
      </c>
      <c r="E11" s="9">
        <f t="shared" si="2"/>
        <v>15</v>
      </c>
      <c r="F11" s="9">
        <f t="shared" si="3"/>
        <v>9</v>
      </c>
      <c r="G11" s="9">
        <f t="shared" si="4"/>
        <v>31</v>
      </c>
      <c r="H11" s="38">
        <v>7</v>
      </c>
      <c r="I11" s="52"/>
      <c r="J11" s="2">
        <v>7</v>
      </c>
      <c r="K11" s="41" t="s">
        <v>33</v>
      </c>
      <c r="L11" s="41" t="s">
        <v>31</v>
      </c>
      <c r="M11" s="41" t="s">
        <v>31</v>
      </c>
      <c r="N11" s="41" t="s">
        <v>32</v>
      </c>
      <c r="O11" s="41" t="s">
        <v>31</v>
      </c>
      <c r="Q11" s="17">
        <f t="shared" si="5"/>
        <v>8</v>
      </c>
      <c r="R11" s="17">
        <f t="shared" si="6"/>
        <v>6</v>
      </c>
      <c r="S11" s="17">
        <f t="shared" si="7"/>
        <v>6</v>
      </c>
      <c r="T11" s="17">
        <f t="shared" si="8"/>
        <v>7</v>
      </c>
      <c r="U11" s="17">
        <f t="shared" si="9"/>
        <v>6</v>
      </c>
      <c r="W11" s="7">
        <v>13750</v>
      </c>
      <c r="X11" s="7">
        <v>8833</v>
      </c>
      <c r="Y11" s="7">
        <v>8957</v>
      </c>
      <c r="Z11" s="7">
        <v>10719</v>
      </c>
      <c r="AA11" s="7">
        <v>10237</v>
      </c>
      <c r="AB11" s="13"/>
      <c r="AF11" s="2" t="str">
        <v>A</v>
      </c>
      <c r="AG11" s="9">
        <v>145730</v>
      </c>
      <c r="AH11" s="9">
        <v>146681</v>
      </c>
      <c r="AI11" s="9">
        <v>142185</v>
      </c>
      <c r="AJ11" s="9">
        <v>155829</v>
      </c>
      <c r="AK11" s="9">
        <v>157042</v>
      </c>
    </row>
    <row r="12" spans="1:37" ht="15.9" customHeight="1" x14ac:dyDescent="0.3">
      <c r="A12" s="2" t="str">
        <v>K</v>
      </c>
      <c r="B12" s="38" t="str">
        <v>K</v>
      </c>
      <c r="C12" s="9">
        <f t="shared" si="0"/>
        <v>33</v>
      </c>
      <c r="D12" s="9">
        <f t="shared" si="1"/>
        <v>12</v>
      </c>
      <c r="E12" s="9">
        <f t="shared" si="2"/>
        <v>11</v>
      </c>
      <c r="F12" s="9">
        <f t="shared" si="3"/>
        <v>50</v>
      </c>
      <c r="G12" s="9">
        <f t="shared" si="4"/>
        <v>26</v>
      </c>
      <c r="H12" s="38">
        <v>8</v>
      </c>
      <c r="I12" s="52"/>
      <c r="J12" s="2">
        <v>8</v>
      </c>
      <c r="K12" s="41" t="s">
        <v>26</v>
      </c>
      <c r="L12" s="41" t="s">
        <v>36</v>
      </c>
      <c r="M12" s="41" t="s">
        <v>34</v>
      </c>
      <c r="N12" s="41" t="s">
        <v>34</v>
      </c>
      <c r="O12" s="41" t="s">
        <v>28</v>
      </c>
      <c r="Q12" s="17">
        <f t="shared" si="5"/>
        <v>2</v>
      </c>
      <c r="R12" s="17">
        <f t="shared" si="6"/>
        <v>11</v>
      </c>
      <c r="S12" s="17">
        <f t="shared" si="7"/>
        <v>9</v>
      </c>
      <c r="T12" s="17">
        <f t="shared" si="8"/>
        <v>9</v>
      </c>
      <c r="U12" s="17">
        <f t="shared" si="9"/>
        <v>3</v>
      </c>
      <c r="W12" s="7">
        <v>13750</v>
      </c>
      <c r="X12" s="7">
        <v>8833</v>
      </c>
      <c r="Y12" s="7">
        <v>8957</v>
      </c>
      <c r="Z12" s="7">
        <v>8933</v>
      </c>
      <c r="AA12" s="7">
        <v>10237</v>
      </c>
      <c r="AB12" s="13"/>
      <c r="AF12" s="2" t="str">
        <v>K</v>
      </c>
      <c r="AG12" s="9">
        <v>147668</v>
      </c>
      <c r="AH12" s="9">
        <v>140718</v>
      </c>
      <c r="AI12" s="9">
        <v>138412</v>
      </c>
      <c r="AJ12" s="9">
        <v>159098</v>
      </c>
      <c r="AK12" s="9">
        <v>166316</v>
      </c>
    </row>
    <row r="13" spans="1:37" ht="15.9" customHeight="1" x14ac:dyDescent="0.3">
      <c r="A13" s="2" t="str">
        <v>Q</v>
      </c>
      <c r="B13" s="38" t="str">
        <v>Q</v>
      </c>
      <c r="C13" s="9">
        <f t="shared" si="0"/>
        <v>18</v>
      </c>
      <c r="D13" s="9">
        <f t="shared" si="1"/>
        <v>12</v>
      </c>
      <c r="E13" s="9">
        <f t="shared" si="2"/>
        <v>39</v>
      </c>
      <c r="F13" s="9">
        <f t="shared" si="3"/>
        <v>34</v>
      </c>
      <c r="G13" s="9">
        <f t="shared" si="4"/>
        <v>30</v>
      </c>
      <c r="H13" s="38">
        <v>9</v>
      </c>
      <c r="I13" s="52"/>
      <c r="J13" s="2">
        <v>9</v>
      </c>
      <c r="K13" s="41" t="s">
        <v>28</v>
      </c>
      <c r="L13" s="41" t="s">
        <v>28</v>
      </c>
      <c r="M13" s="41" t="s">
        <v>50</v>
      </c>
      <c r="N13" s="41" t="s">
        <v>30</v>
      </c>
      <c r="O13" s="41" t="s">
        <v>32</v>
      </c>
      <c r="Q13" s="17">
        <f t="shared" si="5"/>
        <v>3</v>
      </c>
      <c r="R13" s="17">
        <f t="shared" si="6"/>
        <v>3</v>
      </c>
      <c r="S13" s="17">
        <f t="shared" si="7"/>
        <v>18</v>
      </c>
      <c r="T13" s="17">
        <f t="shared" si="8"/>
        <v>5</v>
      </c>
      <c r="U13" s="17">
        <f t="shared" si="9"/>
        <v>7</v>
      </c>
      <c r="W13" s="7">
        <v>10416</v>
      </c>
      <c r="X13" s="7">
        <v>10600</v>
      </c>
      <c r="Y13" s="7">
        <v>8957</v>
      </c>
      <c r="Z13" s="7">
        <v>8933</v>
      </c>
      <c r="AA13" s="7">
        <v>10237</v>
      </c>
      <c r="AB13" s="13"/>
      <c r="AF13" s="2" t="str">
        <v>Q</v>
      </c>
      <c r="AG13" s="9">
        <v>171100</v>
      </c>
      <c r="AH13" s="9">
        <v>124337</v>
      </c>
      <c r="AI13" s="9">
        <v>165974</v>
      </c>
      <c r="AJ13" s="9">
        <v>134579</v>
      </c>
      <c r="AK13" s="9">
        <v>176580</v>
      </c>
    </row>
    <row r="14" spans="1:37" ht="15.9" customHeight="1" x14ac:dyDescent="0.3">
      <c r="A14" s="2" t="str">
        <v>J</v>
      </c>
      <c r="B14" s="38" t="str">
        <v>J</v>
      </c>
      <c r="C14" s="9">
        <f t="shared" si="0"/>
        <v>33</v>
      </c>
      <c r="D14" s="9">
        <f t="shared" si="1"/>
        <v>8</v>
      </c>
      <c r="E14" s="9">
        <f t="shared" si="2"/>
        <v>38</v>
      </c>
      <c r="F14" s="9">
        <f t="shared" si="3"/>
        <v>13</v>
      </c>
      <c r="G14" s="9">
        <f t="shared" si="4"/>
        <v>26</v>
      </c>
      <c r="H14" s="38">
        <v>10</v>
      </c>
      <c r="I14" s="52"/>
      <c r="J14" s="2">
        <v>10</v>
      </c>
      <c r="K14" s="41" t="s">
        <v>35</v>
      </c>
      <c r="L14" s="41" t="s">
        <v>44</v>
      </c>
      <c r="M14" s="41" t="s">
        <v>34</v>
      </c>
      <c r="N14" s="41" t="s">
        <v>33</v>
      </c>
      <c r="O14" s="41" t="s">
        <v>34</v>
      </c>
      <c r="Q14" s="17">
        <f t="shared" si="5"/>
        <v>10</v>
      </c>
      <c r="R14" s="17">
        <f t="shared" si="6"/>
        <v>15</v>
      </c>
      <c r="S14" s="17">
        <f t="shared" si="7"/>
        <v>9</v>
      </c>
      <c r="T14" s="17">
        <f t="shared" si="8"/>
        <v>8</v>
      </c>
      <c r="U14" s="17">
        <f t="shared" si="9"/>
        <v>9</v>
      </c>
      <c r="W14" s="7">
        <v>10416</v>
      </c>
      <c r="X14" s="7">
        <v>10600</v>
      </c>
      <c r="Y14" s="7">
        <v>8957</v>
      </c>
      <c r="Z14" s="7">
        <v>8933</v>
      </c>
      <c r="AA14" s="7">
        <v>10237</v>
      </c>
      <c r="AB14" s="13"/>
      <c r="AF14" s="2" t="str">
        <v>J</v>
      </c>
      <c r="AG14" s="9">
        <v>174617</v>
      </c>
      <c r="AH14" s="9">
        <v>123931</v>
      </c>
      <c r="AI14" s="9">
        <v>164613</v>
      </c>
      <c r="AJ14" s="9">
        <v>135505</v>
      </c>
      <c r="AK14" s="9">
        <v>184308</v>
      </c>
    </row>
    <row r="15" spans="1:37" ht="15.9" customHeight="1" x14ac:dyDescent="0.3">
      <c r="A15" s="2" t="str">
        <v>G1</v>
      </c>
      <c r="B15" s="38" t="str">
        <v>Golden M1</v>
      </c>
      <c r="C15" s="9">
        <f t="shared" si="0"/>
        <v>0</v>
      </c>
      <c r="D15" s="9">
        <f t="shared" si="1"/>
        <v>2</v>
      </c>
      <c r="E15" s="9">
        <f t="shared" si="2"/>
        <v>1</v>
      </c>
      <c r="F15" s="9">
        <f t="shared" si="3"/>
        <v>1</v>
      </c>
      <c r="G15" s="9">
        <f t="shared" si="4"/>
        <v>0</v>
      </c>
      <c r="H15" s="38">
        <v>11</v>
      </c>
      <c r="I15" s="52"/>
      <c r="J15" s="2">
        <v>11</v>
      </c>
      <c r="K15" s="41" t="s">
        <v>30</v>
      </c>
      <c r="L15" s="41" t="s">
        <v>29</v>
      </c>
      <c r="M15" s="41" t="s">
        <v>31</v>
      </c>
      <c r="N15" s="41" t="s">
        <v>28</v>
      </c>
      <c r="O15" s="41" t="s">
        <v>35</v>
      </c>
      <c r="Q15" s="17">
        <f t="shared" si="5"/>
        <v>5</v>
      </c>
      <c r="R15" s="17">
        <f t="shared" si="6"/>
        <v>4</v>
      </c>
      <c r="S15" s="17">
        <f t="shared" si="7"/>
        <v>6</v>
      </c>
      <c r="T15" s="17">
        <f t="shared" si="8"/>
        <v>3</v>
      </c>
      <c r="U15" s="17">
        <f t="shared" si="9"/>
        <v>10</v>
      </c>
      <c r="W15" s="7">
        <v>8680</v>
      </c>
      <c r="X15" s="7">
        <v>10600</v>
      </c>
      <c r="Y15" s="7">
        <v>8957</v>
      </c>
      <c r="Z15" s="7">
        <v>8933</v>
      </c>
      <c r="AA15" s="7">
        <v>10237</v>
      </c>
      <c r="AB15" s="13"/>
      <c r="AF15" s="2" t="str">
        <v>G1</v>
      </c>
      <c r="AG15" s="9">
        <v>0</v>
      </c>
      <c r="AH15" s="9">
        <v>16238</v>
      </c>
      <c r="AI15" s="9">
        <v>6454</v>
      </c>
      <c r="AJ15" s="9">
        <v>7328</v>
      </c>
      <c r="AK15" s="9">
        <v>0</v>
      </c>
    </row>
    <row r="16" spans="1:37" ht="15.9" customHeight="1" x14ac:dyDescent="0.3">
      <c r="A16" s="2" t="str">
        <v>G2</v>
      </c>
      <c r="B16" s="38" t="str">
        <v>Golden M2</v>
      </c>
      <c r="C16" s="9">
        <f t="shared" si="0"/>
        <v>0</v>
      </c>
      <c r="D16" s="9">
        <f t="shared" si="1"/>
        <v>5</v>
      </c>
      <c r="E16" s="9">
        <f t="shared" si="2"/>
        <v>2</v>
      </c>
      <c r="F16" s="9">
        <f t="shared" si="3"/>
        <v>1</v>
      </c>
      <c r="G16" s="9">
        <f t="shared" si="4"/>
        <v>0</v>
      </c>
      <c r="H16" s="38">
        <v>12</v>
      </c>
      <c r="I16" s="52"/>
      <c r="J16" s="2">
        <v>12</v>
      </c>
      <c r="K16" s="41" t="s">
        <v>29</v>
      </c>
      <c r="L16" s="41" t="s">
        <v>29</v>
      </c>
      <c r="M16" s="41" t="s">
        <v>35</v>
      </c>
      <c r="N16" s="41" t="s">
        <v>33</v>
      </c>
      <c r="O16" s="41" t="s">
        <v>32</v>
      </c>
      <c r="Q16" s="17">
        <f t="shared" si="5"/>
        <v>4</v>
      </c>
      <c r="R16" s="17">
        <f t="shared" si="6"/>
        <v>4</v>
      </c>
      <c r="S16" s="17">
        <f t="shared" si="7"/>
        <v>10</v>
      </c>
      <c r="T16" s="17">
        <f t="shared" si="8"/>
        <v>8</v>
      </c>
      <c r="U16" s="17">
        <f t="shared" si="9"/>
        <v>7</v>
      </c>
      <c r="W16" s="7">
        <v>11458</v>
      </c>
      <c r="X16" s="7">
        <v>10600</v>
      </c>
      <c r="Y16" s="7">
        <v>10748</v>
      </c>
      <c r="Z16" s="7">
        <v>8933</v>
      </c>
      <c r="AA16" s="7">
        <v>10237</v>
      </c>
      <c r="AB16" s="13"/>
      <c r="AF16" s="2" t="str">
        <v>G2</v>
      </c>
      <c r="AG16" s="9">
        <v>0</v>
      </c>
      <c r="AH16" s="9">
        <v>7767</v>
      </c>
      <c r="AI16" s="9">
        <v>11642</v>
      </c>
      <c r="AJ16" s="9">
        <v>4550</v>
      </c>
      <c r="AK16" s="9">
        <v>0</v>
      </c>
    </row>
    <row r="17" spans="1:37" ht="15.9" customHeight="1" x14ac:dyDescent="0.3">
      <c r="A17" s="2" t="str">
        <v>G3</v>
      </c>
      <c r="B17" s="38" t="str">
        <v>Golden M3</v>
      </c>
      <c r="C17" s="9">
        <f t="shared" si="0"/>
        <v>0</v>
      </c>
      <c r="D17" s="9">
        <f t="shared" si="1"/>
        <v>2</v>
      </c>
      <c r="E17" s="9">
        <f t="shared" si="2"/>
        <v>4</v>
      </c>
      <c r="F17" s="9">
        <f t="shared" si="3"/>
        <v>1</v>
      </c>
      <c r="G17" s="9">
        <f t="shared" si="4"/>
        <v>0</v>
      </c>
      <c r="H17" s="38">
        <v>13</v>
      </c>
      <c r="I17" s="52"/>
      <c r="J17" s="2">
        <v>13</v>
      </c>
      <c r="K17" s="41" t="s">
        <v>31</v>
      </c>
      <c r="L17" s="41" t="s">
        <v>33</v>
      </c>
      <c r="M17" s="41" t="s">
        <v>35</v>
      </c>
      <c r="N17" s="41" t="s">
        <v>31</v>
      </c>
      <c r="O17" s="41" t="s">
        <v>34</v>
      </c>
      <c r="Q17" s="17">
        <f t="shared" si="5"/>
        <v>6</v>
      </c>
      <c r="R17" s="17">
        <f t="shared" si="6"/>
        <v>8</v>
      </c>
      <c r="S17" s="17">
        <f t="shared" si="7"/>
        <v>10</v>
      </c>
      <c r="T17" s="17">
        <f t="shared" si="8"/>
        <v>6</v>
      </c>
      <c r="U17" s="17">
        <f t="shared" si="9"/>
        <v>9</v>
      </c>
      <c r="W17" s="7">
        <v>11458</v>
      </c>
      <c r="X17" s="7">
        <v>10600</v>
      </c>
      <c r="Y17" s="7">
        <v>10748</v>
      </c>
      <c r="Z17" s="7">
        <v>8933</v>
      </c>
      <c r="AA17" s="7">
        <v>10237</v>
      </c>
      <c r="AB17" s="13"/>
      <c r="AF17" s="2" t="str">
        <v>G3</v>
      </c>
      <c r="AG17" s="9">
        <v>0</v>
      </c>
      <c r="AH17" s="9">
        <v>11184</v>
      </c>
      <c r="AI17" s="9">
        <v>9525</v>
      </c>
      <c r="AJ17" s="9">
        <v>5340</v>
      </c>
      <c r="AK17" s="9">
        <v>0</v>
      </c>
    </row>
    <row r="18" spans="1:37" ht="15.9" customHeight="1" x14ac:dyDescent="0.3">
      <c r="A18" s="2" t="str">
        <v>G4</v>
      </c>
      <c r="B18" s="38" t="str">
        <v>Golden M4</v>
      </c>
      <c r="C18" s="9">
        <f t="shared" si="0"/>
        <v>0</v>
      </c>
      <c r="D18" s="9">
        <f t="shared" si="1"/>
        <v>7</v>
      </c>
      <c r="E18" s="9">
        <f t="shared" si="2"/>
        <v>2</v>
      </c>
      <c r="F18" s="9">
        <f t="shared" si="3"/>
        <v>3</v>
      </c>
      <c r="G18" s="9">
        <f t="shared" si="4"/>
        <v>0</v>
      </c>
      <c r="H18" s="38">
        <v>14</v>
      </c>
      <c r="I18" s="52"/>
      <c r="J18" s="9">
        <v>14</v>
      </c>
      <c r="K18" s="41" t="s">
        <v>31</v>
      </c>
      <c r="L18" s="41" t="s">
        <v>29</v>
      </c>
      <c r="M18" s="41" t="s">
        <v>30</v>
      </c>
      <c r="N18" s="41" t="s">
        <v>33</v>
      </c>
      <c r="O18" s="41" t="s">
        <v>32</v>
      </c>
      <c r="Q18" s="17">
        <f t="shared" si="5"/>
        <v>6</v>
      </c>
      <c r="R18" s="17">
        <f t="shared" si="6"/>
        <v>4</v>
      </c>
      <c r="S18" s="17">
        <f t="shared" si="7"/>
        <v>5</v>
      </c>
      <c r="T18" s="17">
        <f t="shared" si="8"/>
        <v>8</v>
      </c>
      <c r="U18" s="17">
        <f t="shared" si="9"/>
        <v>7</v>
      </c>
      <c r="W18" s="7">
        <v>13750</v>
      </c>
      <c r="X18" s="7">
        <v>10600</v>
      </c>
      <c r="Y18" s="7">
        <v>8957</v>
      </c>
      <c r="Z18" s="7">
        <v>8933</v>
      </c>
      <c r="AA18" s="7">
        <v>13513</v>
      </c>
      <c r="AB18" s="13"/>
      <c r="AF18" s="2" t="str">
        <v>G4</v>
      </c>
      <c r="AG18" s="9">
        <v>0</v>
      </c>
      <c r="AH18" s="9">
        <v>19894</v>
      </c>
      <c r="AI18" s="9">
        <v>8340</v>
      </c>
      <c r="AJ18" s="9">
        <v>9589</v>
      </c>
      <c r="AK18" s="9">
        <v>0</v>
      </c>
    </row>
    <row r="19" spans="1:37" ht="15.9" customHeight="1" x14ac:dyDescent="0.3">
      <c r="A19" s="2" t="str">
        <v>GA</v>
      </c>
      <c r="B19" s="38" t="str">
        <v>Golden A</v>
      </c>
      <c r="C19" s="9">
        <f t="shared" si="0"/>
        <v>0</v>
      </c>
      <c r="D19" s="9">
        <f t="shared" si="1"/>
        <v>8</v>
      </c>
      <c r="E19" s="9">
        <f t="shared" si="2"/>
        <v>2</v>
      </c>
      <c r="F19" s="9">
        <f t="shared" si="3"/>
        <v>1</v>
      </c>
      <c r="G19" s="9">
        <f t="shared" si="4"/>
        <v>0</v>
      </c>
      <c r="H19" s="38">
        <v>15</v>
      </c>
      <c r="I19" s="52"/>
      <c r="J19" s="2">
        <v>15</v>
      </c>
      <c r="K19" s="41" t="s">
        <v>26</v>
      </c>
      <c r="L19" s="41" t="s">
        <v>42</v>
      </c>
      <c r="M19" s="41" t="s">
        <v>30</v>
      </c>
      <c r="N19" s="41" t="s">
        <v>33</v>
      </c>
      <c r="O19" s="41" t="s">
        <v>31</v>
      </c>
      <c r="Q19" s="17">
        <f t="shared" si="5"/>
        <v>2</v>
      </c>
      <c r="R19" s="17">
        <f t="shared" si="6"/>
        <v>14</v>
      </c>
      <c r="S19" s="17">
        <f t="shared" si="7"/>
        <v>5</v>
      </c>
      <c r="T19" s="17">
        <f t="shared" si="8"/>
        <v>8</v>
      </c>
      <c r="U19" s="17">
        <f t="shared" si="9"/>
        <v>6</v>
      </c>
      <c r="W19" s="7">
        <v>13750</v>
      </c>
      <c r="X19" s="7">
        <v>8833</v>
      </c>
      <c r="Y19" s="7">
        <v>8957</v>
      </c>
      <c r="Z19" s="7">
        <v>8933</v>
      </c>
      <c r="AA19" s="7">
        <v>13513</v>
      </c>
      <c r="AB19" s="13"/>
      <c r="AF19" s="2" t="str">
        <v>GA</v>
      </c>
      <c r="AG19" s="9">
        <v>0</v>
      </c>
      <c r="AH19" s="9">
        <v>26908</v>
      </c>
      <c r="AI19" s="9">
        <v>17176</v>
      </c>
      <c r="AJ19" s="9">
        <v>13431</v>
      </c>
      <c r="AK19" s="9">
        <v>0</v>
      </c>
    </row>
    <row r="20" spans="1:37" ht="15.9" customHeight="1" x14ac:dyDescent="0.3">
      <c r="A20" s="2" t="str">
        <v>GK</v>
      </c>
      <c r="B20" s="38" t="str">
        <v>Golden K</v>
      </c>
      <c r="C20" s="9">
        <f t="shared" si="0"/>
        <v>0</v>
      </c>
      <c r="D20" s="9">
        <f t="shared" si="1"/>
        <v>2</v>
      </c>
      <c r="E20" s="9">
        <f t="shared" si="2"/>
        <v>1</v>
      </c>
      <c r="F20" s="9">
        <f t="shared" si="3"/>
        <v>4</v>
      </c>
      <c r="G20" s="9">
        <f t="shared" si="4"/>
        <v>0</v>
      </c>
      <c r="H20" s="38">
        <v>16</v>
      </c>
      <c r="I20" s="52"/>
      <c r="J20" s="2">
        <v>16</v>
      </c>
      <c r="K20" s="41" t="s">
        <v>30</v>
      </c>
      <c r="L20" s="41" t="s">
        <v>40</v>
      </c>
      <c r="M20" s="41" t="s">
        <v>30</v>
      </c>
      <c r="N20" s="41" t="s">
        <v>33</v>
      </c>
      <c r="O20" s="41" t="s">
        <v>30</v>
      </c>
      <c r="Q20" s="17">
        <f t="shared" si="5"/>
        <v>5</v>
      </c>
      <c r="R20" s="17">
        <f t="shared" si="6"/>
        <v>13</v>
      </c>
      <c r="S20" s="17">
        <f t="shared" si="7"/>
        <v>5</v>
      </c>
      <c r="T20" s="17">
        <f t="shared" si="8"/>
        <v>8</v>
      </c>
      <c r="U20" s="17">
        <f t="shared" si="9"/>
        <v>5</v>
      </c>
      <c r="W20" s="7">
        <v>10416</v>
      </c>
      <c r="X20" s="7">
        <v>8833</v>
      </c>
      <c r="Y20" s="7">
        <v>8957</v>
      </c>
      <c r="Z20" s="7">
        <v>8933</v>
      </c>
      <c r="AA20" s="7">
        <v>11261</v>
      </c>
      <c r="AB20" s="13"/>
      <c r="AF20" s="2" t="str">
        <v>GK</v>
      </c>
      <c r="AG20" s="9">
        <v>0</v>
      </c>
      <c r="AH20" s="9">
        <v>26418</v>
      </c>
      <c r="AI20" s="9">
        <v>17083</v>
      </c>
      <c r="AJ20" s="9">
        <v>13649</v>
      </c>
      <c r="AK20" s="9">
        <v>0</v>
      </c>
    </row>
    <row r="21" spans="1:37" ht="15.9" customHeight="1" x14ac:dyDescent="0.3">
      <c r="A21" s="2" t="str">
        <v>GQ</v>
      </c>
      <c r="B21" s="38" t="str">
        <v>Golden Q</v>
      </c>
      <c r="C21" s="9">
        <f t="shared" si="0"/>
        <v>0</v>
      </c>
      <c r="D21" s="9">
        <f t="shared" si="1"/>
        <v>2</v>
      </c>
      <c r="E21" s="9">
        <f t="shared" si="2"/>
        <v>4</v>
      </c>
      <c r="F21" s="9">
        <f t="shared" si="3"/>
        <v>4</v>
      </c>
      <c r="G21" s="9">
        <f t="shared" si="4"/>
        <v>0</v>
      </c>
      <c r="H21" s="38">
        <v>17</v>
      </c>
      <c r="I21" s="52"/>
      <c r="J21" s="2">
        <v>17</v>
      </c>
      <c r="K21" s="41" t="s">
        <v>33</v>
      </c>
      <c r="L21" s="41" t="s">
        <v>29</v>
      </c>
      <c r="M21" s="41" t="s">
        <v>33</v>
      </c>
      <c r="N21" s="41" t="s">
        <v>30</v>
      </c>
      <c r="O21" s="41" t="s">
        <v>26</v>
      </c>
      <c r="Q21" s="17">
        <f t="shared" si="5"/>
        <v>8</v>
      </c>
      <c r="R21" s="17">
        <f t="shared" si="6"/>
        <v>4</v>
      </c>
      <c r="S21" s="17">
        <f t="shared" si="7"/>
        <v>8</v>
      </c>
      <c r="T21" s="17">
        <f t="shared" si="8"/>
        <v>5</v>
      </c>
      <c r="U21" s="17">
        <f t="shared" si="9"/>
        <v>2</v>
      </c>
      <c r="W21" s="7">
        <v>10416</v>
      </c>
      <c r="X21" s="7">
        <v>8833</v>
      </c>
      <c r="Y21" s="7">
        <v>8957</v>
      </c>
      <c r="Z21" s="7">
        <v>8933</v>
      </c>
      <c r="AA21" s="7">
        <v>11261</v>
      </c>
      <c r="AB21" s="13"/>
      <c r="AF21" s="2" t="str">
        <v>GQ</v>
      </c>
      <c r="AG21" s="9">
        <v>0</v>
      </c>
      <c r="AH21" s="9">
        <v>22224</v>
      </c>
      <c r="AI21" s="9">
        <v>20581</v>
      </c>
      <c r="AJ21" s="9">
        <v>12341</v>
      </c>
      <c r="AK21" s="9">
        <v>0</v>
      </c>
    </row>
    <row r="22" spans="1:37" ht="15.9" customHeight="1" x14ac:dyDescent="0.3">
      <c r="A22" s="2" t="str">
        <v>GJ</v>
      </c>
      <c r="B22" s="38" t="str">
        <v>Golden J</v>
      </c>
      <c r="C22" s="9">
        <f t="shared" si="0"/>
        <v>0</v>
      </c>
      <c r="D22" s="9">
        <f t="shared" si="1"/>
        <v>2</v>
      </c>
      <c r="E22" s="9">
        <f t="shared" si="2"/>
        <v>10</v>
      </c>
      <c r="F22" s="9">
        <f t="shared" si="3"/>
        <v>1</v>
      </c>
      <c r="G22" s="9">
        <f t="shared" si="4"/>
        <v>0</v>
      </c>
      <c r="H22" s="38">
        <v>18</v>
      </c>
      <c r="I22" s="52"/>
      <c r="J22" s="2">
        <v>18</v>
      </c>
      <c r="K22" s="41" t="s">
        <v>32</v>
      </c>
      <c r="L22" s="41" t="s">
        <v>29</v>
      </c>
      <c r="M22" s="41" t="s">
        <v>30</v>
      </c>
      <c r="N22" s="41" t="s">
        <v>31</v>
      </c>
      <c r="O22" s="41" t="s">
        <v>32</v>
      </c>
      <c r="Q22" s="17">
        <f t="shared" si="5"/>
        <v>7</v>
      </c>
      <c r="R22" s="17">
        <f t="shared" si="6"/>
        <v>4</v>
      </c>
      <c r="S22" s="17">
        <f t="shared" si="7"/>
        <v>5</v>
      </c>
      <c r="T22" s="17">
        <f t="shared" si="8"/>
        <v>6</v>
      </c>
      <c r="U22" s="17">
        <f t="shared" si="9"/>
        <v>7</v>
      </c>
      <c r="W22" s="7">
        <v>10416</v>
      </c>
      <c r="X22" s="7">
        <v>8833</v>
      </c>
      <c r="Y22" s="7">
        <v>8957</v>
      </c>
      <c r="Z22" s="7">
        <v>8933</v>
      </c>
      <c r="AA22" s="7">
        <v>8531</v>
      </c>
      <c r="AB22" s="13"/>
      <c r="AF22" s="2" t="str">
        <v>GJ</v>
      </c>
      <c r="AG22" s="9">
        <v>0</v>
      </c>
      <c r="AH22" s="9">
        <v>22547</v>
      </c>
      <c r="AI22" s="9">
        <v>21167</v>
      </c>
      <c r="AJ22" s="9">
        <v>12913</v>
      </c>
      <c r="AK22" s="9">
        <v>0</v>
      </c>
    </row>
    <row r="23" spans="1:37" ht="15.9" customHeight="1" x14ac:dyDescent="0.3">
      <c r="C23" s="19">
        <f>SUM(C4:C22)</f>
        <v>200</v>
      </c>
      <c r="D23" s="19">
        <f>SUM(D4:D22)</f>
        <v>200</v>
      </c>
      <c r="E23" s="19">
        <f>SUM(E4:E22)</f>
        <v>200</v>
      </c>
      <c r="F23" s="19">
        <f>SUM(F4:F22)</f>
        <v>200</v>
      </c>
      <c r="G23" s="19">
        <f>SUM(G4:G22)</f>
        <v>200</v>
      </c>
      <c r="I23" s="52"/>
      <c r="J23" s="2">
        <v>19</v>
      </c>
      <c r="K23" s="41" t="s">
        <v>35</v>
      </c>
      <c r="L23" s="41" t="s">
        <v>38</v>
      </c>
      <c r="M23" s="41" t="s">
        <v>31</v>
      </c>
      <c r="N23" s="41" t="s">
        <v>33</v>
      </c>
      <c r="O23" s="41" t="s">
        <v>34</v>
      </c>
      <c r="Q23" s="17">
        <f t="shared" si="5"/>
        <v>10</v>
      </c>
      <c r="R23" s="17">
        <f t="shared" si="6"/>
        <v>12</v>
      </c>
      <c r="S23" s="17">
        <f t="shared" si="7"/>
        <v>6</v>
      </c>
      <c r="T23" s="17">
        <f t="shared" si="8"/>
        <v>8</v>
      </c>
      <c r="U23" s="17">
        <f t="shared" si="9"/>
        <v>9</v>
      </c>
      <c r="W23" s="7">
        <v>8680</v>
      </c>
      <c r="X23" s="7">
        <v>8833</v>
      </c>
      <c r="Y23" s="7">
        <v>8957</v>
      </c>
      <c r="Z23" s="7">
        <v>8933</v>
      </c>
      <c r="AA23" s="7">
        <v>8531</v>
      </c>
      <c r="AB23" s="13"/>
    </row>
    <row r="24" spans="1:37" ht="15.9" customHeight="1" x14ac:dyDescent="0.3">
      <c r="I24" s="52"/>
      <c r="J24" s="2">
        <v>20</v>
      </c>
      <c r="K24" s="41" t="s">
        <v>34</v>
      </c>
      <c r="L24" s="41" t="s">
        <v>33</v>
      </c>
      <c r="M24" s="41" t="s">
        <v>35</v>
      </c>
      <c r="N24" s="41" t="s">
        <v>35</v>
      </c>
      <c r="O24" s="41" t="s">
        <v>32</v>
      </c>
      <c r="Q24" s="17">
        <f t="shared" si="5"/>
        <v>9</v>
      </c>
      <c r="R24" s="17">
        <f t="shared" si="6"/>
        <v>8</v>
      </c>
      <c r="S24" s="17">
        <f t="shared" si="7"/>
        <v>10</v>
      </c>
      <c r="T24" s="17">
        <f t="shared" si="8"/>
        <v>10</v>
      </c>
      <c r="U24" s="17">
        <f t="shared" si="9"/>
        <v>7</v>
      </c>
      <c r="W24" s="7">
        <v>8680</v>
      </c>
      <c r="X24" s="7">
        <v>8833</v>
      </c>
      <c r="Y24" s="7">
        <v>8957</v>
      </c>
      <c r="Z24" s="7">
        <v>8933</v>
      </c>
      <c r="AA24" s="7">
        <v>10237</v>
      </c>
    </row>
    <row r="25" spans="1:37" ht="16.5" customHeight="1" x14ac:dyDescent="0.3">
      <c r="I25" s="52"/>
      <c r="J25" s="2">
        <v>21</v>
      </c>
      <c r="K25" s="41" t="s">
        <v>30</v>
      </c>
      <c r="L25" s="41" t="s">
        <v>29</v>
      </c>
      <c r="M25" s="41" t="s">
        <v>50</v>
      </c>
      <c r="N25" s="41" t="s">
        <v>33</v>
      </c>
      <c r="O25" s="41" t="s">
        <v>34</v>
      </c>
      <c r="Q25" s="17">
        <f t="shared" si="5"/>
        <v>5</v>
      </c>
      <c r="R25" s="17">
        <f t="shared" si="6"/>
        <v>4</v>
      </c>
      <c r="S25" s="17">
        <f t="shared" si="7"/>
        <v>18</v>
      </c>
      <c r="T25" s="17">
        <f t="shared" si="8"/>
        <v>8</v>
      </c>
      <c r="U25" s="17">
        <f t="shared" si="9"/>
        <v>9</v>
      </c>
      <c r="W25" s="7">
        <v>8680</v>
      </c>
      <c r="X25" s="7">
        <v>8833</v>
      </c>
      <c r="Y25" s="7">
        <v>8957</v>
      </c>
      <c r="Z25" s="7">
        <v>8933</v>
      </c>
      <c r="AA25" s="7">
        <v>10237</v>
      </c>
      <c r="AB25" s="13"/>
    </row>
    <row r="26" spans="1:37" ht="16.5" customHeight="1" x14ac:dyDescent="0.3">
      <c r="I26" s="52"/>
      <c r="J26" s="2">
        <v>22</v>
      </c>
      <c r="K26" s="41" t="s">
        <v>30</v>
      </c>
      <c r="L26" s="41" t="s">
        <v>32</v>
      </c>
      <c r="M26" s="41" t="s">
        <v>50</v>
      </c>
      <c r="N26" s="41" t="s">
        <v>31</v>
      </c>
      <c r="O26" s="41" t="s">
        <v>33</v>
      </c>
      <c r="Q26" s="17">
        <f t="shared" si="5"/>
        <v>5</v>
      </c>
      <c r="R26" s="17">
        <f t="shared" si="6"/>
        <v>7</v>
      </c>
      <c r="S26" s="17">
        <f t="shared" si="7"/>
        <v>18</v>
      </c>
      <c r="T26" s="17">
        <f t="shared" si="8"/>
        <v>6</v>
      </c>
      <c r="U26" s="17">
        <f t="shared" si="9"/>
        <v>8</v>
      </c>
      <c r="W26" s="7">
        <v>8680</v>
      </c>
      <c r="X26" s="7">
        <v>8833</v>
      </c>
      <c r="Y26" s="7">
        <v>8957</v>
      </c>
      <c r="Z26" s="7">
        <v>8933</v>
      </c>
      <c r="AA26" s="7">
        <v>10237</v>
      </c>
      <c r="AB26" s="13"/>
    </row>
    <row r="27" spans="1:37" ht="16.5" customHeight="1" x14ac:dyDescent="0.3">
      <c r="I27" s="52"/>
      <c r="J27" s="2">
        <v>23</v>
      </c>
      <c r="K27" s="41" t="s">
        <v>35</v>
      </c>
      <c r="L27" s="41" t="s">
        <v>32</v>
      </c>
      <c r="M27" s="41" t="s">
        <v>50</v>
      </c>
      <c r="N27" s="41" t="s">
        <v>33</v>
      </c>
      <c r="O27" s="41" t="s">
        <v>32</v>
      </c>
      <c r="Q27" s="17">
        <f t="shared" si="5"/>
        <v>10</v>
      </c>
      <c r="R27" s="17">
        <f t="shared" si="6"/>
        <v>7</v>
      </c>
      <c r="S27" s="17">
        <f t="shared" si="7"/>
        <v>18</v>
      </c>
      <c r="T27" s="17">
        <f t="shared" si="8"/>
        <v>8</v>
      </c>
      <c r="U27" s="17">
        <f t="shared" si="9"/>
        <v>7</v>
      </c>
      <c r="W27" s="7">
        <v>8680</v>
      </c>
      <c r="X27" s="7">
        <v>8833</v>
      </c>
      <c r="Y27" s="7">
        <v>8957</v>
      </c>
      <c r="Z27" s="7">
        <v>8933</v>
      </c>
      <c r="AA27" s="7">
        <v>10237</v>
      </c>
      <c r="AB27" s="13"/>
    </row>
    <row r="28" spans="1:37" ht="16.5" customHeight="1" x14ac:dyDescent="0.3">
      <c r="I28" s="52"/>
      <c r="J28" s="2">
        <v>24</v>
      </c>
      <c r="K28" s="41" t="s">
        <v>32</v>
      </c>
      <c r="L28" s="41" t="s">
        <v>32</v>
      </c>
      <c r="M28" s="41" t="s">
        <v>30</v>
      </c>
      <c r="N28" s="41" t="s">
        <v>28</v>
      </c>
      <c r="O28" s="41" t="s">
        <v>31</v>
      </c>
      <c r="Q28" s="17">
        <f t="shared" si="5"/>
        <v>7</v>
      </c>
      <c r="R28" s="17">
        <f t="shared" si="6"/>
        <v>7</v>
      </c>
      <c r="S28" s="17">
        <f t="shared" si="7"/>
        <v>5</v>
      </c>
      <c r="T28" s="17">
        <f t="shared" si="8"/>
        <v>3</v>
      </c>
      <c r="U28" s="17">
        <f t="shared" si="9"/>
        <v>6</v>
      </c>
      <c r="W28" s="7">
        <v>8680</v>
      </c>
      <c r="X28" s="7">
        <v>8833</v>
      </c>
      <c r="Y28" s="7">
        <v>8957</v>
      </c>
      <c r="Z28" s="7">
        <v>10719</v>
      </c>
      <c r="AA28" s="7">
        <v>10237</v>
      </c>
      <c r="AB28" s="13"/>
    </row>
    <row r="29" spans="1:37" ht="16.5" customHeight="1" x14ac:dyDescent="0.3">
      <c r="I29" s="52"/>
      <c r="J29" s="2">
        <v>25</v>
      </c>
      <c r="K29" s="41" t="s">
        <v>32</v>
      </c>
      <c r="L29" s="41" t="s">
        <v>31</v>
      </c>
      <c r="M29" s="41" t="s">
        <v>34</v>
      </c>
      <c r="N29" s="41" t="s">
        <v>29</v>
      </c>
      <c r="O29" s="41" t="s">
        <v>35</v>
      </c>
      <c r="Q29" s="17">
        <f t="shared" si="5"/>
        <v>7</v>
      </c>
      <c r="R29" s="17">
        <f t="shared" si="6"/>
        <v>6</v>
      </c>
      <c r="S29" s="17">
        <f t="shared" si="7"/>
        <v>9</v>
      </c>
      <c r="T29" s="17">
        <f t="shared" si="8"/>
        <v>4</v>
      </c>
      <c r="U29" s="17">
        <f t="shared" si="9"/>
        <v>10</v>
      </c>
      <c r="W29" s="7">
        <v>10416</v>
      </c>
      <c r="X29" s="7">
        <v>8833</v>
      </c>
      <c r="Y29" s="7">
        <v>8957</v>
      </c>
      <c r="Z29" s="7">
        <v>10719</v>
      </c>
      <c r="AA29" s="7">
        <v>10237</v>
      </c>
      <c r="AB29" s="13"/>
    </row>
    <row r="30" spans="1:37" ht="16.5" customHeight="1" x14ac:dyDescent="0.3">
      <c r="I30" s="52"/>
      <c r="J30" s="2">
        <v>26</v>
      </c>
      <c r="K30" s="41" t="s">
        <v>31</v>
      </c>
      <c r="L30" s="41" t="s">
        <v>31</v>
      </c>
      <c r="M30" s="41" t="s">
        <v>34</v>
      </c>
      <c r="N30" s="41" t="s">
        <v>48</v>
      </c>
      <c r="O30" s="41" t="s">
        <v>34</v>
      </c>
      <c r="Q30" s="17">
        <f t="shared" si="5"/>
        <v>6</v>
      </c>
      <c r="R30" s="17">
        <f t="shared" si="6"/>
        <v>6</v>
      </c>
      <c r="S30" s="17">
        <f t="shared" si="7"/>
        <v>9</v>
      </c>
      <c r="T30" s="17">
        <f t="shared" si="8"/>
        <v>17</v>
      </c>
      <c r="U30" s="17">
        <f t="shared" si="9"/>
        <v>9</v>
      </c>
      <c r="W30" s="7">
        <v>10416</v>
      </c>
      <c r="X30" s="7">
        <v>8833</v>
      </c>
      <c r="Y30" s="7">
        <v>8957</v>
      </c>
      <c r="Z30" s="7">
        <v>10719</v>
      </c>
      <c r="AA30" s="7">
        <v>10237</v>
      </c>
      <c r="AB30" s="13"/>
    </row>
    <row r="31" spans="1:37" ht="16.5" customHeight="1" x14ac:dyDescent="0.3">
      <c r="I31" s="52"/>
      <c r="J31" s="2">
        <v>27</v>
      </c>
      <c r="K31" s="41" t="s">
        <v>30</v>
      </c>
      <c r="L31" s="41" t="s">
        <v>32</v>
      </c>
      <c r="M31" s="41" t="s">
        <v>34</v>
      </c>
      <c r="N31" s="41" t="s">
        <v>34</v>
      </c>
      <c r="O31" s="41" t="s">
        <v>35</v>
      </c>
      <c r="Q31" s="17">
        <f t="shared" si="5"/>
        <v>5</v>
      </c>
      <c r="R31" s="17">
        <f t="shared" si="6"/>
        <v>7</v>
      </c>
      <c r="S31" s="17">
        <f t="shared" si="7"/>
        <v>9</v>
      </c>
      <c r="T31" s="17">
        <f t="shared" si="8"/>
        <v>9</v>
      </c>
      <c r="U31" s="17">
        <f t="shared" si="9"/>
        <v>10</v>
      </c>
      <c r="W31" s="7">
        <v>10416</v>
      </c>
      <c r="X31" s="7">
        <v>8833</v>
      </c>
      <c r="Y31" s="7">
        <v>10748</v>
      </c>
      <c r="Z31" s="7">
        <v>10719</v>
      </c>
      <c r="AA31" s="7">
        <v>10237</v>
      </c>
      <c r="AB31" s="13"/>
    </row>
    <row r="32" spans="1:37" ht="16.5" customHeight="1" x14ac:dyDescent="0.3">
      <c r="J32" s="2">
        <v>28</v>
      </c>
      <c r="K32" s="41" t="s">
        <v>33</v>
      </c>
      <c r="L32" s="41" t="s">
        <v>31</v>
      </c>
      <c r="M32" s="41" t="s">
        <v>34</v>
      </c>
      <c r="N32" s="41" t="s">
        <v>31</v>
      </c>
      <c r="O32" s="41" t="s">
        <v>34</v>
      </c>
      <c r="Q32" s="17">
        <f t="shared" si="5"/>
        <v>8</v>
      </c>
      <c r="R32" s="17">
        <f t="shared" si="6"/>
        <v>6</v>
      </c>
      <c r="S32" s="17">
        <f t="shared" si="7"/>
        <v>9</v>
      </c>
      <c r="T32" s="17">
        <f t="shared" si="8"/>
        <v>6</v>
      </c>
      <c r="U32" s="17">
        <f t="shared" si="9"/>
        <v>9</v>
      </c>
      <c r="W32" s="7">
        <v>10416</v>
      </c>
      <c r="X32" s="7">
        <v>8833</v>
      </c>
      <c r="Y32" s="7">
        <v>10748</v>
      </c>
      <c r="Z32" s="7">
        <v>10719</v>
      </c>
      <c r="AA32" s="7">
        <v>10237</v>
      </c>
      <c r="AB32" s="13"/>
    </row>
    <row r="33" spans="10:28" ht="16.5" customHeight="1" x14ac:dyDescent="0.3">
      <c r="J33" s="2">
        <v>29</v>
      </c>
      <c r="K33" s="41" t="s">
        <v>29</v>
      </c>
      <c r="L33" s="41" t="s">
        <v>32</v>
      </c>
      <c r="M33" s="41" t="s">
        <v>33</v>
      </c>
      <c r="N33" s="41" t="s">
        <v>34</v>
      </c>
      <c r="O33" s="41" t="s">
        <v>35</v>
      </c>
      <c r="Q33" s="17">
        <f t="shared" si="5"/>
        <v>4</v>
      </c>
      <c r="R33" s="17">
        <f t="shared" si="6"/>
        <v>7</v>
      </c>
      <c r="S33" s="17">
        <f t="shared" si="7"/>
        <v>8</v>
      </c>
      <c r="T33" s="17">
        <f t="shared" si="8"/>
        <v>9</v>
      </c>
      <c r="U33" s="17">
        <f t="shared" si="9"/>
        <v>10</v>
      </c>
      <c r="W33" s="7">
        <v>10416</v>
      </c>
      <c r="X33" s="7">
        <v>8833</v>
      </c>
      <c r="Y33" s="7">
        <v>10748</v>
      </c>
      <c r="Z33" s="7">
        <v>10719</v>
      </c>
      <c r="AA33" s="7">
        <v>8531</v>
      </c>
      <c r="AB33" s="13"/>
    </row>
    <row r="34" spans="10:28" ht="16.5" customHeight="1" x14ac:dyDescent="0.3">
      <c r="J34" s="2">
        <v>30</v>
      </c>
      <c r="K34" s="41" t="s">
        <v>28</v>
      </c>
      <c r="L34" s="41" t="s">
        <v>28</v>
      </c>
      <c r="M34" s="41" t="s">
        <v>28</v>
      </c>
      <c r="N34" s="41" t="s">
        <v>46</v>
      </c>
      <c r="O34" s="41" t="s">
        <v>32</v>
      </c>
      <c r="Q34" s="17">
        <f t="shared" si="5"/>
        <v>3</v>
      </c>
      <c r="R34" s="17">
        <f t="shared" si="6"/>
        <v>3</v>
      </c>
      <c r="S34" s="17">
        <f t="shared" si="7"/>
        <v>3</v>
      </c>
      <c r="T34" s="17">
        <f t="shared" si="8"/>
        <v>16</v>
      </c>
      <c r="U34" s="17">
        <f t="shared" si="9"/>
        <v>7</v>
      </c>
      <c r="W34" s="7">
        <v>10416</v>
      </c>
      <c r="X34" s="7">
        <v>8833</v>
      </c>
      <c r="Y34" s="7">
        <v>10748</v>
      </c>
      <c r="Z34" s="7">
        <v>10719</v>
      </c>
      <c r="AA34" s="7">
        <v>8531</v>
      </c>
      <c r="AB34" s="13"/>
    </row>
    <row r="35" spans="10:28" ht="16.5" customHeight="1" x14ac:dyDescent="0.3">
      <c r="J35" s="2">
        <v>31</v>
      </c>
      <c r="K35" s="41" t="s">
        <v>31</v>
      </c>
      <c r="L35" s="41" t="s">
        <v>46</v>
      </c>
      <c r="M35" s="41" t="s">
        <v>34</v>
      </c>
      <c r="N35" s="41" t="s">
        <v>34</v>
      </c>
      <c r="O35" s="41" t="s">
        <v>34</v>
      </c>
      <c r="Q35" s="17">
        <f t="shared" si="5"/>
        <v>6</v>
      </c>
      <c r="R35" s="17">
        <f t="shared" si="6"/>
        <v>16</v>
      </c>
      <c r="S35" s="17">
        <f t="shared" si="7"/>
        <v>9</v>
      </c>
      <c r="T35" s="17">
        <f t="shared" si="8"/>
        <v>9</v>
      </c>
      <c r="U35" s="17">
        <f t="shared" si="9"/>
        <v>9</v>
      </c>
      <c r="W35" s="7">
        <v>10416</v>
      </c>
      <c r="X35" s="7">
        <v>8833</v>
      </c>
      <c r="Y35" s="7">
        <v>10748</v>
      </c>
      <c r="Z35" s="7">
        <v>8933</v>
      </c>
      <c r="AA35" s="7">
        <v>8531</v>
      </c>
      <c r="AB35" s="13"/>
    </row>
    <row r="36" spans="10:28" ht="16.5" customHeight="1" x14ac:dyDescent="0.3">
      <c r="J36" s="2">
        <v>32</v>
      </c>
      <c r="K36" s="41" t="s">
        <v>34</v>
      </c>
      <c r="L36" s="41" t="s">
        <v>32</v>
      </c>
      <c r="M36" s="41" t="s">
        <v>32</v>
      </c>
      <c r="N36" s="41" t="s">
        <v>31</v>
      </c>
      <c r="O36" s="41" t="s">
        <v>32</v>
      </c>
      <c r="Q36" s="17">
        <f t="shared" si="5"/>
        <v>9</v>
      </c>
      <c r="R36" s="17">
        <f t="shared" si="6"/>
        <v>7</v>
      </c>
      <c r="S36" s="17">
        <f t="shared" si="7"/>
        <v>7</v>
      </c>
      <c r="T36" s="17">
        <f t="shared" si="8"/>
        <v>6</v>
      </c>
      <c r="U36" s="17">
        <f t="shared" si="9"/>
        <v>7</v>
      </c>
      <c r="W36" s="7">
        <v>10416</v>
      </c>
      <c r="X36" s="7">
        <v>8833</v>
      </c>
      <c r="Y36" s="7">
        <v>10748</v>
      </c>
      <c r="Z36" s="7">
        <v>8933</v>
      </c>
      <c r="AA36" s="7">
        <v>8531</v>
      </c>
      <c r="AB36" s="13"/>
    </row>
    <row r="37" spans="10:28" ht="16.5" customHeight="1" x14ac:dyDescent="0.3">
      <c r="J37" s="2">
        <v>33</v>
      </c>
      <c r="K37" s="41" t="s">
        <v>33</v>
      </c>
      <c r="L37" s="41" t="s">
        <v>30</v>
      </c>
      <c r="M37" s="41" t="s">
        <v>35</v>
      </c>
      <c r="N37" s="41" t="s">
        <v>31</v>
      </c>
      <c r="O37" s="41" t="s">
        <v>35</v>
      </c>
      <c r="Q37" s="17">
        <f t="shared" si="5"/>
        <v>8</v>
      </c>
      <c r="R37" s="17">
        <f t="shared" si="6"/>
        <v>5</v>
      </c>
      <c r="S37" s="17">
        <f t="shared" si="7"/>
        <v>10</v>
      </c>
      <c r="T37" s="17">
        <f t="shared" si="8"/>
        <v>6</v>
      </c>
      <c r="U37" s="17">
        <f t="shared" si="9"/>
        <v>10</v>
      </c>
      <c r="W37" s="7">
        <v>8680</v>
      </c>
      <c r="X37" s="7">
        <v>10600</v>
      </c>
      <c r="Y37" s="7">
        <v>10748</v>
      </c>
      <c r="Z37" s="7">
        <v>8933</v>
      </c>
      <c r="AA37" s="7">
        <v>10237</v>
      </c>
      <c r="AB37" s="13"/>
    </row>
    <row r="38" spans="10:28" ht="16.5" customHeight="1" x14ac:dyDescent="0.3">
      <c r="J38" s="2">
        <v>34</v>
      </c>
      <c r="K38" s="41" t="s">
        <v>30</v>
      </c>
      <c r="L38" s="41" t="s">
        <v>29</v>
      </c>
      <c r="M38" s="41" t="s">
        <v>34</v>
      </c>
      <c r="N38" s="41" t="s">
        <v>31</v>
      </c>
      <c r="O38" s="41" t="s">
        <v>35</v>
      </c>
      <c r="Q38" s="17">
        <f t="shared" si="5"/>
        <v>5</v>
      </c>
      <c r="R38" s="17">
        <f t="shared" si="6"/>
        <v>4</v>
      </c>
      <c r="S38" s="17">
        <f t="shared" si="7"/>
        <v>9</v>
      </c>
      <c r="T38" s="17">
        <f t="shared" si="8"/>
        <v>6</v>
      </c>
      <c r="U38" s="17">
        <f t="shared" si="9"/>
        <v>10</v>
      </c>
      <c r="W38" s="7">
        <v>8680</v>
      </c>
      <c r="X38" s="7">
        <v>10600</v>
      </c>
      <c r="Y38" s="7">
        <v>10748</v>
      </c>
      <c r="Z38" s="7">
        <v>8933</v>
      </c>
      <c r="AA38" s="7">
        <v>10237</v>
      </c>
      <c r="AB38" s="13"/>
    </row>
    <row r="39" spans="10:28" ht="16.5" customHeight="1" x14ac:dyDescent="0.3">
      <c r="J39" s="2">
        <v>35</v>
      </c>
      <c r="K39" s="41" t="s">
        <v>34</v>
      </c>
      <c r="L39" s="41" t="s">
        <v>32</v>
      </c>
      <c r="M39" s="41" t="s">
        <v>30</v>
      </c>
      <c r="N39" s="41" t="s">
        <v>28</v>
      </c>
      <c r="O39" s="41" t="s">
        <v>33</v>
      </c>
      <c r="Q39" s="17">
        <f t="shared" si="5"/>
        <v>9</v>
      </c>
      <c r="R39" s="17">
        <f t="shared" si="6"/>
        <v>7</v>
      </c>
      <c r="S39" s="17">
        <f t="shared" si="7"/>
        <v>5</v>
      </c>
      <c r="T39" s="17">
        <f t="shared" si="8"/>
        <v>3</v>
      </c>
      <c r="U39" s="17">
        <f t="shared" si="9"/>
        <v>8</v>
      </c>
      <c r="W39" s="7">
        <v>8680</v>
      </c>
      <c r="X39" s="7">
        <v>10600</v>
      </c>
      <c r="Y39" s="7">
        <v>10748</v>
      </c>
      <c r="Z39" s="7">
        <v>10719</v>
      </c>
      <c r="AA39" s="7">
        <v>10237</v>
      </c>
      <c r="AB39" s="13"/>
    </row>
    <row r="40" spans="10:28" ht="16.5" customHeight="1" x14ac:dyDescent="0.3">
      <c r="J40" s="2">
        <v>36</v>
      </c>
      <c r="K40" s="41" t="s">
        <v>34</v>
      </c>
      <c r="L40" s="41" t="s">
        <v>30</v>
      </c>
      <c r="M40" s="41" t="s">
        <v>35</v>
      </c>
      <c r="N40" s="41" t="s">
        <v>31</v>
      </c>
      <c r="O40" s="41" t="s">
        <v>32</v>
      </c>
      <c r="Q40" s="17">
        <f t="shared" si="5"/>
        <v>9</v>
      </c>
      <c r="R40" s="17">
        <f t="shared" si="6"/>
        <v>5</v>
      </c>
      <c r="S40" s="17">
        <f t="shared" si="7"/>
        <v>10</v>
      </c>
      <c r="T40" s="17">
        <f t="shared" si="8"/>
        <v>6</v>
      </c>
      <c r="U40" s="17">
        <f t="shared" si="9"/>
        <v>7</v>
      </c>
      <c r="W40" s="7">
        <v>8680</v>
      </c>
      <c r="X40" s="7">
        <v>10600</v>
      </c>
      <c r="Y40" s="7">
        <v>8957</v>
      </c>
      <c r="Z40" s="7">
        <v>10719</v>
      </c>
      <c r="AA40" s="7">
        <v>10237</v>
      </c>
      <c r="AB40" s="13"/>
    </row>
    <row r="41" spans="10:28" ht="16.5" customHeight="1" x14ac:dyDescent="0.3">
      <c r="J41" s="2">
        <v>37</v>
      </c>
      <c r="K41" s="41" t="s">
        <v>35</v>
      </c>
      <c r="L41" s="41" t="s">
        <v>42</v>
      </c>
      <c r="M41" s="41" t="s">
        <v>35</v>
      </c>
      <c r="N41" s="41" t="s">
        <v>34</v>
      </c>
      <c r="O41" s="41" t="s">
        <v>33</v>
      </c>
      <c r="Q41" s="17">
        <f t="shared" si="5"/>
        <v>10</v>
      </c>
      <c r="R41" s="17">
        <f t="shared" si="6"/>
        <v>14</v>
      </c>
      <c r="S41" s="17">
        <f t="shared" si="7"/>
        <v>10</v>
      </c>
      <c r="T41" s="17">
        <f t="shared" si="8"/>
        <v>9</v>
      </c>
      <c r="U41" s="17">
        <f t="shared" si="9"/>
        <v>8</v>
      </c>
      <c r="W41" s="7">
        <v>8680</v>
      </c>
      <c r="X41" s="7">
        <v>10600</v>
      </c>
      <c r="Y41" s="7">
        <v>8957</v>
      </c>
      <c r="Z41" s="7">
        <v>10719</v>
      </c>
      <c r="AA41" s="7">
        <v>10237</v>
      </c>
      <c r="AB41" s="13"/>
    </row>
    <row r="42" spans="10:28" ht="16.5" customHeight="1" x14ac:dyDescent="0.3">
      <c r="J42" s="2">
        <v>38</v>
      </c>
      <c r="K42" s="41" t="s">
        <v>35</v>
      </c>
      <c r="L42" s="41" t="s">
        <v>44</v>
      </c>
      <c r="M42" s="41" t="s">
        <v>32</v>
      </c>
      <c r="N42" s="41" t="s">
        <v>34</v>
      </c>
      <c r="O42" s="41" t="s">
        <v>29</v>
      </c>
      <c r="Q42" s="17">
        <f t="shared" si="5"/>
        <v>10</v>
      </c>
      <c r="R42" s="17">
        <f t="shared" si="6"/>
        <v>15</v>
      </c>
      <c r="S42" s="17">
        <f t="shared" si="7"/>
        <v>7</v>
      </c>
      <c r="T42" s="17">
        <f t="shared" si="8"/>
        <v>9</v>
      </c>
      <c r="U42" s="17">
        <f t="shared" si="9"/>
        <v>4</v>
      </c>
      <c r="W42" s="7">
        <v>10416</v>
      </c>
      <c r="X42" s="7">
        <v>10600</v>
      </c>
      <c r="Y42" s="7">
        <v>8957</v>
      </c>
      <c r="Z42" s="7">
        <v>10719</v>
      </c>
      <c r="AA42" s="7">
        <v>10237</v>
      </c>
      <c r="AB42" s="13"/>
    </row>
    <row r="43" spans="10:28" ht="16.5" customHeight="1" x14ac:dyDescent="0.3">
      <c r="J43" s="2">
        <v>39</v>
      </c>
      <c r="K43" s="41" t="s">
        <v>28</v>
      </c>
      <c r="L43" s="41" t="s">
        <v>32</v>
      </c>
      <c r="M43" s="41" t="s">
        <v>32</v>
      </c>
      <c r="N43" s="41" t="s">
        <v>34</v>
      </c>
      <c r="O43" s="41" t="s">
        <v>32</v>
      </c>
      <c r="Q43" s="17">
        <f t="shared" si="5"/>
        <v>3</v>
      </c>
      <c r="R43" s="17">
        <f t="shared" si="6"/>
        <v>7</v>
      </c>
      <c r="S43" s="17">
        <f t="shared" si="7"/>
        <v>7</v>
      </c>
      <c r="T43" s="17">
        <f t="shared" si="8"/>
        <v>9</v>
      </c>
      <c r="U43" s="17">
        <f t="shared" si="9"/>
        <v>7</v>
      </c>
      <c r="W43" s="7">
        <v>10416</v>
      </c>
      <c r="X43" s="7">
        <v>10600</v>
      </c>
      <c r="Y43" s="7">
        <v>8957</v>
      </c>
      <c r="Z43" s="7">
        <v>10719</v>
      </c>
      <c r="AA43" s="7">
        <v>10237</v>
      </c>
      <c r="AB43" s="13"/>
    </row>
    <row r="44" spans="10:28" ht="16.5" customHeight="1" x14ac:dyDescent="0.3">
      <c r="J44" s="2">
        <v>40</v>
      </c>
      <c r="K44" s="41" t="s">
        <v>29</v>
      </c>
      <c r="L44" s="41" t="s">
        <v>30</v>
      </c>
      <c r="M44" s="41" t="s">
        <v>35</v>
      </c>
      <c r="N44" s="41" t="s">
        <v>31</v>
      </c>
      <c r="O44" s="41" t="s">
        <v>30</v>
      </c>
      <c r="Q44" s="17">
        <f t="shared" si="5"/>
        <v>4</v>
      </c>
      <c r="R44" s="17">
        <f t="shared" si="6"/>
        <v>5</v>
      </c>
      <c r="S44" s="17">
        <f t="shared" si="7"/>
        <v>10</v>
      </c>
      <c r="T44" s="17">
        <f t="shared" si="8"/>
        <v>6</v>
      </c>
      <c r="U44" s="17">
        <f t="shared" si="9"/>
        <v>5</v>
      </c>
      <c r="W44" s="7">
        <v>10415</v>
      </c>
      <c r="X44" s="7">
        <v>8833</v>
      </c>
      <c r="Y44" s="7">
        <v>8957</v>
      </c>
      <c r="Z44" s="7">
        <v>8933</v>
      </c>
      <c r="AA44" s="7">
        <v>10237</v>
      </c>
      <c r="AB44" s="13"/>
    </row>
    <row r="45" spans="10:28" ht="16.5" customHeight="1" x14ac:dyDescent="0.3">
      <c r="J45" s="2">
        <v>41</v>
      </c>
      <c r="K45" s="41" t="s">
        <v>30</v>
      </c>
      <c r="L45" s="41" t="s">
        <v>31</v>
      </c>
      <c r="M45" s="41" t="s">
        <v>40</v>
      </c>
      <c r="N45" s="41" t="s">
        <v>34</v>
      </c>
      <c r="O45" s="41" t="s">
        <v>35</v>
      </c>
      <c r="Q45" s="17">
        <f t="shared" si="5"/>
        <v>5</v>
      </c>
      <c r="R45" s="17">
        <f t="shared" si="6"/>
        <v>6</v>
      </c>
      <c r="S45" s="17">
        <f t="shared" si="7"/>
        <v>13</v>
      </c>
      <c r="T45" s="17">
        <f t="shared" si="8"/>
        <v>9</v>
      </c>
      <c r="U45" s="17">
        <f t="shared" si="9"/>
        <v>10</v>
      </c>
      <c r="W45" s="7">
        <v>10415</v>
      </c>
      <c r="X45" s="7">
        <v>8833</v>
      </c>
      <c r="Y45" s="7">
        <v>8957</v>
      </c>
      <c r="Z45" s="7">
        <v>8933</v>
      </c>
      <c r="AA45" s="7">
        <v>8531</v>
      </c>
      <c r="AB45" s="13"/>
    </row>
    <row r="46" spans="10:28" ht="16.5" customHeight="1" x14ac:dyDescent="0.3">
      <c r="J46" s="2">
        <v>42</v>
      </c>
      <c r="K46" s="41" t="s">
        <v>31</v>
      </c>
      <c r="L46" s="41" t="s">
        <v>35</v>
      </c>
      <c r="M46" s="41" t="s">
        <v>35</v>
      </c>
      <c r="N46" s="41" t="s">
        <v>34</v>
      </c>
      <c r="O46" s="41" t="s">
        <v>28</v>
      </c>
      <c r="Q46" s="17">
        <f t="shared" si="5"/>
        <v>6</v>
      </c>
      <c r="R46" s="17">
        <f t="shared" si="6"/>
        <v>10</v>
      </c>
      <c r="S46" s="17">
        <f t="shared" si="7"/>
        <v>10</v>
      </c>
      <c r="T46" s="17">
        <f t="shared" si="8"/>
        <v>9</v>
      </c>
      <c r="U46" s="17">
        <f t="shared" si="9"/>
        <v>3</v>
      </c>
      <c r="W46" s="7">
        <v>10415</v>
      </c>
      <c r="X46" s="7">
        <v>8833</v>
      </c>
      <c r="Y46" s="7">
        <v>8957</v>
      </c>
      <c r="Z46" s="7">
        <v>8933</v>
      </c>
      <c r="AA46" s="7">
        <v>8531</v>
      </c>
      <c r="AB46" s="13"/>
    </row>
    <row r="47" spans="10:28" ht="16.5" customHeight="1" x14ac:dyDescent="0.3">
      <c r="J47" s="2">
        <v>43</v>
      </c>
      <c r="K47" s="41" t="s">
        <v>32</v>
      </c>
      <c r="L47" s="41" t="s">
        <v>35</v>
      </c>
      <c r="M47" s="41" t="s">
        <v>28</v>
      </c>
      <c r="N47" s="41" t="s">
        <v>34</v>
      </c>
      <c r="O47" s="41" t="s">
        <v>32</v>
      </c>
      <c r="Q47" s="17">
        <f t="shared" si="5"/>
        <v>7</v>
      </c>
      <c r="R47" s="17">
        <f t="shared" si="6"/>
        <v>10</v>
      </c>
      <c r="S47" s="17">
        <f t="shared" si="7"/>
        <v>3</v>
      </c>
      <c r="T47" s="17">
        <f t="shared" si="8"/>
        <v>9</v>
      </c>
      <c r="U47" s="17">
        <f t="shared" si="9"/>
        <v>7</v>
      </c>
      <c r="W47" s="7">
        <v>10415</v>
      </c>
      <c r="X47" s="7">
        <v>10600</v>
      </c>
      <c r="Y47" s="7">
        <v>8957</v>
      </c>
      <c r="Z47" s="7">
        <v>8933</v>
      </c>
      <c r="AA47" s="7">
        <v>8531</v>
      </c>
      <c r="AB47" s="13"/>
    </row>
    <row r="48" spans="10:28" ht="16.5" customHeight="1" x14ac:dyDescent="0.3">
      <c r="J48" s="2">
        <v>44</v>
      </c>
      <c r="K48" s="41" t="s">
        <v>33</v>
      </c>
      <c r="L48" s="41" t="s">
        <v>32</v>
      </c>
      <c r="M48" s="41" t="s">
        <v>33</v>
      </c>
      <c r="N48" s="41" t="s">
        <v>35</v>
      </c>
      <c r="O48" s="41" t="s">
        <v>32</v>
      </c>
      <c r="Q48" s="17">
        <f t="shared" si="5"/>
        <v>8</v>
      </c>
      <c r="R48" s="17">
        <f t="shared" si="6"/>
        <v>7</v>
      </c>
      <c r="S48" s="17">
        <f t="shared" si="7"/>
        <v>8</v>
      </c>
      <c r="T48" s="17">
        <f t="shared" si="8"/>
        <v>10</v>
      </c>
      <c r="U48" s="17">
        <f t="shared" si="9"/>
        <v>7</v>
      </c>
      <c r="W48" s="7">
        <v>10415</v>
      </c>
      <c r="X48" s="7">
        <v>10600</v>
      </c>
      <c r="Y48" s="7">
        <v>10748</v>
      </c>
      <c r="Z48" s="7">
        <v>10719</v>
      </c>
      <c r="AA48" s="7">
        <v>13513</v>
      </c>
      <c r="AB48" s="13"/>
    </row>
    <row r="49" spans="10:28" ht="16.5" customHeight="1" x14ac:dyDescent="0.3">
      <c r="J49" s="2">
        <v>45</v>
      </c>
      <c r="K49" s="41" t="s">
        <v>34</v>
      </c>
      <c r="L49" s="41" t="s">
        <v>31</v>
      </c>
      <c r="M49" s="41" t="s">
        <v>32</v>
      </c>
      <c r="N49" s="41" t="s">
        <v>29</v>
      </c>
      <c r="O49" s="41" t="s">
        <v>30</v>
      </c>
      <c r="Q49" s="17">
        <f t="shared" si="5"/>
        <v>9</v>
      </c>
      <c r="R49" s="17">
        <f t="shared" si="6"/>
        <v>6</v>
      </c>
      <c r="S49" s="17">
        <f t="shared" si="7"/>
        <v>7</v>
      </c>
      <c r="T49" s="17">
        <f t="shared" si="8"/>
        <v>4</v>
      </c>
      <c r="U49" s="17">
        <f t="shared" si="9"/>
        <v>5</v>
      </c>
      <c r="W49" s="7">
        <v>10415</v>
      </c>
      <c r="X49" s="7">
        <v>10600</v>
      </c>
      <c r="Y49" s="7">
        <v>14188</v>
      </c>
      <c r="Z49" s="7">
        <v>8933</v>
      </c>
      <c r="AA49" s="7">
        <v>13513</v>
      </c>
      <c r="AB49" s="13"/>
    </row>
    <row r="50" spans="10:28" ht="16.5" customHeight="1" x14ac:dyDescent="0.3">
      <c r="J50" s="2">
        <v>46</v>
      </c>
      <c r="K50" s="41" t="s">
        <v>35</v>
      </c>
      <c r="L50" s="41" t="s">
        <v>29</v>
      </c>
      <c r="M50" s="41" t="s">
        <v>31</v>
      </c>
      <c r="N50" s="41" t="s">
        <v>34</v>
      </c>
      <c r="O50" s="41" t="s">
        <v>33</v>
      </c>
      <c r="Q50" s="17">
        <f t="shared" si="5"/>
        <v>10</v>
      </c>
      <c r="R50" s="17">
        <f t="shared" si="6"/>
        <v>4</v>
      </c>
      <c r="S50" s="17">
        <f t="shared" si="7"/>
        <v>6</v>
      </c>
      <c r="T50" s="17">
        <f t="shared" si="8"/>
        <v>9</v>
      </c>
      <c r="U50" s="17">
        <f t="shared" si="9"/>
        <v>8</v>
      </c>
      <c r="W50" s="7">
        <v>10415</v>
      </c>
      <c r="X50" s="7">
        <v>10600</v>
      </c>
      <c r="Y50" s="7">
        <v>14188</v>
      </c>
      <c r="Z50" s="7">
        <v>8933</v>
      </c>
      <c r="AA50" s="7">
        <v>13513</v>
      </c>
      <c r="AB50" s="13"/>
    </row>
    <row r="51" spans="10:28" ht="16.5" customHeight="1" x14ac:dyDescent="0.3">
      <c r="J51" s="2">
        <v>47</v>
      </c>
      <c r="K51" s="41" t="s">
        <v>33</v>
      </c>
      <c r="L51" s="41" t="s">
        <v>32</v>
      </c>
      <c r="M51" s="41" t="s">
        <v>42</v>
      </c>
      <c r="N51" s="41" t="s">
        <v>32</v>
      </c>
      <c r="O51" s="41" t="s">
        <v>26</v>
      </c>
      <c r="Q51" s="17">
        <f t="shared" si="5"/>
        <v>8</v>
      </c>
      <c r="R51" s="17">
        <f t="shared" si="6"/>
        <v>7</v>
      </c>
      <c r="S51" s="17">
        <f t="shared" si="7"/>
        <v>14</v>
      </c>
      <c r="T51" s="17">
        <f t="shared" si="8"/>
        <v>7</v>
      </c>
      <c r="U51" s="17">
        <f t="shared" si="9"/>
        <v>2</v>
      </c>
      <c r="W51" s="7">
        <v>10415</v>
      </c>
      <c r="X51" s="7">
        <v>10600</v>
      </c>
      <c r="Y51" s="7">
        <v>14188</v>
      </c>
      <c r="Z51" s="7">
        <v>11792</v>
      </c>
      <c r="AA51" s="7">
        <v>11261</v>
      </c>
      <c r="AB51" s="13"/>
    </row>
    <row r="52" spans="10:28" ht="16.5" customHeight="1" x14ac:dyDescent="0.3">
      <c r="J52" s="2">
        <v>48</v>
      </c>
      <c r="K52" s="41" t="s">
        <v>32</v>
      </c>
      <c r="L52" s="41" t="s">
        <v>30</v>
      </c>
      <c r="M52" s="41" t="s">
        <v>26</v>
      </c>
      <c r="N52" s="41" t="s">
        <v>35</v>
      </c>
      <c r="O52" s="41" t="s">
        <v>34</v>
      </c>
      <c r="Q52" s="17">
        <f t="shared" si="5"/>
        <v>7</v>
      </c>
      <c r="R52" s="17">
        <f t="shared" si="6"/>
        <v>5</v>
      </c>
      <c r="S52" s="17">
        <f t="shared" si="7"/>
        <v>2</v>
      </c>
      <c r="T52" s="17">
        <f t="shared" si="8"/>
        <v>10</v>
      </c>
      <c r="U52" s="17">
        <f t="shared" si="9"/>
        <v>9</v>
      </c>
      <c r="W52" s="7">
        <v>10415</v>
      </c>
      <c r="X52" s="7">
        <v>10600</v>
      </c>
      <c r="Y52" s="7">
        <v>14188</v>
      </c>
      <c r="Z52" s="7">
        <v>14150</v>
      </c>
      <c r="AA52" s="7">
        <v>8531</v>
      </c>
      <c r="AB52" s="13"/>
    </row>
    <row r="53" spans="10:28" ht="16.5" customHeight="1" x14ac:dyDescent="0.3">
      <c r="J53" s="2">
        <v>49</v>
      </c>
      <c r="K53" s="41" t="s">
        <v>29</v>
      </c>
      <c r="L53" s="41" t="s">
        <v>38</v>
      </c>
      <c r="M53" s="41" t="s">
        <v>34</v>
      </c>
      <c r="N53" s="41" t="s">
        <v>30</v>
      </c>
      <c r="O53" s="41" t="s">
        <v>34</v>
      </c>
      <c r="Q53" s="17">
        <f t="shared" si="5"/>
        <v>4</v>
      </c>
      <c r="R53" s="17">
        <f t="shared" si="6"/>
        <v>12</v>
      </c>
      <c r="S53" s="17">
        <f t="shared" si="7"/>
        <v>9</v>
      </c>
      <c r="T53" s="17">
        <f t="shared" si="8"/>
        <v>5</v>
      </c>
      <c r="U53" s="17">
        <f t="shared" si="9"/>
        <v>9</v>
      </c>
      <c r="W53" s="7">
        <v>10415</v>
      </c>
      <c r="X53" s="7">
        <v>10600</v>
      </c>
      <c r="Y53" s="7">
        <v>10748</v>
      </c>
      <c r="Z53" s="7">
        <v>14150</v>
      </c>
      <c r="AA53" s="7">
        <v>8531</v>
      </c>
      <c r="AB53" s="13"/>
    </row>
    <row r="54" spans="10:28" ht="16.5" customHeight="1" x14ac:dyDescent="0.3">
      <c r="J54" s="2">
        <v>50</v>
      </c>
      <c r="K54" s="41" t="s">
        <v>33</v>
      </c>
      <c r="L54" s="41" t="s">
        <v>31</v>
      </c>
      <c r="M54" s="41" t="s">
        <v>36</v>
      </c>
      <c r="N54" s="41" t="s">
        <v>26</v>
      </c>
      <c r="O54" s="41" t="s">
        <v>35</v>
      </c>
      <c r="Q54" s="17">
        <f t="shared" si="5"/>
        <v>8</v>
      </c>
      <c r="R54" s="17">
        <f t="shared" si="6"/>
        <v>6</v>
      </c>
      <c r="S54" s="17">
        <f t="shared" si="7"/>
        <v>11</v>
      </c>
      <c r="T54" s="17">
        <f t="shared" si="8"/>
        <v>2</v>
      </c>
      <c r="U54" s="17">
        <f t="shared" si="9"/>
        <v>10</v>
      </c>
      <c r="W54" s="7">
        <v>10415</v>
      </c>
      <c r="X54" s="7">
        <v>10600</v>
      </c>
      <c r="Y54" s="7">
        <v>10748</v>
      </c>
      <c r="Z54" s="7">
        <v>14150</v>
      </c>
      <c r="AA54" s="7">
        <v>10237</v>
      </c>
      <c r="AB54" s="13"/>
    </row>
    <row r="55" spans="10:28" ht="16.5" customHeight="1" x14ac:dyDescent="0.3">
      <c r="J55" s="2">
        <v>51</v>
      </c>
      <c r="K55" s="41" t="s">
        <v>29</v>
      </c>
      <c r="L55" s="41" t="s">
        <v>32</v>
      </c>
      <c r="M55" s="41" t="s">
        <v>30</v>
      </c>
      <c r="N55" s="41" t="s">
        <v>33</v>
      </c>
      <c r="O55" s="41" t="s">
        <v>29</v>
      </c>
      <c r="Q55" s="17">
        <f t="shared" si="5"/>
        <v>4</v>
      </c>
      <c r="R55" s="17">
        <f t="shared" si="6"/>
        <v>7</v>
      </c>
      <c r="S55" s="17">
        <f t="shared" si="7"/>
        <v>5</v>
      </c>
      <c r="T55" s="17">
        <f t="shared" si="8"/>
        <v>8</v>
      </c>
      <c r="U55" s="17">
        <f t="shared" si="9"/>
        <v>4</v>
      </c>
      <c r="W55" s="7">
        <v>10415</v>
      </c>
      <c r="X55" s="7">
        <v>8833</v>
      </c>
      <c r="Y55" s="7">
        <v>10748</v>
      </c>
      <c r="Z55" s="7">
        <v>10719</v>
      </c>
      <c r="AA55" s="7">
        <v>10237</v>
      </c>
      <c r="AB55" s="13"/>
    </row>
    <row r="56" spans="10:28" ht="16.5" customHeight="1" x14ac:dyDescent="0.3">
      <c r="J56" s="2">
        <v>52</v>
      </c>
      <c r="K56" s="41" t="s">
        <v>35</v>
      </c>
      <c r="L56" s="41" t="s">
        <v>32</v>
      </c>
      <c r="M56" s="41" t="s">
        <v>30</v>
      </c>
      <c r="N56" s="41" t="s">
        <v>29</v>
      </c>
      <c r="O56" s="41" t="s">
        <v>31</v>
      </c>
      <c r="Q56" s="17">
        <f t="shared" si="5"/>
        <v>10</v>
      </c>
      <c r="R56" s="17">
        <f t="shared" si="6"/>
        <v>7</v>
      </c>
      <c r="S56" s="17">
        <f t="shared" si="7"/>
        <v>5</v>
      </c>
      <c r="T56" s="17">
        <f t="shared" si="8"/>
        <v>4</v>
      </c>
      <c r="U56" s="17">
        <f t="shared" si="9"/>
        <v>6</v>
      </c>
      <c r="W56" s="7">
        <v>10415</v>
      </c>
      <c r="X56" s="7">
        <v>8833</v>
      </c>
      <c r="Y56" s="7">
        <v>10748</v>
      </c>
      <c r="Z56" s="7">
        <v>10719</v>
      </c>
      <c r="AA56" s="7">
        <v>10237</v>
      </c>
      <c r="AB56" s="13"/>
    </row>
    <row r="57" spans="10:28" ht="16.5" customHeight="1" x14ac:dyDescent="0.3">
      <c r="J57" s="2">
        <v>53</v>
      </c>
      <c r="K57" s="41" t="s">
        <v>33</v>
      </c>
      <c r="L57" s="41" t="s">
        <v>28</v>
      </c>
      <c r="M57" s="41" t="s">
        <v>35</v>
      </c>
      <c r="N57" s="41" t="s">
        <v>28</v>
      </c>
      <c r="O57" s="41" t="s">
        <v>30</v>
      </c>
      <c r="Q57" s="17">
        <f t="shared" si="5"/>
        <v>8</v>
      </c>
      <c r="R57" s="17">
        <f t="shared" si="6"/>
        <v>3</v>
      </c>
      <c r="S57" s="17">
        <f t="shared" si="7"/>
        <v>10</v>
      </c>
      <c r="T57" s="17">
        <f t="shared" si="8"/>
        <v>3</v>
      </c>
      <c r="U57" s="17">
        <f t="shared" si="9"/>
        <v>5</v>
      </c>
      <c r="W57" s="7">
        <v>10415</v>
      </c>
      <c r="X57" s="7">
        <v>8833</v>
      </c>
      <c r="Y57" s="7">
        <v>10748</v>
      </c>
      <c r="Z57" s="7">
        <v>8933</v>
      </c>
      <c r="AA57" s="7">
        <v>10237</v>
      </c>
      <c r="AB57" s="13"/>
    </row>
    <row r="58" spans="10:28" ht="16.5" customHeight="1" x14ac:dyDescent="0.3">
      <c r="J58" s="2">
        <v>54</v>
      </c>
      <c r="K58" s="41" t="s">
        <v>32</v>
      </c>
      <c r="L58" s="41" t="s">
        <v>32</v>
      </c>
      <c r="M58" s="41" t="s">
        <v>34</v>
      </c>
      <c r="N58" s="41" t="s">
        <v>33</v>
      </c>
      <c r="O58" s="41" t="s">
        <v>30</v>
      </c>
      <c r="Q58" s="17">
        <f t="shared" si="5"/>
        <v>7</v>
      </c>
      <c r="R58" s="17">
        <f t="shared" si="6"/>
        <v>7</v>
      </c>
      <c r="S58" s="17">
        <f t="shared" si="7"/>
        <v>9</v>
      </c>
      <c r="T58" s="17">
        <f t="shared" si="8"/>
        <v>8</v>
      </c>
      <c r="U58" s="17">
        <f t="shared" si="9"/>
        <v>5</v>
      </c>
      <c r="W58" s="7">
        <v>10415</v>
      </c>
      <c r="X58" s="7">
        <v>10600</v>
      </c>
      <c r="Y58" s="7">
        <v>10748</v>
      </c>
      <c r="Z58" s="7">
        <v>8933</v>
      </c>
      <c r="AA58" s="7">
        <v>8531</v>
      </c>
      <c r="AB58" s="13"/>
    </row>
    <row r="59" spans="10:28" ht="16.5" customHeight="1" x14ac:dyDescent="0.3">
      <c r="J59" s="2">
        <v>55</v>
      </c>
      <c r="K59" s="41" t="s">
        <v>29</v>
      </c>
      <c r="L59" s="41" t="s">
        <v>44</v>
      </c>
      <c r="M59" s="41" t="s">
        <v>48</v>
      </c>
      <c r="N59" s="41" t="s">
        <v>32</v>
      </c>
      <c r="O59" s="41" t="s">
        <v>29</v>
      </c>
      <c r="Q59" s="17">
        <f t="shared" si="5"/>
        <v>4</v>
      </c>
      <c r="R59" s="17">
        <f t="shared" si="6"/>
        <v>15</v>
      </c>
      <c r="S59" s="17">
        <f t="shared" si="7"/>
        <v>17</v>
      </c>
      <c r="T59" s="17">
        <f t="shared" si="8"/>
        <v>7</v>
      </c>
      <c r="U59" s="17">
        <f t="shared" si="9"/>
        <v>4</v>
      </c>
      <c r="W59" s="7">
        <v>10415</v>
      </c>
      <c r="X59" s="7">
        <v>10600</v>
      </c>
      <c r="Y59" s="7">
        <v>10748</v>
      </c>
      <c r="Z59" s="7">
        <v>8933</v>
      </c>
      <c r="AA59" s="7">
        <v>8531</v>
      </c>
      <c r="AB59" s="13"/>
    </row>
    <row r="60" spans="10:28" ht="16.5" customHeight="1" x14ac:dyDescent="0.3">
      <c r="J60" s="2">
        <v>56</v>
      </c>
      <c r="K60" s="41" t="s">
        <v>33</v>
      </c>
      <c r="L60" s="41" t="s">
        <v>32</v>
      </c>
      <c r="M60" s="41" t="s">
        <v>28</v>
      </c>
      <c r="N60" s="41" t="s">
        <v>33</v>
      </c>
      <c r="O60" s="41" t="s">
        <v>34</v>
      </c>
      <c r="Q60" s="17">
        <f t="shared" si="5"/>
        <v>8</v>
      </c>
      <c r="R60" s="17">
        <f t="shared" si="6"/>
        <v>7</v>
      </c>
      <c r="S60" s="17">
        <f t="shared" si="7"/>
        <v>3</v>
      </c>
      <c r="T60" s="17">
        <f t="shared" si="8"/>
        <v>8</v>
      </c>
      <c r="U60" s="17">
        <f t="shared" si="9"/>
        <v>9</v>
      </c>
      <c r="W60" s="7">
        <v>10415</v>
      </c>
      <c r="X60" s="7">
        <v>10600</v>
      </c>
      <c r="Y60" s="7">
        <v>10748</v>
      </c>
      <c r="Z60" s="7">
        <v>8933</v>
      </c>
      <c r="AA60" s="7">
        <v>8531</v>
      </c>
      <c r="AB60" s="13"/>
    </row>
    <row r="61" spans="10:28" ht="15.6" customHeight="1" x14ac:dyDescent="0.3">
      <c r="J61" s="2">
        <v>57</v>
      </c>
      <c r="K61" s="41" t="s">
        <v>29</v>
      </c>
      <c r="L61" s="41" t="s">
        <v>32</v>
      </c>
      <c r="M61" s="41" t="s">
        <v>30</v>
      </c>
      <c r="N61" s="41" t="s">
        <v>33</v>
      </c>
      <c r="O61" s="41" t="s">
        <v>34</v>
      </c>
      <c r="Q61" s="17">
        <f t="shared" si="5"/>
        <v>4</v>
      </c>
      <c r="R61" s="17">
        <f t="shared" si="6"/>
        <v>7</v>
      </c>
      <c r="S61" s="17">
        <f t="shared" si="7"/>
        <v>5</v>
      </c>
      <c r="T61" s="17">
        <f t="shared" si="8"/>
        <v>8</v>
      </c>
      <c r="U61" s="17">
        <f t="shared" si="9"/>
        <v>9</v>
      </c>
      <c r="W61" s="7">
        <v>10415</v>
      </c>
      <c r="X61" s="7">
        <v>10600</v>
      </c>
      <c r="Y61" s="7">
        <v>10748</v>
      </c>
      <c r="Z61" s="7">
        <v>8933</v>
      </c>
      <c r="AA61" s="7">
        <v>8531</v>
      </c>
      <c r="AB61" s="13"/>
    </row>
    <row r="62" spans="10:28" ht="15.6" customHeight="1" x14ac:dyDescent="0.3">
      <c r="J62" s="2">
        <v>58</v>
      </c>
      <c r="K62" s="41" t="s">
        <v>35</v>
      </c>
      <c r="L62" s="41" t="s">
        <v>32</v>
      </c>
      <c r="M62" s="41" t="s">
        <v>30</v>
      </c>
      <c r="N62" s="41" t="s">
        <v>33</v>
      </c>
      <c r="O62" s="41" t="s">
        <v>34</v>
      </c>
      <c r="Q62" s="17">
        <f t="shared" si="5"/>
        <v>10</v>
      </c>
      <c r="R62" s="17">
        <f t="shared" si="6"/>
        <v>7</v>
      </c>
      <c r="S62" s="17">
        <f t="shared" si="7"/>
        <v>5</v>
      </c>
      <c r="T62" s="17">
        <f t="shared" si="8"/>
        <v>8</v>
      </c>
      <c r="U62" s="17">
        <f t="shared" si="9"/>
        <v>9</v>
      </c>
      <c r="W62" s="7">
        <v>10415</v>
      </c>
      <c r="X62" s="7">
        <v>10600</v>
      </c>
      <c r="Y62" s="7">
        <v>10748</v>
      </c>
      <c r="Z62" s="7">
        <v>8933</v>
      </c>
      <c r="AA62" s="7">
        <v>10237</v>
      </c>
      <c r="AB62" s="13"/>
    </row>
    <row r="63" spans="10:28" ht="16.5" customHeight="1" x14ac:dyDescent="0.3">
      <c r="J63" s="2">
        <v>59</v>
      </c>
      <c r="K63" s="41" t="s">
        <v>33</v>
      </c>
      <c r="L63" s="41" t="s">
        <v>38</v>
      </c>
      <c r="M63" s="41" t="s">
        <v>29</v>
      </c>
      <c r="N63" s="41" t="s">
        <v>31</v>
      </c>
      <c r="O63" s="41" t="s">
        <v>32</v>
      </c>
      <c r="Q63" s="17">
        <f t="shared" si="5"/>
        <v>8</v>
      </c>
      <c r="R63" s="17">
        <f t="shared" si="6"/>
        <v>12</v>
      </c>
      <c r="S63" s="17">
        <f t="shared" si="7"/>
        <v>4</v>
      </c>
      <c r="T63" s="17">
        <f t="shared" si="8"/>
        <v>6</v>
      </c>
      <c r="U63" s="17">
        <f t="shared" si="9"/>
        <v>7</v>
      </c>
      <c r="W63" s="7">
        <v>10415</v>
      </c>
      <c r="X63" s="7">
        <v>10600</v>
      </c>
      <c r="Y63" s="7">
        <v>10748</v>
      </c>
      <c r="Z63" s="7">
        <v>8933</v>
      </c>
      <c r="AA63" s="7">
        <v>10237</v>
      </c>
      <c r="AB63" s="13"/>
    </row>
    <row r="64" spans="10:28" ht="16.5" customHeight="1" x14ac:dyDescent="0.3">
      <c r="J64" s="2">
        <v>60</v>
      </c>
      <c r="K64" s="41" t="s">
        <v>32</v>
      </c>
      <c r="L64" s="41" t="s">
        <v>32</v>
      </c>
      <c r="M64" s="41" t="s">
        <v>35</v>
      </c>
      <c r="N64" s="41" t="s">
        <v>33</v>
      </c>
      <c r="O64" s="41" t="s">
        <v>35</v>
      </c>
      <c r="Q64" s="17">
        <f t="shared" si="5"/>
        <v>7</v>
      </c>
      <c r="R64" s="17">
        <f t="shared" si="6"/>
        <v>7</v>
      </c>
      <c r="S64" s="17">
        <f t="shared" si="7"/>
        <v>10</v>
      </c>
      <c r="T64" s="17">
        <f t="shared" si="8"/>
        <v>8</v>
      </c>
      <c r="U64" s="17">
        <f t="shared" si="9"/>
        <v>10</v>
      </c>
      <c r="W64" s="7">
        <v>10415</v>
      </c>
      <c r="X64" s="7">
        <v>10600</v>
      </c>
      <c r="Y64" s="7">
        <v>10748</v>
      </c>
      <c r="Z64" s="7">
        <v>8933</v>
      </c>
      <c r="AA64" s="7">
        <v>10237</v>
      </c>
      <c r="AB64" s="13"/>
    </row>
    <row r="65" spans="10:28" ht="16.5" customHeight="1" x14ac:dyDescent="0.3">
      <c r="J65" s="2">
        <v>61</v>
      </c>
      <c r="K65" s="41" t="s">
        <v>29</v>
      </c>
      <c r="L65" s="41" t="s">
        <v>31</v>
      </c>
      <c r="M65" s="41" t="s">
        <v>30</v>
      </c>
      <c r="N65" s="41" t="s">
        <v>33</v>
      </c>
      <c r="O65" s="41" t="s">
        <v>34</v>
      </c>
      <c r="Q65" s="17">
        <f t="shared" si="5"/>
        <v>4</v>
      </c>
      <c r="R65" s="17">
        <f t="shared" si="6"/>
        <v>6</v>
      </c>
      <c r="S65" s="17">
        <f t="shared" si="7"/>
        <v>5</v>
      </c>
      <c r="T65" s="17">
        <f t="shared" si="8"/>
        <v>8</v>
      </c>
      <c r="U65" s="17">
        <f t="shared" si="9"/>
        <v>9</v>
      </c>
      <c r="W65" s="7">
        <v>10415</v>
      </c>
      <c r="X65" s="7">
        <v>10600</v>
      </c>
      <c r="Y65" s="7">
        <v>8957</v>
      </c>
      <c r="Z65" s="7">
        <v>8933</v>
      </c>
      <c r="AA65" s="7">
        <v>10237</v>
      </c>
      <c r="AB65" s="13"/>
    </row>
    <row r="66" spans="10:28" ht="16.5" customHeight="1" x14ac:dyDescent="0.3">
      <c r="J66" s="2">
        <v>62</v>
      </c>
      <c r="K66" s="41" t="s">
        <v>33</v>
      </c>
      <c r="L66" s="41" t="s">
        <v>32</v>
      </c>
      <c r="M66" s="41" t="s">
        <v>33</v>
      </c>
      <c r="N66" s="41" t="s">
        <v>33</v>
      </c>
      <c r="O66" s="41" t="s">
        <v>29</v>
      </c>
      <c r="Q66" s="17">
        <f t="shared" si="5"/>
        <v>8</v>
      </c>
      <c r="R66" s="17">
        <f t="shared" si="6"/>
        <v>7</v>
      </c>
      <c r="S66" s="17">
        <f t="shared" si="7"/>
        <v>8</v>
      </c>
      <c r="T66" s="17">
        <f t="shared" si="8"/>
        <v>8</v>
      </c>
      <c r="U66" s="17">
        <f t="shared" si="9"/>
        <v>4</v>
      </c>
      <c r="W66" s="7">
        <v>10415</v>
      </c>
      <c r="X66" s="7">
        <v>10600</v>
      </c>
      <c r="Y66" s="7">
        <v>8957</v>
      </c>
      <c r="Z66" s="7">
        <v>8933</v>
      </c>
      <c r="AA66" s="7">
        <v>10237</v>
      </c>
      <c r="AB66" s="13"/>
    </row>
    <row r="67" spans="10:28" ht="16.5" customHeight="1" x14ac:dyDescent="0.3">
      <c r="J67" s="2">
        <v>63</v>
      </c>
      <c r="K67" s="41" t="s">
        <v>29</v>
      </c>
      <c r="L67" s="41" t="s">
        <v>30</v>
      </c>
      <c r="M67" s="41" t="s">
        <v>30</v>
      </c>
      <c r="N67" s="41" t="s">
        <v>31</v>
      </c>
      <c r="O67" s="41" t="s">
        <v>34</v>
      </c>
      <c r="Q67" s="17">
        <f t="shared" si="5"/>
        <v>4</v>
      </c>
      <c r="R67" s="17">
        <f t="shared" si="6"/>
        <v>5</v>
      </c>
      <c r="S67" s="17">
        <f t="shared" si="7"/>
        <v>5</v>
      </c>
      <c r="T67" s="17">
        <f t="shared" si="8"/>
        <v>6</v>
      </c>
      <c r="U67" s="17">
        <f t="shared" si="9"/>
        <v>9</v>
      </c>
      <c r="W67" s="7">
        <v>10415</v>
      </c>
      <c r="X67" s="7">
        <v>10600</v>
      </c>
      <c r="Y67" s="7">
        <v>8957</v>
      </c>
      <c r="Z67" s="7">
        <v>8933</v>
      </c>
      <c r="AA67" s="7">
        <v>10237</v>
      </c>
      <c r="AB67" s="13"/>
    </row>
    <row r="68" spans="10:28" ht="16.5" customHeight="1" x14ac:dyDescent="0.3">
      <c r="J68" s="2">
        <v>64</v>
      </c>
      <c r="K68" s="41" t="s">
        <v>35</v>
      </c>
      <c r="L68" s="41" t="s">
        <v>28</v>
      </c>
      <c r="M68" s="41" t="s">
        <v>30</v>
      </c>
      <c r="N68" s="41" t="s">
        <v>42</v>
      </c>
      <c r="O68" s="41" t="s">
        <v>33</v>
      </c>
      <c r="Q68" s="17">
        <f t="shared" ref="Q68:Q131" si="10">IF(K68="","",VLOOKUP(K68,$A$4:$H$22,8,FALSE))</f>
        <v>10</v>
      </c>
      <c r="R68" s="17">
        <f t="shared" ref="R68:R131" si="11">IF(L68="","",VLOOKUP(L68,$A$4:$H$22,8,FALSE))</f>
        <v>3</v>
      </c>
      <c r="S68" s="17">
        <f t="shared" ref="S68:S131" si="12">IF(M68="","",VLOOKUP(M68,$A$4:$H$22,8,FALSE))</f>
        <v>5</v>
      </c>
      <c r="T68" s="17">
        <f t="shared" ref="T68:T131" si="13">IF(N68="","",VLOOKUP(N68,$A$4:$H$22,8,FALSE))</f>
        <v>14</v>
      </c>
      <c r="U68" s="17">
        <f t="shared" ref="U68:U131" si="14">IF(O68="","",VLOOKUP(O68,$A$4:$H$22,8,FALSE))</f>
        <v>8</v>
      </c>
      <c r="W68" s="7">
        <v>10415</v>
      </c>
      <c r="X68" s="7">
        <v>10600</v>
      </c>
      <c r="Y68" s="7">
        <v>8957</v>
      </c>
      <c r="Z68" s="7">
        <v>8933</v>
      </c>
      <c r="AA68" s="7">
        <v>8531</v>
      </c>
      <c r="AB68" s="13"/>
    </row>
    <row r="69" spans="10:28" ht="16.5" customHeight="1" x14ac:dyDescent="0.3">
      <c r="J69" s="2">
        <v>65</v>
      </c>
      <c r="K69" s="41" t="s">
        <v>33</v>
      </c>
      <c r="L69" s="41" t="s">
        <v>44</v>
      </c>
      <c r="M69" s="41" t="s">
        <v>28</v>
      </c>
      <c r="N69" s="41" t="s">
        <v>31</v>
      </c>
      <c r="O69" s="41" t="s">
        <v>30</v>
      </c>
      <c r="Q69" s="17">
        <f t="shared" si="10"/>
        <v>8</v>
      </c>
      <c r="R69" s="17">
        <f t="shared" si="11"/>
        <v>15</v>
      </c>
      <c r="S69" s="17">
        <f t="shared" si="12"/>
        <v>3</v>
      </c>
      <c r="T69" s="17">
        <f t="shared" si="13"/>
        <v>6</v>
      </c>
      <c r="U69" s="17">
        <f t="shared" si="14"/>
        <v>5</v>
      </c>
      <c r="W69" s="7">
        <v>13750</v>
      </c>
      <c r="X69" s="7">
        <v>10600</v>
      </c>
      <c r="Y69" s="7">
        <v>10748</v>
      </c>
      <c r="Z69" s="7">
        <v>11792</v>
      </c>
      <c r="AA69" s="7">
        <v>8531</v>
      </c>
      <c r="AB69" s="13"/>
    </row>
    <row r="70" spans="10:28" ht="16.5" customHeight="1" x14ac:dyDescent="0.3">
      <c r="J70" s="2">
        <v>66</v>
      </c>
      <c r="K70" s="41" t="s">
        <v>32</v>
      </c>
      <c r="L70" s="41" t="s">
        <v>34</v>
      </c>
      <c r="M70" s="41" t="s">
        <v>28</v>
      </c>
      <c r="N70" s="41" t="s">
        <v>33</v>
      </c>
      <c r="O70" s="41" t="s">
        <v>29</v>
      </c>
      <c r="Q70" s="17">
        <f t="shared" si="10"/>
        <v>7</v>
      </c>
      <c r="R70" s="17">
        <f t="shared" si="11"/>
        <v>9</v>
      </c>
      <c r="S70" s="17">
        <f t="shared" si="12"/>
        <v>3</v>
      </c>
      <c r="T70" s="17">
        <f t="shared" si="13"/>
        <v>8</v>
      </c>
      <c r="U70" s="17">
        <f t="shared" si="14"/>
        <v>4</v>
      </c>
      <c r="W70" s="7">
        <v>13750</v>
      </c>
      <c r="X70" s="7">
        <v>10600</v>
      </c>
      <c r="Y70" s="7">
        <v>10748</v>
      </c>
      <c r="Z70" s="7">
        <v>14150</v>
      </c>
      <c r="AA70" s="7">
        <v>8531</v>
      </c>
      <c r="AB70" s="13"/>
    </row>
    <row r="71" spans="10:28" ht="16.5" customHeight="1" x14ac:dyDescent="0.3">
      <c r="J71" s="2">
        <v>67</v>
      </c>
      <c r="K71" s="41" t="s">
        <v>29</v>
      </c>
      <c r="L71" s="41" t="s">
        <v>31</v>
      </c>
      <c r="M71" s="41" t="s">
        <v>28</v>
      </c>
      <c r="N71" s="41" t="s">
        <v>31</v>
      </c>
      <c r="O71" s="41" t="s">
        <v>34</v>
      </c>
      <c r="Q71" s="17">
        <f t="shared" si="10"/>
        <v>4</v>
      </c>
      <c r="R71" s="17">
        <f t="shared" si="11"/>
        <v>6</v>
      </c>
      <c r="S71" s="17">
        <f t="shared" si="12"/>
        <v>3</v>
      </c>
      <c r="T71" s="17">
        <f t="shared" si="13"/>
        <v>6</v>
      </c>
      <c r="U71" s="17">
        <f t="shared" si="14"/>
        <v>9</v>
      </c>
      <c r="W71" s="7">
        <v>13750</v>
      </c>
      <c r="X71" s="7">
        <v>10600</v>
      </c>
      <c r="Y71" s="7">
        <v>10748</v>
      </c>
      <c r="Z71" s="7">
        <v>14150</v>
      </c>
      <c r="AA71" s="7">
        <v>8531</v>
      </c>
      <c r="AB71" s="13"/>
    </row>
    <row r="72" spans="10:28" ht="16.5" customHeight="1" x14ac:dyDescent="0.3">
      <c r="J72" s="2">
        <v>68</v>
      </c>
      <c r="K72" s="41" t="s">
        <v>26</v>
      </c>
      <c r="L72" s="41" t="s">
        <v>33</v>
      </c>
      <c r="M72" s="41" t="s">
        <v>42</v>
      </c>
      <c r="N72" s="41" t="s">
        <v>26</v>
      </c>
      <c r="O72" s="41" t="s">
        <v>34</v>
      </c>
      <c r="Q72" s="17">
        <f t="shared" si="10"/>
        <v>2</v>
      </c>
      <c r="R72" s="17">
        <f t="shared" si="11"/>
        <v>8</v>
      </c>
      <c r="S72" s="17">
        <f t="shared" si="12"/>
        <v>14</v>
      </c>
      <c r="T72" s="17">
        <f t="shared" si="13"/>
        <v>2</v>
      </c>
      <c r="U72" s="17">
        <f t="shared" si="14"/>
        <v>9</v>
      </c>
      <c r="W72" s="7">
        <v>13750</v>
      </c>
      <c r="X72" s="7">
        <v>13992</v>
      </c>
      <c r="Y72" s="7">
        <v>8957</v>
      </c>
      <c r="Z72" s="7">
        <v>14150</v>
      </c>
      <c r="AA72" s="7">
        <v>10237</v>
      </c>
      <c r="AB72" s="13"/>
    </row>
    <row r="73" spans="10:28" ht="16.5" customHeight="1" x14ac:dyDescent="0.3">
      <c r="J73" s="2">
        <v>69</v>
      </c>
      <c r="K73" s="41" t="s">
        <v>35</v>
      </c>
      <c r="L73" s="41" t="s">
        <v>31</v>
      </c>
      <c r="M73" s="41" t="s">
        <v>30</v>
      </c>
      <c r="N73" s="41" t="s">
        <v>33</v>
      </c>
      <c r="O73" s="41" t="s">
        <v>34</v>
      </c>
      <c r="Q73" s="17">
        <f t="shared" si="10"/>
        <v>10</v>
      </c>
      <c r="R73" s="17">
        <f t="shared" si="11"/>
        <v>6</v>
      </c>
      <c r="S73" s="17">
        <f t="shared" si="12"/>
        <v>5</v>
      </c>
      <c r="T73" s="17">
        <f t="shared" si="13"/>
        <v>8</v>
      </c>
      <c r="U73" s="17">
        <f t="shared" si="14"/>
        <v>9</v>
      </c>
      <c r="W73" s="7">
        <v>8680</v>
      </c>
      <c r="X73" s="7">
        <v>13992</v>
      </c>
      <c r="Y73" s="7">
        <v>8957</v>
      </c>
      <c r="Z73" s="7">
        <v>8933</v>
      </c>
      <c r="AA73" s="7">
        <v>10237</v>
      </c>
      <c r="AB73" s="13"/>
    </row>
    <row r="74" spans="10:28" ht="16.5" customHeight="1" x14ac:dyDescent="0.3">
      <c r="J74" s="2">
        <v>70</v>
      </c>
      <c r="K74" s="41" t="s">
        <v>32</v>
      </c>
      <c r="L74" s="41" t="s">
        <v>44</v>
      </c>
      <c r="M74" s="41" t="s">
        <v>35</v>
      </c>
      <c r="N74" s="41" t="s">
        <v>28</v>
      </c>
      <c r="O74" s="41" t="s">
        <v>31</v>
      </c>
      <c r="Q74" s="17">
        <f t="shared" si="10"/>
        <v>7</v>
      </c>
      <c r="R74" s="17">
        <f t="shared" si="11"/>
        <v>15</v>
      </c>
      <c r="S74" s="17">
        <f t="shared" si="12"/>
        <v>10</v>
      </c>
      <c r="T74" s="17">
        <f t="shared" si="13"/>
        <v>3</v>
      </c>
      <c r="U74" s="17">
        <f t="shared" si="14"/>
        <v>6</v>
      </c>
      <c r="W74" s="7">
        <v>8680</v>
      </c>
      <c r="X74" s="7">
        <v>13992</v>
      </c>
      <c r="Y74" s="7">
        <v>8957</v>
      </c>
      <c r="Z74" s="7">
        <v>8933</v>
      </c>
      <c r="AA74" s="7">
        <v>10237</v>
      </c>
      <c r="AB74" s="13"/>
    </row>
    <row r="75" spans="10:28" ht="16.5" customHeight="1" x14ac:dyDescent="0.3">
      <c r="J75" s="2">
        <v>71</v>
      </c>
      <c r="K75" s="41" t="s">
        <v>33</v>
      </c>
      <c r="L75" s="41" t="s">
        <v>26</v>
      </c>
      <c r="M75" s="41" t="s">
        <v>34</v>
      </c>
      <c r="N75" s="41" t="s">
        <v>31</v>
      </c>
      <c r="O75" s="41" t="s">
        <v>32</v>
      </c>
      <c r="Q75" s="17">
        <f t="shared" si="10"/>
        <v>8</v>
      </c>
      <c r="R75" s="17">
        <f t="shared" si="11"/>
        <v>2</v>
      </c>
      <c r="S75" s="17">
        <f t="shared" si="12"/>
        <v>9</v>
      </c>
      <c r="T75" s="17">
        <f t="shared" si="13"/>
        <v>6</v>
      </c>
      <c r="U75" s="17">
        <f t="shared" si="14"/>
        <v>7</v>
      </c>
      <c r="W75" s="7">
        <v>8680</v>
      </c>
      <c r="X75" s="7">
        <v>13992</v>
      </c>
      <c r="Y75" s="7">
        <v>10748</v>
      </c>
      <c r="Z75" s="7">
        <v>8933</v>
      </c>
      <c r="AA75" s="7">
        <v>10237</v>
      </c>
      <c r="AB75" s="13"/>
    </row>
    <row r="76" spans="10:28" ht="16.5" customHeight="1" x14ac:dyDescent="0.3">
      <c r="J76" s="2">
        <v>72</v>
      </c>
      <c r="K76" s="41" t="s">
        <v>33</v>
      </c>
      <c r="L76" s="41" t="s">
        <v>33</v>
      </c>
      <c r="M76" s="41" t="s">
        <v>30</v>
      </c>
      <c r="N76" s="41" t="s">
        <v>31</v>
      </c>
      <c r="O76" s="41" t="s">
        <v>32</v>
      </c>
      <c r="Q76" s="17">
        <f t="shared" si="10"/>
        <v>8</v>
      </c>
      <c r="R76" s="17">
        <f t="shared" si="11"/>
        <v>8</v>
      </c>
      <c r="S76" s="17">
        <f t="shared" si="12"/>
        <v>5</v>
      </c>
      <c r="T76" s="17">
        <f t="shared" si="13"/>
        <v>6</v>
      </c>
      <c r="U76" s="17">
        <f t="shared" si="14"/>
        <v>7</v>
      </c>
      <c r="W76" s="7">
        <v>10415</v>
      </c>
      <c r="X76" s="7">
        <v>10600</v>
      </c>
      <c r="Y76" s="7">
        <v>8957</v>
      </c>
      <c r="Z76" s="7">
        <v>8933</v>
      </c>
      <c r="AA76" s="7">
        <v>10237</v>
      </c>
      <c r="AB76" s="13"/>
    </row>
    <row r="77" spans="10:28" ht="16.5" customHeight="1" x14ac:dyDescent="0.3">
      <c r="J77" s="2">
        <v>73</v>
      </c>
      <c r="K77" s="41" t="s">
        <v>32</v>
      </c>
      <c r="L77" s="41" t="s">
        <v>34</v>
      </c>
      <c r="M77" s="41" t="s">
        <v>48</v>
      </c>
      <c r="N77" s="41" t="s">
        <v>33</v>
      </c>
      <c r="O77" s="41" t="s">
        <v>32</v>
      </c>
      <c r="Q77" s="17">
        <f t="shared" si="10"/>
        <v>7</v>
      </c>
      <c r="R77" s="17">
        <f t="shared" si="11"/>
        <v>9</v>
      </c>
      <c r="S77" s="17">
        <f t="shared" si="12"/>
        <v>17</v>
      </c>
      <c r="T77" s="17">
        <f t="shared" si="13"/>
        <v>8</v>
      </c>
      <c r="U77" s="17">
        <f t="shared" si="14"/>
        <v>7</v>
      </c>
      <c r="W77" s="7">
        <v>10415</v>
      </c>
      <c r="X77" s="7">
        <v>10600</v>
      </c>
      <c r="Y77" s="7">
        <v>8957</v>
      </c>
      <c r="Z77" s="7">
        <v>8933</v>
      </c>
      <c r="AA77" s="7">
        <v>10237</v>
      </c>
      <c r="AB77" s="13"/>
    </row>
    <row r="78" spans="10:28" ht="16.5" customHeight="1" x14ac:dyDescent="0.3">
      <c r="J78" s="2">
        <v>74</v>
      </c>
      <c r="K78" s="41" t="s">
        <v>33</v>
      </c>
      <c r="L78" s="41" t="s">
        <v>42</v>
      </c>
      <c r="M78" s="41" t="s">
        <v>34</v>
      </c>
      <c r="N78" s="41" t="s">
        <v>48</v>
      </c>
      <c r="O78" s="41" t="s">
        <v>35</v>
      </c>
      <c r="Q78" s="17">
        <f t="shared" si="10"/>
        <v>8</v>
      </c>
      <c r="R78" s="17">
        <f t="shared" si="11"/>
        <v>14</v>
      </c>
      <c r="S78" s="17">
        <f t="shared" si="12"/>
        <v>9</v>
      </c>
      <c r="T78" s="17">
        <f t="shared" si="13"/>
        <v>17</v>
      </c>
      <c r="U78" s="17">
        <f t="shared" si="14"/>
        <v>10</v>
      </c>
      <c r="W78" s="7">
        <v>10415</v>
      </c>
      <c r="X78" s="7">
        <v>8833</v>
      </c>
      <c r="Y78" s="7">
        <v>8957</v>
      </c>
      <c r="Z78" s="7">
        <v>8933</v>
      </c>
      <c r="AA78" s="7">
        <v>10237</v>
      </c>
      <c r="AB78" s="13"/>
    </row>
    <row r="79" spans="10:28" ht="16.5" customHeight="1" x14ac:dyDescent="0.3">
      <c r="J79" s="2">
        <v>75</v>
      </c>
      <c r="K79" s="41" t="s">
        <v>29</v>
      </c>
      <c r="L79" s="41" t="s">
        <v>33</v>
      </c>
      <c r="M79" s="41" t="s">
        <v>29</v>
      </c>
      <c r="N79" s="41" t="s">
        <v>33</v>
      </c>
      <c r="O79" s="41" t="s">
        <v>31</v>
      </c>
      <c r="Q79" s="17">
        <f t="shared" si="10"/>
        <v>4</v>
      </c>
      <c r="R79" s="17">
        <f t="shared" si="11"/>
        <v>8</v>
      </c>
      <c r="S79" s="17">
        <f t="shared" si="12"/>
        <v>4</v>
      </c>
      <c r="T79" s="17">
        <f t="shared" si="13"/>
        <v>8</v>
      </c>
      <c r="U79" s="17">
        <f t="shared" si="14"/>
        <v>6</v>
      </c>
      <c r="W79" s="7">
        <v>10415</v>
      </c>
      <c r="X79" s="7">
        <v>8833</v>
      </c>
      <c r="Y79" s="7">
        <v>10748</v>
      </c>
      <c r="Z79" s="7">
        <v>8933</v>
      </c>
      <c r="AA79" s="7">
        <v>10237</v>
      </c>
      <c r="AB79" s="13"/>
    </row>
    <row r="80" spans="10:28" ht="15.6" customHeight="1" x14ac:dyDescent="0.3">
      <c r="J80" s="2">
        <v>76</v>
      </c>
      <c r="K80" s="41" t="s">
        <v>35</v>
      </c>
      <c r="L80" s="41" t="s">
        <v>34</v>
      </c>
      <c r="M80" s="41" t="s">
        <v>33</v>
      </c>
      <c r="N80" s="41" t="s">
        <v>31</v>
      </c>
      <c r="O80" s="41" t="s">
        <v>35</v>
      </c>
      <c r="Q80" s="17">
        <f t="shared" si="10"/>
        <v>10</v>
      </c>
      <c r="R80" s="17">
        <f t="shared" si="11"/>
        <v>9</v>
      </c>
      <c r="S80" s="17">
        <f t="shared" si="12"/>
        <v>8</v>
      </c>
      <c r="T80" s="17">
        <f t="shared" si="13"/>
        <v>6</v>
      </c>
      <c r="U80" s="17">
        <f t="shared" si="14"/>
        <v>10</v>
      </c>
      <c r="W80" s="7">
        <v>8680</v>
      </c>
      <c r="X80" s="7">
        <v>8833</v>
      </c>
      <c r="Y80" s="7">
        <v>8957</v>
      </c>
      <c r="Z80" s="7">
        <v>8933</v>
      </c>
      <c r="AA80" s="7">
        <v>10237</v>
      </c>
      <c r="AB80" s="13"/>
    </row>
    <row r="81" spans="10:28" ht="15.6" customHeight="1" x14ac:dyDescent="0.3">
      <c r="J81" s="2">
        <v>77</v>
      </c>
      <c r="K81" s="41" t="s">
        <v>32</v>
      </c>
      <c r="L81" s="41" t="s">
        <v>34</v>
      </c>
      <c r="M81" s="41" t="s">
        <v>30</v>
      </c>
      <c r="N81" s="41" t="s">
        <v>31</v>
      </c>
      <c r="O81" s="41" t="s">
        <v>28</v>
      </c>
      <c r="Q81" s="17">
        <f t="shared" si="10"/>
        <v>7</v>
      </c>
      <c r="R81" s="17">
        <f t="shared" si="11"/>
        <v>9</v>
      </c>
      <c r="S81" s="17">
        <f t="shared" si="12"/>
        <v>5</v>
      </c>
      <c r="T81" s="17">
        <f t="shared" si="13"/>
        <v>6</v>
      </c>
      <c r="U81" s="17">
        <f t="shared" si="14"/>
        <v>3</v>
      </c>
      <c r="W81" s="7">
        <v>8680</v>
      </c>
      <c r="X81" s="7">
        <v>10600</v>
      </c>
      <c r="Y81" s="7">
        <v>8957</v>
      </c>
      <c r="Z81" s="7">
        <v>10719</v>
      </c>
      <c r="AA81" s="7">
        <v>8531</v>
      </c>
      <c r="AB81" s="13"/>
    </row>
    <row r="82" spans="10:28" ht="15.6" customHeight="1" x14ac:dyDescent="0.3">
      <c r="J82" s="2">
        <v>78</v>
      </c>
      <c r="K82" s="41" t="s">
        <v>34</v>
      </c>
      <c r="L82" s="41" t="s">
        <v>31</v>
      </c>
      <c r="M82" s="41" t="s">
        <v>35</v>
      </c>
      <c r="N82" s="41" t="s">
        <v>33</v>
      </c>
      <c r="O82" s="41" t="s">
        <v>33</v>
      </c>
      <c r="Q82" s="17">
        <f t="shared" si="10"/>
        <v>9</v>
      </c>
      <c r="R82" s="17">
        <f t="shared" si="11"/>
        <v>6</v>
      </c>
      <c r="S82" s="17">
        <f t="shared" si="12"/>
        <v>10</v>
      </c>
      <c r="T82" s="17">
        <f t="shared" si="13"/>
        <v>8</v>
      </c>
      <c r="U82" s="17">
        <f t="shared" si="14"/>
        <v>8</v>
      </c>
      <c r="W82" s="7">
        <v>8680</v>
      </c>
      <c r="X82" s="7">
        <v>10600</v>
      </c>
      <c r="Y82" s="7">
        <v>8957</v>
      </c>
      <c r="Z82" s="7">
        <v>10719</v>
      </c>
      <c r="AA82" s="7">
        <v>8531</v>
      </c>
      <c r="AB82" s="13"/>
    </row>
    <row r="83" spans="10:28" ht="15.6" customHeight="1" x14ac:dyDescent="0.3">
      <c r="J83" s="2">
        <v>79</v>
      </c>
      <c r="K83" s="41" t="s">
        <v>34</v>
      </c>
      <c r="L83" s="41" t="s">
        <v>31</v>
      </c>
      <c r="M83" s="41" t="s">
        <v>34</v>
      </c>
      <c r="N83" s="41" t="s">
        <v>34</v>
      </c>
      <c r="O83" s="41" t="s">
        <v>28</v>
      </c>
      <c r="Q83" s="17">
        <f t="shared" si="10"/>
        <v>9</v>
      </c>
      <c r="R83" s="17">
        <f t="shared" si="11"/>
        <v>6</v>
      </c>
      <c r="S83" s="17">
        <f t="shared" si="12"/>
        <v>9</v>
      </c>
      <c r="T83" s="17">
        <f t="shared" si="13"/>
        <v>9</v>
      </c>
      <c r="U83" s="17">
        <f t="shared" si="14"/>
        <v>3</v>
      </c>
      <c r="W83" s="7">
        <v>10415</v>
      </c>
      <c r="X83" s="7">
        <v>10600</v>
      </c>
      <c r="Y83" s="7">
        <v>8957</v>
      </c>
      <c r="Z83" s="7">
        <v>10719</v>
      </c>
      <c r="AA83" s="7">
        <v>8531</v>
      </c>
      <c r="AB83" s="13"/>
    </row>
    <row r="84" spans="10:28" ht="15.6" customHeight="1" x14ac:dyDescent="0.3">
      <c r="J84" s="2">
        <v>80</v>
      </c>
      <c r="K84" s="41" t="s">
        <v>30</v>
      </c>
      <c r="L84" s="41" t="s">
        <v>48</v>
      </c>
      <c r="M84" s="41" t="s">
        <v>35</v>
      </c>
      <c r="N84" s="41" t="s">
        <v>32</v>
      </c>
      <c r="O84" s="41" t="s">
        <v>28</v>
      </c>
      <c r="Q84" s="17">
        <f t="shared" si="10"/>
        <v>5</v>
      </c>
      <c r="R84" s="17">
        <f t="shared" si="11"/>
        <v>17</v>
      </c>
      <c r="S84" s="17">
        <f t="shared" si="12"/>
        <v>10</v>
      </c>
      <c r="T84" s="17">
        <f t="shared" si="13"/>
        <v>7</v>
      </c>
      <c r="U84" s="17">
        <f t="shared" si="14"/>
        <v>3</v>
      </c>
      <c r="W84" s="7">
        <v>10415</v>
      </c>
      <c r="X84" s="7">
        <v>10600</v>
      </c>
      <c r="Y84" s="7">
        <v>8957</v>
      </c>
      <c r="Z84" s="7">
        <v>8933</v>
      </c>
      <c r="AA84" s="7">
        <v>8531</v>
      </c>
      <c r="AB84" s="13"/>
    </row>
    <row r="85" spans="10:28" ht="15.6" customHeight="1" x14ac:dyDescent="0.3">
      <c r="J85" s="2">
        <v>81</v>
      </c>
      <c r="K85" s="41" t="s">
        <v>33</v>
      </c>
      <c r="L85" s="41" t="s">
        <v>31</v>
      </c>
      <c r="M85" s="41" t="s">
        <v>31</v>
      </c>
      <c r="N85" s="41" t="s">
        <v>34</v>
      </c>
      <c r="O85" s="41" t="s">
        <v>28</v>
      </c>
      <c r="Q85" s="17">
        <f t="shared" si="10"/>
        <v>8</v>
      </c>
      <c r="R85" s="17">
        <f t="shared" si="11"/>
        <v>6</v>
      </c>
      <c r="S85" s="17">
        <f t="shared" si="12"/>
        <v>6</v>
      </c>
      <c r="T85" s="17">
        <f t="shared" si="13"/>
        <v>9</v>
      </c>
      <c r="U85" s="17">
        <f t="shared" si="14"/>
        <v>3</v>
      </c>
      <c r="W85" s="7">
        <v>10415</v>
      </c>
      <c r="X85" s="7">
        <v>10600</v>
      </c>
      <c r="Y85" s="7">
        <v>8957</v>
      </c>
      <c r="Z85" s="7">
        <v>8933</v>
      </c>
      <c r="AA85" s="7">
        <v>10237</v>
      </c>
      <c r="AB85" s="13"/>
    </row>
    <row r="86" spans="10:28" ht="15.6" customHeight="1" x14ac:dyDescent="0.3">
      <c r="J86" s="2">
        <v>82</v>
      </c>
      <c r="K86" s="41" t="s">
        <v>29</v>
      </c>
      <c r="L86" s="41" t="s">
        <v>32</v>
      </c>
      <c r="M86" s="41" t="s">
        <v>50</v>
      </c>
      <c r="N86" s="41" t="s">
        <v>30</v>
      </c>
      <c r="O86" s="41" t="s">
        <v>35</v>
      </c>
      <c r="Q86" s="17">
        <f t="shared" si="10"/>
        <v>4</v>
      </c>
      <c r="R86" s="17">
        <f t="shared" si="11"/>
        <v>7</v>
      </c>
      <c r="S86" s="17">
        <f t="shared" si="12"/>
        <v>18</v>
      </c>
      <c r="T86" s="17">
        <f t="shared" si="13"/>
        <v>5</v>
      </c>
      <c r="U86" s="17">
        <f t="shared" si="14"/>
        <v>10</v>
      </c>
      <c r="W86" s="7">
        <v>10415</v>
      </c>
      <c r="X86" s="7">
        <v>8833</v>
      </c>
      <c r="Y86" s="7">
        <v>8957</v>
      </c>
      <c r="Z86" s="7">
        <v>8933</v>
      </c>
      <c r="AA86" s="7">
        <v>10237</v>
      </c>
      <c r="AB86" s="13"/>
    </row>
    <row r="87" spans="10:28" ht="15.6" customHeight="1" x14ac:dyDescent="0.3">
      <c r="J87" s="2">
        <v>83</v>
      </c>
      <c r="K87" s="41" t="s">
        <v>28</v>
      </c>
      <c r="L87" s="41" t="s">
        <v>31</v>
      </c>
      <c r="M87" s="41" t="s">
        <v>34</v>
      </c>
      <c r="N87" s="41" t="s">
        <v>31</v>
      </c>
      <c r="O87" s="41" t="s">
        <v>30</v>
      </c>
      <c r="Q87" s="17">
        <f t="shared" si="10"/>
        <v>3</v>
      </c>
      <c r="R87" s="17">
        <f t="shared" si="11"/>
        <v>6</v>
      </c>
      <c r="S87" s="17">
        <f t="shared" si="12"/>
        <v>9</v>
      </c>
      <c r="T87" s="17">
        <f t="shared" si="13"/>
        <v>6</v>
      </c>
      <c r="U87" s="17">
        <f t="shared" si="14"/>
        <v>5</v>
      </c>
      <c r="W87" s="7">
        <v>8680</v>
      </c>
      <c r="X87" s="7">
        <v>8833</v>
      </c>
      <c r="Y87" s="7">
        <v>8957</v>
      </c>
      <c r="Z87" s="7">
        <v>8933</v>
      </c>
      <c r="AA87" s="7">
        <v>10237</v>
      </c>
      <c r="AB87" s="13"/>
    </row>
    <row r="88" spans="10:28" ht="15.6" customHeight="1" x14ac:dyDescent="0.3">
      <c r="J88" s="2">
        <v>84</v>
      </c>
      <c r="K88" s="41" t="s">
        <v>34</v>
      </c>
      <c r="L88" s="41" t="s">
        <v>33</v>
      </c>
      <c r="M88" s="41" t="s">
        <v>34</v>
      </c>
      <c r="N88" s="41" t="s">
        <v>31</v>
      </c>
      <c r="O88" s="41" t="s">
        <v>29</v>
      </c>
      <c r="Q88" s="17">
        <f t="shared" si="10"/>
        <v>9</v>
      </c>
      <c r="R88" s="17">
        <f t="shared" si="11"/>
        <v>8</v>
      </c>
      <c r="S88" s="17">
        <f t="shared" si="12"/>
        <v>9</v>
      </c>
      <c r="T88" s="17">
        <f t="shared" si="13"/>
        <v>6</v>
      </c>
      <c r="U88" s="17">
        <f t="shared" si="14"/>
        <v>4</v>
      </c>
      <c r="W88" s="7">
        <v>8680</v>
      </c>
      <c r="X88" s="7">
        <v>8833</v>
      </c>
      <c r="Y88" s="7">
        <v>8957</v>
      </c>
      <c r="Z88" s="7">
        <v>8933</v>
      </c>
      <c r="AA88" s="7">
        <v>10237</v>
      </c>
      <c r="AB88" s="13"/>
    </row>
    <row r="89" spans="10:28" ht="15.6" customHeight="1" x14ac:dyDescent="0.3">
      <c r="J89" s="2">
        <v>85</v>
      </c>
      <c r="K89" s="41" t="s">
        <v>29</v>
      </c>
      <c r="L89" s="41" t="s">
        <v>28</v>
      </c>
      <c r="M89" s="41" t="s">
        <v>38</v>
      </c>
      <c r="N89" s="41" t="s">
        <v>30</v>
      </c>
      <c r="O89" s="41" t="s">
        <v>30</v>
      </c>
      <c r="Q89" s="17">
        <f t="shared" si="10"/>
        <v>4</v>
      </c>
      <c r="R89" s="17">
        <f t="shared" si="11"/>
        <v>3</v>
      </c>
      <c r="S89" s="17">
        <f t="shared" si="12"/>
        <v>12</v>
      </c>
      <c r="T89" s="17">
        <f t="shared" si="13"/>
        <v>5</v>
      </c>
      <c r="U89" s="17">
        <f t="shared" si="14"/>
        <v>5</v>
      </c>
      <c r="W89" s="7">
        <v>8680</v>
      </c>
      <c r="X89" s="7">
        <v>13992</v>
      </c>
      <c r="Y89" s="7">
        <v>8957</v>
      </c>
      <c r="Z89" s="7">
        <v>8933</v>
      </c>
      <c r="AA89" s="7">
        <v>10237</v>
      </c>
      <c r="AB89" s="13"/>
    </row>
    <row r="90" spans="10:28" ht="15.6" customHeight="1" x14ac:dyDescent="0.3">
      <c r="J90" s="2">
        <v>86</v>
      </c>
      <c r="K90" s="41" t="s">
        <v>29</v>
      </c>
      <c r="L90" s="41" t="s">
        <v>38</v>
      </c>
      <c r="M90" s="41" t="s">
        <v>29</v>
      </c>
      <c r="N90" s="41" t="s">
        <v>30</v>
      </c>
      <c r="O90" s="41" t="s">
        <v>32</v>
      </c>
      <c r="Q90" s="17">
        <f t="shared" si="10"/>
        <v>4</v>
      </c>
      <c r="R90" s="17">
        <f t="shared" si="11"/>
        <v>12</v>
      </c>
      <c r="S90" s="17">
        <f t="shared" si="12"/>
        <v>4</v>
      </c>
      <c r="T90" s="17">
        <f t="shared" si="13"/>
        <v>5</v>
      </c>
      <c r="U90" s="17">
        <f t="shared" si="14"/>
        <v>7</v>
      </c>
      <c r="W90" s="7">
        <v>10415</v>
      </c>
      <c r="X90" s="7">
        <v>13992</v>
      </c>
      <c r="Y90" s="7">
        <v>8957</v>
      </c>
      <c r="Z90" s="7">
        <v>10719</v>
      </c>
      <c r="AA90" s="7">
        <v>10237</v>
      </c>
      <c r="AB90" s="13"/>
    </row>
    <row r="91" spans="10:28" ht="15.6" customHeight="1" x14ac:dyDescent="0.3">
      <c r="J91" s="2">
        <v>87</v>
      </c>
      <c r="K91" s="41" t="s">
        <v>32</v>
      </c>
      <c r="L91" s="41" t="s">
        <v>33</v>
      </c>
      <c r="M91" s="41" t="s">
        <v>29</v>
      </c>
      <c r="N91" s="41" t="s">
        <v>34</v>
      </c>
      <c r="O91" s="41" t="s">
        <v>29</v>
      </c>
      <c r="Q91" s="17">
        <f t="shared" si="10"/>
        <v>7</v>
      </c>
      <c r="R91" s="17">
        <f t="shared" si="11"/>
        <v>8</v>
      </c>
      <c r="S91" s="17">
        <f t="shared" si="12"/>
        <v>4</v>
      </c>
      <c r="T91" s="17">
        <f t="shared" si="13"/>
        <v>9</v>
      </c>
      <c r="U91" s="17">
        <f t="shared" si="14"/>
        <v>4</v>
      </c>
      <c r="W91" s="7">
        <v>8680</v>
      </c>
      <c r="X91" s="7">
        <v>13992</v>
      </c>
      <c r="Y91" s="7">
        <v>8957</v>
      </c>
      <c r="Z91" s="7">
        <v>14150</v>
      </c>
      <c r="AA91" s="7">
        <v>13513</v>
      </c>
      <c r="AB91" s="13"/>
    </row>
    <row r="92" spans="10:28" ht="15.6" customHeight="1" x14ac:dyDescent="0.3">
      <c r="J92" s="2">
        <v>88</v>
      </c>
      <c r="K92" s="41" t="s">
        <v>34</v>
      </c>
      <c r="L92" s="41" t="s">
        <v>26</v>
      </c>
      <c r="M92" s="41" t="s">
        <v>34</v>
      </c>
      <c r="N92" s="41" t="s">
        <v>32</v>
      </c>
      <c r="O92" s="41" t="s">
        <v>30</v>
      </c>
      <c r="Q92" s="17">
        <f t="shared" si="10"/>
        <v>9</v>
      </c>
      <c r="R92" s="17">
        <f t="shared" si="11"/>
        <v>2</v>
      </c>
      <c r="S92" s="17">
        <f t="shared" si="12"/>
        <v>9</v>
      </c>
      <c r="T92" s="17">
        <f t="shared" si="13"/>
        <v>7</v>
      </c>
      <c r="U92" s="17">
        <f t="shared" si="14"/>
        <v>5</v>
      </c>
      <c r="W92" s="7">
        <v>8680</v>
      </c>
      <c r="X92" s="7">
        <v>11660</v>
      </c>
      <c r="Y92" s="7">
        <v>10748</v>
      </c>
      <c r="Z92" s="7">
        <v>14150</v>
      </c>
      <c r="AA92" s="7">
        <v>13513</v>
      </c>
      <c r="AB92" s="13"/>
    </row>
    <row r="93" spans="10:28" ht="15.6" customHeight="1" x14ac:dyDescent="0.3">
      <c r="J93" s="2">
        <v>89</v>
      </c>
      <c r="K93" s="41" t="s">
        <v>35</v>
      </c>
      <c r="L93" s="41" t="s">
        <v>30</v>
      </c>
      <c r="M93" s="41" t="s">
        <v>35</v>
      </c>
      <c r="N93" s="41" t="s">
        <v>33</v>
      </c>
      <c r="O93" s="41" t="s">
        <v>33</v>
      </c>
      <c r="Q93" s="17">
        <f t="shared" si="10"/>
        <v>10</v>
      </c>
      <c r="R93" s="17">
        <f t="shared" si="11"/>
        <v>5</v>
      </c>
      <c r="S93" s="17">
        <f t="shared" si="12"/>
        <v>10</v>
      </c>
      <c r="T93" s="17">
        <f t="shared" si="13"/>
        <v>8</v>
      </c>
      <c r="U93" s="17">
        <f t="shared" si="14"/>
        <v>8</v>
      </c>
      <c r="W93" s="7">
        <v>8680</v>
      </c>
      <c r="X93" s="7">
        <v>8833</v>
      </c>
      <c r="Y93" s="7">
        <v>10748</v>
      </c>
      <c r="Z93" s="7">
        <v>14150</v>
      </c>
      <c r="AA93" s="7">
        <v>13513</v>
      </c>
      <c r="AB93" s="13"/>
    </row>
    <row r="94" spans="10:28" ht="15.6" customHeight="1" x14ac:dyDescent="0.3">
      <c r="J94" s="2">
        <v>90</v>
      </c>
      <c r="K94" s="41" t="s">
        <v>35</v>
      </c>
      <c r="L94" s="41" t="s">
        <v>31</v>
      </c>
      <c r="M94" s="41" t="s">
        <v>32</v>
      </c>
      <c r="N94" s="41" t="s">
        <v>26</v>
      </c>
      <c r="O94" s="41" t="s">
        <v>26</v>
      </c>
      <c r="Q94" s="17">
        <f t="shared" si="10"/>
        <v>10</v>
      </c>
      <c r="R94" s="17">
        <f t="shared" si="11"/>
        <v>6</v>
      </c>
      <c r="S94" s="17">
        <f t="shared" si="12"/>
        <v>7</v>
      </c>
      <c r="T94" s="17">
        <f t="shared" si="13"/>
        <v>2</v>
      </c>
      <c r="U94" s="17">
        <f t="shared" si="14"/>
        <v>2</v>
      </c>
      <c r="W94" s="7">
        <v>10415</v>
      </c>
      <c r="X94" s="7">
        <v>8833</v>
      </c>
      <c r="Y94" s="7">
        <v>10748</v>
      </c>
      <c r="Z94" s="7">
        <v>14150</v>
      </c>
      <c r="AA94" s="7">
        <v>13513</v>
      </c>
      <c r="AB94" s="13"/>
    </row>
    <row r="95" spans="10:28" ht="15.6" customHeight="1" x14ac:dyDescent="0.3">
      <c r="J95" s="2">
        <v>91</v>
      </c>
      <c r="K95" s="41" t="s">
        <v>30</v>
      </c>
      <c r="L95" s="41" t="s">
        <v>44</v>
      </c>
      <c r="M95" s="41" t="s">
        <v>35</v>
      </c>
      <c r="N95" s="41" t="s">
        <v>48</v>
      </c>
      <c r="O95" s="41" t="s">
        <v>30</v>
      </c>
      <c r="Q95" s="17">
        <f t="shared" si="10"/>
        <v>5</v>
      </c>
      <c r="R95" s="17">
        <f t="shared" si="11"/>
        <v>15</v>
      </c>
      <c r="S95" s="17">
        <f t="shared" si="12"/>
        <v>10</v>
      </c>
      <c r="T95" s="17">
        <f t="shared" si="13"/>
        <v>17</v>
      </c>
      <c r="U95" s="17">
        <f t="shared" si="14"/>
        <v>5</v>
      </c>
      <c r="W95" s="7">
        <v>8680</v>
      </c>
      <c r="X95" s="7">
        <v>8833</v>
      </c>
      <c r="Y95" s="7">
        <v>10748</v>
      </c>
      <c r="Z95" s="7">
        <v>10719</v>
      </c>
      <c r="AA95" s="7">
        <v>10237</v>
      </c>
      <c r="AB95" s="13"/>
    </row>
    <row r="96" spans="10:28" ht="15.6" customHeight="1" x14ac:dyDescent="0.3">
      <c r="J96" s="2">
        <v>92</v>
      </c>
      <c r="K96" s="41" t="s">
        <v>28</v>
      </c>
      <c r="L96" s="41" t="s">
        <v>34</v>
      </c>
      <c r="M96" s="41" t="s">
        <v>34</v>
      </c>
      <c r="N96" s="41" t="s">
        <v>34</v>
      </c>
      <c r="O96" s="41" t="s">
        <v>32</v>
      </c>
      <c r="Q96" s="17">
        <f t="shared" si="10"/>
        <v>3</v>
      </c>
      <c r="R96" s="17">
        <f t="shared" si="11"/>
        <v>9</v>
      </c>
      <c r="S96" s="17">
        <f t="shared" si="12"/>
        <v>9</v>
      </c>
      <c r="T96" s="17">
        <f t="shared" si="13"/>
        <v>9</v>
      </c>
      <c r="U96" s="17">
        <f t="shared" si="14"/>
        <v>7</v>
      </c>
      <c r="W96" s="7">
        <v>8680</v>
      </c>
      <c r="X96" s="7">
        <v>10600</v>
      </c>
      <c r="Y96" s="7">
        <v>10748</v>
      </c>
      <c r="Z96" s="7">
        <v>8933</v>
      </c>
      <c r="AA96" s="7">
        <v>10237</v>
      </c>
      <c r="AB96" s="13"/>
    </row>
    <row r="97" spans="10:28" ht="15.6" customHeight="1" x14ac:dyDescent="0.3">
      <c r="J97" s="2">
        <v>93</v>
      </c>
      <c r="K97" s="41" t="s">
        <v>31</v>
      </c>
      <c r="L97" s="41" t="s">
        <v>30</v>
      </c>
      <c r="M97" s="41" t="s">
        <v>33</v>
      </c>
      <c r="N97" s="41" t="s">
        <v>35</v>
      </c>
      <c r="O97" s="41" t="s">
        <v>35</v>
      </c>
      <c r="Q97" s="17">
        <f t="shared" si="10"/>
        <v>6</v>
      </c>
      <c r="R97" s="17">
        <f t="shared" si="11"/>
        <v>5</v>
      </c>
      <c r="S97" s="17">
        <f t="shared" si="12"/>
        <v>8</v>
      </c>
      <c r="T97" s="17">
        <f t="shared" si="13"/>
        <v>10</v>
      </c>
      <c r="U97" s="17">
        <f t="shared" si="14"/>
        <v>10</v>
      </c>
      <c r="W97" s="7">
        <v>8680</v>
      </c>
      <c r="X97" s="7">
        <v>10600</v>
      </c>
      <c r="Y97" s="7">
        <v>14188</v>
      </c>
      <c r="Z97" s="7">
        <v>8933</v>
      </c>
      <c r="AA97" s="7">
        <v>10237</v>
      </c>
      <c r="AB97" s="13"/>
    </row>
    <row r="98" spans="10:28" ht="15.6" customHeight="1" x14ac:dyDescent="0.3">
      <c r="J98" s="2">
        <v>94</v>
      </c>
      <c r="K98" s="41" t="s">
        <v>31</v>
      </c>
      <c r="L98" s="41" t="s">
        <v>29</v>
      </c>
      <c r="M98" s="41" t="s">
        <v>30</v>
      </c>
      <c r="N98" s="41" t="s">
        <v>42</v>
      </c>
      <c r="O98" s="41" t="s">
        <v>33</v>
      </c>
      <c r="Q98" s="17">
        <f t="shared" si="10"/>
        <v>6</v>
      </c>
      <c r="R98" s="17">
        <f t="shared" si="11"/>
        <v>4</v>
      </c>
      <c r="S98" s="17">
        <f t="shared" si="12"/>
        <v>5</v>
      </c>
      <c r="T98" s="17">
        <f t="shared" si="13"/>
        <v>14</v>
      </c>
      <c r="U98" s="17">
        <f t="shared" si="14"/>
        <v>8</v>
      </c>
      <c r="W98" s="7">
        <v>8680</v>
      </c>
      <c r="X98" s="7">
        <v>10600</v>
      </c>
      <c r="Y98" s="7">
        <v>14188</v>
      </c>
      <c r="Z98" s="7">
        <v>8933</v>
      </c>
      <c r="AA98" s="7">
        <v>10237</v>
      </c>
      <c r="AB98" s="13"/>
    </row>
    <row r="99" spans="10:28" ht="15.6" customHeight="1" x14ac:dyDescent="0.3">
      <c r="J99" s="2">
        <v>95</v>
      </c>
      <c r="K99" s="41" t="s">
        <v>31</v>
      </c>
      <c r="L99" s="41" t="s">
        <v>34</v>
      </c>
      <c r="M99" s="41" t="s">
        <v>38</v>
      </c>
      <c r="N99" s="41" t="s">
        <v>31</v>
      </c>
      <c r="O99" s="41" t="s">
        <v>30</v>
      </c>
      <c r="Q99" s="17">
        <f t="shared" si="10"/>
        <v>6</v>
      </c>
      <c r="R99" s="17">
        <f t="shared" si="11"/>
        <v>9</v>
      </c>
      <c r="S99" s="17">
        <f t="shared" si="12"/>
        <v>12</v>
      </c>
      <c r="T99" s="17">
        <f t="shared" si="13"/>
        <v>6</v>
      </c>
      <c r="U99" s="17">
        <f t="shared" si="14"/>
        <v>5</v>
      </c>
      <c r="W99" s="7">
        <v>10415</v>
      </c>
      <c r="X99" s="7">
        <v>10600</v>
      </c>
      <c r="Y99" s="7">
        <v>14188</v>
      </c>
      <c r="Z99" s="7">
        <v>8933</v>
      </c>
      <c r="AA99" s="7">
        <v>10237</v>
      </c>
      <c r="AB99" s="13"/>
    </row>
    <row r="100" spans="10:28" ht="15.6" customHeight="1" x14ac:dyDescent="0.3">
      <c r="J100" s="2">
        <v>96</v>
      </c>
      <c r="K100" s="41" t="s">
        <v>35</v>
      </c>
      <c r="L100" s="41" t="s">
        <v>30</v>
      </c>
      <c r="M100" s="41" t="s">
        <v>26</v>
      </c>
      <c r="N100" s="41" t="s">
        <v>31</v>
      </c>
      <c r="O100" s="41" t="s">
        <v>33</v>
      </c>
      <c r="Q100" s="17">
        <f t="shared" si="10"/>
        <v>10</v>
      </c>
      <c r="R100" s="17">
        <f t="shared" si="11"/>
        <v>5</v>
      </c>
      <c r="S100" s="17">
        <f t="shared" si="12"/>
        <v>2</v>
      </c>
      <c r="T100" s="17">
        <f t="shared" si="13"/>
        <v>6</v>
      </c>
      <c r="U100" s="17">
        <f t="shared" si="14"/>
        <v>8</v>
      </c>
      <c r="W100" s="7">
        <v>10415</v>
      </c>
      <c r="X100" s="7">
        <v>10600</v>
      </c>
      <c r="Y100" s="7">
        <v>11824</v>
      </c>
      <c r="Z100" s="7">
        <v>8933</v>
      </c>
      <c r="AA100" s="7">
        <v>8531</v>
      </c>
      <c r="AB100" s="13"/>
    </row>
    <row r="101" spans="10:28" ht="15.6" customHeight="1" x14ac:dyDescent="0.3">
      <c r="J101" s="2">
        <v>97</v>
      </c>
      <c r="K101" s="41" t="s">
        <v>33</v>
      </c>
      <c r="L101" s="41" t="s">
        <v>42</v>
      </c>
      <c r="M101" s="41" t="s">
        <v>35</v>
      </c>
      <c r="N101" s="41" t="s">
        <v>33</v>
      </c>
      <c r="O101" s="41" t="s">
        <v>28</v>
      </c>
      <c r="Q101" s="17">
        <f t="shared" si="10"/>
        <v>8</v>
      </c>
      <c r="R101" s="17">
        <f t="shared" si="11"/>
        <v>14</v>
      </c>
      <c r="S101" s="17">
        <f t="shared" si="12"/>
        <v>10</v>
      </c>
      <c r="T101" s="17">
        <f t="shared" si="13"/>
        <v>8</v>
      </c>
      <c r="U101" s="17">
        <f t="shared" si="14"/>
        <v>3</v>
      </c>
      <c r="W101" s="7">
        <v>10415</v>
      </c>
      <c r="X101" s="7">
        <v>10600</v>
      </c>
      <c r="Y101" s="7">
        <v>8957</v>
      </c>
      <c r="Z101" s="7">
        <v>8933</v>
      </c>
      <c r="AA101" s="7">
        <v>8531</v>
      </c>
      <c r="AB101" s="13"/>
    </row>
    <row r="102" spans="10:28" ht="15.6" customHeight="1" x14ac:dyDescent="0.3">
      <c r="J102" s="2">
        <v>98</v>
      </c>
      <c r="K102" s="41" t="s">
        <v>29</v>
      </c>
      <c r="L102" s="41" t="s">
        <v>33</v>
      </c>
      <c r="M102" s="41" t="s">
        <v>28</v>
      </c>
      <c r="N102" s="41" t="s">
        <v>32</v>
      </c>
      <c r="O102" s="41" t="s">
        <v>29</v>
      </c>
      <c r="Q102" s="17">
        <f t="shared" si="10"/>
        <v>4</v>
      </c>
      <c r="R102" s="17">
        <f t="shared" si="11"/>
        <v>8</v>
      </c>
      <c r="S102" s="17">
        <f t="shared" si="12"/>
        <v>3</v>
      </c>
      <c r="T102" s="17">
        <f t="shared" si="13"/>
        <v>7</v>
      </c>
      <c r="U102" s="17">
        <f t="shared" si="14"/>
        <v>4</v>
      </c>
      <c r="W102" s="7">
        <v>10415</v>
      </c>
      <c r="X102" s="7">
        <v>8833</v>
      </c>
      <c r="Y102" s="7">
        <v>8957</v>
      </c>
      <c r="Z102" s="7">
        <v>8933</v>
      </c>
      <c r="AA102" s="7">
        <v>8531</v>
      </c>
      <c r="AB102" s="13"/>
    </row>
    <row r="103" spans="10:28" ht="15.6" customHeight="1" x14ac:dyDescent="0.3">
      <c r="J103" s="2">
        <v>99</v>
      </c>
      <c r="K103" s="41" t="s">
        <v>28</v>
      </c>
      <c r="L103" s="41" t="s">
        <v>31</v>
      </c>
      <c r="M103" s="41" t="s">
        <v>32</v>
      </c>
      <c r="N103" s="41" t="s">
        <v>31</v>
      </c>
      <c r="O103" s="41" t="s">
        <v>33</v>
      </c>
      <c r="Q103" s="17">
        <f t="shared" si="10"/>
        <v>3</v>
      </c>
      <c r="R103" s="17">
        <f t="shared" si="11"/>
        <v>6</v>
      </c>
      <c r="S103" s="17">
        <f t="shared" si="12"/>
        <v>7</v>
      </c>
      <c r="T103" s="17">
        <f t="shared" si="13"/>
        <v>6</v>
      </c>
      <c r="U103" s="17">
        <f t="shared" si="14"/>
        <v>8</v>
      </c>
      <c r="W103" s="7">
        <v>10415</v>
      </c>
      <c r="X103" s="7">
        <v>8833</v>
      </c>
      <c r="Y103" s="7">
        <v>10748</v>
      </c>
      <c r="Z103" s="7">
        <v>8933</v>
      </c>
      <c r="AA103" s="7">
        <v>8531</v>
      </c>
      <c r="AB103" s="13"/>
    </row>
    <row r="104" spans="10:28" ht="15.6" customHeight="1" x14ac:dyDescent="0.3">
      <c r="J104" s="2">
        <v>100</v>
      </c>
      <c r="K104" s="41" t="s">
        <v>35</v>
      </c>
      <c r="L104" s="41" t="s">
        <v>31</v>
      </c>
      <c r="M104" s="41" t="s">
        <v>44</v>
      </c>
      <c r="N104" s="41" t="s">
        <v>48</v>
      </c>
      <c r="O104" s="41" t="s">
        <v>29</v>
      </c>
      <c r="Q104" s="17">
        <f t="shared" si="10"/>
        <v>10</v>
      </c>
      <c r="R104" s="17">
        <f t="shared" si="11"/>
        <v>6</v>
      </c>
      <c r="S104" s="17">
        <f t="shared" si="12"/>
        <v>15</v>
      </c>
      <c r="T104" s="17">
        <f t="shared" si="13"/>
        <v>17</v>
      </c>
      <c r="U104" s="17">
        <f t="shared" si="14"/>
        <v>4</v>
      </c>
      <c r="W104" s="7">
        <v>10415</v>
      </c>
      <c r="X104" s="7">
        <v>8833</v>
      </c>
      <c r="Y104" s="7">
        <v>10748</v>
      </c>
      <c r="Z104" s="7">
        <v>8933</v>
      </c>
      <c r="AA104" s="7">
        <v>8531</v>
      </c>
      <c r="AB104" s="13"/>
    </row>
    <row r="105" spans="10:28" ht="15.6" customHeight="1" x14ac:dyDescent="0.3">
      <c r="J105" s="2">
        <v>101</v>
      </c>
      <c r="K105" s="41" t="s">
        <v>29</v>
      </c>
      <c r="L105" s="41" t="s">
        <v>29</v>
      </c>
      <c r="M105" s="41" t="s">
        <v>32</v>
      </c>
      <c r="N105" s="41" t="s">
        <v>33</v>
      </c>
      <c r="O105" s="41" t="s">
        <v>34</v>
      </c>
      <c r="Q105" s="17">
        <f t="shared" si="10"/>
        <v>4</v>
      </c>
      <c r="R105" s="17">
        <f t="shared" si="11"/>
        <v>4</v>
      </c>
      <c r="S105" s="17">
        <f t="shared" si="12"/>
        <v>7</v>
      </c>
      <c r="T105" s="17">
        <f t="shared" si="13"/>
        <v>8</v>
      </c>
      <c r="U105" s="17">
        <f t="shared" si="14"/>
        <v>9</v>
      </c>
      <c r="W105" s="7">
        <v>10415</v>
      </c>
      <c r="X105" s="7">
        <v>10599</v>
      </c>
      <c r="Y105" s="7">
        <v>10748</v>
      </c>
      <c r="Z105" s="7">
        <v>8933</v>
      </c>
      <c r="AA105" s="7">
        <v>8531</v>
      </c>
      <c r="AB105" s="13"/>
    </row>
    <row r="106" spans="10:28" ht="15.6" customHeight="1" x14ac:dyDescent="0.3">
      <c r="J106" s="2">
        <v>102</v>
      </c>
      <c r="K106" s="41" t="s">
        <v>30</v>
      </c>
      <c r="L106" s="41" t="s">
        <v>28</v>
      </c>
      <c r="M106" s="41" t="s">
        <v>34</v>
      </c>
      <c r="N106" s="41" t="s">
        <v>33</v>
      </c>
      <c r="O106" s="41" t="s">
        <v>29</v>
      </c>
      <c r="Q106" s="17">
        <f t="shared" si="10"/>
        <v>5</v>
      </c>
      <c r="R106" s="17">
        <f t="shared" si="11"/>
        <v>3</v>
      </c>
      <c r="S106" s="17">
        <f t="shared" si="12"/>
        <v>9</v>
      </c>
      <c r="T106" s="17">
        <f t="shared" si="13"/>
        <v>8</v>
      </c>
      <c r="U106" s="17">
        <f t="shared" si="14"/>
        <v>4</v>
      </c>
      <c r="W106" s="7">
        <v>10415</v>
      </c>
      <c r="X106" s="7">
        <v>10599</v>
      </c>
      <c r="Y106" s="7">
        <v>8957</v>
      </c>
      <c r="Z106" s="7">
        <v>8933</v>
      </c>
      <c r="AA106" s="7">
        <v>8531</v>
      </c>
      <c r="AB106" s="13"/>
    </row>
    <row r="107" spans="10:28" ht="15.6" customHeight="1" x14ac:dyDescent="0.3">
      <c r="J107" s="2">
        <v>103</v>
      </c>
      <c r="K107" s="41" t="s">
        <v>34</v>
      </c>
      <c r="L107" s="41" t="s">
        <v>29</v>
      </c>
      <c r="M107" s="41" t="s">
        <v>32</v>
      </c>
      <c r="N107" s="41" t="s">
        <v>33</v>
      </c>
      <c r="O107" s="41" t="s">
        <v>29</v>
      </c>
      <c r="Q107" s="17">
        <f t="shared" si="10"/>
        <v>9</v>
      </c>
      <c r="R107" s="17">
        <f t="shared" si="11"/>
        <v>4</v>
      </c>
      <c r="S107" s="17">
        <f t="shared" si="12"/>
        <v>7</v>
      </c>
      <c r="T107" s="17">
        <f t="shared" si="13"/>
        <v>8</v>
      </c>
      <c r="U107" s="17">
        <f t="shared" si="14"/>
        <v>4</v>
      </c>
      <c r="W107" s="7">
        <v>10415</v>
      </c>
      <c r="X107" s="7">
        <v>10599</v>
      </c>
      <c r="Y107" s="7">
        <v>8957</v>
      </c>
      <c r="Z107" s="7">
        <v>8933</v>
      </c>
      <c r="AA107" s="7">
        <v>8531</v>
      </c>
      <c r="AB107" s="13"/>
    </row>
    <row r="108" spans="10:28" ht="15.6" customHeight="1" x14ac:dyDescent="0.3">
      <c r="J108" s="2">
        <v>104</v>
      </c>
      <c r="K108" s="41" t="s">
        <v>35</v>
      </c>
      <c r="L108" s="41" t="s">
        <v>29</v>
      </c>
      <c r="M108" s="41" t="s">
        <v>35</v>
      </c>
      <c r="N108" s="41" t="s">
        <v>33</v>
      </c>
      <c r="O108" s="41" t="s">
        <v>29</v>
      </c>
      <c r="Q108" s="17">
        <f t="shared" si="10"/>
        <v>10</v>
      </c>
      <c r="R108" s="17">
        <f t="shared" si="11"/>
        <v>4</v>
      </c>
      <c r="S108" s="17">
        <f t="shared" si="12"/>
        <v>10</v>
      </c>
      <c r="T108" s="17">
        <f t="shared" si="13"/>
        <v>8</v>
      </c>
      <c r="U108" s="17">
        <f t="shared" si="14"/>
        <v>4</v>
      </c>
      <c r="W108" s="7">
        <v>10415</v>
      </c>
      <c r="X108" s="7">
        <v>10599</v>
      </c>
      <c r="Y108" s="7">
        <v>11824</v>
      </c>
      <c r="Z108" s="7">
        <v>8933</v>
      </c>
      <c r="AA108" s="7">
        <v>10237</v>
      </c>
      <c r="AB108" s="13"/>
    </row>
    <row r="109" spans="10:28" ht="15.6" customHeight="1" x14ac:dyDescent="0.3">
      <c r="J109" s="2">
        <v>105</v>
      </c>
      <c r="K109" s="41" t="s">
        <v>34</v>
      </c>
      <c r="L109" s="41" t="s">
        <v>28</v>
      </c>
      <c r="M109" s="41" t="s">
        <v>50</v>
      </c>
      <c r="N109" s="41" t="s">
        <v>33</v>
      </c>
      <c r="O109" s="41" t="s">
        <v>35</v>
      </c>
      <c r="Q109" s="17">
        <f t="shared" si="10"/>
        <v>9</v>
      </c>
      <c r="R109" s="17">
        <f t="shared" si="11"/>
        <v>3</v>
      </c>
      <c r="S109" s="17">
        <f t="shared" si="12"/>
        <v>18</v>
      </c>
      <c r="T109" s="17">
        <f t="shared" si="13"/>
        <v>8</v>
      </c>
      <c r="U109" s="17">
        <f t="shared" si="14"/>
        <v>10</v>
      </c>
      <c r="W109" s="7">
        <v>8680</v>
      </c>
      <c r="X109" s="7">
        <v>10599</v>
      </c>
      <c r="Y109" s="7">
        <v>14188</v>
      </c>
      <c r="Z109" s="7">
        <v>8933</v>
      </c>
      <c r="AA109" s="7">
        <v>10237</v>
      </c>
      <c r="AB109" s="13"/>
    </row>
    <row r="110" spans="10:28" ht="15.6" customHeight="1" x14ac:dyDescent="0.3">
      <c r="J110" s="2">
        <v>106</v>
      </c>
      <c r="K110" s="41" t="s">
        <v>35</v>
      </c>
      <c r="L110" s="41" t="s">
        <v>29</v>
      </c>
      <c r="M110" s="41" t="s">
        <v>30</v>
      </c>
      <c r="N110" s="41" t="s">
        <v>34</v>
      </c>
      <c r="O110" s="41" t="s">
        <v>30</v>
      </c>
      <c r="Q110" s="17">
        <f t="shared" si="10"/>
        <v>10</v>
      </c>
      <c r="R110" s="17">
        <f t="shared" si="11"/>
        <v>4</v>
      </c>
      <c r="S110" s="17">
        <f t="shared" si="12"/>
        <v>5</v>
      </c>
      <c r="T110" s="17">
        <f t="shared" si="13"/>
        <v>9</v>
      </c>
      <c r="U110" s="17">
        <f t="shared" si="14"/>
        <v>5</v>
      </c>
      <c r="W110" s="7">
        <v>8680</v>
      </c>
      <c r="X110" s="7">
        <v>10599</v>
      </c>
      <c r="Y110" s="7">
        <v>14188</v>
      </c>
      <c r="Z110" s="7">
        <v>8933</v>
      </c>
      <c r="AA110" s="7">
        <v>10237</v>
      </c>
      <c r="AB110" s="13"/>
    </row>
    <row r="111" spans="10:28" ht="15.6" customHeight="1" x14ac:dyDescent="0.3">
      <c r="J111" s="2">
        <v>107</v>
      </c>
      <c r="K111" s="41" t="s">
        <v>30</v>
      </c>
      <c r="L111" s="41" t="s">
        <v>32</v>
      </c>
      <c r="M111" s="41" t="s">
        <v>26</v>
      </c>
      <c r="N111" s="41" t="s">
        <v>30</v>
      </c>
      <c r="O111" s="41" t="s">
        <v>29</v>
      </c>
      <c r="Q111" s="17">
        <f t="shared" si="10"/>
        <v>5</v>
      </c>
      <c r="R111" s="17">
        <f t="shared" si="11"/>
        <v>7</v>
      </c>
      <c r="S111" s="17">
        <f t="shared" si="12"/>
        <v>2</v>
      </c>
      <c r="T111" s="17">
        <f t="shared" si="13"/>
        <v>5</v>
      </c>
      <c r="U111" s="17">
        <f t="shared" si="14"/>
        <v>4</v>
      </c>
      <c r="W111" s="7">
        <v>8680</v>
      </c>
      <c r="X111" s="7">
        <v>10599</v>
      </c>
      <c r="Y111" s="7">
        <v>14188</v>
      </c>
      <c r="Z111" s="7">
        <v>8933</v>
      </c>
      <c r="AA111" s="7">
        <v>10237</v>
      </c>
      <c r="AB111" s="13"/>
    </row>
    <row r="112" spans="10:28" ht="15.6" customHeight="1" x14ac:dyDescent="0.3">
      <c r="J112" s="2">
        <v>108</v>
      </c>
      <c r="K112" s="41" t="s">
        <v>30</v>
      </c>
      <c r="L112" s="41" t="s">
        <v>33</v>
      </c>
      <c r="M112" s="41" t="s">
        <v>29</v>
      </c>
      <c r="N112" s="41" t="s">
        <v>31</v>
      </c>
      <c r="O112" s="41" t="s">
        <v>30</v>
      </c>
      <c r="Q112" s="17">
        <f t="shared" si="10"/>
        <v>5</v>
      </c>
      <c r="R112" s="17">
        <f t="shared" si="11"/>
        <v>8</v>
      </c>
      <c r="S112" s="17">
        <f t="shared" si="12"/>
        <v>4</v>
      </c>
      <c r="T112" s="17">
        <f t="shared" si="13"/>
        <v>6</v>
      </c>
      <c r="U112" s="17">
        <f t="shared" si="14"/>
        <v>5</v>
      </c>
      <c r="W112" s="7">
        <v>10415</v>
      </c>
      <c r="X112" s="7">
        <v>10599</v>
      </c>
      <c r="Y112" s="7">
        <v>10748</v>
      </c>
      <c r="Z112" s="7">
        <v>10719</v>
      </c>
      <c r="AA112" s="7">
        <v>10237</v>
      </c>
      <c r="AB112" s="13"/>
    </row>
    <row r="113" spans="10:28" ht="15.6" customHeight="1" x14ac:dyDescent="0.3">
      <c r="J113" s="2">
        <v>109</v>
      </c>
      <c r="K113" s="41" t="s">
        <v>35</v>
      </c>
      <c r="L113" s="41" t="s">
        <v>32</v>
      </c>
      <c r="M113" s="41" t="s">
        <v>30</v>
      </c>
      <c r="N113" s="41" t="s">
        <v>29</v>
      </c>
      <c r="O113" s="41" t="s">
        <v>28</v>
      </c>
      <c r="Q113" s="17">
        <f t="shared" si="10"/>
        <v>10</v>
      </c>
      <c r="R113" s="17">
        <f t="shared" si="11"/>
        <v>7</v>
      </c>
      <c r="S113" s="17">
        <f t="shared" si="12"/>
        <v>5</v>
      </c>
      <c r="T113" s="17">
        <f t="shared" si="13"/>
        <v>4</v>
      </c>
      <c r="U113" s="17">
        <f t="shared" si="14"/>
        <v>3</v>
      </c>
      <c r="W113" s="7">
        <v>10415</v>
      </c>
      <c r="X113" s="7">
        <v>10599</v>
      </c>
      <c r="Y113" s="7">
        <v>10748</v>
      </c>
      <c r="Z113" s="7">
        <v>10719</v>
      </c>
      <c r="AA113" s="7">
        <v>10237</v>
      </c>
      <c r="AB113" s="13"/>
    </row>
    <row r="114" spans="10:28" ht="15.6" customHeight="1" x14ac:dyDescent="0.3">
      <c r="J114" s="2">
        <v>110</v>
      </c>
      <c r="K114" s="41" t="s">
        <v>34</v>
      </c>
      <c r="L114" s="41" t="s">
        <v>31</v>
      </c>
      <c r="M114" s="41" t="s">
        <v>33</v>
      </c>
      <c r="N114" s="41" t="s">
        <v>33</v>
      </c>
      <c r="O114" s="41" t="s">
        <v>33</v>
      </c>
      <c r="Q114" s="17">
        <f t="shared" si="10"/>
        <v>9</v>
      </c>
      <c r="R114" s="17">
        <f t="shared" si="11"/>
        <v>6</v>
      </c>
      <c r="S114" s="17">
        <f t="shared" si="12"/>
        <v>8</v>
      </c>
      <c r="T114" s="17">
        <f t="shared" si="13"/>
        <v>8</v>
      </c>
      <c r="U114" s="17">
        <f t="shared" si="14"/>
        <v>8</v>
      </c>
      <c r="W114" s="7">
        <v>8680</v>
      </c>
      <c r="X114" s="7">
        <v>10599</v>
      </c>
      <c r="Y114" s="7">
        <v>8957</v>
      </c>
      <c r="Z114" s="7">
        <v>8933</v>
      </c>
      <c r="AA114" s="7">
        <v>10237</v>
      </c>
      <c r="AB114" s="13"/>
    </row>
    <row r="115" spans="10:28" ht="15.6" customHeight="1" x14ac:dyDescent="0.3">
      <c r="J115" s="2">
        <v>111</v>
      </c>
      <c r="K115" s="41" t="s">
        <v>29</v>
      </c>
      <c r="L115" s="41" t="s">
        <v>31</v>
      </c>
      <c r="M115" s="41" t="s">
        <v>34</v>
      </c>
      <c r="N115" s="41" t="s">
        <v>31</v>
      </c>
      <c r="O115" s="41" t="s">
        <v>28</v>
      </c>
      <c r="Q115" s="17">
        <f t="shared" si="10"/>
        <v>4</v>
      </c>
      <c r="R115" s="17">
        <f t="shared" si="11"/>
        <v>6</v>
      </c>
      <c r="S115" s="17">
        <f t="shared" si="12"/>
        <v>9</v>
      </c>
      <c r="T115" s="17">
        <f t="shared" si="13"/>
        <v>6</v>
      </c>
      <c r="U115" s="17">
        <f t="shared" si="14"/>
        <v>3</v>
      </c>
      <c r="W115" s="7">
        <v>8680</v>
      </c>
      <c r="X115" s="7">
        <v>10599</v>
      </c>
      <c r="Y115" s="7">
        <v>8957</v>
      </c>
      <c r="Z115" s="7">
        <v>8933</v>
      </c>
      <c r="AA115" s="7">
        <v>10237</v>
      </c>
      <c r="AB115" s="13"/>
    </row>
    <row r="116" spans="10:28" ht="15.6" customHeight="1" x14ac:dyDescent="0.3">
      <c r="J116" s="2">
        <v>112</v>
      </c>
      <c r="K116" s="41" t="s">
        <v>33</v>
      </c>
      <c r="L116" s="41" t="s">
        <v>30</v>
      </c>
      <c r="M116" s="41" t="s">
        <v>35</v>
      </c>
      <c r="N116" s="41" t="s">
        <v>38</v>
      </c>
      <c r="O116" s="41" t="s">
        <v>29</v>
      </c>
      <c r="Q116" s="17">
        <f t="shared" si="10"/>
        <v>8</v>
      </c>
      <c r="R116" s="17">
        <f t="shared" si="11"/>
        <v>5</v>
      </c>
      <c r="S116" s="17">
        <f t="shared" si="12"/>
        <v>10</v>
      </c>
      <c r="T116" s="17">
        <f t="shared" si="13"/>
        <v>12</v>
      </c>
      <c r="U116" s="17">
        <f t="shared" si="14"/>
        <v>4</v>
      </c>
      <c r="W116" s="7">
        <v>8680</v>
      </c>
      <c r="X116" s="7">
        <v>10599</v>
      </c>
      <c r="Y116" s="7">
        <v>8957</v>
      </c>
      <c r="Z116" s="7">
        <v>8933</v>
      </c>
      <c r="AA116" s="7">
        <v>8531</v>
      </c>
      <c r="AB116" s="13"/>
    </row>
    <row r="117" spans="10:28" ht="15.6" customHeight="1" x14ac:dyDescent="0.3">
      <c r="J117" s="2">
        <v>113</v>
      </c>
      <c r="K117" s="41" t="s">
        <v>33</v>
      </c>
      <c r="L117" s="41" t="s">
        <v>31</v>
      </c>
      <c r="M117" s="41" t="s">
        <v>40</v>
      </c>
      <c r="N117" s="41" t="s">
        <v>29</v>
      </c>
      <c r="O117" s="41" t="s">
        <v>33</v>
      </c>
      <c r="Q117" s="17">
        <f t="shared" si="10"/>
        <v>8</v>
      </c>
      <c r="R117" s="17">
        <f t="shared" si="11"/>
        <v>6</v>
      </c>
      <c r="S117" s="17">
        <f t="shared" si="12"/>
        <v>13</v>
      </c>
      <c r="T117" s="17">
        <f t="shared" si="13"/>
        <v>4</v>
      </c>
      <c r="U117" s="17">
        <f t="shared" si="14"/>
        <v>8</v>
      </c>
      <c r="W117" s="7">
        <v>8680</v>
      </c>
      <c r="X117" s="7">
        <v>10599</v>
      </c>
      <c r="Y117" s="7">
        <v>8957</v>
      </c>
      <c r="Z117" s="7">
        <v>10719</v>
      </c>
      <c r="AA117" s="7">
        <v>8531</v>
      </c>
      <c r="AB117" s="13"/>
    </row>
    <row r="118" spans="10:28" ht="15.6" customHeight="1" x14ac:dyDescent="0.3">
      <c r="J118" s="2">
        <v>114</v>
      </c>
      <c r="K118" s="41" t="s">
        <v>33</v>
      </c>
      <c r="L118" s="41" t="s">
        <v>31</v>
      </c>
      <c r="M118" s="41" t="s">
        <v>28</v>
      </c>
      <c r="N118" s="41" t="s">
        <v>36</v>
      </c>
      <c r="O118" s="41" t="s">
        <v>35</v>
      </c>
      <c r="Q118" s="17">
        <f t="shared" si="10"/>
        <v>8</v>
      </c>
      <c r="R118" s="17">
        <f t="shared" si="11"/>
        <v>6</v>
      </c>
      <c r="S118" s="17">
        <f t="shared" si="12"/>
        <v>3</v>
      </c>
      <c r="T118" s="17">
        <f t="shared" si="13"/>
        <v>11</v>
      </c>
      <c r="U118" s="17">
        <f t="shared" si="14"/>
        <v>10</v>
      </c>
      <c r="W118" s="7">
        <v>10415</v>
      </c>
      <c r="X118" s="7">
        <v>10599</v>
      </c>
      <c r="Y118" s="7">
        <v>10748</v>
      </c>
      <c r="Z118" s="7">
        <v>10719</v>
      </c>
      <c r="AA118" s="7">
        <v>8531</v>
      </c>
      <c r="AB118" s="13"/>
    </row>
    <row r="119" spans="10:28" ht="15.6" customHeight="1" x14ac:dyDescent="0.3">
      <c r="J119" s="2">
        <v>115</v>
      </c>
      <c r="K119" s="41" t="s">
        <v>31</v>
      </c>
      <c r="L119" s="41" t="s">
        <v>33</v>
      </c>
      <c r="M119" s="41" t="s">
        <v>35</v>
      </c>
      <c r="N119" s="41" t="s">
        <v>34</v>
      </c>
      <c r="O119" s="41" t="s">
        <v>32</v>
      </c>
      <c r="Q119" s="17">
        <f t="shared" si="10"/>
        <v>6</v>
      </c>
      <c r="R119" s="17">
        <f t="shared" si="11"/>
        <v>8</v>
      </c>
      <c r="S119" s="17">
        <f t="shared" si="12"/>
        <v>10</v>
      </c>
      <c r="T119" s="17">
        <f t="shared" si="13"/>
        <v>9</v>
      </c>
      <c r="U119" s="17">
        <f t="shared" si="14"/>
        <v>7</v>
      </c>
      <c r="W119" s="7">
        <v>10415</v>
      </c>
      <c r="X119" s="7">
        <v>10599</v>
      </c>
      <c r="Y119" s="7">
        <v>10748</v>
      </c>
      <c r="Z119" s="7">
        <v>10719</v>
      </c>
      <c r="AA119" s="7">
        <v>10237</v>
      </c>
      <c r="AB119" s="13"/>
    </row>
    <row r="120" spans="10:28" ht="15.6" customHeight="1" x14ac:dyDescent="0.3">
      <c r="J120" s="2">
        <v>116</v>
      </c>
      <c r="K120" s="41" t="s">
        <v>28</v>
      </c>
      <c r="L120" s="41" t="s">
        <v>28</v>
      </c>
      <c r="M120" s="41" t="s">
        <v>29</v>
      </c>
      <c r="N120" s="41" t="s">
        <v>35</v>
      </c>
      <c r="O120" s="41" t="s">
        <v>30</v>
      </c>
      <c r="Q120" s="17">
        <f t="shared" si="10"/>
        <v>3</v>
      </c>
      <c r="R120" s="17">
        <f t="shared" si="11"/>
        <v>3</v>
      </c>
      <c r="S120" s="17">
        <f t="shared" si="12"/>
        <v>4</v>
      </c>
      <c r="T120" s="17">
        <f t="shared" si="13"/>
        <v>10</v>
      </c>
      <c r="U120" s="17">
        <f t="shared" si="14"/>
        <v>5</v>
      </c>
      <c r="W120" s="7">
        <v>10415</v>
      </c>
      <c r="X120" s="7">
        <v>10599</v>
      </c>
      <c r="Y120" s="7">
        <v>8957</v>
      </c>
      <c r="Z120" s="7">
        <v>10719</v>
      </c>
      <c r="AA120" s="7">
        <v>10237</v>
      </c>
      <c r="AB120" s="13"/>
    </row>
    <row r="121" spans="10:28" ht="15.6" customHeight="1" x14ac:dyDescent="0.3">
      <c r="J121" s="2">
        <v>117</v>
      </c>
      <c r="K121" s="41" t="s">
        <v>34</v>
      </c>
      <c r="L121" s="41" t="s">
        <v>32</v>
      </c>
      <c r="M121" s="41" t="s">
        <v>40</v>
      </c>
      <c r="N121" s="41" t="s">
        <v>34</v>
      </c>
      <c r="O121" s="41" t="s">
        <v>30</v>
      </c>
      <c r="Q121" s="17">
        <f t="shared" si="10"/>
        <v>9</v>
      </c>
      <c r="R121" s="17">
        <f t="shared" si="11"/>
        <v>7</v>
      </c>
      <c r="S121" s="17">
        <f t="shared" si="12"/>
        <v>13</v>
      </c>
      <c r="T121" s="17">
        <f t="shared" si="13"/>
        <v>9</v>
      </c>
      <c r="U121" s="17">
        <f t="shared" si="14"/>
        <v>5</v>
      </c>
      <c r="W121" s="7">
        <v>10415</v>
      </c>
      <c r="X121" s="7">
        <v>10599</v>
      </c>
      <c r="Y121" s="7">
        <v>8957</v>
      </c>
      <c r="Z121" s="7">
        <v>10719</v>
      </c>
      <c r="AA121" s="7">
        <v>10237</v>
      </c>
      <c r="AB121" s="13"/>
    </row>
    <row r="122" spans="10:28" ht="15.6" customHeight="1" x14ac:dyDescent="0.3">
      <c r="J122" s="2">
        <v>118</v>
      </c>
      <c r="K122" s="41" t="s">
        <v>32</v>
      </c>
      <c r="L122" s="41" t="s">
        <v>35</v>
      </c>
      <c r="M122" s="41" t="s">
        <v>30</v>
      </c>
      <c r="N122" s="41" t="s">
        <v>31</v>
      </c>
      <c r="O122" s="41" t="s">
        <v>30</v>
      </c>
      <c r="Q122" s="17">
        <f t="shared" si="10"/>
        <v>7</v>
      </c>
      <c r="R122" s="17">
        <f t="shared" si="11"/>
        <v>10</v>
      </c>
      <c r="S122" s="17">
        <f t="shared" si="12"/>
        <v>5</v>
      </c>
      <c r="T122" s="17">
        <f t="shared" si="13"/>
        <v>6</v>
      </c>
      <c r="U122" s="17">
        <f t="shared" si="14"/>
        <v>5</v>
      </c>
      <c r="W122" s="7">
        <v>10415</v>
      </c>
      <c r="X122" s="7">
        <v>10599</v>
      </c>
      <c r="Y122" s="7">
        <v>8957</v>
      </c>
      <c r="Z122" s="7">
        <v>10719</v>
      </c>
      <c r="AA122" s="7">
        <v>10237</v>
      </c>
      <c r="AB122" s="13"/>
    </row>
    <row r="123" spans="10:28" ht="15.6" customHeight="1" x14ac:dyDescent="0.3">
      <c r="J123" s="2">
        <v>119</v>
      </c>
      <c r="K123" s="41" t="s">
        <v>29</v>
      </c>
      <c r="L123" s="41" t="s">
        <v>32</v>
      </c>
      <c r="M123" s="41" t="s">
        <v>30</v>
      </c>
      <c r="N123" s="41" t="s">
        <v>34</v>
      </c>
      <c r="O123" s="41" t="s">
        <v>34</v>
      </c>
      <c r="Q123" s="17">
        <f t="shared" si="10"/>
        <v>4</v>
      </c>
      <c r="R123" s="17">
        <f t="shared" si="11"/>
        <v>7</v>
      </c>
      <c r="S123" s="17">
        <f t="shared" si="12"/>
        <v>5</v>
      </c>
      <c r="T123" s="17">
        <f t="shared" si="13"/>
        <v>9</v>
      </c>
      <c r="U123" s="17">
        <f t="shared" si="14"/>
        <v>9</v>
      </c>
      <c r="W123" s="7">
        <v>10415</v>
      </c>
      <c r="X123" s="7">
        <v>8833</v>
      </c>
      <c r="Y123" s="7">
        <v>8957</v>
      </c>
      <c r="Z123" s="7">
        <v>10719</v>
      </c>
      <c r="AA123" s="7">
        <v>10237</v>
      </c>
      <c r="AB123" s="13"/>
    </row>
    <row r="124" spans="10:28" ht="15.6" customHeight="1" x14ac:dyDescent="0.3">
      <c r="J124" s="2">
        <v>120</v>
      </c>
      <c r="K124" s="41" t="s">
        <v>30</v>
      </c>
      <c r="L124" s="41" t="s">
        <v>31</v>
      </c>
      <c r="M124" s="41" t="s">
        <v>28</v>
      </c>
      <c r="N124" s="41" t="s">
        <v>44</v>
      </c>
      <c r="O124" s="41" t="s">
        <v>33</v>
      </c>
      <c r="Q124" s="17">
        <f t="shared" si="10"/>
        <v>5</v>
      </c>
      <c r="R124" s="17">
        <f t="shared" si="11"/>
        <v>6</v>
      </c>
      <c r="S124" s="17">
        <f t="shared" si="12"/>
        <v>3</v>
      </c>
      <c r="T124" s="17">
        <f t="shared" si="13"/>
        <v>15</v>
      </c>
      <c r="U124" s="17">
        <f t="shared" si="14"/>
        <v>8</v>
      </c>
      <c r="W124" s="7">
        <v>8680</v>
      </c>
      <c r="X124" s="7">
        <v>8833</v>
      </c>
      <c r="Y124" s="7">
        <v>8957</v>
      </c>
      <c r="Z124" s="7">
        <v>10719</v>
      </c>
      <c r="AA124" s="7">
        <v>10237</v>
      </c>
      <c r="AB124" s="13"/>
    </row>
    <row r="125" spans="10:28" ht="15.6" customHeight="1" x14ac:dyDescent="0.3">
      <c r="J125" s="2">
        <v>121</v>
      </c>
      <c r="K125" s="41" t="s">
        <v>33</v>
      </c>
      <c r="L125" s="41" t="s">
        <v>31</v>
      </c>
      <c r="M125" s="41" t="s">
        <v>29</v>
      </c>
      <c r="N125" s="41" t="s">
        <v>33</v>
      </c>
      <c r="O125" s="41" t="s">
        <v>31</v>
      </c>
      <c r="Q125" s="17">
        <f t="shared" si="10"/>
        <v>8</v>
      </c>
      <c r="R125" s="17">
        <f t="shared" si="11"/>
        <v>6</v>
      </c>
      <c r="S125" s="17">
        <f t="shared" si="12"/>
        <v>4</v>
      </c>
      <c r="T125" s="17">
        <f t="shared" si="13"/>
        <v>8</v>
      </c>
      <c r="U125" s="17">
        <f t="shared" si="14"/>
        <v>6</v>
      </c>
      <c r="W125" s="7">
        <v>8680</v>
      </c>
      <c r="X125" s="7">
        <v>8833</v>
      </c>
      <c r="Y125" s="7">
        <v>8957</v>
      </c>
      <c r="Z125" s="7">
        <v>10719</v>
      </c>
      <c r="AA125" s="7">
        <v>10237</v>
      </c>
      <c r="AB125" s="13"/>
    </row>
    <row r="126" spans="10:28" ht="15.6" customHeight="1" x14ac:dyDescent="0.3">
      <c r="J126" s="2">
        <v>122</v>
      </c>
      <c r="K126" s="41" t="s">
        <v>35</v>
      </c>
      <c r="L126" s="41" t="s">
        <v>31</v>
      </c>
      <c r="M126" s="41" t="s">
        <v>34</v>
      </c>
      <c r="N126" s="41" t="s">
        <v>34</v>
      </c>
      <c r="O126" s="41" t="s">
        <v>33</v>
      </c>
      <c r="Q126" s="17">
        <f t="shared" si="10"/>
        <v>10</v>
      </c>
      <c r="R126" s="17">
        <f t="shared" si="11"/>
        <v>6</v>
      </c>
      <c r="S126" s="17">
        <f t="shared" si="12"/>
        <v>9</v>
      </c>
      <c r="T126" s="17">
        <f t="shared" si="13"/>
        <v>9</v>
      </c>
      <c r="U126" s="17">
        <f t="shared" si="14"/>
        <v>8</v>
      </c>
      <c r="W126" s="7">
        <v>8680</v>
      </c>
      <c r="X126" s="7">
        <v>10599</v>
      </c>
      <c r="Y126" s="7">
        <v>8957</v>
      </c>
      <c r="Z126" s="7">
        <v>10719</v>
      </c>
      <c r="AA126" s="7">
        <v>10237</v>
      </c>
      <c r="AB126" s="13"/>
    </row>
    <row r="127" spans="10:28" ht="15.6" customHeight="1" x14ac:dyDescent="0.3">
      <c r="J127" s="2">
        <v>123</v>
      </c>
      <c r="K127" s="41" t="s">
        <v>35</v>
      </c>
      <c r="L127" s="41" t="s">
        <v>46</v>
      </c>
      <c r="M127" s="41" t="s">
        <v>35</v>
      </c>
      <c r="N127" s="41" t="s">
        <v>30</v>
      </c>
      <c r="O127" s="41" t="s">
        <v>32</v>
      </c>
      <c r="Q127" s="17">
        <f t="shared" si="10"/>
        <v>10</v>
      </c>
      <c r="R127" s="17">
        <f t="shared" si="11"/>
        <v>16</v>
      </c>
      <c r="S127" s="17">
        <f t="shared" si="12"/>
        <v>10</v>
      </c>
      <c r="T127" s="17">
        <f t="shared" si="13"/>
        <v>5</v>
      </c>
      <c r="U127" s="17">
        <f t="shared" si="14"/>
        <v>7</v>
      </c>
      <c r="W127" s="7">
        <v>10415</v>
      </c>
      <c r="X127" s="7">
        <v>10599</v>
      </c>
      <c r="Y127" s="7">
        <v>8957</v>
      </c>
      <c r="Z127" s="7">
        <v>10719</v>
      </c>
      <c r="AA127" s="7">
        <v>10237</v>
      </c>
      <c r="AB127" s="13"/>
    </row>
    <row r="128" spans="10:28" ht="15.6" customHeight="1" x14ac:dyDescent="0.3">
      <c r="J128" s="2">
        <v>124</v>
      </c>
      <c r="K128" s="41" t="s">
        <v>32</v>
      </c>
      <c r="L128" s="41" t="s">
        <v>29</v>
      </c>
      <c r="M128" s="41" t="s">
        <v>34</v>
      </c>
      <c r="N128" s="41" t="s">
        <v>35</v>
      </c>
      <c r="O128" s="41" t="s">
        <v>35</v>
      </c>
      <c r="Q128" s="17">
        <f t="shared" si="10"/>
        <v>7</v>
      </c>
      <c r="R128" s="17">
        <f t="shared" si="11"/>
        <v>4</v>
      </c>
      <c r="S128" s="17">
        <f t="shared" si="12"/>
        <v>9</v>
      </c>
      <c r="T128" s="17">
        <f t="shared" si="13"/>
        <v>10</v>
      </c>
      <c r="U128" s="17">
        <f t="shared" si="14"/>
        <v>10</v>
      </c>
      <c r="W128" s="7">
        <v>8680</v>
      </c>
      <c r="X128" s="7">
        <v>10599</v>
      </c>
      <c r="Y128" s="7">
        <v>10748</v>
      </c>
      <c r="Z128" s="7">
        <v>10719</v>
      </c>
      <c r="AA128" s="7">
        <v>10237</v>
      </c>
      <c r="AB128" s="13"/>
    </row>
    <row r="129" spans="10:28" ht="15.6" customHeight="1" x14ac:dyDescent="0.3">
      <c r="J129" s="2">
        <v>125</v>
      </c>
      <c r="K129" s="41" t="s">
        <v>28</v>
      </c>
      <c r="L129" s="41" t="s">
        <v>34</v>
      </c>
      <c r="M129" s="41" t="s">
        <v>34</v>
      </c>
      <c r="N129" s="41" t="s">
        <v>31</v>
      </c>
      <c r="O129" s="41" t="s">
        <v>34</v>
      </c>
      <c r="Q129" s="17">
        <f t="shared" si="10"/>
        <v>3</v>
      </c>
      <c r="R129" s="17">
        <f t="shared" si="11"/>
        <v>9</v>
      </c>
      <c r="S129" s="17">
        <f t="shared" si="12"/>
        <v>9</v>
      </c>
      <c r="T129" s="17">
        <f t="shared" si="13"/>
        <v>6</v>
      </c>
      <c r="U129" s="17">
        <f t="shared" si="14"/>
        <v>9</v>
      </c>
      <c r="W129" s="7">
        <v>8680</v>
      </c>
      <c r="X129" s="7">
        <v>10599</v>
      </c>
      <c r="Y129" s="7">
        <v>10748</v>
      </c>
      <c r="Z129" s="7">
        <v>10719</v>
      </c>
      <c r="AA129" s="7">
        <v>10237</v>
      </c>
      <c r="AB129" s="13"/>
    </row>
    <row r="130" spans="10:28" ht="15.6" customHeight="1" x14ac:dyDescent="0.3">
      <c r="J130" s="2">
        <v>126</v>
      </c>
      <c r="K130" s="41" t="s">
        <v>30</v>
      </c>
      <c r="L130" s="41" t="s">
        <v>32</v>
      </c>
      <c r="M130" s="41" t="s">
        <v>34</v>
      </c>
      <c r="N130" s="41" t="s">
        <v>32</v>
      </c>
      <c r="O130" s="41" t="s">
        <v>29</v>
      </c>
      <c r="Q130" s="17">
        <f t="shared" si="10"/>
        <v>5</v>
      </c>
      <c r="R130" s="17">
        <f t="shared" si="11"/>
        <v>7</v>
      </c>
      <c r="S130" s="17">
        <f t="shared" si="12"/>
        <v>9</v>
      </c>
      <c r="T130" s="17">
        <f t="shared" si="13"/>
        <v>7</v>
      </c>
      <c r="U130" s="17">
        <f t="shared" si="14"/>
        <v>4</v>
      </c>
      <c r="W130" s="7">
        <v>8680</v>
      </c>
      <c r="X130" s="7">
        <v>10599</v>
      </c>
      <c r="Y130" s="7">
        <v>8957</v>
      </c>
      <c r="Z130" s="7">
        <v>10719</v>
      </c>
      <c r="AA130" s="7">
        <v>8531</v>
      </c>
      <c r="AB130" s="13"/>
    </row>
    <row r="131" spans="10:28" ht="15.6" customHeight="1" x14ac:dyDescent="0.3">
      <c r="J131" s="2">
        <v>127</v>
      </c>
      <c r="K131" s="41" t="s">
        <v>30</v>
      </c>
      <c r="L131" s="41" t="s">
        <v>30</v>
      </c>
      <c r="M131" s="41" t="s">
        <v>50</v>
      </c>
      <c r="N131" s="41" t="s">
        <v>35</v>
      </c>
      <c r="O131" s="41" t="s">
        <v>33</v>
      </c>
      <c r="Q131" s="17">
        <f t="shared" si="10"/>
        <v>5</v>
      </c>
      <c r="R131" s="17">
        <f t="shared" si="11"/>
        <v>5</v>
      </c>
      <c r="S131" s="17">
        <f t="shared" si="12"/>
        <v>18</v>
      </c>
      <c r="T131" s="17">
        <f t="shared" si="13"/>
        <v>10</v>
      </c>
      <c r="U131" s="17">
        <f t="shared" si="14"/>
        <v>8</v>
      </c>
      <c r="W131" s="7">
        <v>8680</v>
      </c>
      <c r="X131" s="7">
        <v>8833</v>
      </c>
      <c r="Y131" s="7">
        <v>8957</v>
      </c>
      <c r="Z131" s="7">
        <v>10719</v>
      </c>
      <c r="AA131" s="7">
        <v>11261</v>
      </c>
      <c r="AB131" s="13"/>
    </row>
    <row r="132" spans="10:28" ht="15.6" customHeight="1" x14ac:dyDescent="0.3">
      <c r="J132" s="2">
        <v>128</v>
      </c>
      <c r="K132" s="41" t="s">
        <v>35</v>
      </c>
      <c r="L132" s="41" t="s">
        <v>29</v>
      </c>
      <c r="M132" s="41" t="s">
        <v>50</v>
      </c>
      <c r="N132" s="41" t="s">
        <v>33</v>
      </c>
      <c r="O132" s="41" t="s">
        <v>30</v>
      </c>
      <c r="Q132" s="17">
        <f t="shared" ref="Q132:Q195" si="15">IF(K132="","",VLOOKUP(K132,$A$4:$H$22,8,FALSE))</f>
        <v>10</v>
      </c>
      <c r="R132" s="17">
        <f t="shared" ref="R132:R195" si="16">IF(L132="","",VLOOKUP(L132,$A$4:$H$22,8,FALSE))</f>
        <v>4</v>
      </c>
      <c r="S132" s="17">
        <f t="shared" ref="S132:S195" si="17">IF(M132="","",VLOOKUP(M132,$A$4:$H$22,8,FALSE))</f>
        <v>18</v>
      </c>
      <c r="T132" s="17">
        <f t="shared" ref="T132:T195" si="18">IF(N132="","",VLOOKUP(N132,$A$4:$H$22,8,FALSE))</f>
        <v>8</v>
      </c>
      <c r="U132" s="17">
        <f t="shared" ref="U132:U195" si="19">IF(O132="","",VLOOKUP(O132,$A$4:$H$22,8,FALSE))</f>
        <v>5</v>
      </c>
      <c r="W132" s="7">
        <v>8680</v>
      </c>
      <c r="X132" s="7">
        <v>8833</v>
      </c>
      <c r="Y132" s="7">
        <v>8957</v>
      </c>
      <c r="Z132" s="7">
        <v>10719</v>
      </c>
      <c r="AA132" s="7">
        <v>11261</v>
      </c>
      <c r="AB132" s="13"/>
    </row>
    <row r="133" spans="10:28" ht="15.6" customHeight="1" x14ac:dyDescent="0.3">
      <c r="J133" s="2">
        <v>129</v>
      </c>
      <c r="K133" s="41" t="s">
        <v>35</v>
      </c>
      <c r="L133" s="41" t="s">
        <v>36</v>
      </c>
      <c r="M133" s="41" t="s">
        <v>34</v>
      </c>
      <c r="N133" s="41" t="s">
        <v>29</v>
      </c>
      <c r="O133" s="41" t="s">
        <v>30</v>
      </c>
      <c r="Q133" s="17">
        <f t="shared" si="15"/>
        <v>10</v>
      </c>
      <c r="R133" s="17">
        <f t="shared" si="16"/>
        <v>11</v>
      </c>
      <c r="S133" s="17">
        <f t="shared" si="17"/>
        <v>9</v>
      </c>
      <c r="T133" s="17">
        <f t="shared" si="18"/>
        <v>4</v>
      </c>
      <c r="U133" s="17">
        <f t="shared" si="19"/>
        <v>5</v>
      </c>
      <c r="W133" s="7">
        <v>10415</v>
      </c>
      <c r="X133" s="7">
        <v>8833</v>
      </c>
      <c r="Y133" s="7">
        <v>8957</v>
      </c>
      <c r="Z133" s="7">
        <v>10719</v>
      </c>
      <c r="AA133" s="7">
        <v>13513</v>
      </c>
      <c r="AB133" s="13"/>
    </row>
    <row r="134" spans="10:28" ht="15.6" customHeight="1" x14ac:dyDescent="0.3">
      <c r="J134" s="2">
        <v>130</v>
      </c>
      <c r="K134" s="41" t="s">
        <v>33</v>
      </c>
      <c r="L134" s="41" t="s">
        <v>32</v>
      </c>
      <c r="M134" s="41" t="s">
        <v>35</v>
      </c>
      <c r="N134" s="41" t="s">
        <v>35</v>
      </c>
      <c r="O134" s="41" t="s">
        <v>26</v>
      </c>
      <c r="Q134" s="17">
        <f t="shared" si="15"/>
        <v>8</v>
      </c>
      <c r="R134" s="17">
        <f t="shared" si="16"/>
        <v>7</v>
      </c>
      <c r="S134" s="17">
        <f t="shared" si="17"/>
        <v>10</v>
      </c>
      <c r="T134" s="17">
        <f t="shared" si="18"/>
        <v>10</v>
      </c>
      <c r="U134" s="17">
        <f t="shared" si="19"/>
        <v>2</v>
      </c>
      <c r="W134" s="7">
        <v>10415</v>
      </c>
      <c r="X134" s="7">
        <v>10599</v>
      </c>
      <c r="Y134" s="7">
        <v>8957</v>
      </c>
      <c r="Z134" s="7">
        <v>10719</v>
      </c>
      <c r="AA134" s="7">
        <v>11261</v>
      </c>
      <c r="AB134" s="13"/>
    </row>
    <row r="135" spans="10:28" ht="15.6" customHeight="1" x14ac:dyDescent="0.3">
      <c r="J135" s="2">
        <v>131</v>
      </c>
      <c r="K135" s="41" t="s">
        <v>32</v>
      </c>
      <c r="L135" s="41" t="s">
        <v>34</v>
      </c>
      <c r="M135" s="41" t="s">
        <v>32</v>
      </c>
      <c r="N135" s="41" t="s">
        <v>29</v>
      </c>
      <c r="O135" s="41" t="s">
        <v>29</v>
      </c>
      <c r="Q135" s="17">
        <f t="shared" si="15"/>
        <v>7</v>
      </c>
      <c r="R135" s="17">
        <f t="shared" si="16"/>
        <v>9</v>
      </c>
      <c r="S135" s="17">
        <f t="shared" si="17"/>
        <v>7</v>
      </c>
      <c r="T135" s="17">
        <f t="shared" si="18"/>
        <v>4</v>
      </c>
      <c r="U135" s="17">
        <f t="shared" si="19"/>
        <v>4</v>
      </c>
      <c r="W135" s="7">
        <v>8680</v>
      </c>
      <c r="X135" s="7">
        <v>8833</v>
      </c>
      <c r="Y135" s="7">
        <v>8957</v>
      </c>
      <c r="Z135" s="7">
        <v>10719</v>
      </c>
      <c r="AA135" s="7">
        <v>8531</v>
      </c>
      <c r="AB135" s="13"/>
    </row>
    <row r="136" spans="10:28" ht="15.6" customHeight="1" x14ac:dyDescent="0.3">
      <c r="J136" s="2">
        <v>132</v>
      </c>
      <c r="K136" s="41" t="s">
        <v>31</v>
      </c>
      <c r="L136" s="41" t="s">
        <v>31</v>
      </c>
      <c r="M136" s="41" t="s">
        <v>30</v>
      </c>
      <c r="N136" s="41" t="s">
        <v>34</v>
      </c>
      <c r="O136" s="41" t="s">
        <v>29</v>
      </c>
      <c r="Q136" s="17">
        <f t="shared" si="15"/>
        <v>6</v>
      </c>
      <c r="R136" s="17">
        <f t="shared" si="16"/>
        <v>6</v>
      </c>
      <c r="S136" s="17">
        <f t="shared" si="17"/>
        <v>5</v>
      </c>
      <c r="T136" s="17">
        <f t="shared" si="18"/>
        <v>9</v>
      </c>
      <c r="U136" s="17">
        <f t="shared" si="19"/>
        <v>4</v>
      </c>
      <c r="W136" s="7">
        <v>8680</v>
      </c>
      <c r="X136" s="7">
        <v>8833</v>
      </c>
      <c r="Y136" s="7">
        <v>8957</v>
      </c>
      <c r="Z136" s="7">
        <v>10719</v>
      </c>
      <c r="AA136" s="7">
        <v>8531</v>
      </c>
      <c r="AB136" s="13"/>
    </row>
    <row r="137" spans="10:28" ht="15.6" customHeight="1" x14ac:dyDescent="0.3">
      <c r="J137" s="2">
        <v>133</v>
      </c>
      <c r="K137" s="41" t="s">
        <v>33</v>
      </c>
      <c r="L137" s="41" t="s">
        <v>29</v>
      </c>
      <c r="M137" s="41" t="s">
        <v>33</v>
      </c>
      <c r="N137" s="41" t="s">
        <v>33</v>
      </c>
      <c r="O137" s="41" t="s">
        <v>29</v>
      </c>
      <c r="Q137" s="17">
        <f t="shared" si="15"/>
        <v>8</v>
      </c>
      <c r="R137" s="17">
        <f t="shared" si="16"/>
        <v>4</v>
      </c>
      <c r="S137" s="17">
        <f t="shared" si="17"/>
        <v>8</v>
      </c>
      <c r="T137" s="17">
        <f t="shared" si="18"/>
        <v>8</v>
      </c>
      <c r="U137" s="17">
        <f t="shared" si="19"/>
        <v>4</v>
      </c>
      <c r="W137" s="7">
        <v>8680</v>
      </c>
      <c r="X137" s="7">
        <v>8833</v>
      </c>
      <c r="Y137" s="7">
        <v>8957</v>
      </c>
      <c r="Z137" s="7">
        <v>8933</v>
      </c>
      <c r="AA137" s="7">
        <v>8531</v>
      </c>
      <c r="AB137" s="13"/>
    </row>
    <row r="138" spans="10:28" ht="15.6" customHeight="1" x14ac:dyDescent="0.3">
      <c r="J138" s="2">
        <v>134</v>
      </c>
      <c r="K138" s="41" t="s">
        <v>33</v>
      </c>
      <c r="L138" s="41" t="s">
        <v>29</v>
      </c>
      <c r="M138" s="41" t="s">
        <v>35</v>
      </c>
      <c r="N138" s="41" t="s">
        <v>29</v>
      </c>
      <c r="O138" s="41" t="s">
        <v>33</v>
      </c>
      <c r="Q138" s="17">
        <f t="shared" si="15"/>
        <v>8</v>
      </c>
      <c r="R138" s="17">
        <f t="shared" si="16"/>
        <v>4</v>
      </c>
      <c r="S138" s="17">
        <f t="shared" si="17"/>
        <v>10</v>
      </c>
      <c r="T138" s="17">
        <f t="shared" si="18"/>
        <v>4</v>
      </c>
      <c r="U138" s="17">
        <f t="shared" si="19"/>
        <v>8</v>
      </c>
      <c r="W138" s="7">
        <v>10415</v>
      </c>
      <c r="X138" s="7">
        <v>8833</v>
      </c>
      <c r="Y138" s="7">
        <v>8957</v>
      </c>
      <c r="Z138" s="7">
        <v>8933</v>
      </c>
      <c r="AA138" s="7">
        <v>10237</v>
      </c>
      <c r="AB138" s="13"/>
    </row>
    <row r="139" spans="10:28" ht="15.6" customHeight="1" x14ac:dyDescent="0.3">
      <c r="J139" s="2">
        <v>135</v>
      </c>
      <c r="K139" s="41" t="s">
        <v>30</v>
      </c>
      <c r="L139" s="41" t="s">
        <v>29</v>
      </c>
      <c r="M139" s="41" t="s">
        <v>29</v>
      </c>
      <c r="N139" s="41" t="s">
        <v>46</v>
      </c>
      <c r="O139" s="41" t="s">
        <v>28</v>
      </c>
      <c r="Q139" s="17">
        <f t="shared" si="15"/>
        <v>5</v>
      </c>
      <c r="R139" s="17">
        <f t="shared" si="16"/>
        <v>4</v>
      </c>
      <c r="S139" s="17">
        <f t="shared" si="17"/>
        <v>4</v>
      </c>
      <c r="T139" s="17">
        <f t="shared" si="18"/>
        <v>16</v>
      </c>
      <c r="U139" s="17">
        <f t="shared" si="19"/>
        <v>3</v>
      </c>
      <c r="W139" s="7">
        <v>10415</v>
      </c>
      <c r="X139" s="7">
        <v>8833</v>
      </c>
      <c r="Y139" s="7">
        <v>8957</v>
      </c>
      <c r="Z139" s="7">
        <v>8933</v>
      </c>
      <c r="AA139" s="7">
        <v>10237</v>
      </c>
      <c r="AB139" s="13"/>
    </row>
    <row r="140" spans="10:28" ht="15.6" customHeight="1" x14ac:dyDescent="0.3">
      <c r="J140" s="2">
        <v>136</v>
      </c>
      <c r="K140" s="41" t="s">
        <v>29</v>
      </c>
      <c r="L140" s="41" t="s">
        <v>30</v>
      </c>
      <c r="M140" s="41" t="s">
        <v>31</v>
      </c>
      <c r="N140" s="41" t="s">
        <v>33</v>
      </c>
      <c r="O140" s="41" t="s">
        <v>30</v>
      </c>
      <c r="Q140" s="17">
        <f t="shared" si="15"/>
        <v>4</v>
      </c>
      <c r="R140" s="17">
        <f t="shared" si="16"/>
        <v>5</v>
      </c>
      <c r="S140" s="17">
        <f t="shared" si="17"/>
        <v>6</v>
      </c>
      <c r="T140" s="17">
        <f t="shared" si="18"/>
        <v>8</v>
      </c>
      <c r="U140" s="17">
        <f t="shared" si="19"/>
        <v>5</v>
      </c>
      <c r="W140" s="7">
        <v>10415</v>
      </c>
      <c r="X140" s="7">
        <v>8833</v>
      </c>
      <c r="Y140" s="7">
        <v>10748</v>
      </c>
      <c r="Z140" s="7">
        <v>10719</v>
      </c>
      <c r="AA140" s="7">
        <v>8531</v>
      </c>
      <c r="AB140" s="13"/>
    </row>
    <row r="141" spans="10:28" ht="15.6" customHeight="1" x14ac:dyDescent="0.3">
      <c r="J141" s="2">
        <v>137</v>
      </c>
      <c r="K141" s="41" t="s">
        <v>28</v>
      </c>
      <c r="L141" s="41" t="s">
        <v>32</v>
      </c>
      <c r="M141" s="41" t="s">
        <v>31</v>
      </c>
      <c r="N141" s="41" t="s">
        <v>28</v>
      </c>
      <c r="O141" s="41" t="s">
        <v>34</v>
      </c>
      <c r="Q141" s="17">
        <f t="shared" si="15"/>
        <v>3</v>
      </c>
      <c r="R141" s="17">
        <f t="shared" si="16"/>
        <v>7</v>
      </c>
      <c r="S141" s="17">
        <f t="shared" si="17"/>
        <v>6</v>
      </c>
      <c r="T141" s="17">
        <f t="shared" si="18"/>
        <v>3</v>
      </c>
      <c r="U141" s="17">
        <f t="shared" si="19"/>
        <v>9</v>
      </c>
      <c r="W141" s="7">
        <v>10415</v>
      </c>
      <c r="X141" s="7">
        <v>8833</v>
      </c>
      <c r="Y141" s="7">
        <v>10748</v>
      </c>
      <c r="Z141" s="7">
        <v>10719</v>
      </c>
      <c r="AA141" s="7">
        <v>8531</v>
      </c>
      <c r="AB141" s="13"/>
    </row>
    <row r="142" spans="10:28" ht="15.6" customHeight="1" x14ac:dyDescent="0.3">
      <c r="J142" s="2">
        <v>138</v>
      </c>
      <c r="K142" s="41" t="s">
        <v>34</v>
      </c>
      <c r="L142" s="41" t="s">
        <v>29</v>
      </c>
      <c r="M142" s="41" t="s">
        <v>31</v>
      </c>
      <c r="N142" s="41" t="s">
        <v>33</v>
      </c>
      <c r="O142" s="41" t="s">
        <v>35</v>
      </c>
      <c r="Q142" s="17">
        <f t="shared" si="15"/>
        <v>9</v>
      </c>
      <c r="R142" s="17">
        <f t="shared" si="16"/>
        <v>4</v>
      </c>
      <c r="S142" s="17">
        <f t="shared" si="17"/>
        <v>6</v>
      </c>
      <c r="T142" s="17">
        <f t="shared" si="18"/>
        <v>8</v>
      </c>
      <c r="U142" s="17">
        <f t="shared" si="19"/>
        <v>10</v>
      </c>
      <c r="W142" s="7">
        <v>8680</v>
      </c>
      <c r="X142" s="7">
        <v>8833</v>
      </c>
      <c r="Y142" s="7">
        <v>10748</v>
      </c>
      <c r="Z142" s="7">
        <v>10719</v>
      </c>
      <c r="AA142" s="7">
        <v>8531</v>
      </c>
      <c r="AB142" s="13"/>
    </row>
    <row r="143" spans="10:28" ht="15.6" customHeight="1" x14ac:dyDescent="0.3">
      <c r="J143" s="2">
        <v>139</v>
      </c>
      <c r="K143" s="41" t="s">
        <v>33</v>
      </c>
      <c r="L143" s="41" t="s">
        <v>32</v>
      </c>
      <c r="M143" s="41" t="s">
        <v>30</v>
      </c>
      <c r="N143" s="41" t="s">
        <v>28</v>
      </c>
      <c r="O143" s="41" t="s">
        <v>35</v>
      </c>
      <c r="Q143" s="17">
        <f t="shared" si="15"/>
        <v>8</v>
      </c>
      <c r="R143" s="17">
        <f t="shared" si="16"/>
        <v>7</v>
      </c>
      <c r="S143" s="17">
        <f t="shared" si="17"/>
        <v>5</v>
      </c>
      <c r="T143" s="17">
        <f t="shared" si="18"/>
        <v>3</v>
      </c>
      <c r="U143" s="17">
        <f t="shared" si="19"/>
        <v>10</v>
      </c>
      <c r="W143" s="7">
        <v>8680</v>
      </c>
      <c r="X143" s="7">
        <v>8833</v>
      </c>
      <c r="Y143" s="7">
        <v>10748</v>
      </c>
      <c r="Z143" s="7">
        <v>8933</v>
      </c>
      <c r="AA143" s="7">
        <v>10237</v>
      </c>
      <c r="AB143" s="13"/>
    </row>
    <row r="144" spans="10:28" ht="15.6" customHeight="1" x14ac:dyDescent="0.3">
      <c r="J144" s="2">
        <v>140</v>
      </c>
      <c r="K144" s="41" t="s">
        <v>32</v>
      </c>
      <c r="L144" s="41" t="s">
        <v>29</v>
      </c>
      <c r="M144" s="41" t="s">
        <v>29</v>
      </c>
      <c r="N144" s="41" t="s">
        <v>33</v>
      </c>
      <c r="O144" s="41" t="s">
        <v>30</v>
      </c>
      <c r="Q144" s="17">
        <f t="shared" si="15"/>
        <v>7</v>
      </c>
      <c r="R144" s="17">
        <f t="shared" si="16"/>
        <v>4</v>
      </c>
      <c r="S144" s="17">
        <f t="shared" si="17"/>
        <v>4</v>
      </c>
      <c r="T144" s="17">
        <f t="shared" si="18"/>
        <v>8</v>
      </c>
      <c r="U144" s="17">
        <f t="shared" si="19"/>
        <v>5</v>
      </c>
      <c r="W144" s="7">
        <v>8680</v>
      </c>
      <c r="X144" s="7">
        <v>8833</v>
      </c>
      <c r="Y144" s="7">
        <v>10748</v>
      </c>
      <c r="Z144" s="7">
        <v>8933</v>
      </c>
      <c r="AA144" s="7">
        <v>8531</v>
      </c>
      <c r="AB144" s="13"/>
    </row>
    <row r="145" spans="10:28" ht="15.6" customHeight="1" x14ac:dyDescent="0.3">
      <c r="J145" s="2">
        <v>141</v>
      </c>
      <c r="K145" s="41" t="s">
        <v>32</v>
      </c>
      <c r="L145" s="41" t="s">
        <v>32</v>
      </c>
      <c r="M145" s="41" t="s">
        <v>34</v>
      </c>
      <c r="N145" s="41" t="s">
        <v>32</v>
      </c>
      <c r="O145" s="41" t="s">
        <v>34</v>
      </c>
      <c r="Q145" s="17">
        <f t="shared" si="15"/>
        <v>7</v>
      </c>
      <c r="R145" s="17">
        <f t="shared" si="16"/>
        <v>7</v>
      </c>
      <c r="S145" s="17">
        <f t="shared" si="17"/>
        <v>9</v>
      </c>
      <c r="T145" s="17">
        <f t="shared" si="18"/>
        <v>7</v>
      </c>
      <c r="U145" s="17">
        <f t="shared" si="19"/>
        <v>9</v>
      </c>
      <c r="W145" s="7">
        <v>8680</v>
      </c>
      <c r="X145" s="7">
        <v>8833</v>
      </c>
      <c r="Y145" s="7">
        <v>10748</v>
      </c>
      <c r="Z145" s="7">
        <v>8933</v>
      </c>
      <c r="AA145" s="7">
        <v>8531</v>
      </c>
      <c r="AB145" s="13"/>
    </row>
    <row r="146" spans="10:28" ht="15.6" customHeight="1" x14ac:dyDescent="0.3">
      <c r="J146" s="2">
        <v>142</v>
      </c>
      <c r="K146" s="41" t="s">
        <v>31</v>
      </c>
      <c r="L146" s="41" t="s">
        <v>32</v>
      </c>
      <c r="M146" s="41" t="s">
        <v>30</v>
      </c>
      <c r="N146" s="41" t="s">
        <v>33</v>
      </c>
      <c r="O146" s="41" t="s">
        <v>35</v>
      </c>
      <c r="Q146" s="17">
        <f t="shared" si="15"/>
        <v>6</v>
      </c>
      <c r="R146" s="17">
        <f t="shared" si="16"/>
        <v>7</v>
      </c>
      <c r="S146" s="17">
        <f t="shared" si="17"/>
        <v>5</v>
      </c>
      <c r="T146" s="17">
        <f t="shared" si="18"/>
        <v>8</v>
      </c>
      <c r="U146" s="17">
        <f t="shared" si="19"/>
        <v>10</v>
      </c>
      <c r="W146" s="7">
        <v>8680</v>
      </c>
      <c r="X146" s="7">
        <v>8833</v>
      </c>
      <c r="Y146" s="7">
        <v>10748</v>
      </c>
      <c r="Z146" s="7">
        <v>10719</v>
      </c>
      <c r="AA146" s="7">
        <v>8530</v>
      </c>
      <c r="AB146" s="13"/>
    </row>
    <row r="147" spans="10:28" ht="15.6" customHeight="1" x14ac:dyDescent="0.3">
      <c r="J147" s="2">
        <v>143</v>
      </c>
      <c r="K147" s="41" t="s">
        <v>31</v>
      </c>
      <c r="L147" s="41" t="s">
        <v>35</v>
      </c>
      <c r="M147" s="41" t="s">
        <v>35</v>
      </c>
      <c r="N147" s="41" t="s">
        <v>29</v>
      </c>
      <c r="O147" s="41" t="s">
        <v>35</v>
      </c>
      <c r="Q147" s="17">
        <f t="shared" si="15"/>
        <v>6</v>
      </c>
      <c r="R147" s="17">
        <f t="shared" si="16"/>
        <v>10</v>
      </c>
      <c r="S147" s="17">
        <f t="shared" si="17"/>
        <v>10</v>
      </c>
      <c r="T147" s="17">
        <f t="shared" si="18"/>
        <v>4</v>
      </c>
      <c r="U147" s="17">
        <f t="shared" si="19"/>
        <v>10</v>
      </c>
      <c r="W147" s="7">
        <v>10415</v>
      </c>
      <c r="X147" s="7">
        <v>8833</v>
      </c>
      <c r="Y147" s="7">
        <v>10748</v>
      </c>
      <c r="Z147" s="7">
        <v>8933</v>
      </c>
      <c r="AA147" s="7">
        <v>13513</v>
      </c>
      <c r="AB147" s="13"/>
    </row>
    <row r="148" spans="10:28" ht="15.6" customHeight="1" x14ac:dyDescent="0.3">
      <c r="J148" s="2">
        <v>144</v>
      </c>
      <c r="K148" s="41" t="s">
        <v>29</v>
      </c>
      <c r="L148" s="41" t="s">
        <v>31</v>
      </c>
      <c r="M148" s="41" t="s">
        <v>29</v>
      </c>
      <c r="N148" s="41" t="s">
        <v>33</v>
      </c>
      <c r="O148" s="41" t="s">
        <v>35</v>
      </c>
      <c r="Q148" s="17">
        <f t="shared" si="15"/>
        <v>4</v>
      </c>
      <c r="R148" s="17">
        <f t="shared" si="16"/>
        <v>6</v>
      </c>
      <c r="S148" s="17">
        <f t="shared" si="17"/>
        <v>4</v>
      </c>
      <c r="T148" s="17">
        <f t="shared" si="18"/>
        <v>8</v>
      </c>
      <c r="U148" s="17">
        <f t="shared" si="19"/>
        <v>10</v>
      </c>
      <c r="W148" s="7">
        <v>10415</v>
      </c>
      <c r="X148" s="7">
        <v>10599</v>
      </c>
      <c r="Y148" s="7">
        <v>10748</v>
      </c>
      <c r="Z148" s="7">
        <v>8933</v>
      </c>
      <c r="AA148" s="7">
        <v>13513</v>
      </c>
      <c r="AB148" s="13"/>
    </row>
    <row r="149" spans="10:28" ht="15.6" customHeight="1" x14ac:dyDescent="0.3">
      <c r="J149" s="2">
        <v>145</v>
      </c>
      <c r="K149" s="41" t="s">
        <v>35</v>
      </c>
      <c r="L149" s="41" t="s">
        <v>34</v>
      </c>
      <c r="M149" s="41" t="s">
        <v>35</v>
      </c>
      <c r="N149" s="41" t="s">
        <v>34</v>
      </c>
      <c r="O149" s="41" t="s">
        <v>31</v>
      </c>
      <c r="Q149" s="17">
        <f t="shared" si="15"/>
        <v>10</v>
      </c>
      <c r="R149" s="17">
        <f t="shared" si="16"/>
        <v>9</v>
      </c>
      <c r="S149" s="17">
        <f t="shared" si="17"/>
        <v>10</v>
      </c>
      <c r="T149" s="17">
        <f t="shared" si="18"/>
        <v>9</v>
      </c>
      <c r="U149" s="17">
        <f t="shared" si="19"/>
        <v>6</v>
      </c>
      <c r="W149" s="7">
        <v>10415</v>
      </c>
      <c r="X149" s="7">
        <v>10599</v>
      </c>
      <c r="Y149" s="7">
        <v>10748</v>
      </c>
      <c r="Z149" s="7">
        <v>8933</v>
      </c>
      <c r="AA149" s="7">
        <v>13513</v>
      </c>
      <c r="AB149" s="13"/>
    </row>
    <row r="150" spans="10:28" ht="15.6" customHeight="1" x14ac:dyDescent="0.3">
      <c r="J150" s="2">
        <v>146</v>
      </c>
      <c r="K150" s="41" t="s">
        <v>32</v>
      </c>
      <c r="L150" s="41" t="s">
        <v>31</v>
      </c>
      <c r="M150" s="41" t="s">
        <v>30</v>
      </c>
      <c r="N150" s="41" t="s">
        <v>31</v>
      </c>
      <c r="O150" s="41" t="s">
        <v>26</v>
      </c>
      <c r="Q150" s="17">
        <f t="shared" si="15"/>
        <v>7</v>
      </c>
      <c r="R150" s="17">
        <f t="shared" si="16"/>
        <v>6</v>
      </c>
      <c r="S150" s="17">
        <f t="shared" si="17"/>
        <v>5</v>
      </c>
      <c r="T150" s="17">
        <f t="shared" si="18"/>
        <v>6</v>
      </c>
      <c r="U150" s="17">
        <f t="shared" si="19"/>
        <v>2</v>
      </c>
      <c r="W150" s="7">
        <v>10415</v>
      </c>
      <c r="X150" s="7">
        <v>10599</v>
      </c>
      <c r="Y150" s="7">
        <v>10748</v>
      </c>
      <c r="Z150" s="7">
        <v>8933</v>
      </c>
      <c r="AA150" s="7">
        <v>13513</v>
      </c>
      <c r="AB150" s="13"/>
    </row>
    <row r="151" spans="10:28" ht="15.6" customHeight="1" x14ac:dyDescent="0.3">
      <c r="J151" s="2">
        <v>147</v>
      </c>
      <c r="K151" s="41" t="s">
        <v>33</v>
      </c>
      <c r="L151" s="41" t="s">
        <v>31</v>
      </c>
      <c r="M151" s="41" t="s">
        <v>34</v>
      </c>
      <c r="N151" s="41" t="s">
        <v>31</v>
      </c>
      <c r="O151" s="41" t="s">
        <v>30</v>
      </c>
      <c r="Q151" s="17">
        <f t="shared" si="15"/>
        <v>8</v>
      </c>
      <c r="R151" s="17">
        <f t="shared" si="16"/>
        <v>6</v>
      </c>
      <c r="S151" s="17">
        <f t="shared" si="17"/>
        <v>9</v>
      </c>
      <c r="T151" s="17">
        <f t="shared" si="18"/>
        <v>6</v>
      </c>
      <c r="U151" s="17">
        <f t="shared" si="19"/>
        <v>5</v>
      </c>
      <c r="W151" s="7">
        <v>10415</v>
      </c>
      <c r="X151" s="7">
        <v>8833</v>
      </c>
      <c r="Y151" s="7">
        <v>10748</v>
      </c>
      <c r="Z151" s="7">
        <v>8933</v>
      </c>
      <c r="AA151" s="7">
        <v>10237</v>
      </c>
      <c r="AB151" s="13"/>
    </row>
    <row r="152" spans="10:28" ht="15.6" customHeight="1" x14ac:dyDescent="0.3">
      <c r="J152" s="2">
        <v>148</v>
      </c>
      <c r="K152" s="41" t="s">
        <v>29</v>
      </c>
      <c r="L152" s="41" t="s">
        <v>31</v>
      </c>
      <c r="M152" s="41" t="s">
        <v>32</v>
      </c>
      <c r="N152" s="41" t="s">
        <v>31</v>
      </c>
      <c r="O152" s="41" t="s">
        <v>28</v>
      </c>
      <c r="Q152" s="17">
        <f t="shared" si="15"/>
        <v>4</v>
      </c>
      <c r="R152" s="17">
        <f t="shared" si="16"/>
        <v>6</v>
      </c>
      <c r="S152" s="17">
        <f t="shared" si="17"/>
        <v>7</v>
      </c>
      <c r="T152" s="17">
        <f t="shared" si="18"/>
        <v>6</v>
      </c>
      <c r="U152" s="17">
        <f t="shared" si="19"/>
        <v>3</v>
      </c>
      <c r="W152" s="7">
        <v>10415</v>
      </c>
      <c r="X152" s="7">
        <v>8833</v>
      </c>
      <c r="Y152" s="7">
        <v>8957</v>
      </c>
      <c r="Z152" s="7">
        <v>8933</v>
      </c>
      <c r="AA152" s="7">
        <v>10237</v>
      </c>
      <c r="AB152" s="13"/>
    </row>
    <row r="153" spans="10:28" ht="15.6" customHeight="1" x14ac:dyDescent="0.3">
      <c r="J153" s="2">
        <v>149</v>
      </c>
      <c r="K153" s="41" t="s">
        <v>35</v>
      </c>
      <c r="L153" s="41" t="s">
        <v>50</v>
      </c>
      <c r="M153" s="41" t="s">
        <v>33</v>
      </c>
      <c r="N153" s="41" t="s">
        <v>30</v>
      </c>
      <c r="O153" s="41" t="s">
        <v>32</v>
      </c>
      <c r="Q153" s="17">
        <f t="shared" si="15"/>
        <v>10</v>
      </c>
      <c r="R153" s="17">
        <f t="shared" si="16"/>
        <v>18</v>
      </c>
      <c r="S153" s="17">
        <f t="shared" si="17"/>
        <v>8</v>
      </c>
      <c r="T153" s="17">
        <f t="shared" si="18"/>
        <v>5</v>
      </c>
      <c r="U153" s="17">
        <f t="shared" si="19"/>
        <v>7</v>
      </c>
      <c r="W153" s="7">
        <v>10415</v>
      </c>
      <c r="X153" s="7">
        <v>8833</v>
      </c>
      <c r="Y153" s="7">
        <v>8957</v>
      </c>
      <c r="Z153" s="7">
        <v>8933</v>
      </c>
      <c r="AA153" s="7">
        <v>10237</v>
      </c>
      <c r="AB153" s="13"/>
    </row>
    <row r="154" spans="10:28" ht="15.6" customHeight="1" x14ac:dyDescent="0.3">
      <c r="J154" s="2">
        <v>150</v>
      </c>
      <c r="K154" s="41" t="s">
        <v>32</v>
      </c>
      <c r="L154" s="41" t="s">
        <v>35</v>
      </c>
      <c r="M154" s="41" t="s">
        <v>46</v>
      </c>
      <c r="N154" s="41" t="s">
        <v>31</v>
      </c>
      <c r="O154" s="41" t="s">
        <v>34</v>
      </c>
      <c r="Q154" s="17">
        <f t="shared" si="15"/>
        <v>7</v>
      </c>
      <c r="R154" s="17">
        <f t="shared" si="16"/>
        <v>10</v>
      </c>
      <c r="S154" s="17">
        <f t="shared" si="17"/>
        <v>16</v>
      </c>
      <c r="T154" s="17">
        <f t="shared" si="18"/>
        <v>6</v>
      </c>
      <c r="U154" s="17">
        <f t="shared" si="19"/>
        <v>9</v>
      </c>
      <c r="W154" s="7">
        <v>8680</v>
      </c>
      <c r="X154" s="7">
        <v>8833</v>
      </c>
      <c r="Y154" s="7">
        <v>8957</v>
      </c>
      <c r="Z154" s="7">
        <v>10719</v>
      </c>
      <c r="AA154" s="7">
        <v>10237</v>
      </c>
      <c r="AB154" s="13"/>
    </row>
    <row r="155" spans="10:28" ht="15.6" customHeight="1" x14ac:dyDescent="0.3">
      <c r="J155" s="2">
        <v>151</v>
      </c>
      <c r="K155" s="41" t="s">
        <v>33</v>
      </c>
      <c r="L155" s="41" t="s">
        <v>35</v>
      </c>
      <c r="M155" s="41" t="s">
        <v>30</v>
      </c>
      <c r="N155" s="41" t="s">
        <v>33</v>
      </c>
      <c r="O155" s="41" t="s">
        <v>31</v>
      </c>
      <c r="Q155" s="17">
        <f t="shared" si="15"/>
        <v>8</v>
      </c>
      <c r="R155" s="17">
        <f t="shared" si="16"/>
        <v>10</v>
      </c>
      <c r="S155" s="17">
        <f t="shared" si="17"/>
        <v>5</v>
      </c>
      <c r="T155" s="17">
        <f t="shared" si="18"/>
        <v>8</v>
      </c>
      <c r="U155" s="17">
        <f t="shared" si="19"/>
        <v>6</v>
      </c>
      <c r="W155" s="7">
        <v>8680</v>
      </c>
      <c r="X155" s="7">
        <v>8833</v>
      </c>
      <c r="Y155" s="7">
        <v>10748</v>
      </c>
      <c r="Z155" s="7">
        <v>10719</v>
      </c>
      <c r="AA155" s="7">
        <v>10237</v>
      </c>
      <c r="AB155" s="13"/>
    </row>
    <row r="156" spans="10:28" ht="15.6" customHeight="1" x14ac:dyDescent="0.3">
      <c r="J156" s="2">
        <v>152</v>
      </c>
      <c r="K156" s="41" t="s">
        <v>32</v>
      </c>
      <c r="L156" s="41" t="s">
        <v>32</v>
      </c>
      <c r="M156" s="41" t="s">
        <v>32</v>
      </c>
      <c r="N156" s="41" t="s">
        <v>46</v>
      </c>
      <c r="O156" s="41" t="s">
        <v>33</v>
      </c>
      <c r="Q156" s="17">
        <f t="shared" si="15"/>
        <v>7</v>
      </c>
      <c r="R156" s="17">
        <f t="shared" si="16"/>
        <v>7</v>
      </c>
      <c r="S156" s="17">
        <f t="shared" si="17"/>
        <v>7</v>
      </c>
      <c r="T156" s="17">
        <f t="shared" si="18"/>
        <v>16</v>
      </c>
      <c r="U156" s="17">
        <f t="shared" si="19"/>
        <v>8</v>
      </c>
      <c r="W156" s="7">
        <v>8680</v>
      </c>
      <c r="X156" s="7">
        <v>8833</v>
      </c>
      <c r="Y156" s="7">
        <v>10748</v>
      </c>
      <c r="Z156" s="7">
        <v>10719</v>
      </c>
      <c r="AA156" s="7">
        <v>10237</v>
      </c>
      <c r="AB156" s="13"/>
    </row>
    <row r="157" spans="10:28" ht="15.6" customHeight="1" x14ac:dyDescent="0.3">
      <c r="J157" s="2">
        <v>153</v>
      </c>
      <c r="K157" s="41" t="s">
        <v>32</v>
      </c>
      <c r="L157" s="41" t="s">
        <v>32</v>
      </c>
      <c r="M157" s="41" t="s">
        <v>29</v>
      </c>
      <c r="N157" s="41" t="s">
        <v>29</v>
      </c>
      <c r="O157" s="41" t="s">
        <v>32</v>
      </c>
      <c r="Q157" s="17">
        <f t="shared" si="15"/>
        <v>7</v>
      </c>
      <c r="R157" s="17">
        <f t="shared" si="16"/>
        <v>7</v>
      </c>
      <c r="S157" s="17">
        <f t="shared" si="17"/>
        <v>4</v>
      </c>
      <c r="T157" s="17">
        <f t="shared" si="18"/>
        <v>4</v>
      </c>
      <c r="U157" s="17">
        <f t="shared" si="19"/>
        <v>7</v>
      </c>
      <c r="W157" s="7">
        <v>8680</v>
      </c>
      <c r="X157" s="7">
        <v>8833</v>
      </c>
      <c r="Y157" s="7">
        <v>8957</v>
      </c>
      <c r="Z157" s="7">
        <v>10719</v>
      </c>
      <c r="AA157" s="7">
        <v>10237</v>
      </c>
      <c r="AB157" s="13"/>
    </row>
    <row r="158" spans="10:28" ht="15.6" customHeight="1" x14ac:dyDescent="0.3">
      <c r="J158" s="2">
        <v>154</v>
      </c>
      <c r="K158" s="41" t="s">
        <v>31</v>
      </c>
      <c r="L158" s="41" t="s">
        <v>32</v>
      </c>
      <c r="M158" s="41" t="s">
        <v>30</v>
      </c>
      <c r="N158" s="41" t="s">
        <v>33</v>
      </c>
      <c r="O158" s="41" t="s">
        <v>31</v>
      </c>
      <c r="Q158" s="17">
        <f t="shared" si="15"/>
        <v>6</v>
      </c>
      <c r="R158" s="17">
        <f t="shared" si="16"/>
        <v>7</v>
      </c>
      <c r="S158" s="17">
        <f t="shared" si="17"/>
        <v>5</v>
      </c>
      <c r="T158" s="17">
        <f t="shared" si="18"/>
        <v>8</v>
      </c>
      <c r="U158" s="17">
        <f t="shared" si="19"/>
        <v>6</v>
      </c>
      <c r="W158" s="7">
        <v>8680</v>
      </c>
      <c r="X158" s="7">
        <v>10599</v>
      </c>
      <c r="Y158" s="7">
        <v>8956</v>
      </c>
      <c r="Z158" s="7">
        <v>10719</v>
      </c>
      <c r="AA158" s="7">
        <v>10237</v>
      </c>
      <c r="AB158" s="13"/>
    </row>
    <row r="159" spans="10:28" ht="15.6" customHeight="1" x14ac:dyDescent="0.3">
      <c r="J159" s="2">
        <v>155</v>
      </c>
      <c r="K159" s="41" t="s">
        <v>31</v>
      </c>
      <c r="L159" s="41" t="s">
        <v>31</v>
      </c>
      <c r="M159" s="41" t="s">
        <v>34</v>
      </c>
      <c r="N159" s="41" t="s">
        <v>29</v>
      </c>
      <c r="O159" s="41" t="s">
        <v>34</v>
      </c>
      <c r="Q159" s="17">
        <f t="shared" si="15"/>
        <v>6</v>
      </c>
      <c r="R159" s="17">
        <f t="shared" si="16"/>
        <v>6</v>
      </c>
      <c r="S159" s="17">
        <f t="shared" si="17"/>
        <v>9</v>
      </c>
      <c r="T159" s="17">
        <f t="shared" si="18"/>
        <v>4</v>
      </c>
      <c r="U159" s="17">
        <f t="shared" si="19"/>
        <v>9</v>
      </c>
      <c r="W159" s="7">
        <v>10415</v>
      </c>
      <c r="X159" s="7">
        <v>8833</v>
      </c>
      <c r="Y159" s="7">
        <v>8956</v>
      </c>
      <c r="Z159" s="7">
        <v>10719</v>
      </c>
      <c r="AA159" s="7">
        <v>8530</v>
      </c>
      <c r="AB159" s="13"/>
    </row>
    <row r="160" spans="10:28" ht="15.6" customHeight="1" x14ac:dyDescent="0.3">
      <c r="J160" s="2">
        <v>156</v>
      </c>
      <c r="K160" s="41" t="s">
        <v>29</v>
      </c>
      <c r="L160" s="41" t="s">
        <v>48</v>
      </c>
      <c r="M160" s="41" t="s">
        <v>34</v>
      </c>
      <c r="N160" s="41" t="s">
        <v>30</v>
      </c>
      <c r="O160" s="41" t="s">
        <v>28</v>
      </c>
      <c r="Q160" s="17">
        <f t="shared" si="15"/>
        <v>4</v>
      </c>
      <c r="R160" s="17">
        <f t="shared" si="16"/>
        <v>17</v>
      </c>
      <c r="S160" s="17">
        <f t="shared" si="17"/>
        <v>9</v>
      </c>
      <c r="T160" s="17">
        <f t="shared" si="18"/>
        <v>5</v>
      </c>
      <c r="U160" s="17">
        <f t="shared" si="19"/>
        <v>3</v>
      </c>
      <c r="W160" s="7">
        <v>10415</v>
      </c>
      <c r="X160" s="7">
        <v>8833</v>
      </c>
      <c r="Y160" s="7">
        <v>10748</v>
      </c>
      <c r="Z160" s="7">
        <v>10719</v>
      </c>
      <c r="AA160" s="7">
        <v>8530</v>
      </c>
      <c r="AB160" s="13"/>
    </row>
    <row r="161" spans="10:28" ht="15.6" customHeight="1" x14ac:dyDescent="0.3">
      <c r="J161" s="2">
        <v>157</v>
      </c>
      <c r="K161" s="41" t="s">
        <v>35</v>
      </c>
      <c r="L161" s="41" t="s">
        <v>33</v>
      </c>
      <c r="M161" s="41" t="s">
        <v>35</v>
      </c>
      <c r="N161" s="41" t="s">
        <v>29</v>
      </c>
      <c r="O161" s="41" t="s">
        <v>31</v>
      </c>
      <c r="Q161" s="17">
        <f t="shared" si="15"/>
        <v>10</v>
      </c>
      <c r="R161" s="17">
        <f t="shared" si="16"/>
        <v>8</v>
      </c>
      <c r="S161" s="17">
        <f t="shared" si="17"/>
        <v>10</v>
      </c>
      <c r="T161" s="17">
        <f t="shared" si="18"/>
        <v>4</v>
      </c>
      <c r="U161" s="17">
        <f t="shared" si="19"/>
        <v>6</v>
      </c>
      <c r="W161" s="7">
        <v>10415</v>
      </c>
      <c r="X161" s="7">
        <v>8833</v>
      </c>
      <c r="Y161" s="7">
        <v>10748</v>
      </c>
      <c r="Z161" s="7">
        <v>10719</v>
      </c>
      <c r="AA161" s="7">
        <v>8530</v>
      </c>
      <c r="AB161" s="13"/>
    </row>
    <row r="162" spans="10:28" ht="15.6" customHeight="1" x14ac:dyDescent="0.3">
      <c r="J162" s="2">
        <v>158</v>
      </c>
      <c r="K162" s="41" t="s">
        <v>32</v>
      </c>
      <c r="L162" s="41" t="s">
        <v>33</v>
      </c>
      <c r="M162" s="41" t="s">
        <v>50</v>
      </c>
      <c r="N162" s="41" t="s">
        <v>33</v>
      </c>
      <c r="O162" s="41" t="s">
        <v>35</v>
      </c>
      <c r="Q162" s="17">
        <f t="shared" si="15"/>
        <v>7</v>
      </c>
      <c r="R162" s="17">
        <f t="shared" si="16"/>
        <v>8</v>
      </c>
      <c r="S162" s="17">
        <f t="shared" si="17"/>
        <v>18</v>
      </c>
      <c r="T162" s="17">
        <f t="shared" si="18"/>
        <v>8</v>
      </c>
      <c r="U162" s="17">
        <f t="shared" si="19"/>
        <v>10</v>
      </c>
      <c r="W162" s="7">
        <v>8680</v>
      </c>
      <c r="X162" s="7">
        <v>10599</v>
      </c>
      <c r="Y162" s="7">
        <v>8956</v>
      </c>
      <c r="Z162" s="7">
        <v>8933</v>
      </c>
      <c r="AA162" s="7">
        <v>10237</v>
      </c>
      <c r="AB162" s="13"/>
    </row>
    <row r="163" spans="10:28" ht="15.6" customHeight="1" x14ac:dyDescent="0.3">
      <c r="J163" s="2">
        <v>159</v>
      </c>
      <c r="K163" s="41" t="s">
        <v>33</v>
      </c>
      <c r="L163" s="41" t="s">
        <v>29</v>
      </c>
      <c r="M163" s="41" t="s">
        <v>34</v>
      </c>
      <c r="N163" s="41" t="s">
        <v>30</v>
      </c>
      <c r="O163" s="41" t="s">
        <v>33</v>
      </c>
      <c r="Q163" s="17">
        <f t="shared" si="15"/>
        <v>8</v>
      </c>
      <c r="R163" s="17">
        <f t="shared" si="16"/>
        <v>4</v>
      </c>
      <c r="S163" s="17">
        <f t="shared" si="17"/>
        <v>9</v>
      </c>
      <c r="T163" s="17">
        <f t="shared" si="18"/>
        <v>5</v>
      </c>
      <c r="U163" s="17">
        <f t="shared" si="19"/>
        <v>8</v>
      </c>
      <c r="W163" s="7">
        <v>8680</v>
      </c>
      <c r="X163" s="7">
        <v>10599</v>
      </c>
      <c r="Y163" s="7">
        <v>8956</v>
      </c>
      <c r="Z163" s="7">
        <v>8933</v>
      </c>
      <c r="AA163" s="7">
        <v>10237</v>
      </c>
      <c r="AB163" s="13"/>
    </row>
    <row r="164" spans="10:28" ht="15.6" customHeight="1" x14ac:dyDescent="0.3">
      <c r="J164" s="2">
        <v>160</v>
      </c>
      <c r="K164" s="41" t="s">
        <v>32</v>
      </c>
      <c r="L164" s="41" t="s">
        <v>42</v>
      </c>
      <c r="M164" s="41" t="s">
        <v>35</v>
      </c>
      <c r="N164" s="41" t="s">
        <v>50</v>
      </c>
      <c r="O164" s="41" t="s">
        <v>30</v>
      </c>
      <c r="Q164" s="17">
        <f t="shared" si="15"/>
        <v>7</v>
      </c>
      <c r="R164" s="17">
        <f t="shared" si="16"/>
        <v>14</v>
      </c>
      <c r="S164" s="17">
        <f t="shared" si="17"/>
        <v>10</v>
      </c>
      <c r="T164" s="17">
        <f t="shared" si="18"/>
        <v>18</v>
      </c>
      <c r="U164" s="17">
        <f t="shared" si="19"/>
        <v>5</v>
      </c>
      <c r="W164" s="7">
        <v>8680</v>
      </c>
      <c r="X164" s="7">
        <v>10599</v>
      </c>
      <c r="Y164" s="7">
        <v>8956</v>
      </c>
      <c r="Z164" s="7">
        <v>8933</v>
      </c>
      <c r="AA164" s="7">
        <v>10237</v>
      </c>
      <c r="AB164" s="13"/>
    </row>
    <row r="165" spans="10:28" ht="15.6" customHeight="1" x14ac:dyDescent="0.3">
      <c r="J165" s="2">
        <v>161</v>
      </c>
      <c r="K165" s="41" t="s">
        <v>32</v>
      </c>
      <c r="L165" s="41" t="s">
        <v>34</v>
      </c>
      <c r="M165" s="41" t="s">
        <v>34</v>
      </c>
      <c r="N165" s="41" t="s">
        <v>35</v>
      </c>
      <c r="O165" s="41" t="s">
        <v>34</v>
      </c>
      <c r="Q165" s="17">
        <f t="shared" si="15"/>
        <v>7</v>
      </c>
      <c r="R165" s="17">
        <f t="shared" si="16"/>
        <v>9</v>
      </c>
      <c r="S165" s="17">
        <f t="shared" si="17"/>
        <v>9</v>
      </c>
      <c r="T165" s="17">
        <f t="shared" si="18"/>
        <v>10</v>
      </c>
      <c r="U165" s="17">
        <f t="shared" si="19"/>
        <v>9</v>
      </c>
      <c r="W165" s="7">
        <v>10415</v>
      </c>
      <c r="X165" s="7">
        <v>10599</v>
      </c>
      <c r="Y165" s="7">
        <v>8956</v>
      </c>
      <c r="Z165" s="7">
        <v>10719</v>
      </c>
      <c r="AA165" s="7">
        <v>10237</v>
      </c>
      <c r="AB165" s="13"/>
    </row>
    <row r="166" spans="10:28" ht="15.6" customHeight="1" x14ac:dyDescent="0.3">
      <c r="J166" s="2">
        <v>162</v>
      </c>
      <c r="K166" s="41" t="s">
        <v>30</v>
      </c>
      <c r="L166" s="41" t="s">
        <v>32</v>
      </c>
      <c r="M166" s="41" t="s">
        <v>34</v>
      </c>
      <c r="N166" s="41" t="s">
        <v>31</v>
      </c>
      <c r="O166" s="41" t="s">
        <v>33</v>
      </c>
      <c r="Q166" s="17">
        <f t="shared" si="15"/>
        <v>5</v>
      </c>
      <c r="R166" s="17">
        <f t="shared" si="16"/>
        <v>7</v>
      </c>
      <c r="S166" s="17">
        <f t="shared" si="17"/>
        <v>9</v>
      </c>
      <c r="T166" s="17">
        <f t="shared" si="18"/>
        <v>6</v>
      </c>
      <c r="U166" s="17">
        <f t="shared" si="19"/>
        <v>8</v>
      </c>
      <c r="W166" s="7">
        <v>8680</v>
      </c>
      <c r="X166" s="7">
        <v>8833</v>
      </c>
      <c r="Y166" s="7">
        <v>8956</v>
      </c>
      <c r="Z166" s="7">
        <v>10719</v>
      </c>
      <c r="AA166" s="7">
        <v>10237</v>
      </c>
      <c r="AB166" s="13"/>
    </row>
    <row r="167" spans="10:28" ht="15.6" customHeight="1" x14ac:dyDescent="0.3">
      <c r="J167" s="2">
        <v>163</v>
      </c>
      <c r="K167" s="41" t="s">
        <v>29</v>
      </c>
      <c r="L167" s="41" t="s">
        <v>32</v>
      </c>
      <c r="M167" s="41" t="s">
        <v>28</v>
      </c>
      <c r="N167" s="41" t="s">
        <v>33</v>
      </c>
      <c r="O167" s="41" t="s">
        <v>32</v>
      </c>
      <c r="Q167" s="17">
        <f t="shared" si="15"/>
        <v>4</v>
      </c>
      <c r="R167" s="17">
        <f t="shared" si="16"/>
        <v>7</v>
      </c>
      <c r="S167" s="17">
        <f t="shared" si="17"/>
        <v>3</v>
      </c>
      <c r="T167" s="17">
        <f t="shared" si="18"/>
        <v>8</v>
      </c>
      <c r="U167" s="17">
        <f t="shared" si="19"/>
        <v>7</v>
      </c>
      <c r="W167" s="7">
        <v>8680</v>
      </c>
      <c r="X167" s="7">
        <v>8833</v>
      </c>
      <c r="Y167" s="7">
        <v>8956</v>
      </c>
      <c r="Z167" s="7">
        <v>10719</v>
      </c>
      <c r="AA167" s="7">
        <v>10237</v>
      </c>
      <c r="AB167" s="13"/>
    </row>
    <row r="168" spans="10:28" ht="15.6" customHeight="1" x14ac:dyDescent="0.3">
      <c r="J168" s="2">
        <v>164</v>
      </c>
      <c r="K168" s="41" t="s">
        <v>35</v>
      </c>
      <c r="L168" s="41" t="s">
        <v>32</v>
      </c>
      <c r="M168" s="41" t="s">
        <v>35</v>
      </c>
      <c r="N168" s="41" t="s">
        <v>34</v>
      </c>
      <c r="O168" s="41" t="s">
        <v>33</v>
      </c>
      <c r="Q168" s="17">
        <f t="shared" si="15"/>
        <v>10</v>
      </c>
      <c r="R168" s="17">
        <f t="shared" si="16"/>
        <v>7</v>
      </c>
      <c r="S168" s="17">
        <f t="shared" si="17"/>
        <v>10</v>
      </c>
      <c r="T168" s="17">
        <f t="shared" si="18"/>
        <v>9</v>
      </c>
      <c r="U168" s="17">
        <f t="shared" si="19"/>
        <v>8</v>
      </c>
      <c r="W168" s="7">
        <v>8680</v>
      </c>
      <c r="X168" s="7">
        <v>8833</v>
      </c>
      <c r="Y168" s="7">
        <v>8956</v>
      </c>
      <c r="Z168" s="7">
        <v>10719</v>
      </c>
      <c r="AA168" s="7">
        <v>10237</v>
      </c>
      <c r="AB168" s="13"/>
    </row>
    <row r="169" spans="10:28" ht="15.6" customHeight="1" x14ac:dyDescent="0.3">
      <c r="J169" s="2">
        <v>165</v>
      </c>
      <c r="K169" s="41" t="s">
        <v>35</v>
      </c>
      <c r="L169" s="41" t="s">
        <v>32</v>
      </c>
      <c r="M169" s="41" t="s">
        <v>48</v>
      </c>
      <c r="N169" s="41" t="s">
        <v>33</v>
      </c>
      <c r="O169" s="41" t="s">
        <v>32</v>
      </c>
      <c r="Q169" s="17">
        <f t="shared" si="15"/>
        <v>10</v>
      </c>
      <c r="R169" s="17">
        <f t="shared" si="16"/>
        <v>7</v>
      </c>
      <c r="S169" s="17">
        <f t="shared" si="17"/>
        <v>17</v>
      </c>
      <c r="T169" s="17">
        <f t="shared" si="18"/>
        <v>8</v>
      </c>
      <c r="U169" s="17">
        <f t="shared" si="19"/>
        <v>7</v>
      </c>
      <c r="W169" s="7">
        <v>8680</v>
      </c>
      <c r="X169" s="7">
        <v>8833</v>
      </c>
      <c r="Y169" s="7">
        <v>8956</v>
      </c>
      <c r="Z169" s="7">
        <v>10719</v>
      </c>
      <c r="AA169" s="7">
        <v>10237</v>
      </c>
      <c r="AB169" s="13"/>
    </row>
    <row r="170" spans="10:28" ht="15.6" customHeight="1" x14ac:dyDescent="0.3">
      <c r="J170" s="2">
        <v>166</v>
      </c>
      <c r="K170" s="41" t="s">
        <v>32</v>
      </c>
      <c r="L170" s="41" t="s">
        <v>44</v>
      </c>
      <c r="M170" s="41" t="s">
        <v>34</v>
      </c>
      <c r="N170" s="41" t="s">
        <v>31</v>
      </c>
      <c r="O170" s="41" t="s">
        <v>31</v>
      </c>
      <c r="Q170" s="17">
        <f t="shared" si="15"/>
        <v>7</v>
      </c>
      <c r="R170" s="17">
        <f t="shared" si="16"/>
        <v>15</v>
      </c>
      <c r="S170" s="17">
        <f t="shared" si="17"/>
        <v>9</v>
      </c>
      <c r="T170" s="17">
        <f t="shared" si="18"/>
        <v>6</v>
      </c>
      <c r="U170" s="17">
        <f t="shared" si="19"/>
        <v>6</v>
      </c>
      <c r="W170" s="7">
        <v>8680</v>
      </c>
      <c r="X170" s="7">
        <v>8833</v>
      </c>
      <c r="Y170" s="7">
        <v>10748</v>
      </c>
      <c r="Z170" s="7">
        <v>10719</v>
      </c>
      <c r="AA170" s="7">
        <v>10237</v>
      </c>
      <c r="AB170" s="13"/>
    </row>
    <row r="171" spans="10:28" ht="15.6" customHeight="1" x14ac:dyDescent="0.3">
      <c r="J171" s="2">
        <v>167</v>
      </c>
      <c r="K171" s="41" t="s">
        <v>32</v>
      </c>
      <c r="L171" s="41" t="s">
        <v>44</v>
      </c>
      <c r="M171" s="41" t="s">
        <v>40</v>
      </c>
      <c r="N171" s="41" t="s">
        <v>34</v>
      </c>
      <c r="O171" s="41" t="s">
        <v>35</v>
      </c>
      <c r="Q171" s="17">
        <f t="shared" si="15"/>
        <v>7</v>
      </c>
      <c r="R171" s="17">
        <f t="shared" si="16"/>
        <v>15</v>
      </c>
      <c r="S171" s="17">
        <f t="shared" si="17"/>
        <v>13</v>
      </c>
      <c r="T171" s="17">
        <f t="shared" si="18"/>
        <v>9</v>
      </c>
      <c r="U171" s="17">
        <f t="shared" si="19"/>
        <v>10</v>
      </c>
      <c r="W171" s="7">
        <v>8680</v>
      </c>
      <c r="X171" s="7">
        <v>8833</v>
      </c>
      <c r="Y171" s="7">
        <v>10748</v>
      </c>
      <c r="Z171" s="7">
        <v>10719</v>
      </c>
      <c r="AA171" s="7">
        <v>10237</v>
      </c>
      <c r="AB171" s="13"/>
    </row>
    <row r="172" spans="10:28" ht="15.6" customHeight="1" x14ac:dyDescent="0.3">
      <c r="J172" s="2">
        <v>168</v>
      </c>
      <c r="K172" s="41" t="s">
        <v>31</v>
      </c>
      <c r="L172" s="41" t="s">
        <v>31</v>
      </c>
      <c r="M172" s="41" t="s">
        <v>30</v>
      </c>
      <c r="N172" s="41" t="s">
        <v>28</v>
      </c>
      <c r="O172" s="41" t="s">
        <v>29</v>
      </c>
      <c r="Q172" s="17">
        <f t="shared" si="15"/>
        <v>6</v>
      </c>
      <c r="R172" s="17">
        <f t="shared" si="16"/>
        <v>6</v>
      </c>
      <c r="S172" s="17">
        <f t="shared" si="17"/>
        <v>5</v>
      </c>
      <c r="T172" s="17">
        <f t="shared" si="18"/>
        <v>3</v>
      </c>
      <c r="U172" s="17">
        <f t="shared" si="19"/>
        <v>4</v>
      </c>
      <c r="W172" s="7">
        <v>8680</v>
      </c>
      <c r="X172" s="7">
        <v>8833</v>
      </c>
      <c r="Y172" s="7">
        <v>8956</v>
      </c>
      <c r="Z172" s="7">
        <v>10719</v>
      </c>
      <c r="AA172" s="7">
        <v>10237</v>
      </c>
      <c r="AB172" s="13"/>
    </row>
    <row r="173" spans="10:28" ht="15.6" customHeight="1" x14ac:dyDescent="0.3">
      <c r="J173" s="2">
        <v>169</v>
      </c>
      <c r="K173" s="41" t="s">
        <v>31</v>
      </c>
      <c r="L173" s="41" t="s">
        <v>29</v>
      </c>
      <c r="M173" s="41" t="s">
        <v>29</v>
      </c>
      <c r="N173" s="41" t="s">
        <v>33</v>
      </c>
      <c r="O173" s="41" t="s">
        <v>33</v>
      </c>
      <c r="Q173" s="17">
        <f t="shared" si="15"/>
        <v>6</v>
      </c>
      <c r="R173" s="17">
        <f t="shared" si="16"/>
        <v>4</v>
      </c>
      <c r="S173" s="17">
        <f t="shared" si="17"/>
        <v>4</v>
      </c>
      <c r="T173" s="17">
        <f t="shared" si="18"/>
        <v>8</v>
      </c>
      <c r="U173" s="17">
        <f t="shared" si="19"/>
        <v>8</v>
      </c>
      <c r="W173" s="7">
        <v>10415</v>
      </c>
      <c r="X173" s="7">
        <v>8833</v>
      </c>
      <c r="Y173" s="7">
        <v>8956</v>
      </c>
      <c r="Z173" s="7">
        <v>10719</v>
      </c>
      <c r="AA173" s="7">
        <v>10237</v>
      </c>
      <c r="AB173" s="13"/>
    </row>
    <row r="174" spans="10:28" ht="15.6" customHeight="1" x14ac:dyDescent="0.3">
      <c r="J174" s="2">
        <v>170</v>
      </c>
      <c r="K174" s="41" t="s">
        <v>33</v>
      </c>
      <c r="L174" s="41" t="s">
        <v>32</v>
      </c>
      <c r="M174" s="41" t="s">
        <v>33</v>
      </c>
      <c r="N174" s="41" t="s">
        <v>34</v>
      </c>
      <c r="O174" s="41" t="s">
        <v>33</v>
      </c>
      <c r="Q174" s="17">
        <f t="shared" si="15"/>
        <v>8</v>
      </c>
      <c r="R174" s="17">
        <f t="shared" si="16"/>
        <v>7</v>
      </c>
      <c r="S174" s="17">
        <f t="shared" si="17"/>
        <v>8</v>
      </c>
      <c r="T174" s="17">
        <f t="shared" si="18"/>
        <v>9</v>
      </c>
      <c r="U174" s="17">
        <f t="shared" si="19"/>
        <v>8</v>
      </c>
      <c r="W174" s="7">
        <v>8680</v>
      </c>
      <c r="X174" s="7">
        <v>8833</v>
      </c>
      <c r="Y174" s="7">
        <v>8956</v>
      </c>
      <c r="Z174" s="7">
        <v>10719</v>
      </c>
      <c r="AA174" s="7">
        <v>10237</v>
      </c>
      <c r="AB174" s="13"/>
    </row>
    <row r="175" spans="10:28" ht="15.6" customHeight="1" x14ac:dyDescent="0.3">
      <c r="J175" s="2">
        <v>171</v>
      </c>
      <c r="K175" s="41" t="s">
        <v>29</v>
      </c>
      <c r="L175" s="41" t="s">
        <v>32</v>
      </c>
      <c r="M175" s="41" t="s">
        <v>31</v>
      </c>
      <c r="N175" s="41" t="s">
        <v>34</v>
      </c>
      <c r="O175" s="41" t="s">
        <v>32</v>
      </c>
      <c r="Q175" s="17">
        <f t="shared" si="15"/>
        <v>4</v>
      </c>
      <c r="R175" s="17">
        <f t="shared" si="16"/>
        <v>7</v>
      </c>
      <c r="S175" s="17">
        <f t="shared" si="17"/>
        <v>6</v>
      </c>
      <c r="T175" s="17">
        <f t="shared" si="18"/>
        <v>9</v>
      </c>
      <c r="U175" s="17">
        <f t="shared" si="19"/>
        <v>7</v>
      </c>
      <c r="W175" s="7">
        <v>8680</v>
      </c>
      <c r="X175" s="7">
        <v>8833</v>
      </c>
      <c r="Y175" s="7">
        <v>8956</v>
      </c>
      <c r="Z175" s="7">
        <v>10719</v>
      </c>
      <c r="AA175" s="7">
        <v>10237</v>
      </c>
      <c r="AB175" s="13"/>
    </row>
    <row r="176" spans="10:28" ht="15.6" customHeight="1" x14ac:dyDescent="0.3">
      <c r="J176" s="2">
        <v>172</v>
      </c>
      <c r="K176" s="41" t="s">
        <v>34</v>
      </c>
      <c r="L176" s="41" t="s">
        <v>34</v>
      </c>
      <c r="M176" s="41" t="s">
        <v>35</v>
      </c>
      <c r="N176" s="41" t="s">
        <v>31</v>
      </c>
      <c r="O176" s="41" t="s">
        <v>34</v>
      </c>
      <c r="Q176" s="17">
        <f t="shared" si="15"/>
        <v>9</v>
      </c>
      <c r="R176" s="17">
        <f t="shared" si="16"/>
        <v>9</v>
      </c>
      <c r="S176" s="17">
        <f t="shared" si="17"/>
        <v>10</v>
      </c>
      <c r="T176" s="17">
        <f t="shared" si="18"/>
        <v>6</v>
      </c>
      <c r="U176" s="17">
        <f t="shared" si="19"/>
        <v>9</v>
      </c>
      <c r="W176" s="7">
        <v>8680</v>
      </c>
      <c r="X176" s="7">
        <v>8833</v>
      </c>
      <c r="Y176" s="7">
        <v>8956</v>
      </c>
      <c r="Z176" s="7">
        <v>10719</v>
      </c>
      <c r="AA176" s="7">
        <v>10237</v>
      </c>
      <c r="AB176" s="13"/>
    </row>
    <row r="177" spans="10:28" ht="15.6" customHeight="1" x14ac:dyDescent="0.3">
      <c r="J177" s="2">
        <v>173</v>
      </c>
      <c r="K177" s="41" t="s">
        <v>34</v>
      </c>
      <c r="L177" s="41" t="s">
        <v>31</v>
      </c>
      <c r="M177" s="41" t="s">
        <v>32</v>
      </c>
      <c r="N177" s="41" t="s">
        <v>33</v>
      </c>
      <c r="O177" s="41" t="s">
        <v>34</v>
      </c>
      <c r="Q177" s="17">
        <f t="shared" si="15"/>
        <v>9</v>
      </c>
      <c r="R177" s="17">
        <f t="shared" si="16"/>
        <v>6</v>
      </c>
      <c r="S177" s="17">
        <f t="shared" si="17"/>
        <v>7</v>
      </c>
      <c r="T177" s="17">
        <f t="shared" si="18"/>
        <v>8</v>
      </c>
      <c r="U177" s="17">
        <f t="shared" si="19"/>
        <v>9</v>
      </c>
      <c r="W177" s="7">
        <v>8680</v>
      </c>
      <c r="X177" s="7">
        <v>8833</v>
      </c>
      <c r="Y177" s="7">
        <v>8956</v>
      </c>
      <c r="Z177" s="7">
        <v>10719</v>
      </c>
      <c r="AA177" s="7">
        <v>10237</v>
      </c>
      <c r="AB177" s="13"/>
    </row>
    <row r="178" spans="10:28" ht="15.6" customHeight="1" x14ac:dyDescent="0.3">
      <c r="J178" s="2">
        <v>174</v>
      </c>
      <c r="K178" s="41" t="s">
        <v>34</v>
      </c>
      <c r="L178" s="41" t="s">
        <v>29</v>
      </c>
      <c r="M178" s="41" t="s">
        <v>34</v>
      </c>
      <c r="N178" s="41" t="s">
        <v>34</v>
      </c>
      <c r="O178" s="41" t="s">
        <v>34</v>
      </c>
      <c r="Q178" s="17">
        <f t="shared" si="15"/>
        <v>9</v>
      </c>
      <c r="R178" s="17">
        <f t="shared" si="16"/>
        <v>4</v>
      </c>
      <c r="S178" s="17">
        <f t="shared" si="17"/>
        <v>9</v>
      </c>
      <c r="T178" s="17">
        <f t="shared" si="18"/>
        <v>9</v>
      </c>
      <c r="U178" s="17">
        <f t="shared" si="19"/>
        <v>9</v>
      </c>
      <c r="W178" s="7">
        <v>10415</v>
      </c>
      <c r="X178" s="7">
        <v>8833</v>
      </c>
      <c r="Y178" s="7">
        <v>8956</v>
      </c>
      <c r="Z178" s="7">
        <v>10719</v>
      </c>
      <c r="AA178" s="7">
        <v>8530</v>
      </c>
      <c r="AB178" s="13"/>
    </row>
    <row r="179" spans="10:28" ht="15.6" customHeight="1" x14ac:dyDescent="0.3">
      <c r="J179" s="2">
        <v>175</v>
      </c>
      <c r="K179" s="41" t="s">
        <v>28</v>
      </c>
      <c r="L179" s="41" t="s">
        <v>32</v>
      </c>
      <c r="M179" s="41" t="s">
        <v>34</v>
      </c>
      <c r="N179" s="41" t="s">
        <v>33</v>
      </c>
      <c r="O179" s="41" t="s">
        <v>35</v>
      </c>
      <c r="Q179" s="17">
        <f t="shared" si="15"/>
        <v>3</v>
      </c>
      <c r="R179" s="17">
        <f t="shared" si="16"/>
        <v>7</v>
      </c>
      <c r="S179" s="17">
        <f t="shared" si="17"/>
        <v>9</v>
      </c>
      <c r="T179" s="17">
        <f t="shared" si="18"/>
        <v>8</v>
      </c>
      <c r="U179" s="17">
        <f t="shared" si="19"/>
        <v>10</v>
      </c>
      <c r="W179" s="7">
        <v>8680</v>
      </c>
      <c r="X179" s="7">
        <v>10599</v>
      </c>
      <c r="Y179" s="7">
        <v>10748</v>
      </c>
      <c r="Z179" s="7">
        <v>10719</v>
      </c>
      <c r="AA179" s="7">
        <v>11261</v>
      </c>
      <c r="AB179" s="13"/>
    </row>
    <row r="180" spans="10:28" ht="15.6" customHeight="1" x14ac:dyDescent="0.3">
      <c r="J180" s="2">
        <v>176</v>
      </c>
      <c r="K180" s="41" t="s">
        <v>35</v>
      </c>
      <c r="L180" s="41" t="s">
        <v>31</v>
      </c>
      <c r="M180" s="41" t="s">
        <v>35</v>
      </c>
      <c r="N180" s="41" t="s">
        <v>34</v>
      </c>
      <c r="O180" s="41" t="s">
        <v>30</v>
      </c>
      <c r="Q180" s="17">
        <f t="shared" si="15"/>
        <v>10</v>
      </c>
      <c r="R180" s="17">
        <f t="shared" si="16"/>
        <v>6</v>
      </c>
      <c r="S180" s="17">
        <f t="shared" si="17"/>
        <v>10</v>
      </c>
      <c r="T180" s="17">
        <f t="shared" si="18"/>
        <v>9</v>
      </c>
      <c r="U180" s="17">
        <f t="shared" si="19"/>
        <v>5</v>
      </c>
      <c r="W180" s="7">
        <v>8680</v>
      </c>
      <c r="X180" s="7">
        <v>8833</v>
      </c>
      <c r="Y180" s="7">
        <v>10748</v>
      </c>
      <c r="Z180" s="7">
        <v>10719</v>
      </c>
      <c r="AA180" s="7">
        <v>11261</v>
      </c>
      <c r="AB180" s="13"/>
    </row>
    <row r="181" spans="10:28" ht="15.6" customHeight="1" x14ac:dyDescent="0.3">
      <c r="J181" s="2">
        <v>177</v>
      </c>
      <c r="K181" s="41" t="s">
        <v>32</v>
      </c>
      <c r="L181" s="41" t="s">
        <v>29</v>
      </c>
      <c r="M181" s="41" t="s">
        <v>32</v>
      </c>
      <c r="N181" s="41" t="s">
        <v>42</v>
      </c>
      <c r="O181" s="41" t="s">
        <v>30</v>
      </c>
      <c r="Q181" s="17">
        <f t="shared" si="15"/>
        <v>7</v>
      </c>
      <c r="R181" s="17">
        <f t="shared" si="16"/>
        <v>4</v>
      </c>
      <c r="S181" s="17">
        <f t="shared" si="17"/>
        <v>7</v>
      </c>
      <c r="T181" s="17">
        <f t="shared" si="18"/>
        <v>14</v>
      </c>
      <c r="U181" s="17">
        <f t="shared" si="19"/>
        <v>5</v>
      </c>
      <c r="W181" s="7">
        <v>8680</v>
      </c>
      <c r="X181" s="7">
        <v>8833</v>
      </c>
      <c r="Y181" s="7">
        <v>10748</v>
      </c>
      <c r="Z181" s="7">
        <v>10719</v>
      </c>
      <c r="AA181" s="7">
        <v>13513</v>
      </c>
      <c r="AB181" s="13"/>
    </row>
    <row r="182" spans="10:28" ht="15.6" customHeight="1" x14ac:dyDescent="0.3">
      <c r="J182" s="2">
        <v>178</v>
      </c>
      <c r="K182" s="41" t="s">
        <v>32</v>
      </c>
      <c r="L182" s="41" t="s">
        <v>35</v>
      </c>
      <c r="M182" s="41" t="s">
        <v>29</v>
      </c>
      <c r="N182" s="41" t="s">
        <v>28</v>
      </c>
      <c r="O182" s="41" t="s">
        <v>26</v>
      </c>
      <c r="Q182" s="17">
        <f t="shared" si="15"/>
        <v>7</v>
      </c>
      <c r="R182" s="17">
        <f t="shared" si="16"/>
        <v>10</v>
      </c>
      <c r="S182" s="17">
        <f t="shared" si="17"/>
        <v>4</v>
      </c>
      <c r="T182" s="17">
        <f t="shared" si="18"/>
        <v>3</v>
      </c>
      <c r="U182" s="17">
        <f t="shared" si="19"/>
        <v>2</v>
      </c>
      <c r="W182" s="7">
        <v>10415</v>
      </c>
      <c r="X182" s="7">
        <v>8833</v>
      </c>
      <c r="Y182" s="7">
        <v>10748</v>
      </c>
      <c r="Z182" s="7">
        <v>8933</v>
      </c>
      <c r="AA182" s="7">
        <v>11261</v>
      </c>
      <c r="AB182" s="13"/>
    </row>
    <row r="183" spans="10:28" ht="15.6" customHeight="1" x14ac:dyDescent="0.3">
      <c r="J183" s="2">
        <v>179</v>
      </c>
      <c r="K183" s="41" t="s">
        <v>33</v>
      </c>
      <c r="L183" s="41" t="s">
        <v>29</v>
      </c>
      <c r="M183" s="41" t="s">
        <v>44</v>
      </c>
      <c r="N183" s="41" t="s">
        <v>35</v>
      </c>
      <c r="O183" s="41" t="s">
        <v>29</v>
      </c>
      <c r="Q183" s="17">
        <f t="shared" si="15"/>
        <v>8</v>
      </c>
      <c r="R183" s="17">
        <f t="shared" si="16"/>
        <v>4</v>
      </c>
      <c r="S183" s="17">
        <f t="shared" si="17"/>
        <v>15</v>
      </c>
      <c r="T183" s="17">
        <f t="shared" si="18"/>
        <v>10</v>
      </c>
      <c r="U183" s="17">
        <f t="shared" si="19"/>
        <v>4</v>
      </c>
      <c r="W183" s="7">
        <v>8680</v>
      </c>
      <c r="X183" s="7">
        <v>8833</v>
      </c>
      <c r="Y183" s="7">
        <v>10748</v>
      </c>
      <c r="Z183" s="7">
        <v>8933</v>
      </c>
      <c r="AA183" s="7">
        <v>8530</v>
      </c>
      <c r="AB183" s="13"/>
    </row>
    <row r="184" spans="10:28" ht="15.6" customHeight="1" x14ac:dyDescent="0.3">
      <c r="J184" s="2">
        <v>180</v>
      </c>
      <c r="K184" s="41" t="s">
        <v>28</v>
      </c>
      <c r="L184" s="41" t="s">
        <v>42</v>
      </c>
      <c r="M184" s="41" t="s">
        <v>30</v>
      </c>
      <c r="N184" s="41" t="s">
        <v>34</v>
      </c>
      <c r="O184" s="41" t="s">
        <v>29</v>
      </c>
      <c r="Q184" s="17">
        <f t="shared" si="15"/>
        <v>3</v>
      </c>
      <c r="R184" s="17">
        <f t="shared" si="16"/>
        <v>14</v>
      </c>
      <c r="S184" s="17">
        <f t="shared" si="17"/>
        <v>5</v>
      </c>
      <c r="T184" s="17">
        <f t="shared" si="18"/>
        <v>9</v>
      </c>
      <c r="U184" s="17">
        <f t="shared" si="19"/>
        <v>4</v>
      </c>
      <c r="W184" s="7">
        <v>8680</v>
      </c>
      <c r="X184" s="7">
        <v>8833</v>
      </c>
      <c r="Y184" s="7">
        <v>10748</v>
      </c>
      <c r="Z184" s="7">
        <v>8933</v>
      </c>
      <c r="AA184" s="7">
        <v>8530</v>
      </c>
      <c r="AB184" s="13"/>
    </row>
    <row r="185" spans="10:28" ht="15.6" customHeight="1" x14ac:dyDescent="0.3">
      <c r="J185" s="2">
        <v>181</v>
      </c>
      <c r="K185" s="41" t="s">
        <v>35</v>
      </c>
      <c r="L185" s="41" t="s">
        <v>50</v>
      </c>
      <c r="M185" s="41" t="s">
        <v>35</v>
      </c>
      <c r="N185" s="41" t="s">
        <v>34</v>
      </c>
      <c r="O185" s="41" t="s">
        <v>29</v>
      </c>
      <c r="Q185" s="17">
        <f t="shared" si="15"/>
        <v>10</v>
      </c>
      <c r="R185" s="17">
        <f t="shared" si="16"/>
        <v>18</v>
      </c>
      <c r="S185" s="17">
        <f t="shared" si="17"/>
        <v>10</v>
      </c>
      <c r="T185" s="17">
        <f t="shared" si="18"/>
        <v>9</v>
      </c>
      <c r="U185" s="17">
        <f t="shared" si="19"/>
        <v>4</v>
      </c>
      <c r="W185" s="7">
        <v>8680</v>
      </c>
      <c r="X185" s="7">
        <v>8833</v>
      </c>
      <c r="Y185" s="7">
        <v>10748</v>
      </c>
      <c r="Z185" s="7">
        <v>8933</v>
      </c>
      <c r="AA185" s="7">
        <v>8530</v>
      </c>
      <c r="AB185" s="13"/>
    </row>
    <row r="186" spans="10:28" ht="15.6" customHeight="1" x14ac:dyDescent="0.3">
      <c r="J186" s="2">
        <v>182</v>
      </c>
      <c r="K186" s="41" t="s">
        <v>35</v>
      </c>
      <c r="L186" s="41" t="s">
        <v>31</v>
      </c>
      <c r="M186" s="41" t="s">
        <v>31</v>
      </c>
      <c r="N186" s="41" t="s">
        <v>31</v>
      </c>
      <c r="O186" s="41" t="s">
        <v>31</v>
      </c>
      <c r="Q186" s="17">
        <f t="shared" si="15"/>
        <v>10</v>
      </c>
      <c r="R186" s="17">
        <f t="shared" si="16"/>
        <v>6</v>
      </c>
      <c r="S186" s="17">
        <f t="shared" si="17"/>
        <v>6</v>
      </c>
      <c r="T186" s="17">
        <f t="shared" si="18"/>
        <v>6</v>
      </c>
      <c r="U186" s="17">
        <f t="shared" si="19"/>
        <v>6</v>
      </c>
      <c r="W186" s="7">
        <v>10415</v>
      </c>
      <c r="X186" s="7">
        <v>8833</v>
      </c>
      <c r="Y186" s="7">
        <v>10748</v>
      </c>
      <c r="Z186" s="7">
        <v>8932</v>
      </c>
      <c r="AA186" s="7">
        <v>10237</v>
      </c>
      <c r="AB186" s="13"/>
    </row>
    <row r="187" spans="10:28" ht="15.6" customHeight="1" x14ac:dyDescent="0.3">
      <c r="J187" s="2">
        <v>183</v>
      </c>
      <c r="K187" s="41" t="s">
        <v>29</v>
      </c>
      <c r="L187" s="41" t="s">
        <v>32</v>
      </c>
      <c r="M187" s="41" t="s">
        <v>35</v>
      </c>
      <c r="N187" s="41" t="s">
        <v>34</v>
      </c>
      <c r="O187" s="41" t="s">
        <v>32</v>
      </c>
      <c r="Q187" s="17">
        <f t="shared" si="15"/>
        <v>4</v>
      </c>
      <c r="R187" s="17">
        <f t="shared" si="16"/>
        <v>7</v>
      </c>
      <c r="S187" s="17">
        <f t="shared" si="17"/>
        <v>10</v>
      </c>
      <c r="T187" s="17">
        <f t="shared" si="18"/>
        <v>9</v>
      </c>
      <c r="U187" s="17">
        <f t="shared" si="19"/>
        <v>7</v>
      </c>
      <c r="W187" s="7">
        <v>13750</v>
      </c>
      <c r="X187" s="7">
        <v>8833</v>
      </c>
      <c r="Y187" s="7">
        <v>10748</v>
      </c>
      <c r="Z187" s="7">
        <v>8932</v>
      </c>
      <c r="AA187" s="7">
        <v>10237</v>
      </c>
      <c r="AB187" s="13"/>
    </row>
    <row r="188" spans="10:28" ht="15.6" customHeight="1" x14ac:dyDescent="0.3">
      <c r="J188" s="2">
        <v>184</v>
      </c>
      <c r="K188" s="41" t="s">
        <v>30</v>
      </c>
      <c r="L188" s="41" t="s">
        <v>31</v>
      </c>
      <c r="M188" s="41" t="s">
        <v>32</v>
      </c>
      <c r="N188" s="41" t="s">
        <v>33</v>
      </c>
      <c r="O188" s="41" t="s">
        <v>32</v>
      </c>
      <c r="Q188" s="17">
        <f t="shared" si="15"/>
        <v>5</v>
      </c>
      <c r="R188" s="17">
        <f t="shared" si="16"/>
        <v>6</v>
      </c>
      <c r="S188" s="17">
        <f t="shared" si="17"/>
        <v>7</v>
      </c>
      <c r="T188" s="17">
        <f t="shared" si="18"/>
        <v>8</v>
      </c>
      <c r="U188" s="17">
        <f t="shared" si="19"/>
        <v>7</v>
      </c>
      <c r="W188" s="7">
        <v>13750</v>
      </c>
      <c r="X188" s="7">
        <v>8833</v>
      </c>
      <c r="Y188" s="7">
        <v>8956</v>
      </c>
      <c r="Z188" s="7">
        <v>8932</v>
      </c>
      <c r="AA188" s="7">
        <v>8530</v>
      </c>
      <c r="AB188" s="13"/>
    </row>
    <row r="189" spans="10:28" ht="15.6" customHeight="1" x14ac:dyDescent="0.3">
      <c r="J189" s="2">
        <v>185</v>
      </c>
      <c r="K189" s="41" t="s">
        <v>32</v>
      </c>
      <c r="L189" s="41" t="s">
        <v>29</v>
      </c>
      <c r="M189" s="41" t="s">
        <v>35</v>
      </c>
      <c r="N189" s="41" t="s">
        <v>32</v>
      </c>
      <c r="O189" s="41" t="s">
        <v>28</v>
      </c>
      <c r="Q189" s="17">
        <f t="shared" si="15"/>
        <v>7</v>
      </c>
      <c r="R189" s="17">
        <f t="shared" si="16"/>
        <v>4</v>
      </c>
      <c r="S189" s="17">
        <f t="shared" si="17"/>
        <v>10</v>
      </c>
      <c r="T189" s="17">
        <f t="shared" si="18"/>
        <v>7</v>
      </c>
      <c r="U189" s="17">
        <f t="shared" si="19"/>
        <v>3</v>
      </c>
      <c r="W189" s="7">
        <v>13750</v>
      </c>
      <c r="X189" s="7">
        <v>8833</v>
      </c>
      <c r="Y189" s="7">
        <v>8956</v>
      </c>
      <c r="Z189" s="7">
        <v>8932</v>
      </c>
      <c r="AA189" s="7">
        <v>8530</v>
      </c>
      <c r="AB189" s="13"/>
    </row>
    <row r="190" spans="10:28" ht="15.6" customHeight="1" x14ac:dyDescent="0.3">
      <c r="J190" s="2">
        <v>186</v>
      </c>
      <c r="K190" s="41" t="s">
        <v>26</v>
      </c>
      <c r="L190" s="41" t="s">
        <v>29</v>
      </c>
      <c r="M190" s="41" t="s">
        <v>50</v>
      </c>
      <c r="N190" s="41" t="s">
        <v>31</v>
      </c>
      <c r="O190" s="41" t="s">
        <v>32</v>
      </c>
      <c r="Q190" s="17">
        <f t="shared" si="15"/>
        <v>2</v>
      </c>
      <c r="R190" s="17">
        <f t="shared" si="16"/>
        <v>4</v>
      </c>
      <c r="S190" s="17">
        <f t="shared" si="17"/>
        <v>18</v>
      </c>
      <c r="T190" s="17">
        <f t="shared" si="18"/>
        <v>6</v>
      </c>
      <c r="U190" s="17">
        <f t="shared" si="19"/>
        <v>7</v>
      </c>
      <c r="W190" s="7">
        <v>13750</v>
      </c>
      <c r="X190" s="7">
        <v>8833</v>
      </c>
      <c r="Y190" s="7">
        <v>8956</v>
      </c>
      <c r="Z190" s="7">
        <v>8932</v>
      </c>
      <c r="AA190" s="7">
        <v>8530</v>
      </c>
      <c r="AB190" s="13"/>
    </row>
    <row r="191" spans="10:28" ht="15.6" customHeight="1" x14ac:dyDescent="0.3">
      <c r="J191" s="2">
        <v>187</v>
      </c>
      <c r="K191" s="41" t="s">
        <v>28</v>
      </c>
      <c r="L191" s="41" t="s">
        <v>29</v>
      </c>
      <c r="M191" s="41" t="s">
        <v>34</v>
      </c>
      <c r="N191" s="41" t="s">
        <v>31</v>
      </c>
      <c r="O191" s="41" t="s">
        <v>31</v>
      </c>
      <c r="Q191" s="17">
        <f t="shared" si="15"/>
        <v>3</v>
      </c>
      <c r="R191" s="17">
        <f t="shared" si="16"/>
        <v>4</v>
      </c>
      <c r="S191" s="17">
        <f t="shared" si="17"/>
        <v>9</v>
      </c>
      <c r="T191" s="17">
        <f t="shared" si="18"/>
        <v>6</v>
      </c>
      <c r="U191" s="17">
        <f t="shared" si="19"/>
        <v>6</v>
      </c>
      <c r="W191" s="7">
        <v>10415</v>
      </c>
      <c r="X191" s="7">
        <v>10599</v>
      </c>
      <c r="Y191" s="7">
        <v>10748</v>
      </c>
      <c r="Z191" s="7">
        <v>8932</v>
      </c>
      <c r="AA191" s="7">
        <v>8530</v>
      </c>
      <c r="AB191" s="13"/>
    </row>
    <row r="192" spans="10:28" ht="15.6" customHeight="1" x14ac:dyDescent="0.3">
      <c r="J192" s="2">
        <v>188</v>
      </c>
      <c r="K192" s="41" t="s">
        <v>34</v>
      </c>
      <c r="L192" s="41" t="s">
        <v>32</v>
      </c>
      <c r="M192" s="41" t="s">
        <v>33</v>
      </c>
      <c r="N192" s="41" t="s">
        <v>34</v>
      </c>
      <c r="O192" s="41" t="s">
        <v>35</v>
      </c>
      <c r="Q192" s="17">
        <f t="shared" si="15"/>
        <v>9</v>
      </c>
      <c r="R192" s="17">
        <f t="shared" si="16"/>
        <v>7</v>
      </c>
      <c r="S192" s="17">
        <f t="shared" si="17"/>
        <v>8</v>
      </c>
      <c r="T192" s="17">
        <f t="shared" si="18"/>
        <v>9</v>
      </c>
      <c r="U192" s="17">
        <f t="shared" si="19"/>
        <v>10</v>
      </c>
      <c r="W192" s="7">
        <v>10415</v>
      </c>
      <c r="X192" s="7">
        <v>10599</v>
      </c>
      <c r="Y192" s="7">
        <v>8956</v>
      </c>
      <c r="Z192" s="7">
        <v>8932</v>
      </c>
      <c r="AA192" s="7">
        <v>10237</v>
      </c>
      <c r="AB192" s="13"/>
    </row>
    <row r="193" spans="10:28" ht="15.6" customHeight="1" x14ac:dyDescent="0.3">
      <c r="J193" s="2">
        <v>189</v>
      </c>
      <c r="K193" s="41" t="s">
        <v>29</v>
      </c>
      <c r="L193" s="41" t="s">
        <v>42</v>
      </c>
      <c r="M193" s="41" t="s">
        <v>35</v>
      </c>
      <c r="N193" s="41" t="s">
        <v>46</v>
      </c>
      <c r="O193" s="41" t="s">
        <v>31</v>
      </c>
      <c r="Q193" s="17">
        <f t="shared" si="15"/>
        <v>4</v>
      </c>
      <c r="R193" s="17">
        <f t="shared" si="16"/>
        <v>14</v>
      </c>
      <c r="S193" s="17">
        <f t="shared" si="17"/>
        <v>10</v>
      </c>
      <c r="T193" s="17">
        <f t="shared" si="18"/>
        <v>16</v>
      </c>
      <c r="U193" s="17">
        <f t="shared" si="19"/>
        <v>6</v>
      </c>
      <c r="W193" s="7">
        <v>10415</v>
      </c>
      <c r="X193" s="7">
        <v>10599</v>
      </c>
      <c r="Y193" s="7">
        <v>8956</v>
      </c>
      <c r="Z193" s="7">
        <v>8932</v>
      </c>
      <c r="AA193" s="7">
        <v>10237</v>
      </c>
      <c r="AB193" s="13"/>
    </row>
    <row r="194" spans="10:28" ht="15.6" customHeight="1" x14ac:dyDescent="0.3">
      <c r="J194" s="2">
        <v>190</v>
      </c>
      <c r="K194" s="41" t="s">
        <v>32</v>
      </c>
      <c r="L194" s="41" t="s">
        <v>34</v>
      </c>
      <c r="M194" s="41" t="s">
        <v>35</v>
      </c>
      <c r="N194" s="41" t="s">
        <v>31</v>
      </c>
      <c r="O194" s="41" t="s">
        <v>34</v>
      </c>
      <c r="Q194" s="17">
        <f t="shared" si="15"/>
        <v>7</v>
      </c>
      <c r="R194" s="17">
        <f t="shared" si="16"/>
        <v>9</v>
      </c>
      <c r="S194" s="17">
        <f t="shared" si="17"/>
        <v>10</v>
      </c>
      <c r="T194" s="17">
        <f t="shared" si="18"/>
        <v>6</v>
      </c>
      <c r="U194" s="17">
        <f t="shared" si="19"/>
        <v>9</v>
      </c>
      <c r="W194" s="7">
        <v>10415</v>
      </c>
      <c r="X194" s="7">
        <v>10599</v>
      </c>
      <c r="Y194" s="7">
        <v>8956</v>
      </c>
      <c r="Z194" s="7">
        <v>8932</v>
      </c>
      <c r="AA194" s="7">
        <v>10237</v>
      </c>
      <c r="AB194" s="13"/>
    </row>
    <row r="195" spans="10:28" ht="15.6" customHeight="1" x14ac:dyDescent="0.3">
      <c r="J195" s="2">
        <v>191</v>
      </c>
      <c r="K195" s="41" t="s">
        <v>35</v>
      </c>
      <c r="L195" s="41" t="s">
        <v>35</v>
      </c>
      <c r="M195" s="41" t="s">
        <v>48</v>
      </c>
      <c r="N195" s="41" t="s">
        <v>31</v>
      </c>
      <c r="O195" s="41" t="s">
        <v>28</v>
      </c>
      <c r="Q195" s="17">
        <f t="shared" si="15"/>
        <v>10</v>
      </c>
      <c r="R195" s="17">
        <f t="shared" si="16"/>
        <v>10</v>
      </c>
      <c r="S195" s="17">
        <f t="shared" si="17"/>
        <v>17</v>
      </c>
      <c r="T195" s="17">
        <f t="shared" si="18"/>
        <v>6</v>
      </c>
      <c r="U195" s="17">
        <f t="shared" si="19"/>
        <v>3</v>
      </c>
      <c r="W195" s="7">
        <v>10415</v>
      </c>
      <c r="X195" s="7">
        <v>13992</v>
      </c>
      <c r="Y195" s="7">
        <v>10748</v>
      </c>
      <c r="Z195" s="7">
        <v>8932</v>
      </c>
      <c r="AA195" s="7">
        <v>10237</v>
      </c>
      <c r="AB195" s="13"/>
    </row>
    <row r="196" spans="10:28" ht="15.6" customHeight="1" x14ac:dyDescent="0.3">
      <c r="J196" s="2">
        <v>192</v>
      </c>
      <c r="K196" s="41" t="s">
        <v>33</v>
      </c>
      <c r="L196" s="41" t="s">
        <v>38</v>
      </c>
      <c r="M196" s="41" t="s">
        <v>31</v>
      </c>
      <c r="N196" s="41" t="s">
        <v>31</v>
      </c>
      <c r="O196" s="41" t="s">
        <v>34</v>
      </c>
      <c r="Q196" s="17">
        <f t="shared" ref="Q196:Q259" si="20">IF(K196="","",VLOOKUP(K196,$A$4:$H$22,8,FALSE))</f>
        <v>8</v>
      </c>
      <c r="R196" s="17">
        <f t="shared" ref="R196:R259" si="21">IF(L196="","",VLOOKUP(L196,$A$4:$H$22,8,FALSE))</f>
        <v>12</v>
      </c>
      <c r="S196" s="17">
        <f t="shared" ref="S196:S259" si="22">IF(M196="","",VLOOKUP(M196,$A$4:$H$22,8,FALSE))</f>
        <v>6</v>
      </c>
      <c r="T196" s="17">
        <f t="shared" ref="T196:T259" si="23">IF(N196="","",VLOOKUP(N196,$A$4:$H$22,8,FALSE))</f>
        <v>6</v>
      </c>
      <c r="U196" s="17">
        <f t="shared" ref="U196:U259" si="24">IF(O196="","",VLOOKUP(O196,$A$4:$H$22,8,FALSE))</f>
        <v>9</v>
      </c>
      <c r="W196" s="7">
        <v>10415</v>
      </c>
      <c r="X196" s="7">
        <v>13992</v>
      </c>
      <c r="Y196" s="7">
        <v>8956</v>
      </c>
      <c r="Z196" s="7">
        <v>11792</v>
      </c>
      <c r="AA196" s="7">
        <v>10237</v>
      </c>
      <c r="AB196" s="13"/>
    </row>
    <row r="197" spans="10:28" ht="15.6" customHeight="1" x14ac:dyDescent="0.3">
      <c r="J197" s="2">
        <v>193</v>
      </c>
      <c r="K197" s="41" t="s">
        <v>35</v>
      </c>
      <c r="L197" s="41" t="s">
        <v>29</v>
      </c>
      <c r="M197" s="41" t="s">
        <v>31</v>
      </c>
      <c r="N197" s="41" t="s">
        <v>34</v>
      </c>
      <c r="O197" s="41" t="s">
        <v>29</v>
      </c>
      <c r="Q197" s="17">
        <f t="shared" si="20"/>
        <v>10</v>
      </c>
      <c r="R197" s="17">
        <f t="shared" si="21"/>
        <v>4</v>
      </c>
      <c r="S197" s="17">
        <f t="shared" si="22"/>
        <v>6</v>
      </c>
      <c r="T197" s="17">
        <f t="shared" si="23"/>
        <v>9</v>
      </c>
      <c r="U197" s="17">
        <f t="shared" si="24"/>
        <v>4</v>
      </c>
      <c r="W197" s="7">
        <v>10415</v>
      </c>
      <c r="X197" s="7">
        <v>13992</v>
      </c>
      <c r="Y197" s="7">
        <v>8956</v>
      </c>
      <c r="Z197" s="7">
        <v>14150</v>
      </c>
      <c r="AA197" s="7">
        <v>8530</v>
      </c>
      <c r="AB197" s="13"/>
    </row>
    <row r="198" spans="10:28" ht="15.6" customHeight="1" x14ac:dyDescent="0.3">
      <c r="J198" s="2">
        <v>194</v>
      </c>
      <c r="K198" s="41" t="s">
        <v>32</v>
      </c>
      <c r="L198" s="41" t="s">
        <v>26</v>
      </c>
      <c r="M198" s="41" t="s">
        <v>29</v>
      </c>
      <c r="N198" s="41" t="s">
        <v>31</v>
      </c>
      <c r="O198" s="41" t="s">
        <v>32</v>
      </c>
      <c r="Q198" s="17">
        <f t="shared" si="20"/>
        <v>7</v>
      </c>
      <c r="R198" s="17">
        <f t="shared" si="21"/>
        <v>2</v>
      </c>
      <c r="S198" s="17">
        <f t="shared" si="22"/>
        <v>4</v>
      </c>
      <c r="T198" s="17">
        <f t="shared" si="23"/>
        <v>6</v>
      </c>
      <c r="U198" s="17">
        <f t="shared" si="24"/>
        <v>7</v>
      </c>
      <c r="W198" s="7">
        <v>10415</v>
      </c>
      <c r="X198" s="7">
        <v>13992</v>
      </c>
      <c r="Y198" s="7">
        <v>8956</v>
      </c>
      <c r="Z198" s="7">
        <v>14150</v>
      </c>
      <c r="AA198" s="7">
        <v>8530</v>
      </c>
      <c r="AB198" s="13"/>
    </row>
    <row r="199" spans="10:28" ht="15.6" customHeight="1" x14ac:dyDescent="0.3">
      <c r="J199" s="2">
        <v>195</v>
      </c>
      <c r="K199" s="41" t="s">
        <v>33</v>
      </c>
      <c r="L199" s="41" t="s">
        <v>29</v>
      </c>
      <c r="M199" s="41" t="s">
        <v>30</v>
      </c>
      <c r="N199" s="41" t="s">
        <v>26</v>
      </c>
      <c r="O199" s="41" t="s">
        <v>30</v>
      </c>
      <c r="Q199" s="17">
        <f t="shared" si="20"/>
        <v>8</v>
      </c>
      <c r="R199" s="17">
        <f t="shared" si="21"/>
        <v>4</v>
      </c>
      <c r="S199" s="17">
        <f t="shared" si="22"/>
        <v>5</v>
      </c>
      <c r="T199" s="17">
        <f t="shared" si="23"/>
        <v>2</v>
      </c>
      <c r="U199" s="17">
        <f t="shared" si="24"/>
        <v>5</v>
      </c>
      <c r="W199" s="7">
        <v>10415</v>
      </c>
      <c r="X199" s="7">
        <v>10599</v>
      </c>
      <c r="Y199" s="7">
        <v>8956</v>
      </c>
      <c r="Z199" s="7">
        <v>11792</v>
      </c>
      <c r="AA199" s="7">
        <v>8530</v>
      </c>
      <c r="AB199" s="13"/>
    </row>
    <row r="200" spans="10:28" ht="15.6" customHeight="1" x14ac:dyDescent="0.3">
      <c r="J200" s="2">
        <v>196</v>
      </c>
      <c r="K200" s="41" t="s">
        <v>29</v>
      </c>
      <c r="L200" s="41" t="s">
        <v>32</v>
      </c>
      <c r="M200" s="41" t="s">
        <v>29</v>
      </c>
      <c r="N200" s="41" t="s">
        <v>30</v>
      </c>
      <c r="O200" s="41" t="s">
        <v>33</v>
      </c>
      <c r="Q200" s="17">
        <f t="shared" si="20"/>
        <v>4</v>
      </c>
      <c r="R200" s="17">
        <f t="shared" si="21"/>
        <v>7</v>
      </c>
      <c r="S200" s="17">
        <f t="shared" si="22"/>
        <v>4</v>
      </c>
      <c r="T200" s="17">
        <f t="shared" si="23"/>
        <v>5</v>
      </c>
      <c r="U200" s="17">
        <f t="shared" si="24"/>
        <v>8</v>
      </c>
      <c r="W200" s="7">
        <v>10415</v>
      </c>
      <c r="X200" s="7">
        <v>10599</v>
      </c>
      <c r="Y200" s="7">
        <v>8956</v>
      </c>
      <c r="Z200" s="7">
        <v>8932</v>
      </c>
      <c r="AA200" s="7">
        <v>8530</v>
      </c>
      <c r="AB200" s="13"/>
    </row>
    <row r="201" spans="10:28" ht="15.6" customHeight="1" x14ac:dyDescent="0.3">
      <c r="J201" s="2">
        <v>197</v>
      </c>
      <c r="K201" s="41" t="s">
        <v>31</v>
      </c>
      <c r="L201" s="41" t="s">
        <v>29</v>
      </c>
      <c r="M201" s="41" t="s">
        <v>35</v>
      </c>
      <c r="N201" s="41" t="s">
        <v>33</v>
      </c>
      <c r="O201" s="41" t="s">
        <v>33</v>
      </c>
      <c r="Q201" s="17">
        <f t="shared" si="20"/>
        <v>6</v>
      </c>
      <c r="R201" s="17">
        <f t="shared" si="21"/>
        <v>4</v>
      </c>
      <c r="S201" s="17">
        <f t="shared" si="22"/>
        <v>10</v>
      </c>
      <c r="T201" s="17">
        <f t="shared" si="23"/>
        <v>8</v>
      </c>
      <c r="U201" s="17">
        <f t="shared" si="24"/>
        <v>8</v>
      </c>
      <c r="W201" s="7">
        <v>10415</v>
      </c>
      <c r="X201" s="7">
        <v>10599</v>
      </c>
      <c r="Y201" s="7">
        <v>8956</v>
      </c>
      <c r="Z201" s="7">
        <v>8932</v>
      </c>
      <c r="AA201" s="7">
        <v>10237</v>
      </c>
      <c r="AB201" s="13"/>
    </row>
    <row r="202" spans="10:28" ht="15.6" customHeight="1" x14ac:dyDescent="0.3">
      <c r="J202" s="2">
        <v>198</v>
      </c>
      <c r="K202" s="41" t="s">
        <v>29</v>
      </c>
      <c r="L202" s="41" t="s">
        <v>31</v>
      </c>
      <c r="M202" s="41" t="s">
        <v>35</v>
      </c>
      <c r="N202" s="41" t="s">
        <v>33</v>
      </c>
      <c r="O202" s="41" t="s">
        <v>33</v>
      </c>
      <c r="Q202" s="17">
        <f t="shared" si="20"/>
        <v>4</v>
      </c>
      <c r="R202" s="17">
        <f t="shared" si="21"/>
        <v>6</v>
      </c>
      <c r="S202" s="17">
        <f t="shared" si="22"/>
        <v>10</v>
      </c>
      <c r="T202" s="17">
        <f t="shared" si="23"/>
        <v>8</v>
      </c>
      <c r="U202" s="17">
        <f t="shared" si="24"/>
        <v>8</v>
      </c>
      <c r="W202" s="7">
        <v>10415</v>
      </c>
      <c r="X202" s="7">
        <v>8833</v>
      </c>
      <c r="Y202" s="7">
        <v>11824</v>
      </c>
      <c r="Z202" s="7">
        <v>10719</v>
      </c>
      <c r="AA202" s="7">
        <v>10237</v>
      </c>
      <c r="AB202" s="13"/>
    </row>
    <row r="203" spans="10:28" ht="15.6" customHeight="1" x14ac:dyDescent="0.3">
      <c r="J203" s="2">
        <v>199</v>
      </c>
      <c r="K203" s="41" t="s">
        <v>28</v>
      </c>
      <c r="L203" s="41" t="s">
        <v>32</v>
      </c>
      <c r="M203" s="41" t="s">
        <v>35</v>
      </c>
      <c r="N203" s="41" t="s">
        <v>33</v>
      </c>
      <c r="O203" s="41" t="s">
        <v>30</v>
      </c>
      <c r="Q203" s="17">
        <f t="shared" si="20"/>
        <v>3</v>
      </c>
      <c r="R203" s="17">
        <f t="shared" si="21"/>
        <v>7</v>
      </c>
      <c r="S203" s="17">
        <f t="shared" si="22"/>
        <v>10</v>
      </c>
      <c r="T203" s="17">
        <f t="shared" si="23"/>
        <v>8</v>
      </c>
      <c r="U203" s="17">
        <f t="shared" si="24"/>
        <v>5</v>
      </c>
      <c r="W203" s="7">
        <v>10415</v>
      </c>
      <c r="X203" s="7">
        <v>8833</v>
      </c>
      <c r="Y203" s="7">
        <v>14188</v>
      </c>
      <c r="Z203" s="7">
        <v>10719</v>
      </c>
      <c r="AA203" s="7">
        <v>10237</v>
      </c>
      <c r="AB203" s="13"/>
    </row>
    <row r="204" spans="10:28" ht="15.6" customHeight="1" x14ac:dyDescent="0.3">
      <c r="Q204" s="13" t="str">
        <f t="shared" si="20"/>
        <v/>
      </c>
      <c r="R204" s="6" t="str">
        <f t="shared" si="21"/>
        <v/>
      </c>
      <c r="S204" s="6" t="str">
        <f t="shared" si="22"/>
        <v/>
      </c>
      <c r="T204" s="6" t="str">
        <f t="shared" si="23"/>
        <v/>
      </c>
      <c r="U204" s="6" t="str">
        <f t="shared" si="24"/>
        <v/>
      </c>
      <c r="AB204" s="13"/>
    </row>
    <row r="205" spans="10:28" ht="15.6" customHeight="1" x14ac:dyDescent="0.3">
      <c r="Q205" s="13" t="str">
        <f t="shared" si="20"/>
        <v/>
      </c>
      <c r="R205" s="6" t="str">
        <f t="shared" si="21"/>
        <v/>
      </c>
      <c r="S205" s="6" t="str">
        <f t="shared" si="22"/>
        <v/>
      </c>
      <c r="T205" s="6" t="str">
        <f t="shared" si="23"/>
        <v/>
      </c>
      <c r="U205" s="6" t="str">
        <f t="shared" si="24"/>
        <v/>
      </c>
      <c r="AB205" s="13"/>
    </row>
    <row r="206" spans="10:28" ht="15.6" customHeight="1" x14ac:dyDescent="0.3">
      <c r="Q206" s="13" t="str">
        <f t="shared" si="20"/>
        <v/>
      </c>
      <c r="R206" s="6" t="str">
        <f t="shared" si="21"/>
        <v/>
      </c>
      <c r="S206" s="6" t="str">
        <f t="shared" si="22"/>
        <v/>
      </c>
      <c r="T206" s="6" t="str">
        <f t="shared" si="23"/>
        <v/>
      </c>
      <c r="U206" s="6" t="str">
        <f t="shared" si="24"/>
        <v/>
      </c>
      <c r="AB206" s="13"/>
    </row>
    <row r="207" spans="10:28" ht="15.6" customHeight="1" x14ac:dyDescent="0.3">
      <c r="Q207" s="13" t="str">
        <f t="shared" si="20"/>
        <v/>
      </c>
      <c r="R207" s="6" t="str">
        <f t="shared" si="21"/>
        <v/>
      </c>
      <c r="S207" s="6" t="str">
        <f t="shared" si="22"/>
        <v/>
      </c>
      <c r="T207" s="6" t="str">
        <f t="shared" si="23"/>
        <v/>
      </c>
      <c r="U207" s="6" t="str">
        <f t="shared" si="24"/>
        <v/>
      </c>
      <c r="AB207" s="13"/>
    </row>
    <row r="208" spans="10:28" ht="15.6" customHeight="1" x14ac:dyDescent="0.3">
      <c r="Q208" s="13" t="str">
        <f t="shared" si="20"/>
        <v/>
      </c>
      <c r="R208" s="6" t="str">
        <f t="shared" si="21"/>
        <v/>
      </c>
      <c r="S208" s="6" t="str">
        <f t="shared" si="22"/>
        <v/>
      </c>
      <c r="T208" s="6" t="str">
        <f t="shared" si="23"/>
        <v/>
      </c>
      <c r="U208" s="6" t="str">
        <f t="shared" si="24"/>
        <v/>
      </c>
      <c r="AB208" s="13"/>
    </row>
    <row r="209" spans="17:28" ht="15.6" customHeight="1" x14ac:dyDescent="0.3">
      <c r="Q209" s="13" t="str">
        <f t="shared" si="20"/>
        <v/>
      </c>
      <c r="R209" s="6" t="str">
        <f t="shared" si="21"/>
        <v/>
      </c>
      <c r="S209" s="6" t="str">
        <f t="shared" si="22"/>
        <v/>
      </c>
      <c r="T209" s="6" t="str">
        <f t="shared" si="23"/>
        <v/>
      </c>
      <c r="U209" s="6" t="str">
        <f t="shared" si="24"/>
        <v/>
      </c>
      <c r="AB209" s="13"/>
    </row>
    <row r="210" spans="17:28" ht="15.6" customHeight="1" x14ac:dyDescent="0.3">
      <c r="Q210" s="13" t="str">
        <f t="shared" si="20"/>
        <v/>
      </c>
      <c r="R210" s="6" t="str">
        <f t="shared" si="21"/>
        <v/>
      </c>
      <c r="S210" s="6" t="str">
        <f t="shared" si="22"/>
        <v/>
      </c>
      <c r="T210" s="6" t="str">
        <f t="shared" si="23"/>
        <v/>
      </c>
      <c r="U210" s="6" t="str">
        <f t="shared" si="24"/>
        <v/>
      </c>
      <c r="AB210" s="13"/>
    </row>
    <row r="211" spans="17:28" ht="15.6" customHeight="1" x14ac:dyDescent="0.3">
      <c r="Q211" s="13" t="str">
        <f t="shared" si="20"/>
        <v/>
      </c>
      <c r="R211" s="6" t="str">
        <f t="shared" si="21"/>
        <v/>
      </c>
      <c r="S211" s="6" t="str">
        <f t="shared" si="22"/>
        <v/>
      </c>
      <c r="T211" s="6" t="str">
        <f t="shared" si="23"/>
        <v/>
      </c>
      <c r="U211" s="6" t="str">
        <f t="shared" si="24"/>
        <v/>
      </c>
      <c r="AB211" s="13"/>
    </row>
    <row r="212" spans="17:28" ht="15.6" customHeight="1" x14ac:dyDescent="0.3">
      <c r="Q212" s="13" t="str">
        <f t="shared" si="20"/>
        <v/>
      </c>
      <c r="R212" s="6" t="str">
        <f t="shared" si="21"/>
        <v/>
      </c>
      <c r="S212" s="6" t="str">
        <f t="shared" si="22"/>
        <v/>
      </c>
      <c r="T212" s="6" t="str">
        <f t="shared" si="23"/>
        <v/>
      </c>
      <c r="U212" s="6" t="str">
        <f t="shared" si="24"/>
        <v/>
      </c>
      <c r="AB212" s="13"/>
    </row>
    <row r="213" spans="17:28" ht="15.6" customHeight="1" x14ac:dyDescent="0.3">
      <c r="Q213" s="13" t="str">
        <f t="shared" si="20"/>
        <v/>
      </c>
      <c r="R213" s="6" t="str">
        <f t="shared" si="21"/>
        <v/>
      </c>
      <c r="S213" s="6" t="str">
        <f t="shared" si="22"/>
        <v/>
      </c>
      <c r="T213" s="6" t="str">
        <f t="shared" si="23"/>
        <v/>
      </c>
      <c r="U213" s="6" t="str">
        <f t="shared" si="24"/>
        <v/>
      </c>
      <c r="AB213" s="13"/>
    </row>
    <row r="214" spans="17:28" ht="15.6" customHeight="1" x14ac:dyDescent="0.3">
      <c r="Q214" s="13" t="str">
        <f t="shared" si="20"/>
        <v/>
      </c>
      <c r="R214" s="6" t="str">
        <f t="shared" si="21"/>
        <v/>
      </c>
      <c r="S214" s="6" t="str">
        <f t="shared" si="22"/>
        <v/>
      </c>
      <c r="T214" s="6" t="str">
        <f t="shared" si="23"/>
        <v/>
      </c>
      <c r="U214" s="6" t="str">
        <f t="shared" si="24"/>
        <v/>
      </c>
      <c r="AB214" s="13"/>
    </row>
    <row r="215" spans="17:28" ht="15.6" customHeight="1" x14ac:dyDescent="0.3">
      <c r="Q215" s="13" t="str">
        <f t="shared" si="20"/>
        <v/>
      </c>
      <c r="R215" s="6" t="str">
        <f t="shared" si="21"/>
        <v/>
      </c>
      <c r="S215" s="6" t="str">
        <f t="shared" si="22"/>
        <v/>
      </c>
      <c r="T215" s="6" t="str">
        <f t="shared" si="23"/>
        <v/>
      </c>
      <c r="U215" s="6" t="str">
        <f t="shared" si="24"/>
        <v/>
      </c>
      <c r="AB215" s="13"/>
    </row>
    <row r="216" spans="17:28" ht="15.6" customHeight="1" x14ac:dyDescent="0.3">
      <c r="Q216" s="13" t="str">
        <f t="shared" si="20"/>
        <v/>
      </c>
      <c r="R216" s="6" t="str">
        <f t="shared" si="21"/>
        <v/>
      </c>
      <c r="S216" s="6" t="str">
        <f t="shared" si="22"/>
        <v/>
      </c>
      <c r="T216" s="6" t="str">
        <f t="shared" si="23"/>
        <v/>
      </c>
      <c r="U216" s="6" t="str">
        <f t="shared" si="24"/>
        <v/>
      </c>
      <c r="AB216" s="13"/>
    </row>
    <row r="217" spans="17:28" ht="15.6" customHeight="1" x14ac:dyDescent="0.3">
      <c r="Q217" s="13" t="str">
        <f t="shared" si="20"/>
        <v/>
      </c>
      <c r="R217" s="6" t="str">
        <f t="shared" si="21"/>
        <v/>
      </c>
      <c r="S217" s="6" t="str">
        <f t="shared" si="22"/>
        <v/>
      </c>
      <c r="T217" s="6" t="str">
        <f t="shared" si="23"/>
        <v/>
      </c>
      <c r="U217" s="6" t="str">
        <f t="shared" si="24"/>
        <v/>
      </c>
      <c r="AB217" s="13"/>
    </row>
    <row r="218" spans="17:28" ht="15.6" customHeight="1" x14ac:dyDescent="0.3">
      <c r="Q218" s="13" t="str">
        <f t="shared" si="20"/>
        <v/>
      </c>
      <c r="R218" s="6" t="str">
        <f t="shared" si="21"/>
        <v/>
      </c>
      <c r="S218" s="6" t="str">
        <f t="shared" si="22"/>
        <v/>
      </c>
      <c r="T218" s="6" t="str">
        <f t="shared" si="23"/>
        <v/>
      </c>
      <c r="U218" s="6" t="str">
        <f t="shared" si="24"/>
        <v/>
      </c>
      <c r="AB218" s="13"/>
    </row>
    <row r="219" spans="17:28" ht="15.6" customHeight="1" x14ac:dyDescent="0.3">
      <c r="Q219" s="13" t="str">
        <f t="shared" si="20"/>
        <v/>
      </c>
      <c r="R219" s="6" t="str">
        <f t="shared" si="21"/>
        <v/>
      </c>
      <c r="S219" s="6" t="str">
        <f t="shared" si="22"/>
        <v/>
      </c>
      <c r="T219" s="6" t="str">
        <f t="shared" si="23"/>
        <v/>
      </c>
      <c r="U219" s="6" t="str">
        <f t="shared" si="24"/>
        <v/>
      </c>
      <c r="AB219" s="13"/>
    </row>
    <row r="220" spans="17:28" ht="15.6" customHeight="1" x14ac:dyDescent="0.3">
      <c r="Q220" s="13" t="str">
        <f t="shared" si="20"/>
        <v/>
      </c>
      <c r="R220" s="6" t="str">
        <f t="shared" si="21"/>
        <v/>
      </c>
      <c r="S220" s="6" t="str">
        <f t="shared" si="22"/>
        <v/>
      </c>
      <c r="T220" s="6" t="str">
        <f t="shared" si="23"/>
        <v/>
      </c>
      <c r="U220" s="6" t="str">
        <f t="shared" si="24"/>
        <v/>
      </c>
      <c r="AB220" s="13"/>
    </row>
    <row r="221" spans="17:28" ht="15.6" customHeight="1" x14ac:dyDescent="0.3">
      <c r="Q221" s="13" t="str">
        <f t="shared" si="20"/>
        <v/>
      </c>
      <c r="R221" s="6" t="str">
        <f t="shared" si="21"/>
        <v/>
      </c>
      <c r="S221" s="6" t="str">
        <f t="shared" si="22"/>
        <v/>
      </c>
      <c r="T221" s="6" t="str">
        <f t="shared" si="23"/>
        <v/>
      </c>
      <c r="U221" s="6" t="str">
        <f t="shared" si="24"/>
        <v/>
      </c>
      <c r="AB221" s="13"/>
    </row>
    <row r="222" spans="17:28" ht="15.6" customHeight="1" x14ac:dyDescent="0.3">
      <c r="Q222" s="13" t="str">
        <f t="shared" si="20"/>
        <v/>
      </c>
      <c r="R222" s="6" t="str">
        <f t="shared" si="21"/>
        <v/>
      </c>
      <c r="S222" s="6" t="str">
        <f t="shared" si="22"/>
        <v/>
      </c>
      <c r="T222" s="6" t="str">
        <f t="shared" si="23"/>
        <v/>
      </c>
      <c r="U222" s="6" t="str">
        <f t="shared" si="24"/>
        <v/>
      </c>
      <c r="AB222" s="13"/>
    </row>
    <row r="223" spans="17:28" ht="15.6" customHeight="1" x14ac:dyDescent="0.3">
      <c r="Q223" s="13" t="str">
        <f t="shared" si="20"/>
        <v/>
      </c>
      <c r="R223" s="6" t="str">
        <f t="shared" si="21"/>
        <v/>
      </c>
      <c r="S223" s="6" t="str">
        <f t="shared" si="22"/>
        <v/>
      </c>
      <c r="T223" s="6" t="str">
        <f t="shared" si="23"/>
        <v/>
      </c>
      <c r="U223" s="6" t="str">
        <f t="shared" si="24"/>
        <v/>
      </c>
      <c r="AB223" s="13"/>
    </row>
    <row r="224" spans="17:28" ht="15.6" customHeight="1" x14ac:dyDescent="0.3">
      <c r="Q224" s="13" t="str">
        <f t="shared" si="20"/>
        <v/>
      </c>
      <c r="R224" s="6" t="str">
        <f t="shared" si="21"/>
        <v/>
      </c>
      <c r="S224" s="6" t="str">
        <f t="shared" si="22"/>
        <v/>
      </c>
      <c r="T224" s="6" t="str">
        <f t="shared" si="23"/>
        <v/>
      </c>
      <c r="U224" s="6" t="str">
        <f t="shared" si="24"/>
        <v/>
      </c>
      <c r="AB224" s="13"/>
    </row>
    <row r="225" spans="17:28" ht="15.6" customHeight="1" x14ac:dyDescent="0.3">
      <c r="Q225" s="13" t="str">
        <f t="shared" si="20"/>
        <v/>
      </c>
      <c r="R225" s="6" t="str">
        <f t="shared" si="21"/>
        <v/>
      </c>
      <c r="S225" s="6" t="str">
        <f t="shared" si="22"/>
        <v/>
      </c>
      <c r="T225" s="6" t="str">
        <f t="shared" si="23"/>
        <v/>
      </c>
      <c r="U225" s="6" t="str">
        <f t="shared" si="24"/>
        <v/>
      </c>
      <c r="AB225" s="13"/>
    </row>
    <row r="226" spans="17:28" ht="15.6" customHeight="1" x14ac:dyDescent="0.3">
      <c r="Q226" s="13" t="str">
        <f t="shared" si="20"/>
        <v/>
      </c>
      <c r="R226" s="6" t="str">
        <f t="shared" si="21"/>
        <v/>
      </c>
      <c r="S226" s="6" t="str">
        <f t="shared" si="22"/>
        <v/>
      </c>
      <c r="T226" s="6" t="str">
        <f t="shared" si="23"/>
        <v/>
      </c>
      <c r="U226" s="6" t="str">
        <f t="shared" si="24"/>
        <v/>
      </c>
      <c r="AB226" s="13"/>
    </row>
    <row r="227" spans="17:28" ht="15.6" customHeight="1" x14ac:dyDescent="0.3">
      <c r="Q227" s="13" t="str">
        <f t="shared" si="20"/>
        <v/>
      </c>
      <c r="R227" s="6" t="str">
        <f t="shared" si="21"/>
        <v/>
      </c>
      <c r="S227" s="6" t="str">
        <f t="shared" si="22"/>
        <v/>
      </c>
      <c r="T227" s="6" t="str">
        <f t="shared" si="23"/>
        <v/>
      </c>
      <c r="U227" s="6" t="str">
        <f t="shared" si="24"/>
        <v/>
      </c>
      <c r="AB227" s="13"/>
    </row>
    <row r="228" spans="17:28" ht="15.6" customHeight="1" x14ac:dyDescent="0.3">
      <c r="Q228" s="13" t="str">
        <f t="shared" si="20"/>
        <v/>
      </c>
      <c r="R228" s="6" t="str">
        <f t="shared" si="21"/>
        <v/>
      </c>
      <c r="S228" s="6" t="str">
        <f t="shared" si="22"/>
        <v/>
      </c>
      <c r="T228" s="6" t="str">
        <f t="shared" si="23"/>
        <v/>
      </c>
      <c r="U228" s="6" t="str">
        <f t="shared" si="24"/>
        <v/>
      </c>
      <c r="AB228" s="13"/>
    </row>
    <row r="229" spans="17:28" ht="15.6" customHeight="1" x14ac:dyDescent="0.3">
      <c r="Q229" s="13" t="str">
        <f t="shared" si="20"/>
        <v/>
      </c>
      <c r="R229" s="6" t="str">
        <f t="shared" si="21"/>
        <v/>
      </c>
      <c r="S229" s="6" t="str">
        <f t="shared" si="22"/>
        <v/>
      </c>
      <c r="T229" s="6" t="str">
        <f t="shared" si="23"/>
        <v/>
      </c>
      <c r="U229" s="6" t="str">
        <f t="shared" si="24"/>
        <v/>
      </c>
      <c r="AB229" s="13"/>
    </row>
    <row r="230" spans="17:28" ht="15.6" customHeight="1" x14ac:dyDescent="0.3">
      <c r="Q230" s="13" t="str">
        <f t="shared" si="20"/>
        <v/>
      </c>
      <c r="R230" s="6" t="str">
        <f t="shared" si="21"/>
        <v/>
      </c>
      <c r="S230" s="6" t="str">
        <f t="shared" si="22"/>
        <v/>
      </c>
      <c r="T230" s="6" t="str">
        <f t="shared" si="23"/>
        <v/>
      </c>
      <c r="U230" s="6" t="str">
        <f t="shared" si="24"/>
        <v/>
      </c>
      <c r="AB230" s="13"/>
    </row>
    <row r="231" spans="17:28" ht="15.6" customHeight="1" x14ac:dyDescent="0.3">
      <c r="Q231" s="13" t="str">
        <f t="shared" si="20"/>
        <v/>
      </c>
      <c r="R231" s="6" t="str">
        <f t="shared" si="21"/>
        <v/>
      </c>
      <c r="S231" s="6" t="str">
        <f t="shared" si="22"/>
        <v/>
      </c>
      <c r="T231" s="6" t="str">
        <f t="shared" si="23"/>
        <v/>
      </c>
      <c r="U231" s="6" t="str">
        <f t="shared" si="24"/>
        <v/>
      </c>
      <c r="AB231" s="13"/>
    </row>
    <row r="232" spans="17:28" ht="15.6" customHeight="1" x14ac:dyDescent="0.3">
      <c r="Q232" s="13" t="str">
        <f t="shared" si="20"/>
        <v/>
      </c>
      <c r="R232" s="6" t="str">
        <f t="shared" si="21"/>
        <v/>
      </c>
      <c r="S232" s="6" t="str">
        <f t="shared" si="22"/>
        <v/>
      </c>
      <c r="T232" s="6" t="str">
        <f t="shared" si="23"/>
        <v/>
      </c>
      <c r="U232" s="6" t="str">
        <f t="shared" si="24"/>
        <v/>
      </c>
      <c r="AB232" s="13"/>
    </row>
    <row r="233" spans="17:28" ht="15.6" customHeight="1" x14ac:dyDescent="0.3">
      <c r="Q233" s="13" t="str">
        <f t="shared" si="20"/>
        <v/>
      </c>
      <c r="R233" s="6" t="str">
        <f t="shared" si="21"/>
        <v/>
      </c>
      <c r="S233" s="6" t="str">
        <f t="shared" si="22"/>
        <v/>
      </c>
      <c r="T233" s="6" t="str">
        <f t="shared" si="23"/>
        <v/>
      </c>
      <c r="U233" s="6" t="str">
        <f t="shared" si="24"/>
        <v/>
      </c>
      <c r="AB233" s="13"/>
    </row>
    <row r="234" spans="17:28" ht="15.6" customHeight="1" x14ac:dyDescent="0.3">
      <c r="Q234" s="13" t="str">
        <f t="shared" si="20"/>
        <v/>
      </c>
      <c r="R234" s="6" t="str">
        <f t="shared" si="21"/>
        <v/>
      </c>
      <c r="S234" s="6" t="str">
        <f t="shared" si="22"/>
        <v/>
      </c>
      <c r="T234" s="6" t="str">
        <f t="shared" si="23"/>
        <v/>
      </c>
      <c r="U234" s="6" t="str">
        <f t="shared" si="24"/>
        <v/>
      </c>
      <c r="AB234" s="13"/>
    </row>
    <row r="235" spans="17:28" ht="15.6" customHeight="1" x14ac:dyDescent="0.3">
      <c r="Q235" s="13" t="str">
        <f t="shared" si="20"/>
        <v/>
      </c>
      <c r="R235" s="6" t="str">
        <f t="shared" si="21"/>
        <v/>
      </c>
      <c r="S235" s="6" t="str">
        <f t="shared" si="22"/>
        <v/>
      </c>
      <c r="T235" s="6" t="str">
        <f t="shared" si="23"/>
        <v/>
      </c>
      <c r="U235" s="6" t="str">
        <f t="shared" si="24"/>
        <v/>
      </c>
      <c r="AB235" s="13"/>
    </row>
    <row r="236" spans="17:28" ht="15.6" customHeight="1" x14ac:dyDescent="0.3">
      <c r="Q236" s="13" t="str">
        <f t="shared" si="20"/>
        <v/>
      </c>
      <c r="R236" s="6" t="str">
        <f t="shared" si="21"/>
        <v/>
      </c>
      <c r="S236" s="6" t="str">
        <f t="shared" si="22"/>
        <v/>
      </c>
      <c r="T236" s="6" t="str">
        <f t="shared" si="23"/>
        <v/>
      </c>
      <c r="U236" s="6" t="str">
        <f t="shared" si="24"/>
        <v/>
      </c>
      <c r="AB236" s="13"/>
    </row>
    <row r="237" spans="17:28" ht="15.6" customHeight="1" x14ac:dyDescent="0.3">
      <c r="Q237" s="13" t="str">
        <f t="shared" si="20"/>
        <v/>
      </c>
      <c r="R237" s="6" t="str">
        <f t="shared" si="21"/>
        <v/>
      </c>
      <c r="S237" s="6" t="str">
        <f t="shared" si="22"/>
        <v/>
      </c>
      <c r="T237" s="6" t="str">
        <f t="shared" si="23"/>
        <v/>
      </c>
      <c r="U237" s="6" t="str">
        <f t="shared" si="24"/>
        <v/>
      </c>
      <c r="AB237" s="13"/>
    </row>
    <row r="238" spans="17:28" ht="15.6" customHeight="1" x14ac:dyDescent="0.3">
      <c r="Q238" s="13" t="str">
        <f t="shared" si="20"/>
        <v/>
      </c>
      <c r="R238" s="6" t="str">
        <f t="shared" si="21"/>
        <v/>
      </c>
      <c r="S238" s="6" t="str">
        <f t="shared" si="22"/>
        <v/>
      </c>
      <c r="T238" s="6" t="str">
        <f t="shared" si="23"/>
        <v/>
      </c>
      <c r="U238" s="6" t="str">
        <f t="shared" si="24"/>
        <v/>
      </c>
      <c r="AB238" s="13"/>
    </row>
    <row r="239" spans="17:28" ht="15.6" customHeight="1" x14ac:dyDescent="0.3">
      <c r="Q239" s="13" t="str">
        <f t="shared" si="20"/>
        <v/>
      </c>
      <c r="R239" s="6" t="str">
        <f t="shared" si="21"/>
        <v/>
      </c>
      <c r="S239" s="6" t="str">
        <f t="shared" si="22"/>
        <v/>
      </c>
      <c r="T239" s="6" t="str">
        <f t="shared" si="23"/>
        <v/>
      </c>
      <c r="U239" s="6" t="str">
        <f t="shared" si="24"/>
        <v/>
      </c>
      <c r="AB239" s="13"/>
    </row>
    <row r="240" spans="17:28" ht="15.6" customHeight="1" x14ac:dyDescent="0.3">
      <c r="Q240" s="13" t="str">
        <f t="shared" si="20"/>
        <v/>
      </c>
      <c r="R240" s="6" t="str">
        <f t="shared" si="21"/>
        <v/>
      </c>
      <c r="S240" s="6" t="str">
        <f t="shared" si="22"/>
        <v/>
      </c>
      <c r="T240" s="6" t="str">
        <f t="shared" si="23"/>
        <v/>
      </c>
      <c r="U240" s="6" t="str">
        <f t="shared" si="24"/>
        <v/>
      </c>
      <c r="AB240" s="13"/>
    </row>
    <row r="241" spans="17:28" ht="15.6" customHeight="1" x14ac:dyDescent="0.3">
      <c r="Q241" s="13" t="str">
        <f t="shared" si="20"/>
        <v/>
      </c>
      <c r="R241" s="6" t="str">
        <f t="shared" si="21"/>
        <v/>
      </c>
      <c r="S241" s="6" t="str">
        <f t="shared" si="22"/>
        <v/>
      </c>
      <c r="T241" s="6" t="str">
        <f t="shared" si="23"/>
        <v/>
      </c>
      <c r="U241" s="6" t="str">
        <f t="shared" si="24"/>
        <v/>
      </c>
      <c r="AB241" s="13"/>
    </row>
    <row r="242" spans="17:28" ht="15.6" customHeight="1" x14ac:dyDescent="0.3">
      <c r="Q242" s="13" t="str">
        <f t="shared" si="20"/>
        <v/>
      </c>
      <c r="R242" s="6" t="str">
        <f t="shared" si="21"/>
        <v/>
      </c>
      <c r="S242" s="6" t="str">
        <f t="shared" si="22"/>
        <v/>
      </c>
      <c r="T242" s="6" t="str">
        <f t="shared" si="23"/>
        <v/>
      </c>
      <c r="U242" s="6" t="str">
        <f t="shared" si="24"/>
        <v/>
      </c>
      <c r="AB242" s="13"/>
    </row>
    <row r="243" spans="17:28" ht="15.6" customHeight="1" x14ac:dyDescent="0.3">
      <c r="Q243" s="13" t="str">
        <f t="shared" si="20"/>
        <v/>
      </c>
      <c r="R243" s="6" t="str">
        <f t="shared" si="21"/>
        <v/>
      </c>
      <c r="S243" s="6" t="str">
        <f t="shared" si="22"/>
        <v/>
      </c>
      <c r="T243" s="6" t="str">
        <f t="shared" si="23"/>
        <v/>
      </c>
      <c r="U243" s="6" t="str">
        <f t="shared" si="24"/>
        <v/>
      </c>
      <c r="AB243" s="13"/>
    </row>
    <row r="244" spans="17:28" ht="15.6" customHeight="1" x14ac:dyDescent="0.3">
      <c r="Q244" s="13" t="str">
        <f t="shared" si="20"/>
        <v/>
      </c>
      <c r="R244" s="6" t="str">
        <f t="shared" si="21"/>
        <v/>
      </c>
      <c r="S244" s="6" t="str">
        <f t="shared" si="22"/>
        <v/>
      </c>
      <c r="T244" s="6" t="str">
        <f t="shared" si="23"/>
        <v/>
      </c>
      <c r="U244" s="6" t="str">
        <f t="shared" si="24"/>
        <v/>
      </c>
      <c r="AB244" s="13"/>
    </row>
    <row r="245" spans="17:28" ht="15.6" customHeight="1" x14ac:dyDescent="0.3">
      <c r="Q245" s="13" t="str">
        <f t="shared" si="20"/>
        <v/>
      </c>
      <c r="R245" s="6" t="str">
        <f t="shared" si="21"/>
        <v/>
      </c>
      <c r="S245" s="6" t="str">
        <f t="shared" si="22"/>
        <v/>
      </c>
      <c r="T245" s="6" t="str">
        <f t="shared" si="23"/>
        <v/>
      </c>
      <c r="U245" s="6" t="str">
        <f t="shared" si="24"/>
        <v/>
      </c>
      <c r="AB245" s="13"/>
    </row>
    <row r="246" spans="17:28" ht="15.6" customHeight="1" x14ac:dyDescent="0.3">
      <c r="Q246" s="13" t="str">
        <f t="shared" si="20"/>
        <v/>
      </c>
      <c r="R246" s="6" t="str">
        <f t="shared" si="21"/>
        <v/>
      </c>
      <c r="S246" s="6" t="str">
        <f t="shared" si="22"/>
        <v/>
      </c>
      <c r="T246" s="6" t="str">
        <f t="shared" si="23"/>
        <v/>
      </c>
      <c r="U246" s="6" t="str">
        <f t="shared" si="24"/>
        <v/>
      </c>
      <c r="AB246" s="13"/>
    </row>
    <row r="247" spans="17:28" ht="15.6" customHeight="1" x14ac:dyDescent="0.3">
      <c r="Q247" s="13" t="str">
        <f t="shared" si="20"/>
        <v/>
      </c>
      <c r="R247" s="6" t="str">
        <f t="shared" si="21"/>
        <v/>
      </c>
      <c r="S247" s="6" t="str">
        <f t="shared" si="22"/>
        <v/>
      </c>
      <c r="T247" s="6" t="str">
        <f t="shared" si="23"/>
        <v/>
      </c>
      <c r="U247" s="6" t="str">
        <f t="shared" si="24"/>
        <v/>
      </c>
      <c r="AB247" s="13"/>
    </row>
    <row r="248" spans="17:28" ht="15.6" customHeight="1" x14ac:dyDescent="0.3">
      <c r="Q248" s="13" t="str">
        <f t="shared" si="20"/>
        <v/>
      </c>
      <c r="R248" s="6" t="str">
        <f t="shared" si="21"/>
        <v/>
      </c>
      <c r="S248" s="6" t="str">
        <f t="shared" si="22"/>
        <v/>
      </c>
      <c r="T248" s="6" t="str">
        <f t="shared" si="23"/>
        <v/>
      </c>
      <c r="U248" s="6" t="str">
        <f t="shared" si="24"/>
        <v/>
      </c>
      <c r="AB248" s="13"/>
    </row>
    <row r="249" spans="17:28" ht="15.6" customHeight="1" x14ac:dyDescent="0.3">
      <c r="Q249" s="13" t="str">
        <f t="shared" si="20"/>
        <v/>
      </c>
      <c r="R249" s="6" t="str">
        <f t="shared" si="21"/>
        <v/>
      </c>
      <c r="S249" s="6" t="str">
        <f t="shared" si="22"/>
        <v/>
      </c>
      <c r="T249" s="6" t="str">
        <f t="shared" si="23"/>
        <v/>
      </c>
      <c r="U249" s="6" t="str">
        <f t="shared" si="24"/>
        <v/>
      </c>
      <c r="AB249" s="13"/>
    </row>
    <row r="250" spans="17:28" ht="15.6" customHeight="1" x14ac:dyDescent="0.3">
      <c r="Q250" s="13" t="str">
        <f t="shared" si="20"/>
        <v/>
      </c>
      <c r="R250" s="6" t="str">
        <f t="shared" si="21"/>
        <v/>
      </c>
      <c r="S250" s="6" t="str">
        <f t="shared" si="22"/>
        <v/>
      </c>
      <c r="T250" s="6" t="str">
        <f t="shared" si="23"/>
        <v/>
      </c>
      <c r="U250" s="6" t="str">
        <f t="shared" si="24"/>
        <v/>
      </c>
      <c r="AB250" s="13"/>
    </row>
    <row r="251" spans="17:28" ht="15.6" customHeight="1" x14ac:dyDescent="0.3">
      <c r="Q251" s="13" t="str">
        <f t="shared" si="20"/>
        <v/>
      </c>
      <c r="R251" s="6" t="str">
        <f t="shared" si="21"/>
        <v/>
      </c>
      <c r="S251" s="6" t="str">
        <f t="shared" si="22"/>
        <v/>
      </c>
      <c r="T251" s="6" t="str">
        <f t="shared" si="23"/>
        <v/>
      </c>
      <c r="U251" s="6" t="str">
        <f t="shared" si="24"/>
        <v/>
      </c>
      <c r="AB251" s="13"/>
    </row>
    <row r="252" spans="17:28" ht="15.6" customHeight="1" x14ac:dyDescent="0.3">
      <c r="Q252" s="13" t="str">
        <f t="shared" si="20"/>
        <v/>
      </c>
      <c r="R252" s="6" t="str">
        <f t="shared" si="21"/>
        <v/>
      </c>
      <c r="S252" s="6" t="str">
        <f t="shared" si="22"/>
        <v/>
      </c>
      <c r="T252" s="6" t="str">
        <f t="shared" si="23"/>
        <v/>
      </c>
      <c r="U252" s="6" t="str">
        <f t="shared" si="24"/>
        <v/>
      </c>
      <c r="AB252" s="13"/>
    </row>
    <row r="253" spans="17:28" ht="15.6" customHeight="1" x14ac:dyDescent="0.3">
      <c r="Q253" s="13" t="str">
        <f t="shared" si="20"/>
        <v/>
      </c>
      <c r="R253" s="6" t="str">
        <f t="shared" si="21"/>
        <v/>
      </c>
      <c r="S253" s="6" t="str">
        <f t="shared" si="22"/>
        <v/>
      </c>
      <c r="T253" s="6" t="str">
        <f t="shared" si="23"/>
        <v/>
      </c>
      <c r="U253" s="6" t="str">
        <f t="shared" si="24"/>
        <v/>
      </c>
      <c r="AB253" s="13"/>
    </row>
    <row r="254" spans="17:28" ht="15.6" customHeight="1" x14ac:dyDescent="0.3">
      <c r="Q254" s="13" t="str">
        <f t="shared" si="20"/>
        <v/>
      </c>
      <c r="R254" s="6" t="str">
        <f t="shared" si="21"/>
        <v/>
      </c>
      <c r="S254" s="6" t="str">
        <f t="shared" si="22"/>
        <v/>
      </c>
      <c r="T254" s="6" t="str">
        <f t="shared" si="23"/>
        <v/>
      </c>
      <c r="U254" s="6" t="str">
        <f t="shared" si="24"/>
        <v/>
      </c>
      <c r="AB254" s="13"/>
    </row>
    <row r="255" spans="17:28" ht="15.6" customHeight="1" x14ac:dyDescent="0.3">
      <c r="Q255" s="13" t="str">
        <f t="shared" si="20"/>
        <v/>
      </c>
      <c r="R255" s="6" t="str">
        <f t="shared" si="21"/>
        <v/>
      </c>
      <c r="S255" s="6" t="str">
        <f t="shared" si="22"/>
        <v/>
      </c>
      <c r="T255" s="6" t="str">
        <f t="shared" si="23"/>
        <v/>
      </c>
      <c r="U255" s="6" t="str">
        <f t="shared" si="24"/>
        <v/>
      </c>
      <c r="AB255" s="13"/>
    </row>
    <row r="256" spans="17:28" ht="15.6" customHeight="1" x14ac:dyDescent="0.3">
      <c r="Q256" s="13" t="str">
        <f t="shared" si="20"/>
        <v/>
      </c>
      <c r="R256" s="6" t="str">
        <f t="shared" si="21"/>
        <v/>
      </c>
      <c r="S256" s="6" t="str">
        <f t="shared" si="22"/>
        <v/>
      </c>
      <c r="T256" s="6" t="str">
        <f t="shared" si="23"/>
        <v/>
      </c>
      <c r="U256" s="6" t="str">
        <f t="shared" si="24"/>
        <v/>
      </c>
      <c r="AB256" s="13"/>
    </row>
    <row r="257" spans="17:28" ht="15.6" customHeight="1" x14ac:dyDescent="0.3">
      <c r="Q257" s="13" t="str">
        <f t="shared" si="20"/>
        <v/>
      </c>
      <c r="R257" s="6" t="str">
        <f t="shared" si="21"/>
        <v/>
      </c>
      <c r="S257" s="6" t="str">
        <f t="shared" si="22"/>
        <v/>
      </c>
      <c r="T257" s="6" t="str">
        <f t="shared" si="23"/>
        <v/>
      </c>
      <c r="U257" s="6" t="str">
        <f t="shared" si="24"/>
        <v/>
      </c>
      <c r="AB257" s="13"/>
    </row>
    <row r="258" spans="17:28" ht="15.6" customHeight="1" x14ac:dyDescent="0.3">
      <c r="Q258" s="13" t="str">
        <f t="shared" si="20"/>
        <v/>
      </c>
      <c r="R258" s="6" t="str">
        <f t="shared" si="21"/>
        <v/>
      </c>
      <c r="S258" s="6" t="str">
        <f t="shared" si="22"/>
        <v/>
      </c>
      <c r="T258" s="6" t="str">
        <f t="shared" si="23"/>
        <v/>
      </c>
      <c r="U258" s="6" t="str">
        <f t="shared" si="24"/>
        <v/>
      </c>
      <c r="AB258" s="13"/>
    </row>
    <row r="259" spans="17:28" ht="15.6" customHeight="1" x14ac:dyDescent="0.3">
      <c r="Q259" s="13" t="str">
        <f t="shared" si="20"/>
        <v/>
      </c>
      <c r="R259" s="6" t="str">
        <f t="shared" si="21"/>
        <v/>
      </c>
      <c r="S259" s="6" t="str">
        <f t="shared" si="22"/>
        <v/>
      </c>
      <c r="T259" s="6" t="str">
        <f t="shared" si="23"/>
        <v/>
      </c>
      <c r="U259" s="6" t="str">
        <f t="shared" si="24"/>
        <v/>
      </c>
      <c r="AB259" s="13"/>
    </row>
    <row r="260" spans="17:28" ht="15.6" customHeight="1" x14ac:dyDescent="0.3">
      <c r="Q260" s="13" t="str">
        <f t="shared" ref="Q260:Q323" si="25">IF(K260="","",VLOOKUP(K260,$A$4:$H$22,8,FALSE))</f>
        <v/>
      </c>
      <c r="R260" s="6" t="str">
        <f t="shared" ref="R260:R323" si="26">IF(L260="","",VLOOKUP(L260,$A$4:$H$22,8,FALSE))</f>
        <v/>
      </c>
      <c r="S260" s="6" t="str">
        <f t="shared" ref="S260:S323" si="27">IF(M260="","",VLOOKUP(M260,$A$4:$H$22,8,FALSE))</f>
        <v/>
      </c>
      <c r="T260" s="6" t="str">
        <f t="shared" ref="T260:T323" si="28">IF(N260="","",VLOOKUP(N260,$A$4:$H$22,8,FALSE))</f>
        <v/>
      </c>
      <c r="U260" s="6" t="str">
        <f t="shared" ref="U260:U323" si="29">IF(O260="","",VLOOKUP(O260,$A$4:$H$22,8,FALSE))</f>
        <v/>
      </c>
      <c r="AB260" s="13"/>
    </row>
    <row r="261" spans="17:28" ht="15.6" customHeight="1" x14ac:dyDescent="0.3">
      <c r="Q261" s="13" t="str">
        <f t="shared" si="25"/>
        <v/>
      </c>
      <c r="R261" s="6" t="str">
        <f t="shared" si="26"/>
        <v/>
      </c>
      <c r="S261" s="6" t="str">
        <f t="shared" si="27"/>
        <v/>
      </c>
      <c r="T261" s="6" t="str">
        <f t="shared" si="28"/>
        <v/>
      </c>
      <c r="U261" s="6" t="str">
        <f t="shared" si="29"/>
        <v/>
      </c>
      <c r="AB261" s="13"/>
    </row>
    <row r="262" spans="17:28" ht="15.6" customHeight="1" x14ac:dyDescent="0.3">
      <c r="Q262" s="13" t="str">
        <f t="shared" si="25"/>
        <v/>
      </c>
      <c r="R262" s="6" t="str">
        <f t="shared" si="26"/>
        <v/>
      </c>
      <c r="S262" s="6" t="str">
        <f t="shared" si="27"/>
        <v/>
      </c>
      <c r="T262" s="6" t="str">
        <f t="shared" si="28"/>
        <v/>
      </c>
      <c r="U262" s="6" t="str">
        <f t="shared" si="29"/>
        <v/>
      </c>
      <c r="AB262" s="13"/>
    </row>
    <row r="263" spans="17:28" ht="15.6" customHeight="1" x14ac:dyDescent="0.3">
      <c r="Q263" s="13" t="str">
        <f t="shared" si="25"/>
        <v/>
      </c>
      <c r="R263" s="6" t="str">
        <f t="shared" si="26"/>
        <v/>
      </c>
      <c r="S263" s="6" t="str">
        <f t="shared" si="27"/>
        <v/>
      </c>
      <c r="T263" s="6" t="str">
        <f t="shared" si="28"/>
        <v/>
      </c>
      <c r="U263" s="6" t="str">
        <f t="shared" si="29"/>
        <v/>
      </c>
      <c r="AB263" s="13"/>
    </row>
    <row r="264" spans="17:28" ht="15.6" customHeight="1" x14ac:dyDescent="0.3">
      <c r="Q264" s="13" t="str">
        <f t="shared" si="25"/>
        <v/>
      </c>
      <c r="R264" s="6" t="str">
        <f t="shared" si="26"/>
        <v/>
      </c>
      <c r="S264" s="6" t="str">
        <f t="shared" si="27"/>
        <v/>
      </c>
      <c r="T264" s="6" t="str">
        <f t="shared" si="28"/>
        <v/>
      </c>
      <c r="U264" s="6" t="str">
        <f t="shared" si="29"/>
        <v/>
      </c>
      <c r="AB264" s="13"/>
    </row>
    <row r="265" spans="17:28" ht="15.6" customHeight="1" x14ac:dyDescent="0.3">
      <c r="Q265" s="13" t="str">
        <f t="shared" si="25"/>
        <v/>
      </c>
      <c r="R265" s="6" t="str">
        <f t="shared" si="26"/>
        <v/>
      </c>
      <c r="S265" s="6" t="str">
        <f t="shared" si="27"/>
        <v/>
      </c>
      <c r="T265" s="6" t="str">
        <f t="shared" si="28"/>
        <v/>
      </c>
      <c r="U265" s="6" t="str">
        <f t="shared" si="29"/>
        <v/>
      </c>
      <c r="AB265" s="13"/>
    </row>
    <row r="266" spans="17:28" ht="15.6" customHeight="1" x14ac:dyDescent="0.3">
      <c r="Q266" s="13" t="str">
        <f t="shared" si="25"/>
        <v/>
      </c>
      <c r="R266" s="6" t="str">
        <f t="shared" si="26"/>
        <v/>
      </c>
      <c r="S266" s="6" t="str">
        <f t="shared" si="27"/>
        <v/>
      </c>
      <c r="T266" s="6" t="str">
        <f t="shared" si="28"/>
        <v/>
      </c>
      <c r="U266" s="6" t="str">
        <f t="shared" si="29"/>
        <v/>
      </c>
      <c r="AB266" s="13"/>
    </row>
    <row r="267" spans="17:28" ht="15.6" customHeight="1" x14ac:dyDescent="0.3">
      <c r="Q267" s="13" t="str">
        <f t="shared" si="25"/>
        <v/>
      </c>
      <c r="R267" s="6" t="str">
        <f t="shared" si="26"/>
        <v/>
      </c>
      <c r="S267" s="6" t="str">
        <f t="shared" si="27"/>
        <v/>
      </c>
      <c r="T267" s="6" t="str">
        <f t="shared" si="28"/>
        <v/>
      </c>
      <c r="U267" s="6" t="str">
        <f t="shared" si="29"/>
        <v/>
      </c>
      <c r="AB267" s="13"/>
    </row>
    <row r="268" spans="17:28" ht="15.6" customHeight="1" x14ac:dyDescent="0.3">
      <c r="Q268" s="13" t="str">
        <f t="shared" si="25"/>
        <v/>
      </c>
      <c r="R268" s="6" t="str">
        <f t="shared" si="26"/>
        <v/>
      </c>
      <c r="S268" s="6" t="str">
        <f t="shared" si="27"/>
        <v/>
      </c>
      <c r="T268" s="6" t="str">
        <f t="shared" si="28"/>
        <v/>
      </c>
      <c r="U268" s="6" t="str">
        <f t="shared" si="29"/>
        <v/>
      </c>
      <c r="AB268" s="13"/>
    </row>
    <row r="269" spans="17:28" ht="15.6" customHeight="1" x14ac:dyDescent="0.3">
      <c r="Q269" s="13" t="str">
        <f t="shared" si="25"/>
        <v/>
      </c>
      <c r="R269" s="6" t="str">
        <f t="shared" si="26"/>
        <v/>
      </c>
      <c r="S269" s="6" t="str">
        <f t="shared" si="27"/>
        <v/>
      </c>
      <c r="T269" s="6" t="str">
        <f t="shared" si="28"/>
        <v/>
      </c>
      <c r="U269" s="6" t="str">
        <f t="shared" si="29"/>
        <v/>
      </c>
      <c r="AB269" s="13"/>
    </row>
    <row r="270" spans="17:28" ht="15.6" customHeight="1" x14ac:dyDescent="0.3">
      <c r="Q270" s="13" t="str">
        <f t="shared" si="25"/>
        <v/>
      </c>
      <c r="R270" s="6" t="str">
        <f t="shared" si="26"/>
        <v/>
      </c>
      <c r="S270" s="6" t="str">
        <f t="shared" si="27"/>
        <v/>
      </c>
      <c r="T270" s="6" t="str">
        <f t="shared" si="28"/>
        <v/>
      </c>
      <c r="U270" s="6" t="str">
        <f t="shared" si="29"/>
        <v/>
      </c>
      <c r="AB270" s="13"/>
    </row>
    <row r="271" spans="17:28" ht="15.6" customHeight="1" x14ac:dyDescent="0.3">
      <c r="Q271" s="13" t="str">
        <f t="shared" si="25"/>
        <v/>
      </c>
      <c r="R271" s="6" t="str">
        <f t="shared" si="26"/>
        <v/>
      </c>
      <c r="S271" s="6" t="str">
        <f t="shared" si="27"/>
        <v/>
      </c>
      <c r="T271" s="6" t="str">
        <f t="shared" si="28"/>
        <v/>
      </c>
      <c r="U271" s="6" t="str">
        <f t="shared" si="29"/>
        <v/>
      </c>
      <c r="AB271" s="13"/>
    </row>
    <row r="272" spans="17:28" ht="15.6" customHeight="1" x14ac:dyDescent="0.3">
      <c r="Q272" s="13" t="str">
        <f t="shared" si="25"/>
        <v/>
      </c>
      <c r="R272" s="6" t="str">
        <f t="shared" si="26"/>
        <v/>
      </c>
      <c r="S272" s="6" t="str">
        <f t="shared" si="27"/>
        <v/>
      </c>
      <c r="T272" s="6" t="str">
        <f t="shared" si="28"/>
        <v/>
      </c>
      <c r="U272" s="6" t="str">
        <f t="shared" si="29"/>
        <v/>
      </c>
      <c r="AB272" s="13"/>
    </row>
    <row r="273" spans="17:28" ht="15.6" customHeight="1" x14ac:dyDescent="0.3">
      <c r="Q273" s="13" t="str">
        <f t="shared" si="25"/>
        <v/>
      </c>
      <c r="R273" s="6" t="str">
        <f t="shared" si="26"/>
        <v/>
      </c>
      <c r="S273" s="6" t="str">
        <f t="shared" si="27"/>
        <v/>
      </c>
      <c r="T273" s="6" t="str">
        <f t="shared" si="28"/>
        <v/>
      </c>
      <c r="U273" s="6" t="str">
        <f t="shared" si="29"/>
        <v/>
      </c>
      <c r="AB273" s="13"/>
    </row>
    <row r="274" spans="17:28" ht="15.6" customHeight="1" x14ac:dyDescent="0.3">
      <c r="Q274" s="13" t="str">
        <f t="shared" si="25"/>
        <v/>
      </c>
      <c r="R274" s="6" t="str">
        <f t="shared" si="26"/>
        <v/>
      </c>
      <c r="S274" s="6" t="str">
        <f t="shared" si="27"/>
        <v/>
      </c>
      <c r="T274" s="6" t="str">
        <f t="shared" si="28"/>
        <v/>
      </c>
      <c r="U274" s="6" t="str">
        <f t="shared" si="29"/>
        <v/>
      </c>
      <c r="AB274" s="13"/>
    </row>
    <row r="275" spans="17:28" ht="15.6" customHeight="1" x14ac:dyDescent="0.3">
      <c r="Q275" s="13" t="str">
        <f t="shared" si="25"/>
        <v/>
      </c>
      <c r="R275" s="6" t="str">
        <f t="shared" si="26"/>
        <v/>
      </c>
      <c r="S275" s="6" t="str">
        <f t="shared" si="27"/>
        <v/>
      </c>
      <c r="T275" s="6" t="str">
        <f t="shared" si="28"/>
        <v/>
      </c>
      <c r="U275" s="6" t="str">
        <f t="shared" si="29"/>
        <v/>
      </c>
      <c r="AB275" s="13"/>
    </row>
    <row r="276" spans="17:28" ht="15.6" customHeight="1" x14ac:dyDescent="0.3">
      <c r="Q276" s="13" t="str">
        <f t="shared" si="25"/>
        <v/>
      </c>
      <c r="R276" s="6" t="str">
        <f t="shared" si="26"/>
        <v/>
      </c>
      <c r="S276" s="6" t="str">
        <f t="shared" si="27"/>
        <v/>
      </c>
      <c r="T276" s="6" t="str">
        <f t="shared" si="28"/>
        <v/>
      </c>
      <c r="U276" s="6" t="str">
        <f t="shared" si="29"/>
        <v/>
      </c>
      <c r="AB276" s="13"/>
    </row>
    <row r="277" spans="17:28" ht="15.6" customHeight="1" x14ac:dyDescent="0.3">
      <c r="Q277" s="13" t="str">
        <f t="shared" si="25"/>
        <v/>
      </c>
      <c r="R277" s="6" t="str">
        <f t="shared" si="26"/>
        <v/>
      </c>
      <c r="S277" s="6" t="str">
        <f t="shared" si="27"/>
        <v/>
      </c>
      <c r="T277" s="6" t="str">
        <f t="shared" si="28"/>
        <v/>
      </c>
      <c r="U277" s="6" t="str">
        <f t="shared" si="29"/>
        <v/>
      </c>
      <c r="AB277" s="13"/>
    </row>
    <row r="278" spans="17:28" ht="15.6" customHeight="1" x14ac:dyDescent="0.3">
      <c r="Q278" s="13" t="str">
        <f t="shared" si="25"/>
        <v/>
      </c>
      <c r="R278" s="6" t="str">
        <f t="shared" si="26"/>
        <v/>
      </c>
      <c r="S278" s="6" t="str">
        <f t="shared" si="27"/>
        <v/>
      </c>
      <c r="T278" s="6" t="str">
        <f t="shared" si="28"/>
        <v/>
      </c>
      <c r="U278" s="6" t="str">
        <f t="shared" si="29"/>
        <v/>
      </c>
      <c r="AB278" s="13"/>
    </row>
    <row r="279" spans="17:28" ht="15.6" customHeight="1" x14ac:dyDescent="0.3">
      <c r="Q279" s="13" t="str">
        <f t="shared" si="25"/>
        <v/>
      </c>
      <c r="R279" s="6" t="str">
        <f t="shared" si="26"/>
        <v/>
      </c>
      <c r="S279" s="6" t="str">
        <f t="shared" si="27"/>
        <v/>
      </c>
      <c r="T279" s="6" t="str">
        <f t="shared" si="28"/>
        <v/>
      </c>
      <c r="U279" s="6" t="str">
        <f t="shared" si="29"/>
        <v/>
      </c>
      <c r="AB279" s="13"/>
    </row>
    <row r="280" spans="17:28" ht="15.6" customHeight="1" x14ac:dyDescent="0.3">
      <c r="Q280" s="13" t="str">
        <f t="shared" si="25"/>
        <v/>
      </c>
      <c r="R280" s="6" t="str">
        <f t="shared" si="26"/>
        <v/>
      </c>
      <c r="S280" s="6" t="str">
        <f t="shared" si="27"/>
        <v/>
      </c>
      <c r="T280" s="6" t="str">
        <f t="shared" si="28"/>
        <v/>
      </c>
      <c r="U280" s="6" t="str">
        <f t="shared" si="29"/>
        <v/>
      </c>
      <c r="AB280" s="13"/>
    </row>
    <row r="281" spans="17:28" ht="15.6" customHeight="1" x14ac:dyDescent="0.3">
      <c r="Q281" s="13" t="str">
        <f t="shared" si="25"/>
        <v/>
      </c>
      <c r="R281" s="6" t="str">
        <f t="shared" si="26"/>
        <v/>
      </c>
      <c r="S281" s="6" t="str">
        <f t="shared" si="27"/>
        <v/>
      </c>
      <c r="T281" s="6" t="str">
        <f t="shared" si="28"/>
        <v/>
      </c>
      <c r="U281" s="6" t="str">
        <f t="shared" si="29"/>
        <v/>
      </c>
      <c r="AB281" s="13"/>
    </row>
    <row r="282" spans="17:28" ht="15.6" customHeight="1" x14ac:dyDescent="0.3">
      <c r="Q282" s="13" t="str">
        <f t="shared" si="25"/>
        <v/>
      </c>
      <c r="R282" s="6" t="str">
        <f t="shared" si="26"/>
        <v/>
      </c>
      <c r="S282" s="6" t="str">
        <f t="shared" si="27"/>
        <v/>
      </c>
      <c r="T282" s="6" t="str">
        <f t="shared" si="28"/>
        <v/>
      </c>
      <c r="U282" s="6" t="str">
        <f t="shared" si="29"/>
        <v/>
      </c>
      <c r="AB282" s="13"/>
    </row>
    <row r="283" spans="17:28" ht="15.6" customHeight="1" x14ac:dyDescent="0.3">
      <c r="Q283" s="13" t="str">
        <f t="shared" si="25"/>
        <v/>
      </c>
      <c r="R283" s="6" t="str">
        <f t="shared" si="26"/>
        <v/>
      </c>
      <c r="S283" s="6" t="str">
        <f t="shared" si="27"/>
        <v/>
      </c>
      <c r="T283" s="6" t="str">
        <f t="shared" si="28"/>
        <v/>
      </c>
      <c r="U283" s="6" t="str">
        <f t="shared" si="29"/>
        <v/>
      </c>
      <c r="AB283" s="13"/>
    </row>
    <row r="284" spans="17:28" ht="15.6" customHeight="1" x14ac:dyDescent="0.3">
      <c r="Q284" s="13" t="str">
        <f t="shared" si="25"/>
        <v/>
      </c>
      <c r="R284" s="6" t="str">
        <f t="shared" si="26"/>
        <v/>
      </c>
      <c r="S284" s="6" t="str">
        <f t="shared" si="27"/>
        <v/>
      </c>
      <c r="T284" s="6" t="str">
        <f t="shared" si="28"/>
        <v/>
      </c>
      <c r="U284" s="6" t="str">
        <f t="shared" si="29"/>
        <v/>
      </c>
      <c r="AB284" s="13"/>
    </row>
    <row r="285" spans="17:28" ht="15.6" customHeight="1" x14ac:dyDescent="0.3">
      <c r="Q285" s="13" t="str">
        <f t="shared" si="25"/>
        <v/>
      </c>
      <c r="R285" s="6" t="str">
        <f t="shared" si="26"/>
        <v/>
      </c>
      <c r="S285" s="6" t="str">
        <f t="shared" si="27"/>
        <v/>
      </c>
      <c r="T285" s="6" t="str">
        <f t="shared" si="28"/>
        <v/>
      </c>
      <c r="U285" s="6" t="str">
        <f t="shared" si="29"/>
        <v/>
      </c>
      <c r="AB285" s="13"/>
    </row>
    <row r="286" spans="17:28" ht="15.6" customHeight="1" x14ac:dyDescent="0.3">
      <c r="Q286" s="13" t="str">
        <f t="shared" si="25"/>
        <v/>
      </c>
      <c r="R286" s="6" t="str">
        <f t="shared" si="26"/>
        <v/>
      </c>
      <c r="S286" s="6" t="str">
        <f t="shared" si="27"/>
        <v/>
      </c>
      <c r="T286" s="6" t="str">
        <f t="shared" si="28"/>
        <v/>
      </c>
      <c r="U286" s="6" t="str">
        <f t="shared" si="29"/>
        <v/>
      </c>
      <c r="AB286" s="13"/>
    </row>
    <row r="287" spans="17:28" ht="15.6" customHeight="1" x14ac:dyDescent="0.3">
      <c r="Q287" s="13" t="str">
        <f t="shared" si="25"/>
        <v/>
      </c>
      <c r="R287" s="6" t="str">
        <f t="shared" si="26"/>
        <v/>
      </c>
      <c r="S287" s="6" t="str">
        <f t="shared" si="27"/>
        <v/>
      </c>
      <c r="T287" s="6" t="str">
        <f t="shared" si="28"/>
        <v/>
      </c>
      <c r="U287" s="6" t="str">
        <f t="shared" si="29"/>
        <v/>
      </c>
      <c r="AB287" s="13"/>
    </row>
    <row r="288" spans="17:28" ht="15.6" customHeight="1" x14ac:dyDescent="0.3">
      <c r="Q288" s="13" t="str">
        <f t="shared" si="25"/>
        <v/>
      </c>
      <c r="R288" s="6" t="str">
        <f t="shared" si="26"/>
        <v/>
      </c>
      <c r="S288" s="6" t="str">
        <f t="shared" si="27"/>
        <v/>
      </c>
      <c r="T288" s="6" t="str">
        <f t="shared" si="28"/>
        <v/>
      </c>
      <c r="U288" s="6" t="str">
        <f t="shared" si="29"/>
        <v/>
      </c>
      <c r="AB288" s="13"/>
    </row>
    <row r="289" spans="17:28" ht="15.6" customHeight="1" x14ac:dyDescent="0.3">
      <c r="Q289" s="13" t="str">
        <f t="shared" si="25"/>
        <v/>
      </c>
      <c r="R289" s="6" t="str">
        <f t="shared" si="26"/>
        <v/>
      </c>
      <c r="S289" s="6" t="str">
        <f t="shared" si="27"/>
        <v/>
      </c>
      <c r="T289" s="6" t="str">
        <f t="shared" si="28"/>
        <v/>
      </c>
      <c r="U289" s="6" t="str">
        <f t="shared" si="29"/>
        <v/>
      </c>
      <c r="AB289" s="13"/>
    </row>
    <row r="290" spans="17:28" ht="15.6" customHeight="1" x14ac:dyDescent="0.3">
      <c r="Q290" s="13" t="str">
        <f t="shared" si="25"/>
        <v/>
      </c>
      <c r="R290" s="6" t="str">
        <f t="shared" si="26"/>
        <v/>
      </c>
      <c r="S290" s="6" t="str">
        <f t="shared" si="27"/>
        <v/>
      </c>
      <c r="T290" s="6" t="str">
        <f t="shared" si="28"/>
        <v/>
      </c>
      <c r="U290" s="6" t="str">
        <f t="shared" si="29"/>
        <v/>
      </c>
      <c r="AB290" s="13"/>
    </row>
    <row r="291" spans="17:28" ht="15.6" customHeight="1" x14ac:dyDescent="0.3">
      <c r="Q291" s="13" t="str">
        <f t="shared" si="25"/>
        <v/>
      </c>
      <c r="R291" s="6" t="str">
        <f t="shared" si="26"/>
        <v/>
      </c>
      <c r="S291" s="6" t="str">
        <f t="shared" si="27"/>
        <v/>
      </c>
      <c r="T291" s="6" t="str">
        <f t="shared" si="28"/>
        <v/>
      </c>
      <c r="U291" s="6" t="str">
        <f t="shared" si="29"/>
        <v/>
      </c>
      <c r="AB291" s="13"/>
    </row>
    <row r="292" spans="17:28" ht="15.6" customHeight="1" x14ac:dyDescent="0.3">
      <c r="Q292" s="13" t="str">
        <f t="shared" si="25"/>
        <v/>
      </c>
      <c r="R292" s="6" t="str">
        <f t="shared" si="26"/>
        <v/>
      </c>
      <c r="S292" s="6" t="str">
        <f t="shared" si="27"/>
        <v/>
      </c>
      <c r="T292" s="6" t="str">
        <f t="shared" si="28"/>
        <v/>
      </c>
      <c r="U292" s="6" t="str">
        <f t="shared" si="29"/>
        <v/>
      </c>
      <c r="AB292" s="13"/>
    </row>
    <row r="293" spans="17:28" ht="15.6" customHeight="1" x14ac:dyDescent="0.3">
      <c r="Q293" s="13" t="str">
        <f t="shared" si="25"/>
        <v/>
      </c>
      <c r="R293" s="6" t="str">
        <f t="shared" si="26"/>
        <v/>
      </c>
      <c r="S293" s="6" t="str">
        <f t="shared" si="27"/>
        <v/>
      </c>
      <c r="T293" s="6" t="str">
        <f t="shared" si="28"/>
        <v/>
      </c>
      <c r="U293" s="6" t="str">
        <f t="shared" si="29"/>
        <v/>
      </c>
      <c r="AB293" s="13"/>
    </row>
    <row r="294" spans="17:28" ht="15.6" customHeight="1" x14ac:dyDescent="0.3">
      <c r="Q294" s="13" t="str">
        <f t="shared" si="25"/>
        <v/>
      </c>
      <c r="R294" s="6" t="str">
        <f t="shared" si="26"/>
        <v/>
      </c>
      <c r="S294" s="6" t="str">
        <f t="shared" si="27"/>
        <v/>
      </c>
      <c r="T294" s="6" t="str">
        <f t="shared" si="28"/>
        <v/>
      </c>
      <c r="U294" s="6" t="str">
        <f t="shared" si="29"/>
        <v/>
      </c>
      <c r="AB294" s="13"/>
    </row>
    <row r="295" spans="17:28" ht="15.6" customHeight="1" x14ac:dyDescent="0.3">
      <c r="Q295" s="13" t="str">
        <f t="shared" si="25"/>
        <v/>
      </c>
      <c r="R295" s="6" t="str">
        <f t="shared" si="26"/>
        <v/>
      </c>
      <c r="S295" s="6" t="str">
        <f t="shared" si="27"/>
        <v/>
      </c>
      <c r="T295" s="6" t="str">
        <f t="shared" si="28"/>
        <v/>
      </c>
      <c r="U295" s="6" t="str">
        <f t="shared" si="29"/>
        <v/>
      </c>
      <c r="AB295" s="13"/>
    </row>
    <row r="296" spans="17:28" ht="15.6" customHeight="1" x14ac:dyDescent="0.3">
      <c r="Q296" s="13" t="str">
        <f t="shared" si="25"/>
        <v/>
      </c>
      <c r="R296" s="6" t="str">
        <f t="shared" si="26"/>
        <v/>
      </c>
      <c r="S296" s="6" t="str">
        <f t="shared" si="27"/>
        <v/>
      </c>
      <c r="T296" s="6" t="str">
        <f t="shared" si="28"/>
        <v/>
      </c>
      <c r="U296" s="6" t="str">
        <f t="shared" si="29"/>
        <v/>
      </c>
      <c r="AB296" s="13"/>
    </row>
    <row r="297" spans="17:28" ht="15.6" customHeight="1" x14ac:dyDescent="0.3">
      <c r="Q297" s="13" t="str">
        <f t="shared" si="25"/>
        <v/>
      </c>
      <c r="R297" s="6" t="str">
        <f t="shared" si="26"/>
        <v/>
      </c>
      <c r="S297" s="6" t="str">
        <f t="shared" si="27"/>
        <v/>
      </c>
      <c r="T297" s="6" t="str">
        <f t="shared" si="28"/>
        <v/>
      </c>
      <c r="U297" s="6" t="str">
        <f t="shared" si="29"/>
        <v/>
      </c>
      <c r="AB297" s="13"/>
    </row>
    <row r="298" spans="17:28" ht="15.6" customHeight="1" x14ac:dyDescent="0.3">
      <c r="Q298" s="13" t="str">
        <f t="shared" si="25"/>
        <v/>
      </c>
      <c r="R298" s="6" t="str">
        <f t="shared" si="26"/>
        <v/>
      </c>
      <c r="S298" s="6" t="str">
        <f t="shared" si="27"/>
        <v/>
      </c>
      <c r="T298" s="6" t="str">
        <f t="shared" si="28"/>
        <v/>
      </c>
      <c r="U298" s="6" t="str">
        <f t="shared" si="29"/>
        <v/>
      </c>
      <c r="AB298" s="13"/>
    </row>
    <row r="299" spans="17:28" ht="15.6" customHeight="1" x14ac:dyDescent="0.3">
      <c r="Q299" s="13" t="str">
        <f t="shared" si="25"/>
        <v/>
      </c>
      <c r="R299" s="6" t="str">
        <f t="shared" si="26"/>
        <v/>
      </c>
      <c r="S299" s="6" t="str">
        <f t="shared" si="27"/>
        <v/>
      </c>
      <c r="T299" s="6" t="str">
        <f t="shared" si="28"/>
        <v/>
      </c>
      <c r="U299" s="6" t="str">
        <f t="shared" si="29"/>
        <v/>
      </c>
      <c r="AB299" s="13"/>
    </row>
    <row r="300" spans="17:28" ht="15.6" customHeight="1" x14ac:dyDescent="0.3">
      <c r="Q300" s="13" t="str">
        <f t="shared" si="25"/>
        <v/>
      </c>
      <c r="R300" s="6" t="str">
        <f t="shared" si="26"/>
        <v/>
      </c>
      <c r="S300" s="6" t="str">
        <f t="shared" si="27"/>
        <v/>
      </c>
      <c r="T300" s="6" t="str">
        <f t="shared" si="28"/>
        <v/>
      </c>
      <c r="U300" s="6" t="str">
        <f t="shared" si="29"/>
        <v/>
      </c>
      <c r="AB300" s="13"/>
    </row>
    <row r="301" spans="17:28" ht="15.6" customHeight="1" x14ac:dyDescent="0.3">
      <c r="Q301" s="13" t="str">
        <f t="shared" si="25"/>
        <v/>
      </c>
      <c r="R301" s="6" t="str">
        <f t="shared" si="26"/>
        <v/>
      </c>
      <c r="S301" s="6" t="str">
        <f t="shared" si="27"/>
        <v/>
      </c>
      <c r="T301" s="6" t="str">
        <f t="shared" si="28"/>
        <v/>
      </c>
      <c r="U301" s="6" t="str">
        <f t="shared" si="29"/>
        <v/>
      </c>
      <c r="AB301" s="13"/>
    </row>
    <row r="302" spans="17:28" ht="15.6" customHeight="1" x14ac:dyDescent="0.3">
      <c r="Q302" s="13" t="str">
        <f t="shared" si="25"/>
        <v/>
      </c>
      <c r="R302" s="6" t="str">
        <f t="shared" si="26"/>
        <v/>
      </c>
      <c r="S302" s="6" t="str">
        <f t="shared" si="27"/>
        <v/>
      </c>
      <c r="T302" s="6" t="str">
        <f t="shared" si="28"/>
        <v/>
      </c>
      <c r="U302" s="6" t="str">
        <f t="shared" si="29"/>
        <v/>
      </c>
      <c r="AB302" s="13"/>
    </row>
    <row r="303" spans="17:28" ht="15.6" customHeight="1" x14ac:dyDescent="0.3">
      <c r="Q303" s="13" t="str">
        <f t="shared" si="25"/>
        <v/>
      </c>
      <c r="R303" s="6" t="str">
        <f t="shared" si="26"/>
        <v/>
      </c>
      <c r="S303" s="6" t="str">
        <f t="shared" si="27"/>
        <v/>
      </c>
      <c r="T303" s="6" t="str">
        <f t="shared" si="28"/>
        <v/>
      </c>
      <c r="U303" s="6" t="str">
        <f t="shared" si="29"/>
        <v/>
      </c>
      <c r="AB303" s="13"/>
    </row>
    <row r="304" spans="17:28" ht="15.6" customHeight="1" x14ac:dyDescent="0.3">
      <c r="Q304" s="13" t="str">
        <f t="shared" si="25"/>
        <v/>
      </c>
      <c r="R304" s="6" t="str">
        <f t="shared" si="26"/>
        <v/>
      </c>
      <c r="S304" s="6" t="str">
        <f t="shared" si="27"/>
        <v/>
      </c>
      <c r="T304" s="6" t="str">
        <f t="shared" si="28"/>
        <v/>
      </c>
      <c r="U304" s="6" t="str">
        <f t="shared" si="29"/>
        <v/>
      </c>
      <c r="AB304" s="13"/>
    </row>
    <row r="305" spans="17:28" ht="15.6" customHeight="1" x14ac:dyDescent="0.3">
      <c r="Q305" s="13" t="str">
        <f t="shared" si="25"/>
        <v/>
      </c>
      <c r="R305" s="6" t="str">
        <f t="shared" si="26"/>
        <v/>
      </c>
      <c r="S305" s="6" t="str">
        <f t="shared" si="27"/>
        <v/>
      </c>
      <c r="T305" s="6" t="str">
        <f t="shared" si="28"/>
        <v/>
      </c>
      <c r="U305" s="6" t="str">
        <f t="shared" si="29"/>
        <v/>
      </c>
      <c r="AB305" s="13"/>
    </row>
    <row r="306" spans="17:28" ht="15.6" customHeight="1" x14ac:dyDescent="0.3">
      <c r="Q306" s="13" t="str">
        <f t="shared" si="25"/>
        <v/>
      </c>
      <c r="R306" s="6" t="str">
        <f t="shared" si="26"/>
        <v/>
      </c>
      <c r="S306" s="6" t="str">
        <f t="shared" si="27"/>
        <v/>
      </c>
      <c r="T306" s="6" t="str">
        <f t="shared" si="28"/>
        <v/>
      </c>
      <c r="U306" s="6" t="str">
        <f t="shared" si="29"/>
        <v/>
      </c>
      <c r="AB306" s="13"/>
    </row>
    <row r="307" spans="17:28" ht="15.6" customHeight="1" x14ac:dyDescent="0.3">
      <c r="Q307" s="13" t="str">
        <f t="shared" si="25"/>
        <v/>
      </c>
      <c r="R307" s="6" t="str">
        <f t="shared" si="26"/>
        <v/>
      </c>
      <c r="S307" s="6" t="str">
        <f t="shared" si="27"/>
        <v/>
      </c>
      <c r="T307" s="6" t="str">
        <f t="shared" si="28"/>
        <v/>
      </c>
      <c r="U307" s="6" t="str">
        <f t="shared" si="29"/>
        <v/>
      </c>
      <c r="AB307" s="13"/>
    </row>
    <row r="308" spans="17:28" ht="15.6" customHeight="1" x14ac:dyDescent="0.3">
      <c r="Q308" s="13" t="str">
        <f t="shared" si="25"/>
        <v/>
      </c>
      <c r="R308" s="6" t="str">
        <f t="shared" si="26"/>
        <v/>
      </c>
      <c r="S308" s="6" t="str">
        <f t="shared" si="27"/>
        <v/>
      </c>
      <c r="T308" s="6" t="str">
        <f t="shared" si="28"/>
        <v/>
      </c>
      <c r="U308" s="6" t="str">
        <f t="shared" si="29"/>
        <v/>
      </c>
      <c r="AB308" s="13"/>
    </row>
    <row r="309" spans="17:28" ht="15.6" customHeight="1" x14ac:dyDescent="0.3">
      <c r="Q309" s="13" t="str">
        <f t="shared" si="25"/>
        <v/>
      </c>
      <c r="R309" s="6" t="str">
        <f t="shared" si="26"/>
        <v/>
      </c>
      <c r="S309" s="6" t="str">
        <f t="shared" si="27"/>
        <v/>
      </c>
      <c r="T309" s="6" t="str">
        <f t="shared" si="28"/>
        <v/>
      </c>
      <c r="U309" s="6" t="str">
        <f t="shared" si="29"/>
        <v/>
      </c>
      <c r="AB309" s="13"/>
    </row>
    <row r="310" spans="17:28" ht="15.6" customHeight="1" x14ac:dyDescent="0.3">
      <c r="Q310" s="13" t="str">
        <f t="shared" si="25"/>
        <v/>
      </c>
      <c r="R310" s="6" t="str">
        <f t="shared" si="26"/>
        <v/>
      </c>
      <c r="S310" s="6" t="str">
        <f t="shared" si="27"/>
        <v/>
      </c>
      <c r="T310" s="6" t="str">
        <f t="shared" si="28"/>
        <v/>
      </c>
      <c r="U310" s="6" t="str">
        <f t="shared" si="29"/>
        <v/>
      </c>
      <c r="AB310" s="13"/>
    </row>
    <row r="311" spans="17:28" ht="15.6" customHeight="1" x14ac:dyDescent="0.3">
      <c r="Q311" s="13" t="str">
        <f t="shared" si="25"/>
        <v/>
      </c>
      <c r="R311" s="6" t="str">
        <f t="shared" si="26"/>
        <v/>
      </c>
      <c r="S311" s="6" t="str">
        <f t="shared" si="27"/>
        <v/>
      </c>
      <c r="T311" s="6" t="str">
        <f t="shared" si="28"/>
        <v/>
      </c>
      <c r="U311" s="6" t="str">
        <f t="shared" si="29"/>
        <v/>
      </c>
      <c r="AB311" s="13"/>
    </row>
    <row r="312" spans="17:28" ht="15.6" customHeight="1" x14ac:dyDescent="0.3">
      <c r="Q312" s="13" t="str">
        <f t="shared" si="25"/>
        <v/>
      </c>
      <c r="R312" s="6" t="str">
        <f t="shared" si="26"/>
        <v/>
      </c>
      <c r="S312" s="6" t="str">
        <f t="shared" si="27"/>
        <v/>
      </c>
      <c r="T312" s="6" t="str">
        <f t="shared" si="28"/>
        <v/>
      </c>
      <c r="U312" s="6" t="str">
        <f t="shared" si="29"/>
        <v/>
      </c>
      <c r="AB312" s="13"/>
    </row>
    <row r="313" spans="17:28" ht="15.6" customHeight="1" x14ac:dyDescent="0.3">
      <c r="Q313" s="13" t="str">
        <f t="shared" si="25"/>
        <v/>
      </c>
      <c r="R313" s="6" t="str">
        <f t="shared" si="26"/>
        <v/>
      </c>
      <c r="S313" s="6" t="str">
        <f t="shared" si="27"/>
        <v/>
      </c>
      <c r="T313" s="6" t="str">
        <f t="shared" si="28"/>
        <v/>
      </c>
      <c r="U313" s="6" t="str">
        <f t="shared" si="29"/>
        <v/>
      </c>
      <c r="AB313" s="13"/>
    </row>
    <row r="314" spans="17:28" ht="15.6" customHeight="1" x14ac:dyDescent="0.3">
      <c r="Q314" s="13" t="str">
        <f t="shared" si="25"/>
        <v/>
      </c>
      <c r="R314" s="6" t="str">
        <f t="shared" si="26"/>
        <v/>
      </c>
      <c r="S314" s="6" t="str">
        <f t="shared" si="27"/>
        <v/>
      </c>
      <c r="T314" s="6" t="str">
        <f t="shared" si="28"/>
        <v/>
      </c>
      <c r="U314" s="6" t="str">
        <f t="shared" si="29"/>
        <v/>
      </c>
      <c r="AB314" s="13"/>
    </row>
    <row r="315" spans="17:28" ht="15.6" customHeight="1" x14ac:dyDescent="0.3">
      <c r="Q315" s="13" t="str">
        <f t="shared" si="25"/>
        <v/>
      </c>
      <c r="R315" s="6" t="str">
        <f t="shared" si="26"/>
        <v/>
      </c>
      <c r="S315" s="6" t="str">
        <f t="shared" si="27"/>
        <v/>
      </c>
      <c r="T315" s="6" t="str">
        <f t="shared" si="28"/>
        <v/>
      </c>
      <c r="U315" s="6" t="str">
        <f t="shared" si="29"/>
        <v/>
      </c>
      <c r="AB315" s="13"/>
    </row>
    <row r="316" spans="17:28" ht="15.6" customHeight="1" x14ac:dyDescent="0.3">
      <c r="Q316" s="13" t="str">
        <f t="shared" si="25"/>
        <v/>
      </c>
      <c r="R316" s="6" t="str">
        <f t="shared" si="26"/>
        <v/>
      </c>
      <c r="S316" s="6" t="str">
        <f t="shared" si="27"/>
        <v/>
      </c>
      <c r="T316" s="6" t="str">
        <f t="shared" si="28"/>
        <v/>
      </c>
      <c r="U316" s="6" t="str">
        <f t="shared" si="29"/>
        <v/>
      </c>
      <c r="AB316" s="13"/>
    </row>
    <row r="317" spans="17:28" ht="15.6" customHeight="1" x14ac:dyDescent="0.3">
      <c r="Q317" s="13" t="str">
        <f t="shared" si="25"/>
        <v/>
      </c>
      <c r="R317" s="6" t="str">
        <f t="shared" si="26"/>
        <v/>
      </c>
      <c r="S317" s="6" t="str">
        <f t="shared" si="27"/>
        <v/>
      </c>
      <c r="T317" s="6" t="str">
        <f t="shared" si="28"/>
        <v/>
      </c>
      <c r="U317" s="6" t="str">
        <f t="shared" si="29"/>
        <v/>
      </c>
      <c r="AB317" s="13"/>
    </row>
    <row r="318" spans="17:28" ht="15.6" customHeight="1" x14ac:dyDescent="0.3">
      <c r="Q318" s="13" t="str">
        <f t="shared" si="25"/>
        <v/>
      </c>
      <c r="R318" s="6" t="str">
        <f t="shared" si="26"/>
        <v/>
      </c>
      <c r="S318" s="6" t="str">
        <f t="shared" si="27"/>
        <v/>
      </c>
      <c r="T318" s="6" t="str">
        <f t="shared" si="28"/>
        <v/>
      </c>
      <c r="U318" s="6" t="str">
        <f t="shared" si="29"/>
        <v/>
      </c>
      <c r="AB318" s="13"/>
    </row>
    <row r="319" spans="17:28" ht="15.6" customHeight="1" x14ac:dyDescent="0.3">
      <c r="Q319" s="13" t="str">
        <f t="shared" si="25"/>
        <v/>
      </c>
      <c r="R319" s="6" t="str">
        <f t="shared" si="26"/>
        <v/>
      </c>
      <c r="S319" s="6" t="str">
        <f t="shared" si="27"/>
        <v/>
      </c>
      <c r="T319" s="6" t="str">
        <f t="shared" si="28"/>
        <v/>
      </c>
      <c r="U319" s="6" t="str">
        <f t="shared" si="29"/>
        <v/>
      </c>
      <c r="AB319" s="13"/>
    </row>
    <row r="320" spans="17:28" ht="15.6" customHeight="1" x14ac:dyDescent="0.3">
      <c r="Q320" s="13" t="str">
        <f t="shared" si="25"/>
        <v/>
      </c>
      <c r="R320" s="6" t="str">
        <f t="shared" si="26"/>
        <v/>
      </c>
      <c r="S320" s="6" t="str">
        <f t="shared" si="27"/>
        <v/>
      </c>
      <c r="T320" s="6" t="str">
        <f t="shared" si="28"/>
        <v/>
      </c>
      <c r="U320" s="6" t="str">
        <f t="shared" si="29"/>
        <v/>
      </c>
      <c r="AB320" s="13"/>
    </row>
    <row r="321" spans="17:28" ht="15.6" customHeight="1" x14ac:dyDescent="0.3">
      <c r="Q321" s="13" t="str">
        <f t="shared" si="25"/>
        <v/>
      </c>
      <c r="R321" s="6" t="str">
        <f t="shared" si="26"/>
        <v/>
      </c>
      <c r="S321" s="6" t="str">
        <f t="shared" si="27"/>
        <v/>
      </c>
      <c r="T321" s="6" t="str">
        <f t="shared" si="28"/>
        <v/>
      </c>
      <c r="U321" s="6" t="str">
        <f t="shared" si="29"/>
        <v/>
      </c>
      <c r="AB321" s="13"/>
    </row>
    <row r="322" spans="17:28" ht="15.6" customHeight="1" x14ac:dyDescent="0.3">
      <c r="Q322" s="13" t="str">
        <f t="shared" si="25"/>
        <v/>
      </c>
      <c r="R322" s="6" t="str">
        <f t="shared" si="26"/>
        <v/>
      </c>
      <c r="S322" s="6" t="str">
        <f t="shared" si="27"/>
        <v/>
      </c>
      <c r="T322" s="6" t="str">
        <f t="shared" si="28"/>
        <v/>
      </c>
      <c r="U322" s="6" t="str">
        <f t="shared" si="29"/>
        <v/>
      </c>
      <c r="AB322" s="13"/>
    </row>
    <row r="323" spans="17:28" ht="15.6" customHeight="1" x14ac:dyDescent="0.3">
      <c r="Q323" s="13" t="str">
        <f t="shared" si="25"/>
        <v/>
      </c>
      <c r="R323" s="6" t="str">
        <f t="shared" si="26"/>
        <v/>
      </c>
      <c r="S323" s="6" t="str">
        <f t="shared" si="27"/>
        <v/>
      </c>
      <c r="T323" s="6" t="str">
        <f t="shared" si="28"/>
        <v/>
      </c>
      <c r="U323" s="6" t="str">
        <f t="shared" si="29"/>
        <v/>
      </c>
      <c r="AB323" s="13"/>
    </row>
    <row r="324" spans="17:28" ht="15.6" customHeight="1" x14ac:dyDescent="0.3">
      <c r="Q324" s="13" t="str">
        <f t="shared" ref="Q324:Q387" si="30">IF(K324="","",VLOOKUP(K324,$A$4:$H$22,8,FALSE))</f>
        <v/>
      </c>
      <c r="R324" s="6" t="str">
        <f t="shared" ref="R324:R387" si="31">IF(L324="","",VLOOKUP(L324,$A$4:$H$22,8,FALSE))</f>
        <v/>
      </c>
      <c r="S324" s="6" t="str">
        <f t="shared" ref="S324:S387" si="32">IF(M324="","",VLOOKUP(M324,$A$4:$H$22,8,FALSE))</f>
        <v/>
      </c>
      <c r="T324" s="6" t="str">
        <f t="shared" ref="T324:T387" si="33">IF(N324="","",VLOOKUP(N324,$A$4:$H$22,8,FALSE))</f>
        <v/>
      </c>
      <c r="U324" s="6" t="str">
        <f t="shared" ref="U324:U387" si="34">IF(O324="","",VLOOKUP(O324,$A$4:$H$22,8,FALSE))</f>
        <v/>
      </c>
      <c r="AB324" s="13"/>
    </row>
    <row r="325" spans="17:28" ht="15.6" customHeight="1" x14ac:dyDescent="0.3">
      <c r="Q325" s="13" t="str">
        <f t="shared" si="30"/>
        <v/>
      </c>
      <c r="R325" s="6" t="str">
        <f t="shared" si="31"/>
        <v/>
      </c>
      <c r="S325" s="6" t="str">
        <f t="shared" si="32"/>
        <v/>
      </c>
      <c r="T325" s="6" t="str">
        <f t="shared" si="33"/>
        <v/>
      </c>
      <c r="U325" s="6" t="str">
        <f t="shared" si="34"/>
        <v/>
      </c>
      <c r="AB325" s="13"/>
    </row>
    <row r="326" spans="17:28" ht="15.6" customHeight="1" x14ac:dyDescent="0.3">
      <c r="Q326" s="13" t="str">
        <f t="shared" si="30"/>
        <v/>
      </c>
      <c r="R326" s="6" t="str">
        <f t="shared" si="31"/>
        <v/>
      </c>
      <c r="S326" s="6" t="str">
        <f t="shared" si="32"/>
        <v/>
      </c>
      <c r="T326" s="6" t="str">
        <f t="shared" si="33"/>
        <v/>
      </c>
      <c r="U326" s="6" t="str">
        <f t="shared" si="34"/>
        <v/>
      </c>
      <c r="AB326" s="13"/>
    </row>
    <row r="327" spans="17:28" ht="15.6" customHeight="1" x14ac:dyDescent="0.3">
      <c r="Q327" s="13" t="str">
        <f t="shared" si="30"/>
        <v/>
      </c>
      <c r="R327" s="6" t="str">
        <f t="shared" si="31"/>
        <v/>
      </c>
      <c r="S327" s="6" t="str">
        <f t="shared" si="32"/>
        <v/>
      </c>
      <c r="T327" s="6" t="str">
        <f t="shared" si="33"/>
        <v/>
      </c>
      <c r="U327" s="6" t="str">
        <f t="shared" si="34"/>
        <v/>
      </c>
      <c r="AB327" s="13"/>
    </row>
    <row r="328" spans="17:28" ht="15.6" customHeight="1" x14ac:dyDescent="0.3">
      <c r="Q328" s="13" t="str">
        <f t="shared" si="30"/>
        <v/>
      </c>
      <c r="R328" s="6" t="str">
        <f t="shared" si="31"/>
        <v/>
      </c>
      <c r="S328" s="6" t="str">
        <f t="shared" si="32"/>
        <v/>
      </c>
      <c r="T328" s="6" t="str">
        <f t="shared" si="33"/>
        <v/>
      </c>
      <c r="U328" s="6" t="str">
        <f t="shared" si="34"/>
        <v/>
      </c>
      <c r="AB328" s="13"/>
    </row>
    <row r="329" spans="17:28" ht="15.6" customHeight="1" x14ac:dyDescent="0.3">
      <c r="Q329" s="13" t="str">
        <f t="shared" si="30"/>
        <v/>
      </c>
      <c r="R329" s="6" t="str">
        <f t="shared" si="31"/>
        <v/>
      </c>
      <c r="S329" s="6" t="str">
        <f t="shared" si="32"/>
        <v/>
      </c>
      <c r="T329" s="6" t="str">
        <f t="shared" si="33"/>
        <v/>
      </c>
      <c r="U329" s="6" t="str">
        <f t="shared" si="34"/>
        <v/>
      </c>
      <c r="AB329" s="13"/>
    </row>
    <row r="330" spans="17:28" ht="15.6" customHeight="1" x14ac:dyDescent="0.3">
      <c r="Q330" s="13" t="str">
        <f t="shared" si="30"/>
        <v/>
      </c>
      <c r="R330" s="6" t="str">
        <f t="shared" si="31"/>
        <v/>
      </c>
      <c r="S330" s="6" t="str">
        <f t="shared" si="32"/>
        <v/>
      </c>
      <c r="T330" s="6" t="str">
        <f t="shared" si="33"/>
        <v/>
      </c>
      <c r="U330" s="6" t="str">
        <f t="shared" si="34"/>
        <v/>
      </c>
      <c r="AB330" s="13"/>
    </row>
    <row r="331" spans="17:28" ht="15.6" customHeight="1" x14ac:dyDescent="0.3">
      <c r="Q331" s="13" t="str">
        <f t="shared" si="30"/>
        <v/>
      </c>
      <c r="R331" s="6" t="str">
        <f t="shared" si="31"/>
        <v/>
      </c>
      <c r="S331" s="6" t="str">
        <f t="shared" si="32"/>
        <v/>
      </c>
      <c r="T331" s="6" t="str">
        <f t="shared" si="33"/>
        <v/>
      </c>
      <c r="U331" s="6" t="str">
        <f t="shared" si="34"/>
        <v/>
      </c>
      <c r="AB331" s="13"/>
    </row>
    <row r="332" spans="17:28" ht="15.6" customHeight="1" x14ac:dyDescent="0.3">
      <c r="Q332" s="13" t="str">
        <f t="shared" si="30"/>
        <v/>
      </c>
      <c r="R332" s="6" t="str">
        <f t="shared" si="31"/>
        <v/>
      </c>
      <c r="S332" s="6" t="str">
        <f t="shared" si="32"/>
        <v/>
      </c>
      <c r="T332" s="6" t="str">
        <f t="shared" si="33"/>
        <v/>
      </c>
      <c r="U332" s="6" t="str">
        <f t="shared" si="34"/>
        <v/>
      </c>
      <c r="AB332" s="13"/>
    </row>
    <row r="333" spans="17:28" ht="15.6" customHeight="1" x14ac:dyDescent="0.3">
      <c r="Q333" s="13" t="str">
        <f t="shared" si="30"/>
        <v/>
      </c>
      <c r="R333" s="6" t="str">
        <f t="shared" si="31"/>
        <v/>
      </c>
      <c r="S333" s="6" t="str">
        <f t="shared" si="32"/>
        <v/>
      </c>
      <c r="T333" s="6" t="str">
        <f t="shared" si="33"/>
        <v/>
      </c>
      <c r="U333" s="6" t="str">
        <f t="shared" si="34"/>
        <v/>
      </c>
      <c r="AB333" s="13"/>
    </row>
    <row r="334" spans="17:28" ht="15.6" customHeight="1" x14ac:dyDescent="0.3">
      <c r="Q334" s="13" t="str">
        <f t="shared" si="30"/>
        <v/>
      </c>
      <c r="R334" s="6" t="str">
        <f t="shared" si="31"/>
        <v/>
      </c>
      <c r="S334" s="6" t="str">
        <f t="shared" si="32"/>
        <v/>
      </c>
      <c r="T334" s="6" t="str">
        <f t="shared" si="33"/>
        <v/>
      </c>
      <c r="U334" s="6" t="str">
        <f t="shared" si="34"/>
        <v/>
      </c>
      <c r="AB334" s="13"/>
    </row>
    <row r="335" spans="17:28" ht="15.6" customHeight="1" x14ac:dyDescent="0.3">
      <c r="Q335" s="13" t="str">
        <f t="shared" si="30"/>
        <v/>
      </c>
      <c r="R335" s="6" t="str">
        <f t="shared" si="31"/>
        <v/>
      </c>
      <c r="S335" s="6" t="str">
        <f t="shared" si="32"/>
        <v/>
      </c>
      <c r="T335" s="6" t="str">
        <f t="shared" si="33"/>
        <v/>
      </c>
      <c r="U335" s="6" t="str">
        <f t="shared" si="34"/>
        <v/>
      </c>
      <c r="AB335" s="13"/>
    </row>
    <row r="336" spans="17:28" ht="15.6" customHeight="1" x14ac:dyDescent="0.3">
      <c r="Q336" s="13" t="str">
        <f t="shared" si="30"/>
        <v/>
      </c>
      <c r="R336" s="6" t="str">
        <f t="shared" si="31"/>
        <v/>
      </c>
      <c r="S336" s="6" t="str">
        <f t="shared" si="32"/>
        <v/>
      </c>
      <c r="T336" s="6" t="str">
        <f t="shared" si="33"/>
        <v/>
      </c>
      <c r="U336" s="6" t="str">
        <f t="shared" si="34"/>
        <v/>
      </c>
      <c r="AB336" s="13"/>
    </row>
    <row r="337" spans="17:28" ht="15.6" customHeight="1" x14ac:dyDescent="0.3">
      <c r="Q337" s="13" t="str">
        <f t="shared" si="30"/>
        <v/>
      </c>
      <c r="R337" s="6" t="str">
        <f t="shared" si="31"/>
        <v/>
      </c>
      <c r="S337" s="6" t="str">
        <f t="shared" si="32"/>
        <v/>
      </c>
      <c r="T337" s="6" t="str">
        <f t="shared" si="33"/>
        <v/>
      </c>
      <c r="U337" s="6" t="str">
        <f t="shared" si="34"/>
        <v/>
      </c>
      <c r="AB337" s="13"/>
    </row>
    <row r="338" spans="17:28" ht="15.6" customHeight="1" x14ac:dyDescent="0.3">
      <c r="Q338" s="13" t="str">
        <f t="shared" si="30"/>
        <v/>
      </c>
      <c r="R338" s="6" t="str">
        <f t="shared" si="31"/>
        <v/>
      </c>
      <c r="S338" s="6" t="str">
        <f t="shared" si="32"/>
        <v/>
      </c>
      <c r="T338" s="6" t="str">
        <f t="shared" si="33"/>
        <v/>
      </c>
      <c r="U338" s="6" t="str">
        <f t="shared" si="34"/>
        <v/>
      </c>
      <c r="AB338" s="13"/>
    </row>
    <row r="339" spans="17:28" ht="15.6" customHeight="1" x14ac:dyDescent="0.3">
      <c r="Q339" s="13" t="str">
        <f t="shared" si="30"/>
        <v/>
      </c>
      <c r="R339" s="6" t="str">
        <f t="shared" si="31"/>
        <v/>
      </c>
      <c r="S339" s="6" t="str">
        <f t="shared" si="32"/>
        <v/>
      </c>
      <c r="T339" s="6" t="str">
        <f t="shared" si="33"/>
        <v/>
      </c>
      <c r="U339" s="6" t="str">
        <f t="shared" si="34"/>
        <v/>
      </c>
      <c r="AB339" s="13"/>
    </row>
    <row r="340" spans="17:28" ht="15.6" customHeight="1" x14ac:dyDescent="0.3">
      <c r="Q340" s="13" t="str">
        <f t="shared" si="30"/>
        <v/>
      </c>
      <c r="R340" s="6" t="str">
        <f t="shared" si="31"/>
        <v/>
      </c>
      <c r="S340" s="6" t="str">
        <f t="shared" si="32"/>
        <v/>
      </c>
      <c r="T340" s="6" t="str">
        <f t="shared" si="33"/>
        <v/>
      </c>
      <c r="U340" s="6" t="str">
        <f t="shared" si="34"/>
        <v/>
      </c>
      <c r="AB340" s="13"/>
    </row>
    <row r="341" spans="17:28" ht="15.6" customHeight="1" x14ac:dyDescent="0.3">
      <c r="Q341" s="13" t="str">
        <f t="shared" si="30"/>
        <v/>
      </c>
      <c r="R341" s="6" t="str">
        <f t="shared" si="31"/>
        <v/>
      </c>
      <c r="S341" s="6" t="str">
        <f t="shared" si="32"/>
        <v/>
      </c>
      <c r="T341" s="6" t="str">
        <f t="shared" si="33"/>
        <v/>
      </c>
      <c r="U341" s="6" t="str">
        <f t="shared" si="34"/>
        <v/>
      </c>
      <c r="AB341" s="13"/>
    </row>
    <row r="342" spans="17:28" ht="15.6" customHeight="1" x14ac:dyDescent="0.3">
      <c r="Q342" s="13" t="str">
        <f t="shared" si="30"/>
        <v/>
      </c>
      <c r="R342" s="6" t="str">
        <f t="shared" si="31"/>
        <v/>
      </c>
      <c r="S342" s="6" t="str">
        <f t="shared" si="32"/>
        <v/>
      </c>
      <c r="T342" s="6" t="str">
        <f t="shared" si="33"/>
        <v/>
      </c>
      <c r="U342" s="6" t="str">
        <f t="shared" si="34"/>
        <v/>
      </c>
      <c r="AB342" s="13"/>
    </row>
    <row r="343" spans="17:28" ht="15.6" customHeight="1" x14ac:dyDescent="0.3">
      <c r="Q343" s="13" t="str">
        <f t="shared" si="30"/>
        <v/>
      </c>
      <c r="R343" s="6" t="str">
        <f t="shared" si="31"/>
        <v/>
      </c>
      <c r="S343" s="6" t="str">
        <f t="shared" si="32"/>
        <v/>
      </c>
      <c r="T343" s="6" t="str">
        <f t="shared" si="33"/>
        <v/>
      </c>
      <c r="U343" s="6" t="str">
        <f t="shared" si="34"/>
        <v/>
      </c>
      <c r="AB343" s="13"/>
    </row>
    <row r="344" spans="17:28" ht="15.6" customHeight="1" x14ac:dyDescent="0.3">
      <c r="Q344" s="13" t="str">
        <f t="shared" si="30"/>
        <v/>
      </c>
      <c r="R344" s="6" t="str">
        <f t="shared" si="31"/>
        <v/>
      </c>
      <c r="S344" s="6" t="str">
        <f t="shared" si="32"/>
        <v/>
      </c>
      <c r="T344" s="6" t="str">
        <f t="shared" si="33"/>
        <v/>
      </c>
      <c r="U344" s="6" t="str">
        <f t="shared" si="34"/>
        <v/>
      </c>
      <c r="AB344" s="13"/>
    </row>
    <row r="345" spans="17:28" ht="15.6" customHeight="1" x14ac:dyDescent="0.3">
      <c r="Q345" s="13" t="str">
        <f t="shared" si="30"/>
        <v/>
      </c>
      <c r="R345" s="6" t="str">
        <f t="shared" si="31"/>
        <v/>
      </c>
      <c r="S345" s="6" t="str">
        <f t="shared" si="32"/>
        <v/>
      </c>
      <c r="T345" s="6" t="str">
        <f t="shared" si="33"/>
        <v/>
      </c>
      <c r="U345" s="6" t="str">
        <f t="shared" si="34"/>
        <v/>
      </c>
      <c r="AB345" s="13"/>
    </row>
    <row r="346" spans="17:28" ht="15.6" customHeight="1" x14ac:dyDescent="0.3">
      <c r="Q346" s="13" t="str">
        <f t="shared" si="30"/>
        <v/>
      </c>
      <c r="R346" s="6" t="str">
        <f t="shared" si="31"/>
        <v/>
      </c>
      <c r="S346" s="6" t="str">
        <f t="shared" si="32"/>
        <v/>
      </c>
      <c r="T346" s="6" t="str">
        <f t="shared" si="33"/>
        <v/>
      </c>
      <c r="U346" s="6" t="str">
        <f t="shared" si="34"/>
        <v/>
      </c>
      <c r="AB346" s="13"/>
    </row>
    <row r="347" spans="17:28" ht="15.6" customHeight="1" x14ac:dyDescent="0.3">
      <c r="Q347" s="13" t="str">
        <f t="shared" si="30"/>
        <v/>
      </c>
      <c r="R347" s="6" t="str">
        <f t="shared" si="31"/>
        <v/>
      </c>
      <c r="S347" s="6" t="str">
        <f t="shared" si="32"/>
        <v/>
      </c>
      <c r="T347" s="6" t="str">
        <f t="shared" si="33"/>
        <v/>
      </c>
      <c r="U347" s="6" t="str">
        <f t="shared" si="34"/>
        <v/>
      </c>
      <c r="AB347" s="13"/>
    </row>
    <row r="348" spans="17:28" ht="15.6" customHeight="1" x14ac:dyDescent="0.3">
      <c r="Q348" s="13" t="str">
        <f t="shared" si="30"/>
        <v/>
      </c>
      <c r="R348" s="6" t="str">
        <f t="shared" si="31"/>
        <v/>
      </c>
      <c r="S348" s="6" t="str">
        <f t="shared" si="32"/>
        <v/>
      </c>
      <c r="T348" s="6" t="str">
        <f t="shared" si="33"/>
        <v/>
      </c>
      <c r="U348" s="6" t="str">
        <f t="shared" si="34"/>
        <v/>
      </c>
      <c r="AB348" s="13"/>
    </row>
    <row r="349" spans="17:28" ht="15.6" customHeight="1" x14ac:dyDescent="0.3">
      <c r="Q349" s="13" t="str">
        <f t="shared" si="30"/>
        <v/>
      </c>
      <c r="R349" s="6" t="str">
        <f t="shared" si="31"/>
        <v/>
      </c>
      <c r="S349" s="6" t="str">
        <f t="shared" si="32"/>
        <v/>
      </c>
      <c r="T349" s="6" t="str">
        <f t="shared" si="33"/>
        <v/>
      </c>
      <c r="U349" s="6" t="str">
        <f t="shared" si="34"/>
        <v/>
      </c>
      <c r="AB349" s="13"/>
    </row>
    <row r="350" spans="17:28" ht="15.6" customHeight="1" x14ac:dyDescent="0.3">
      <c r="Q350" s="13" t="str">
        <f t="shared" si="30"/>
        <v/>
      </c>
      <c r="R350" s="6" t="str">
        <f t="shared" si="31"/>
        <v/>
      </c>
      <c r="S350" s="6" t="str">
        <f t="shared" si="32"/>
        <v/>
      </c>
      <c r="T350" s="6" t="str">
        <f t="shared" si="33"/>
        <v/>
      </c>
      <c r="U350" s="6" t="str">
        <f t="shared" si="34"/>
        <v/>
      </c>
      <c r="AB350" s="13"/>
    </row>
    <row r="351" spans="17:28" ht="15.6" customHeight="1" x14ac:dyDescent="0.3">
      <c r="Q351" s="13" t="str">
        <f t="shared" si="30"/>
        <v/>
      </c>
      <c r="R351" s="6" t="str">
        <f t="shared" si="31"/>
        <v/>
      </c>
      <c r="S351" s="6" t="str">
        <f t="shared" si="32"/>
        <v/>
      </c>
      <c r="T351" s="6" t="str">
        <f t="shared" si="33"/>
        <v/>
      </c>
      <c r="U351" s="6" t="str">
        <f t="shared" si="34"/>
        <v/>
      </c>
      <c r="AB351" s="13"/>
    </row>
    <row r="352" spans="17:28" ht="15.6" customHeight="1" x14ac:dyDescent="0.3">
      <c r="Q352" s="13" t="str">
        <f t="shared" si="30"/>
        <v/>
      </c>
      <c r="R352" s="6" t="str">
        <f t="shared" si="31"/>
        <v/>
      </c>
      <c r="S352" s="6" t="str">
        <f t="shared" si="32"/>
        <v/>
      </c>
      <c r="T352" s="6" t="str">
        <f t="shared" si="33"/>
        <v/>
      </c>
      <c r="U352" s="6" t="str">
        <f t="shared" si="34"/>
        <v/>
      </c>
      <c r="AB352" s="13"/>
    </row>
    <row r="353" spans="17:28" ht="15.6" customHeight="1" x14ac:dyDescent="0.3">
      <c r="Q353" s="13" t="str">
        <f t="shared" si="30"/>
        <v/>
      </c>
      <c r="R353" s="6" t="str">
        <f t="shared" si="31"/>
        <v/>
      </c>
      <c r="S353" s="6" t="str">
        <f t="shared" si="32"/>
        <v/>
      </c>
      <c r="T353" s="6" t="str">
        <f t="shared" si="33"/>
        <v/>
      </c>
      <c r="U353" s="6" t="str">
        <f t="shared" si="34"/>
        <v/>
      </c>
      <c r="AB353" s="13"/>
    </row>
    <row r="354" spans="17:28" ht="15.6" customHeight="1" x14ac:dyDescent="0.3">
      <c r="Q354" s="13" t="str">
        <f t="shared" si="30"/>
        <v/>
      </c>
      <c r="R354" s="6" t="str">
        <f t="shared" si="31"/>
        <v/>
      </c>
      <c r="S354" s="6" t="str">
        <f t="shared" si="32"/>
        <v/>
      </c>
      <c r="T354" s="6" t="str">
        <f t="shared" si="33"/>
        <v/>
      </c>
      <c r="U354" s="6" t="str">
        <f t="shared" si="34"/>
        <v/>
      </c>
      <c r="AB354" s="13"/>
    </row>
    <row r="355" spans="17:28" ht="15.6" customHeight="1" x14ac:dyDescent="0.3">
      <c r="Q355" s="13" t="str">
        <f t="shared" si="30"/>
        <v/>
      </c>
      <c r="R355" s="6" t="str">
        <f t="shared" si="31"/>
        <v/>
      </c>
      <c r="S355" s="6" t="str">
        <f t="shared" si="32"/>
        <v/>
      </c>
      <c r="T355" s="6" t="str">
        <f t="shared" si="33"/>
        <v/>
      </c>
      <c r="U355" s="6" t="str">
        <f t="shared" si="34"/>
        <v/>
      </c>
      <c r="AB355" s="13"/>
    </row>
    <row r="356" spans="17:28" ht="15.6" customHeight="1" x14ac:dyDescent="0.3">
      <c r="Q356" s="13" t="str">
        <f t="shared" si="30"/>
        <v/>
      </c>
      <c r="R356" s="6" t="str">
        <f t="shared" si="31"/>
        <v/>
      </c>
      <c r="S356" s="6" t="str">
        <f t="shared" si="32"/>
        <v/>
      </c>
      <c r="T356" s="6" t="str">
        <f t="shared" si="33"/>
        <v/>
      </c>
      <c r="U356" s="6" t="str">
        <f t="shared" si="34"/>
        <v/>
      </c>
      <c r="AB356" s="13"/>
    </row>
    <row r="357" spans="17:28" ht="15.6" customHeight="1" x14ac:dyDescent="0.3">
      <c r="Q357" s="13" t="str">
        <f t="shared" si="30"/>
        <v/>
      </c>
      <c r="R357" s="6" t="str">
        <f t="shared" si="31"/>
        <v/>
      </c>
      <c r="S357" s="6" t="str">
        <f t="shared" si="32"/>
        <v/>
      </c>
      <c r="T357" s="6" t="str">
        <f t="shared" si="33"/>
        <v/>
      </c>
      <c r="U357" s="6" t="str">
        <f t="shared" si="34"/>
        <v/>
      </c>
      <c r="AB357" s="13"/>
    </row>
    <row r="358" spans="17:28" ht="15.6" customHeight="1" x14ac:dyDescent="0.3">
      <c r="Q358" s="13" t="str">
        <f t="shared" si="30"/>
        <v/>
      </c>
      <c r="R358" s="6" t="str">
        <f t="shared" si="31"/>
        <v/>
      </c>
      <c r="S358" s="6" t="str">
        <f t="shared" si="32"/>
        <v/>
      </c>
      <c r="T358" s="6" t="str">
        <f t="shared" si="33"/>
        <v/>
      </c>
      <c r="U358" s="6" t="str">
        <f t="shared" si="34"/>
        <v/>
      </c>
      <c r="AB358" s="13"/>
    </row>
    <row r="359" spans="17:28" ht="15.6" customHeight="1" x14ac:dyDescent="0.3">
      <c r="Q359" s="13" t="str">
        <f t="shared" si="30"/>
        <v/>
      </c>
      <c r="R359" s="6" t="str">
        <f t="shared" si="31"/>
        <v/>
      </c>
      <c r="S359" s="6" t="str">
        <f t="shared" si="32"/>
        <v/>
      </c>
      <c r="T359" s="6" t="str">
        <f t="shared" si="33"/>
        <v/>
      </c>
      <c r="U359" s="6" t="str">
        <f t="shared" si="34"/>
        <v/>
      </c>
      <c r="AB359" s="13"/>
    </row>
    <row r="360" spans="17:28" ht="15.6" customHeight="1" x14ac:dyDescent="0.3">
      <c r="Q360" s="13" t="str">
        <f t="shared" si="30"/>
        <v/>
      </c>
      <c r="R360" s="6" t="str">
        <f t="shared" si="31"/>
        <v/>
      </c>
      <c r="S360" s="6" t="str">
        <f t="shared" si="32"/>
        <v/>
      </c>
      <c r="T360" s="6" t="str">
        <f t="shared" si="33"/>
        <v/>
      </c>
      <c r="U360" s="6" t="str">
        <f t="shared" si="34"/>
        <v/>
      </c>
      <c r="AB360" s="13"/>
    </row>
    <row r="361" spans="17:28" ht="15.6" customHeight="1" x14ac:dyDescent="0.3">
      <c r="Q361" s="13" t="str">
        <f t="shared" si="30"/>
        <v/>
      </c>
      <c r="R361" s="6" t="str">
        <f t="shared" si="31"/>
        <v/>
      </c>
      <c r="S361" s="6" t="str">
        <f t="shared" si="32"/>
        <v/>
      </c>
      <c r="T361" s="6" t="str">
        <f t="shared" si="33"/>
        <v/>
      </c>
      <c r="U361" s="6" t="str">
        <f t="shared" si="34"/>
        <v/>
      </c>
      <c r="AB361" s="13"/>
    </row>
    <row r="362" spans="17:28" ht="15.6" customHeight="1" x14ac:dyDescent="0.3">
      <c r="Q362" s="13" t="str">
        <f t="shared" si="30"/>
        <v/>
      </c>
      <c r="R362" s="6" t="str">
        <f t="shared" si="31"/>
        <v/>
      </c>
      <c r="S362" s="6" t="str">
        <f t="shared" si="32"/>
        <v/>
      </c>
      <c r="T362" s="6" t="str">
        <f t="shared" si="33"/>
        <v/>
      </c>
      <c r="U362" s="6" t="str">
        <f t="shared" si="34"/>
        <v/>
      </c>
      <c r="AB362" s="13"/>
    </row>
    <row r="363" spans="17:28" ht="15.6" customHeight="1" x14ac:dyDescent="0.3">
      <c r="Q363" s="13" t="str">
        <f t="shared" si="30"/>
        <v/>
      </c>
      <c r="R363" s="6" t="str">
        <f t="shared" si="31"/>
        <v/>
      </c>
      <c r="S363" s="6" t="str">
        <f t="shared" si="32"/>
        <v/>
      </c>
      <c r="T363" s="6" t="str">
        <f t="shared" si="33"/>
        <v/>
      </c>
      <c r="U363" s="6" t="str">
        <f t="shared" si="34"/>
        <v/>
      </c>
      <c r="AB363" s="13"/>
    </row>
    <row r="364" spans="17:28" ht="15.6" customHeight="1" x14ac:dyDescent="0.3">
      <c r="Q364" s="13" t="str">
        <f t="shared" si="30"/>
        <v/>
      </c>
      <c r="R364" s="6" t="str">
        <f t="shared" si="31"/>
        <v/>
      </c>
      <c r="S364" s="6" t="str">
        <f t="shared" si="32"/>
        <v/>
      </c>
      <c r="T364" s="6" t="str">
        <f t="shared" si="33"/>
        <v/>
      </c>
      <c r="U364" s="6" t="str">
        <f t="shared" si="34"/>
        <v/>
      </c>
      <c r="AB364" s="13"/>
    </row>
    <row r="365" spans="17:28" ht="15.6" customHeight="1" x14ac:dyDescent="0.3">
      <c r="Q365" s="13" t="str">
        <f t="shared" si="30"/>
        <v/>
      </c>
      <c r="R365" s="6" t="str">
        <f t="shared" si="31"/>
        <v/>
      </c>
      <c r="S365" s="6" t="str">
        <f t="shared" si="32"/>
        <v/>
      </c>
      <c r="T365" s="6" t="str">
        <f t="shared" si="33"/>
        <v/>
      </c>
      <c r="U365" s="6" t="str">
        <f t="shared" si="34"/>
        <v/>
      </c>
      <c r="AB365" s="13"/>
    </row>
    <row r="366" spans="17:28" ht="15.6" customHeight="1" x14ac:dyDescent="0.3">
      <c r="Q366" s="13" t="str">
        <f t="shared" si="30"/>
        <v/>
      </c>
      <c r="R366" s="6" t="str">
        <f t="shared" si="31"/>
        <v/>
      </c>
      <c r="S366" s="6" t="str">
        <f t="shared" si="32"/>
        <v/>
      </c>
      <c r="T366" s="6" t="str">
        <f t="shared" si="33"/>
        <v/>
      </c>
      <c r="U366" s="6" t="str">
        <f t="shared" si="34"/>
        <v/>
      </c>
      <c r="AB366" s="13"/>
    </row>
    <row r="367" spans="17:28" ht="15.6" customHeight="1" x14ac:dyDescent="0.3">
      <c r="Q367" s="13" t="str">
        <f t="shared" si="30"/>
        <v/>
      </c>
      <c r="R367" s="6" t="str">
        <f t="shared" si="31"/>
        <v/>
      </c>
      <c r="S367" s="6" t="str">
        <f t="shared" si="32"/>
        <v/>
      </c>
      <c r="T367" s="6" t="str">
        <f t="shared" si="33"/>
        <v/>
      </c>
      <c r="U367" s="6" t="str">
        <f t="shared" si="34"/>
        <v/>
      </c>
      <c r="AB367" s="13"/>
    </row>
    <row r="368" spans="17:28" ht="15.6" customHeight="1" x14ac:dyDescent="0.3">
      <c r="Q368" s="13" t="str">
        <f t="shared" si="30"/>
        <v/>
      </c>
      <c r="R368" s="6" t="str">
        <f t="shared" si="31"/>
        <v/>
      </c>
      <c r="S368" s="6" t="str">
        <f t="shared" si="32"/>
        <v/>
      </c>
      <c r="T368" s="6" t="str">
        <f t="shared" si="33"/>
        <v/>
      </c>
      <c r="U368" s="6" t="str">
        <f t="shared" si="34"/>
        <v/>
      </c>
      <c r="AB368" s="13"/>
    </row>
    <row r="369" spans="17:28" ht="15.6" customHeight="1" x14ac:dyDescent="0.3">
      <c r="Q369" s="13" t="str">
        <f t="shared" si="30"/>
        <v/>
      </c>
      <c r="R369" s="6" t="str">
        <f t="shared" si="31"/>
        <v/>
      </c>
      <c r="S369" s="6" t="str">
        <f t="shared" si="32"/>
        <v/>
      </c>
      <c r="T369" s="6" t="str">
        <f t="shared" si="33"/>
        <v/>
      </c>
      <c r="U369" s="6" t="str">
        <f t="shared" si="34"/>
        <v/>
      </c>
      <c r="AB369" s="13"/>
    </row>
    <row r="370" spans="17:28" ht="15.6" customHeight="1" x14ac:dyDescent="0.3">
      <c r="Q370" s="13" t="str">
        <f t="shared" si="30"/>
        <v/>
      </c>
      <c r="R370" s="6" t="str">
        <f t="shared" si="31"/>
        <v/>
      </c>
      <c r="S370" s="6" t="str">
        <f t="shared" si="32"/>
        <v/>
      </c>
      <c r="T370" s="6" t="str">
        <f t="shared" si="33"/>
        <v/>
      </c>
      <c r="U370" s="6" t="str">
        <f t="shared" si="34"/>
        <v/>
      </c>
      <c r="AB370" s="13"/>
    </row>
    <row r="371" spans="17:28" ht="15.6" customHeight="1" x14ac:dyDescent="0.3">
      <c r="Q371" s="13" t="str">
        <f t="shared" si="30"/>
        <v/>
      </c>
      <c r="R371" s="6" t="str">
        <f t="shared" si="31"/>
        <v/>
      </c>
      <c r="S371" s="6" t="str">
        <f t="shared" si="32"/>
        <v/>
      </c>
      <c r="T371" s="6" t="str">
        <f t="shared" si="33"/>
        <v/>
      </c>
      <c r="U371" s="6" t="str">
        <f t="shared" si="34"/>
        <v/>
      </c>
      <c r="AB371" s="13"/>
    </row>
    <row r="372" spans="17:28" ht="15.6" customHeight="1" x14ac:dyDescent="0.3">
      <c r="Q372" s="13" t="str">
        <f t="shared" si="30"/>
        <v/>
      </c>
      <c r="R372" s="6" t="str">
        <f t="shared" si="31"/>
        <v/>
      </c>
      <c r="S372" s="6" t="str">
        <f t="shared" si="32"/>
        <v/>
      </c>
      <c r="T372" s="6" t="str">
        <f t="shared" si="33"/>
        <v/>
      </c>
      <c r="U372" s="6" t="str">
        <f t="shared" si="34"/>
        <v/>
      </c>
      <c r="AB372" s="13"/>
    </row>
    <row r="373" spans="17:28" ht="15.6" customHeight="1" x14ac:dyDescent="0.3">
      <c r="Q373" s="13" t="str">
        <f t="shared" si="30"/>
        <v/>
      </c>
      <c r="R373" s="6" t="str">
        <f t="shared" si="31"/>
        <v/>
      </c>
      <c r="S373" s="6" t="str">
        <f t="shared" si="32"/>
        <v/>
      </c>
      <c r="T373" s="6" t="str">
        <f t="shared" si="33"/>
        <v/>
      </c>
      <c r="U373" s="6" t="str">
        <f t="shared" si="34"/>
        <v/>
      </c>
      <c r="AB373" s="13"/>
    </row>
    <row r="374" spans="17:28" ht="15.6" customHeight="1" x14ac:dyDescent="0.3">
      <c r="Q374" s="13" t="str">
        <f t="shared" si="30"/>
        <v/>
      </c>
      <c r="R374" s="6" t="str">
        <f t="shared" si="31"/>
        <v/>
      </c>
      <c r="S374" s="6" t="str">
        <f t="shared" si="32"/>
        <v/>
      </c>
      <c r="T374" s="6" t="str">
        <f t="shared" si="33"/>
        <v/>
      </c>
      <c r="U374" s="6" t="str">
        <f t="shared" si="34"/>
        <v/>
      </c>
      <c r="AB374" s="13"/>
    </row>
    <row r="375" spans="17:28" ht="15.6" customHeight="1" x14ac:dyDescent="0.3">
      <c r="Q375" s="13" t="str">
        <f t="shared" si="30"/>
        <v/>
      </c>
      <c r="R375" s="6" t="str">
        <f t="shared" si="31"/>
        <v/>
      </c>
      <c r="S375" s="6" t="str">
        <f t="shared" si="32"/>
        <v/>
      </c>
      <c r="T375" s="6" t="str">
        <f t="shared" si="33"/>
        <v/>
      </c>
      <c r="U375" s="6" t="str">
        <f t="shared" si="34"/>
        <v/>
      </c>
      <c r="AB375" s="13"/>
    </row>
    <row r="376" spans="17:28" ht="15.6" customHeight="1" x14ac:dyDescent="0.3">
      <c r="Q376" s="13" t="str">
        <f t="shared" si="30"/>
        <v/>
      </c>
      <c r="R376" s="6" t="str">
        <f t="shared" si="31"/>
        <v/>
      </c>
      <c r="S376" s="6" t="str">
        <f t="shared" si="32"/>
        <v/>
      </c>
      <c r="T376" s="6" t="str">
        <f t="shared" si="33"/>
        <v/>
      </c>
      <c r="U376" s="6" t="str">
        <f t="shared" si="34"/>
        <v/>
      </c>
      <c r="AB376" s="13"/>
    </row>
    <row r="377" spans="17:28" ht="15.6" customHeight="1" x14ac:dyDescent="0.3">
      <c r="Q377" s="13" t="str">
        <f t="shared" si="30"/>
        <v/>
      </c>
      <c r="R377" s="6" t="str">
        <f t="shared" si="31"/>
        <v/>
      </c>
      <c r="S377" s="6" t="str">
        <f t="shared" si="32"/>
        <v/>
      </c>
      <c r="T377" s="6" t="str">
        <f t="shared" si="33"/>
        <v/>
      </c>
      <c r="U377" s="6" t="str">
        <f t="shared" si="34"/>
        <v/>
      </c>
      <c r="AB377" s="13"/>
    </row>
    <row r="378" spans="17:28" ht="15.6" customHeight="1" x14ac:dyDescent="0.3">
      <c r="Q378" s="13" t="str">
        <f t="shared" si="30"/>
        <v/>
      </c>
      <c r="R378" s="6" t="str">
        <f t="shared" si="31"/>
        <v/>
      </c>
      <c r="S378" s="6" t="str">
        <f t="shared" si="32"/>
        <v/>
      </c>
      <c r="T378" s="6" t="str">
        <f t="shared" si="33"/>
        <v/>
      </c>
      <c r="U378" s="6" t="str">
        <f t="shared" si="34"/>
        <v/>
      </c>
      <c r="AB378" s="13"/>
    </row>
    <row r="379" spans="17:28" ht="15.6" customHeight="1" x14ac:dyDescent="0.3">
      <c r="Q379" s="13" t="str">
        <f t="shared" si="30"/>
        <v/>
      </c>
      <c r="R379" s="6" t="str">
        <f t="shared" si="31"/>
        <v/>
      </c>
      <c r="S379" s="6" t="str">
        <f t="shared" si="32"/>
        <v/>
      </c>
      <c r="T379" s="6" t="str">
        <f t="shared" si="33"/>
        <v/>
      </c>
      <c r="U379" s="6" t="str">
        <f t="shared" si="34"/>
        <v/>
      </c>
      <c r="AB379" s="13"/>
    </row>
    <row r="380" spans="17:28" ht="15.6" customHeight="1" x14ac:dyDescent="0.3">
      <c r="Q380" s="13" t="str">
        <f t="shared" si="30"/>
        <v/>
      </c>
      <c r="R380" s="6" t="str">
        <f t="shared" si="31"/>
        <v/>
      </c>
      <c r="S380" s="6" t="str">
        <f t="shared" si="32"/>
        <v/>
      </c>
      <c r="T380" s="6" t="str">
        <f t="shared" si="33"/>
        <v/>
      </c>
      <c r="U380" s="6" t="str">
        <f t="shared" si="34"/>
        <v/>
      </c>
      <c r="AB380" s="13"/>
    </row>
    <row r="381" spans="17:28" ht="15.6" customHeight="1" x14ac:dyDescent="0.3">
      <c r="Q381" s="13" t="str">
        <f t="shared" si="30"/>
        <v/>
      </c>
      <c r="R381" s="6" t="str">
        <f t="shared" si="31"/>
        <v/>
      </c>
      <c r="S381" s="6" t="str">
        <f t="shared" si="32"/>
        <v/>
      </c>
      <c r="T381" s="6" t="str">
        <f t="shared" si="33"/>
        <v/>
      </c>
      <c r="U381" s="6" t="str">
        <f t="shared" si="34"/>
        <v/>
      </c>
      <c r="AB381" s="13"/>
    </row>
    <row r="382" spans="17:28" ht="15.6" customHeight="1" x14ac:dyDescent="0.3">
      <c r="Q382" s="13" t="str">
        <f t="shared" si="30"/>
        <v/>
      </c>
      <c r="R382" s="6" t="str">
        <f t="shared" si="31"/>
        <v/>
      </c>
      <c r="S382" s="6" t="str">
        <f t="shared" si="32"/>
        <v/>
      </c>
      <c r="T382" s="6" t="str">
        <f t="shared" si="33"/>
        <v/>
      </c>
      <c r="U382" s="6" t="str">
        <f t="shared" si="34"/>
        <v/>
      </c>
      <c r="AB382" s="13"/>
    </row>
    <row r="383" spans="17:28" ht="15.6" customHeight="1" x14ac:dyDescent="0.3">
      <c r="Q383" s="13" t="str">
        <f t="shared" si="30"/>
        <v/>
      </c>
      <c r="R383" s="6" t="str">
        <f t="shared" si="31"/>
        <v/>
      </c>
      <c r="S383" s="6" t="str">
        <f t="shared" si="32"/>
        <v/>
      </c>
      <c r="T383" s="6" t="str">
        <f t="shared" si="33"/>
        <v/>
      </c>
      <c r="U383" s="6" t="str">
        <f t="shared" si="34"/>
        <v/>
      </c>
      <c r="AB383" s="13"/>
    </row>
    <row r="384" spans="17:28" ht="15.6" customHeight="1" x14ac:dyDescent="0.3">
      <c r="Q384" s="13" t="str">
        <f t="shared" si="30"/>
        <v/>
      </c>
      <c r="R384" s="6" t="str">
        <f t="shared" si="31"/>
        <v/>
      </c>
      <c r="S384" s="6" t="str">
        <f t="shared" si="32"/>
        <v/>
      </c>
      <c r="T384" s="6" t="str">
        <f t="shared" si="33"/>
        <v/>
      </c>
      <c r="U384" s="6" t="str">
        <f t="shared" si="34"/>
        <v/>
      </c>
      <c r="AB384" s="13"/>
    </row>
    <row r="385" spans="17:28" ht="15.6" customHeight="1" x14ac:dyDescent="0.3">
      <c r="Q385" s="13" t="str">
        <f t="shared" si="30"/>
        <v/>
      </c>
      <c r="R385" s="6" t="str">
        <f t="shared" si="31"/>
        <v/>
      </c>
      <c r="S385" s="6" t="str">
        <f t="shared" si="32"/>
        <v/>
      </c>
      <c r="T385" s="6" t="str">
        <f t="shared" si="33"/>
        <v/>
      </c>
      <c r="U385" s="6" t="str">
        <f t="shared" si="34"/>
        <v/>
      </c>
      <c r="AB385" s="13"/>
    </row>
    <row r="386" spans="17:28" ht="15.6" customHeight="1" x14ac:dyDescent="0.3">
      <c r="Q386" s="13" t="str">
        <f t="shared" si="30"/>
        <v/>
      </c>
      <c r="R386" s="6" t="str">
        <f t="shared" si="31"/>
        <v/>
      </c>
      <c r="S386" s="6" t="str">
        <f t="shared" si="32"/>
        <v/>
      </c>
      <c r="T386" s="6" t="str">
        <f t="shared" si="33"/>
        <v/>
      </c>
      <c r="U386" s="6" t="str">
        <f t="shared" si="34"/>
        <v/>
      </c>
      <c r="AB386" s="13"/>
    </row>
    <row r="387" spans="17:28" ht="15.6" customHeight="1" x14ac:dyDescent="0.3">
      <c r="Q387" s="13" t="str">
        <f t="shared" si="30"/>
        <v/>
      </c>
      <c r="R387" s="6" t="str">
        <f t="shared" si="31"/>
        <v/>
      </c>
      <c r="S387" s="6" t="str">
        <f t="shared" si="32"/>
        <v/>
      </c>
      <c r="T387" s="6" t="str">
        <f t="shared" si="33"/>
        <v/>
      </c>
      <c r="U387" s="6" t="str">
        <f t="shared" si="34"/>
        <v/>
      </c>
      <c r="AB387" s="13"/>
    </row>
    <row r="388" spans="17:28" ht="15.6" customHeight="1" x14ac:dyDescent="0.3">
      <c r="Q388" s="13" t="str">
        <f t="shared" ref="Q388:Q403" si="35">IF(K388="","",VLOOKUP(K388,$A$4:$H$22,8,FALSE))</f>
        <v/>
      </c>
      <c r="R388" s="6" t="str">
        <f t="shared" ref="R388:R403" si="36">IF(L388="","",VLOOKUP(L388,$A$4:$H$22,8,FALSE))</f>
        <v/>
      </c>
      <c r="S388" s="6" t="str">
        <f t="shared" ref="S388:S403" si="37">IF(M388="","",VLOOKUP(M388,$A$4:$H$22,8,FALSE))</f>
        <v/>
      </c>
      <c r="T388" s="6" t="str">
        <f t="shared" ref="T388:T403" si="38">IF(N388="","",VLOOKUP(N388,$A$4:$H$22,8,FALSE))</f>
        <v/>
      </c>
      <c r="U388" s="6" t="str">
        <f t="shared" ref="U388:U403" si="39">IF(O388="","",VLOOKUP(O388,$A$4:$H$22,8,FALSE))</f>
        <v/>
      </c>
      <c r="AB388" s="13"/>
    </row>
    <row r="389" spans="17:28" ht="15.6" customHeight="1" x14ac:dyDescent="0.3">
      <c r="Q389" s="13" t="str">
        <f t="shared" si="35"/>
        <v/>
      </c>
      <c r="R389" s="6" t="str">
        <f t="shared" si="36"/>
        <v/>
      </c>
      <c r="S389" s="6" t="str">
        <f t="shared" si="37"/>
        <v/>
      </c>
      <c r="T389" s="6" t="str">
        <f t="shared" si="38"/>
        <v/>
      </c>
      <c r="U389" s="6" t="str">
        <f t="shared" si="39"/>
        <v/>
      </c>
      <c r="AB389" s="13"/>
    </row>
    <row r="390" spans="17:28" ht="15.6" customHeight="1" x14ac:dyDescent="0.3">
      <c r="Q390" s="13" t="str">
        <f t="shared" si="35"/>
        <v/>
      </c>
      <c r="R390" s="6" t="str">
        <f t="shared" si="36"/>
        <v/>
      </c>
      <c r="S390" s="6" t="str">
        <f t="shared" si="37"/>
        <v/>
      </c>
      <c r="T390" s="6" t="str">
        <f t="shared" si="38"/>
        <v/>
      </c>
      <c r="U390" s="6" t="str">
        <f t="shared" si="39"/>
        <v/>
      </c>
      <c r="AB390" s="13"/>
    </row>
    <row r="391" spans="17:28" ht="15.6" customHeight="1" x14ac:dyDescent="0.3">
      <c r="Q391" s="13" t="str">
        <f t="shared" si="35"/>
        <v/>
      </c>
      <c r="R391" s="6" t="str">
        <f t="shared" si="36"/>
        <v/>
      </c>
      <c r="S391" s="6" t="str">
        <f t="shared" si="37"/>
        <v/>
      </c>
      <c r="T391" s="6" t="str">
        <f t="shared" si="38"/>
        <v/>
      </c>
      <c r="U391" s="6" t="str">
        <f t="shared" si="39"/>
        <v/>
      </c>
      <c r="AB391" s="13"/>
    </row>
    <row r="392" spans="17:28" ht="15.6" customHeight="1" x14ac:dyDescent="0.3">
      <c r="Q392" s="13" t="str">
        <f t="shared" si="35"/>
        <v/>
      </c>
      <c r="R392" s="6" t="str">
        <f t="shared" si="36"/>
        <v/>
      </c>
      <c r="S392" s="6" t="str">
        <f t="shared" si="37"/>
        <v/>
      </c>
      <c r="T392" s="6" t="str">
        <f t="shared" si="38"/>
        <v/>
      </c>
      <c r="U392" s="6" t="str">
        <f t="shared" si="39"/>
        <v/>
      </c>
      <c r="AB392" s="13"/>
    </row>
    <row r="393" spans="17:28" ht="15.6" customHeight="1" x14ac:dyDescent="0.3">
      <c r="Q393" s="13" t="str">
        <f t="shared" si="35"/>
        <v/>
      </c>
      <c r="R393" s="6" t="str">
        <f t="shared" si="36"/>
        <v/>
      </c>
      <c r="S393" s="6" t="str">
        <f t="shared" si="37"/>
        <v/>
      </c>
      <c r="T393" s="6" t="str">
        <f t="shared" si="38"/>
        <v/>
      </c>
      <c r="U393" s="6" t="str">
        <f t="shared" si="39"/>
        <v/>
      </c>
      <c r="AB393" s="13"/>
    </row>
    <row r="394" spans="17:28" ht="15.6" customHeight="1" x14ac:dyDescent="0.3">
      <c r="Q394" s="13" t="str">
        <f t="shared" si="35"/>
        <v/>
      </c>
      <c r="R394" s="6" t="str">
        <f t="shared" si="36"/>
        <v/>
      </c>
      <c r="S394" s="6" t="str">
        <f t="shared" si="37"/>
        <v/>
      </c>
      <c r="T394" s="6" t="str">
        <f t="shared" si="38"/>
        <v/>
      </c>
      <c r="U394" s="6" t="str">
        <f t="shared" si="39"/>
        <v/>
      </c>
      <c r="AB394" s="13"/>
    </row>
    <row r="395" spans="17:28" ht="15.6" customHeight="1" x14ac:dyDescent="0.3">
      <c r="Q395" s="13" t="str">
        <f t="shared" si="35"/>
        <v/>
      </c>
      <c r="R395" s="6" t="str">
        <f t="shared" si="36"/>
        <v/>
      </c>
      <c r="S395" s="6" t="str">
        <f t="shared" si="37"/>
        <v/>
      </c>
      <c r="T395" s="6" t="str">
        <f t="shared" si="38"/>
        <v/>
      </c>
      <c r="U395" s="6" t="str">
        <f t="shared" si="39"/>
        <v/>
      </c>
      <c r="AB395" s="13"/>
    </row>
    <row r="396" spans="17:28" ht="15.6" customHeight="1" x14ac:dyDescent="0.3">
      <c r="Q396" s="13" t="str">
        <f t="shared" si="35"/>
        <v/>
      </c>
      <c r="R396" s="6" t="str">
        <f t="shared" si="36"/>
        <v/>
      </c>
      <c r="S396" s="6" t="str">
        <f t="shared" si="37"/>
        <v/>
      </c>
      <c r="T396" s="6" t="str">
        <f t="shared" si="38"/>
        <v/>
      </c>
      <c r="U396" s="6" t="str">
        <f t="shared" si="39"/>
        <v/>
      </c>
      <c r="AB396" s="13"/>
    </row>
    <row r="397" spans="17:28" ht="15.6" customHeight="1" x14ac:dyDescent="0.3">
      <c r="Q397" s="13" t="str">
        <f t="shared" si="35"/>
        <v/>
      </c>
      <c r="R397" s="6" t="str">
        <f t="shared" si="36"/>
        <v/>
      </c>
      <c r="S397" s="6" t="str">
        <f t="shared" si="37"/>
        <v/>
      </c>
      <c r="T397" s="6" t="str">
        <f t="shared" si="38"/>
        <v/>
      </c>
      <c r="U397" s="6" t="str">
        <f t="shared" si="39"/>
        <v/>
      </c>
      <c r="AB397" s="13"/>
    </row>
    <row r="398" spans="17:28" ht="15.6" customHeight="1" x14ac:dyDescent="0.3">
      <c r="Q398" s="13" t="str">
        <f t="shared" si="35"/>
        <v/>
      </c>
      <c r="R398" s="6" t="str">
        <f t="shared" si="36"/>
        <v/>
      </c>
      <c r="S398" s="6" t="str">
        <f t="shared" si="37"/>
        <v/>
      </c>
      <c r="T398" s="6" t="str">
        <f t="shared" si="38"/>
        <v/>
      </c>
      <c r="U398" s="6" t="str">
        <f t="shared" si="39"/>
        <v/>
      </c>
      <c r="AB398" s="13"/>
    </row>
    <row r="399" spans="17:28" ht="15.6" customHeight="1" x14ac:dyDescent="0.3">
      <c r="Q399" s="13" t="str">
        <f t="shared" si="35"/>
        <v/>
      </c>
      <c r="R399" s="6" t="str">
        <f t="shared" si="36"/>
        <v/>
      </c>
      <c r="S399" s="6" t="str">
        <f t="shared" si="37"/>
        <v/>
      </c>
      <c r="T399" s="6" t="str">
        <f t="shared" si="38"/>
        <v/>
      </c>
      <c r="U399" s="6" t="str">
        <f t="shared" si="39"/>
        <v/>
      </c>
      <c r="AB399" s="13"/>
    </row>
    <row r="400" spans="17:28" ht="15.6" customHeight="1" x14ac:dyDescent="0.3">
      <c r="Q400" s="13" t="str">
        <f t="shared" si="35"/>
        <v/>
      </c>
      <c r="R400" s="6" t="str">
        <f t="shared" si="36"/>
        <v/>
      </c>
      <c r="S400" s="6" t="str">
        <f t="shared" si="37"/>
        <v/>
      </c>
      <c r="T400" s="6" t="str">
        <f t="shared" si="38"/>
        <v/>
      </c>
      <c r="U400" s="6" t="str">
        <f t="shared" si="39"/>
        <v/>
      </c>
      <c r="AB400" s="13"/>
    </row>
    <row r="401" spans="17:28" ht="15.6" customHeight="1" x14ac:dyDescent="0.3">
      <c r="Q401" s="13" t="str">
        <f t="shared" si="35"/>
        <v/>
      </c>
      <c r="R401" s="6" t="str">
        <f t="shared" si="36"/>
        <v/>
      </c>
      <c r="S401" s="6" t="str">
        <f t="shared" si="37"/>
        <v/>
      </c>
      <c r="T401" s="6" t="str">
        <f t="shared" si="38"/>
        <v/>
      </c>
      <c r="U401" s="6" t="str">
        <f t="shared" si="39"/>
        <v/>
      </c>
      <c r="AB401" s="13"/>
    </row>
    <row r="402" spans="17:28" ht="15.6" customHeight="1" x14ac:dyDescent="0.3">
      <c r="Q402" s="13" t="str">
        <f t="shared" si="35"/>
        <v/>
      </c>
      <c r="R402" s="6" t="str">
        <f t="shared" si="36"/>
        <v/>
      </c>
      <c r="S402" s="6" t="str">
        <f t="shared" si="37"/>
        <v/>
      </c>
      <c r="T402" s="6" t="str">
        <f t="shared" si="38"/>
        <v/>
      </c>
      <c r="U402" s="6" t="str">
        <f t="shared" si="39"/>
        <v/>
      </c>
      <c r="AB402" s="13"/>
    </row>
    <row r="403" spans="17:28" ht="15.6" customHeight="1" x14ac:dyDescent="0.3">
      <c r="Q403" s="13" t="str">
        <f t="shared" si="35"/>
        <v/>
      </c>
      <c r="R403" s="6" t="str">
        <f t="shared" si="36"/>
        <v/>
      </c>
      <c r="S403" s="6" t="str">
        <f t="shared" si="37"/>
        <v/>
      </c>
      <c r="T403" s="6" t="str">
        <f t="shared" si="38"/>
        <v/>
      </c>
      <c r="U403" s="6" t="str">
        <f t="shared" si="39"/>
        <v/>
      </c>
      <c r="AB403" s="13"/>
    </row>
  </sheetData>
  <phoneticPr fontId="20" type="noConversion"/>
  <conditionalFormatting sqref="K1:O3 K198:O1048576">
    <cfRule type="cellIs" dxfId="175" priority="16" operator="equal">
      <formula>$A$10</formula>
    </cfRule>
    <cfRule type="cellIs" dxfId="174" priority="17" operator="equal">
      <formula>$A$9</formula>
    </cfRule>
    <cfRule type="cellIs" dxfId="173" priority="18" operator="equal">
      <formula>$A$8</formula>
    </cfRule>
    <cfRule type="cellIs" dxfId="172" priority="19" operator="equal">
      <formula>$A$7</formula>
    </cfRule>
    <cfRule type="cellIs" dxfId="171" priority="20" operator="equal">
      <formula>$A$6</formula>
    </cfRule>
    <cfRule type="cellIs" dxfId="170" priority="21" operator="equal">
      <formula>$A$5</formula>
    </cfRule>
    <cfRule type="cellIs" dxfId="169" priority="22" operator="equal">
      <formula>$A$4</formula>
    </cfRule>
  </conditionalFormatting>
  <conditionalFormatting sqref="K4:O197">
    <cfRule type="cellIs" dxfId="168" priority="9" operator="equal">
      <formula>$A$10</formula>
    </cfRule>
    <cfRule type="cellIs" dxfId="167" priority="10" operator="equal">
      <formula>$A$9</formula>
    </cfRule>
    <cfRule type="cellIs" dxfId="166" priority="11" operator="equal">
      <formula>$A$8</formula>
    </cfRule>
    <cfRule type="cellIs" dxfId="165" priority="12" operator="equal">
      <formula>$A$7</formula>
    </cfRule>
    <cfRule type="cellIs" dxfId="164" priority="13" operator="equal">
      <formula>$A$6</formula>
    </cfRule>
    <cfRule type="cellIs" dxfId="163" priority="14" operator="equal">
      <formula>$A$5</formula>
    </cfRule>
    <cfRule type="cellIs" dxfId="162" priority="15" operator="equal">
      <formula>$A$4</formula>
    </cfRule>
  </conditionalFormatting>
  <conditionalFormatting sqref="AA1">
    <cfRule type="cellIs" dxfId="161" priority="2" operator="equal">
      <formula>$A$10</formula>
    </cfRule>
    <cfRule type="cellIs" dxfId="160" priority="3" operator="equal">
      <formula>$A$9</formula>
    </cfRule>
    <cfRule type="cellIs" dxfId="159" priority="4" operator="equal">
      <formula>$A$8</formula>
    </cfRule>
    <cfRule type="cellIs" dxfId="158" priority="5" operator="equal">
      <formula>$A$7</formula>
    </cfRule>
    <cfRule type="cellIs" dxfId="157" priority="6" operator="equal">
      <formula>$A$6</formula>
    </cfRule>
    <cfRule type="cellIs" dxfId="156" priority="7" operator="equal">
      <formula>$A$5</formula>
    </cfRule>
    <cfRule type="cellIs" dxfId="155" priority="8" operator="equal">
      <formula>$A$4</formula>
    </cfRule>
  </conditionalFormatting>
  <conditionalFormatting sqref="W4:AA203">
    <cfRule type="expression" dxfId="154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403"/>
  <sheetViews>
    <sheetView workbookViewId="0">
      <selection activeCell="W1" sqref="W1:AA1048576"/>
    </sheetView>
  </sheetViews>
  <sheetFormatPr defaultColWidth="9" defaultRowHeight="16.2" x14ac:dyDescent="0.3"/>
  <cols>
    <col min="1" max="1" width="10.21875" style="13" bestFit="1" customWidth="1"/>
    <col min="2" max="2" width="17.88671875" style="13" bestFit="1" customWidth="1"/>
    <col min="3" max="7" width="6.109375" style="13" bestFit="1" customWidth="1"/>
    <col min="8" max="8" width="4.6640625" style="13" bestFit="1" customWidth="1"/>
    <col min="9" max="9" width="4.33203125" style="13" customWidth="1"/>
    <col min="10" max="10" width="10.21875" style="13" bestFit="1" customWidth="1"/>
    <col min="11" max="15" width="4.6640625" style="13" bestFit="1" customWidth="1"/>
    <col min="16" max="16" width="4.33203125" style="13" customWidth="1"/>
    <col min="17" max="17" width="14.6640625" style="13" bestFit="1" customWidth="1"/>
    <col min="18" max="21" width="4.6640625" style="6" bestFit="1" customWidth="1"/>
    <col min="22" max="22" width="4.33203125" style="13" customWidth="1"/>
    <col min="23" max="23" width="19.77734375" style="13" bestFit="1" customWidth="1"/>
    <col min="24" max="27" width="8.21875" style="6" bestFit="1" customWidth="1"/>
    <col min="28" max="28" width="9" style="11" customWidth="1"/>
    <col min="29" max="29" width="41" style="13" bestFit="1" customWidth="1"/>
    <col min="30" max="30" width="10.21875" style="13" bestFit="1" customWidth="1"/>
    <col min="31" max="31" width="9" style="13" customWidth="1"/>
    <col min="32" max="32" width="28.5546875" style="6" bestFit="1" customWidth="1"/>
    <col min="33" max="37" width="10.21875" style="13" bestFit="1" customWidth="1"/>
    <col min="38" max="38" width="9" style="13" customWidth="1"/>
    <col min="39" max="39" width="32" style="18" customWidth="1"/>
    <col min="40" max="45" width="9" style="13" customWidth="1"/>
    <col min="46" max="46" width="28" style="18" customWidth="1"/>
    <col min="47" max="47" width="34" style="18" customWidth="1"/>
    <col min="48" max="59" width="9" style="13" customWidth="1"/>
    <col min="60" max="16384" width="9" style="13"/>
  </cols>
  <sheetData>
    <row r="1" spans="1:37" ht="15.6" customHeight="1" x14ac:dyDescent="0.3"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3"/>
    </row>
    <row r="2" spans="1:37" ht="15.9" customHeight="1" x14ac:dyDescent="0.3">
      <c r="I2" s="4"/>
      <c r="J2" s="16" t="s">
        <v>19</v>
      </c>
      <c r="K2" s="16"/>
      <c r="L2" s="16"/>
      <c r="M2" s="16"/>
      <c r="N2" s="16"/>
      <c r="O2" s="16"/>
      <c r="P2" s="16"/>
      <c r="Q2" s="16" t="s">
        <v>68</v>
      </c>
      <c r="R2" s="46"/>
      <c r="S2" s="46"/>
      <c r="T2" s="46"/>
      <c r="U2" s="46"/>
      <c r="V2" s="16"/>
      <c r="W2" s="16" t="s">
        <v>69</v>
      </c>
      <c r="X2" s="46"/>
      <c r="AB2" s="13"/>
      <c r="AC2" s="16" t="s">
        <v>70</v>
      </c>
      <c r="AF2" s="6" t="s">
        <v>71</v>
      </c>
    </row>
    <row r="3" spans="1:37" ht="15.9" customHeight="1" x14ac:dyDescent="0.3">
      <c r="A3" s="5" t="s">
        <v>19</v>
      </c>
      <c r="B3" s="5" t="s">
        <v>20</v>
      </c>
      <c r="C3" s="5" t="s">
        <v>72</v>
      </c>
      <c r="D3" s="5" t="s">
        <v>73</v>
      </c>
      <c r="E3" s="5" t="s">
        <v>74</v>
      </c>
      <c r="F3" s="5" t="s">
        <v>75</v>
      </c>
      <c r="G3" s="5" t="s">
        <v>76</v>
      </c>
      <c r="H3" s="5" t="s">
        <v>77</v>
      </c>
      <c r="I3" s="4"/>
      <c r="J3" s="5" t="s">
        <v>78</v>
      </c>
      <c r="K3" s="5" t="s">
        <v>72</v>
      </c>
      <c r="L3" s="5" t="s">
        <v>73</v>
      </c>
      <c r="M3" s="5" t="s">
        <v>74</v>
      </c>
      <c r="N3" s="5" t="s">
        <v>75</v>
      </c>
      <c r="O3" s="5" t="s">
        <v>76</v>
      </c>
      <c r="Q3" s="5" t="s">
        <v>72</v>
      </c>
      <c r="R3" s="5" t="s">
        <v>73</v>
      </c>
      <c r="S3" s="5" t="s">
        <v>74</v>
      </c>
      <c r="T3" s="5" t="s">
        <v>75</v>
      </c>
      <c r="U3" s="5" t="s">
        <v>76</v>
      </c>
      <c r="W3" s="5" t="s">
        <v>72</v>
      </c>
      <c r="X3" s="5" t="s">
        <v>73</v>
      </c>
      <c r="Y3" s="5" t="s">
        <v>74</v>
      </c>
      <c r="Z3" s="5" t="s">
        <v>75</v>
      </c>
      <c r="AA3" s="5" t="s">
        <v>76</v>
      </c>
      <c r="AB3" s="13"/>
      <c r="AC3" s="5" t="s">
        <v>79</v>
      </c>
      <c r="AD3" s="5" t="s">
        <v>54</v>
      </c>
      <c r="AF3" s="5" t="s">
        <v>19</v>
      </c>
      <c r="AG3" s="5" t="s">
        <v>72</v>
      </c>
      <c r="AH3" s="5" t="s">
        <v>73</v>
      </c>
      <c r="AI3" s="5" t="s">
        <v>74</v>
      </c>
      <c r="AJ3" s="5" t="s">
        <v>75</v>
      </c>
      <c r="AK3" s="5" t="s">
        <v>76</v>
      </c>
    </row>
    <row r="4" spans="1:37" ht="15.9" customHeight="1" x14ac:dyDescent="0.3">
      <c r="A4" s="9" t="str">
        <f t="array" ref="A4:A22">Overview!A30:A48</f>
        <v>WW</v>
      </c>
      <c r="B4" s="38" t="str">
        <f t="array" ref="B4:B22">Overview!B30:B48</f>
        <v>Wild</v>
      </c>
      <c r="C4" s="9">
        <f t="shared" ref="C4:C22" si="0">COUNTIF(K:K,$A4)</f>
        <v>0</v>
      </c>
      <c r="D4" s="9">
        <f t="shared" ref="D4:D22" si="1">COUNTIF(L:L,$A4)</f>
        <v>0</v>
      </c>
      <c r="E4" s="9">
        <f t="shared" ref="E4:E22" si="2">COUNTIF(M:M,$A4)</f>
        <v>0</v>
      </c>
      <c r="F4" s="9">
        <f t="shared" ref="F4:F22" si="3">COUNTIF(N:N,$A4)</f>
        <v>0</v>
      </c>
      <c r="G4" s="9">
        <f t="shared" ref="G4:G22" si="4">COUNTIF(O:O,$A4)</f>
        <v>0</v>
      </c>
      <c r="H4" s="38">
        <f t="array" ref="H4:H22">Overview!H30:H48</f>
        <v>0</v>
      </c>
      <c r="I4" s="52"/>
      <c r="J4" s="7">
        <v>0</v>
      </c>
      <c r="K4" s="41" t="s">
        <v>35</v>
      </c>
      <c r="L4" s="8" t="s">
        <v>38</v>
      </c>
      <c r="M4" s="8" t="s">
        <v>48</v>
      </c>
      <c r="N4" s="8" t="s">
        <v>48</v>
      </c>
      <c r="O4" s="8" t="s">
        <v>32</v>
      </c>
      <c r="Q4" s="17">
        <f t="shared" ref="Q4:Q67" si="5">IF(K4="","",VLOOKUP(K4,$A$4:$H$22,8,FALSE))</f>
        <v>10</v>
      </c>
      <c r="R4" s="17">
        <f t="shared" ref="R4:R67" si="6">IF(L4="","",VLOOKUP(L4,$A$4:$H$22,8,FALSE))</f>
        <v>12</v>
      </c>
      <c r="S4" s="17">
        <f t="shared" ref="S4:S67" si="7">IF(M4="","",VLOOKUP(M4,$A$4:$H$22,8,FALSE))</f>
        <v>17</v>
      </c>
      <c r="T4" s="17">
        <f t="shared" ref="T4:T67" si="8">IF(N4="","",VLOOKUP(N4,$A$4:$H$22,8,FALSE))</f>
        <v>17</v>
      </c>
      <c r="U4" s="17">
        <f t="shared" ref="U4:U67" si="9">IF(O4="","",VLOOKUP(O4,$A$4:$H$22,8,FALSE))</f>
        <v>7</v>
      </c>
      <c r="W4" s="7">
        <v>3410</v>
      </c>
      <c r="X4" s="7">
        <v>13266</v>
      </c>
      <c r="Y4" s="7">
        <v>7364</v>
      </c>
      <c r="Z4" s="7">
        <v>5550</v>
      </c>
      <c r="AA4" s="7">
        <v>13285</v>
      </c>
      <c r="AB4" s="13"/>
      <c r="AC4" s="38">
        <v>0</v>
      </c>
      <c r="AD4" s="10">
        <v>23656</v>
      </c>
      <c r="AF4" s="9" t="s">
        <v>22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</row>
    <row r="5" spans="1:37" ht="15.9" customHeight="1" x14ac:dyDescent="0.3">
      <c r="A5" s="2" t="str">
        <v>W2</v>
      </c>
      <c r="B5" s="38" t="str">
        <v>Super Wild</v>
      </c>
      <c r="C5" s="9">
        <f t="shared" si="0"/>
        <v>0</v>
      </c>
      <c r="D5" s="9">
        <f t="shared" si="1"/>
        <v>0</v>
      </c>
      <c r="E5" s="9">
        <f t="shared" si="2"/>
        <v>0</v>
      </c>
      <c r="F5" s="9">
        <f t="shared" si="3"/>
        <v>0</v>
      </c>
      <c r="G5" s="9">
        <f t="shared" si="4"/>
        <v>0</v>
      </c>
      <c r="H5" s="38">
        <v>1</v>
      </c>
      <c r="I5" s="52"/>
      <c r="J5" s="2">
        <v>1</v>
      </c>
      <c r="K5" s="41" t="s">
        <v>30</v>
      </c>
      <c r="L5" s="41" t="s">
        <v>44</v>
      </c>
      <c r="M5" s="41" t="s">
        <v>30</v>
      </c>
      <c r="N5" s="41" t="s">
        <v>31</v>
      </c>
      <c r="O5" s="41" t="s">
        <v>33</v>
      </c>
      <c r="Q5" s="17">
        <f t="shared" si="5"/>
        <v>5</v>
      </c>
      <c r="R5" s="17">
        <f t="shared" si="6"/>
        <v>15</v>
      </c>
      <c r="S5" s="17">
        <f t="shared" si="7"/>
        <v>5</v>
      </c>
      <c r="T5" s="17">
        <f t="shared" si="8"/>
        <v>6</v>
      </c>
      <c r="U5" s="17">
        <f t="shared" si="9"/>
        <v>8</v>
      </c>
      <c r="W5" s="7">
        <v>3515</v>
      </c>
      <c r="X5" s="7">
        <v>12693</v>
      </c>
      <c r="Y5" s="7">
        <v>5341</v>
      </c>
      <c r="Z5" s="7">
        <v>3793</v>
      </c>
      <c r="AA5" s="7">
        <v>13191</v>
      </c>
      <c r="AB5" s="13"/>
      <c r="AC5" s="38">
        <v>2</v>
      </c>
      <c r="AD5" s="10">
        <v>1401</v>
      </c>
      <c r="AF5" s="2" t="s">
        <v>24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</row>
    <row r="6" spans="1:37" ht="15.9" customHeight="1" x14ac:dyDescent="0.3">
      <c r="A6" s="2" t="str">
        <v>C1</v>
      </c>
      <c r="B6" s="38" t="str">
        <v>Scatter</v>
      </c>
      <c r="C6" s="9">
        <f t="shared" si="0"/>
        <v>2</v>
      </c>
      <c r="D6" s="9">
        <f t="shared" si="1"/>
        <v>3</v>
      </c>
      <c r="E6" s="9">
        <f t="shared" si="2"/>
        <v>2</v>
      </c>
      <c r="F6" s="9">
        <f t="shared" si="3"/>
        <v>3</v>
      </c>
      <c r="G6" s="9">
        <f t="shared" si="4"/>
        <v>3</v>
      </c>
      <c r="H6" s="38">
        <v>2</v>
      </c>
      <c r="I6" s="52"/>
      <c r="J6" s="2">
        <v>2</v>
      </c>
      <c r="K6" s="41" t="s">
        <v>33</v>
      </c>
      <c r="L6" s="41" t="s">
        <v>29</v>
      </c>
      <c r="M6" s="41" t="s">
        <v>30</v>
      </c>
      <c r="N6" s="41" t="s">
        <v>31</v>
      </c>
      <c r="O6" s="41" t="s">
        <v>29</v>
      </c>
      <c r="Q6" s="17">
        <f t="shared" si="5"/>
        <v>8</v>
      </c>
      <c r="R6" s="17">
        <f t="shared" si="6"/>
        <v>4</v>
      </c>
      <c r="S6" s="17">
        <f t="shared" si="7"/>
        <v>5</v>
      </c>
      <c r="T6" s="17">
        <f t="shared" si="8"/>
        <v>6</v>
      </c>
      <c r="U6" s="17">
        <f t="shared" si="9"/>
        <v>4</v>
      </c>
      <c r="W6" s="7">
        <v>3437</v>
      </c>
      <c r="X6" s="7">
        <v>12263</v>
      </c>
      <c r="Y6" s="7">
        <v>11247</v>
      </c>
      <c r="Z6" s="7">
        <v>11060</v>
      </c>
      <c r="AA6" s="7">
        <v>11212</v>
      </c>
      <c r="AB6" s="13"/>
      <c r="AC6" s="38">
        <v>3</v>
      </c>
      <c r="AD6" s="10">
        <v>0</v>
      </c>
      <c r="AF6" s="2" t="s">
        <v>26</v>
      </c>
      <c r="AG6" s="9">
        <v>7756</v>
      </c>
      <c r="AH6" s="9">
        <v>8222</v>
      </c>
      <c r="AI6" s="9">
        <v>10372</v>
      </c>
      <c r="AJ6" s="9">
        <v>8936</v>
      </c>
      <c r="AK6" s="9">
        <v>10577</v>
      </c>
    </row>
    <row r="7" spans="1:37" ht="15.9" customHeight="1" x14ac:dyDescent="0.3">
      <c r="A7" s="2" t="str">
        <v>M1</v>
      </c>
      <c r="B7" s="38" t="str">
        <v>M1</v>
      </c>
      <c r="C7" s="9">
        <f t="shared" si="0"/>
        <v>14</v>
      </c>
      <c r="D7" s="9">
        <f t="shared" si="1"/>
        <v>7</v>
      </c>
      <c r="E7" s="9">
        <f t="shared" si="2"/>
        <v>7</v>
      </c>
      <c r="F7" s="9">
        <f t="shared" si="3"/>
        <v>6</v>
      </c>
      <c r="G7" s="9">
        <f t="shared" si="4"/>
        <v>15</v>
      </c>
      <c r="H7" s="38">
        <v>3</v>
      </c>
      <c r="I7" s="52"/>
      <c r="J7" s="2">
        <v>3</v>
      </c>
      <c r="K7" s="41" t="s">
        <v>33</v>
      </c>
      <c r="L7" s="41" t="s">
        <v>42</v>
      </c>
      <c r="M7" s="41" t="s">
        <v>34</v>
      </c>
      <c r="N7" s="41" t="s">
        <v>34</v>
      </c>
      <c r="O7" s="41" t="s">
        <v>30</v>
      </c>
      <c r="Q7" s="17">
        <f t="shared" si="5"/>
        <v>8</v>
      </c>
      <c r="R7" s="17">
        <f t="shared" si="6"/>
        <v>14</v>
      </c>
      <c r="S7" s="17">
        <f t="shared" si="7"/>
        <v>9</v>
      </c>
      <c r="T7" s="17">
        <f t="shared" si="8"/>
        <v>9</v>
      </c>
      <c r="U7" s="17">
        <f t="shared" si="9"/>
        <v>5</v>
      </c>
      <c r="W7" s="7">
        <v>4695</v>
      </c>
      <c r="X7" s="7">
        <v>12502</v>
      </c>
      <c r="Y7" s="7">
        <v>11490</v>
      </c>
      <c r="Z7" s="7">
        <v>13369</v>
      </c>
      <c r="AA7" s="7">
        <v>13097</v>
      </c>
      <c r="AB7" s="13"/>
      <c r="AC7" s="38">
        <v>4</v>
      </c>
      <c r="AD7" s="10">
        <v>0</v>
      </c>
      <c r="AF7" s="2" t="s">
        <v>28</v>
      </c>
      <c r="AG7" s="9">
        <v>49351</v>
      </c>
      <c r="AH7" s="9">
        <v>80351</v>
      </c>
      <c r="AI7" s="9">
        <v>44243</v>
      </c>
      <c r="AJ7" s="9">
        <v>89078</v>
      </c>
      <c r="AK7" s="9">
        <v>48353</v>
      </c>
    </row>
    <row r="8" spans="1:37" ht="15.9" customHeight="1" x14ac:dyDescent="0.3">
      <c r="A8" s="2" t="str">
        <v>M2</v>
      </c>
      <c r="B8" s="38" t="str">
        <v>M2</v>
      </c>
      <c r="C8" s="9">
        <f t="shared" si="0"/>
        <v>28</v>
      </c>
      <c r="D8" s="9">
        <f t="shared" si="1"/>
        <v>26</v>
      </c>
      <c r="E8" s="9">
        <f t="shared" si="2"/>
        <v>12</v>
      </c>
      <c r="F8" s="9">
        <f t="shared" si="3"/>
        <v>9</v>
      </c>
      <c r="G8" s="9">
        <f t="shared" si="4"/>
        <v>24</v>
      </c>
      <c r="H8" s="38">
        <v>4</v>
      </c>
      <c r="I8" s="52"/>
      <c r="J8" s="2">
        <v>4</v>
      </c>
      <c r="K8" s="41" t="s">
        <v>32</v>
      </c>
      <c r="L8" s="41" t="s">
        <v>48</v>
      </c>
      <c r="M8" s="41" t="s">
        <v>29</v>
      </c>
      <c r="N8" s="41" t="s">
        <v>32</v>
      </c>
      <c r="O8" s="41" t="s">
        <v>34</v>
      </c>
      <c r="Q8" s="17">
        <f t="shared" si="5"/>
        <v>7</v>
      </c>
      <c r="R8" s="17">
        <f t="shared" si="6"/>
        <v>17</v>
      </c>
      <c r="S8" s="17">
        <f t="shared" si="7"/>
        <v>4</v>
      </c>
      <c r="T8" s="17">
        <f t="shared" si="8"/>
        <v>7</v>
      </c>
      <c r="U8" s="17">
        <f t="shared" si="9"/>
        <v>9</v>
      </c>
      <c r="W8" s="7">
        <v>11038</v>
      </c>
      <c r="X8" s="7">
        <v>11055</v>
      </c>
      <c r="Y8" s="7">
        <v>12429</v>
      </c>
      <c r="Z8" s="7">
        <v>13753</v>
      </c>
      <c r="AA8" s="7">
        <v>10929</v>
      </c>
      <c r="AB8" s="13"/>
      <c r="AF8" s="2" t="s">
        <v>29</v>
      </c>
      <c r="AG8" s="9">
        <v>99333</v>
      </c>
      <c r="AH8" s="9">
        <v>40003</v>
      </c>
      <c r="AI8" s="9">
        <v>86123</v>
      </c>
      <c r="AJ8" s="9">
        <v>45957</v>
      </c>
      <c r="AK8" s="9">
        <v>105470</v>
      </c>
    </row>
    <row r="9" spans="1:37" ht="15.9" customHeight="1" x14ac:dyDescent="0.3">
      <c r="A9" s="2" t="str">
        <v>M3</v>
      </c>
      <c r="B9" s="38" t="str">
        <v>M3</v>
      </c>
      <c r="C9" s="9">
        <f t="shared" si="0"/>
        <v>18</v>
      </c>
      <c r="D9" s="9">
        <f t="shared" si="1"/>
        <v>7</v>
      </c>
      <c r="E9" s="9">
        <f t="shared" si="2"/>
        <v>22</v>
      </c>
      <c r="F9" s="9">
        <f t="shared" si="3"/>
        <v>11</v>
      </c>
      <c r="G9" s="9">
        <f t="shared" si="4"/>
        <v>30</v>
      </c>
      <c r="H9" s="38">
        <v>5</v>
      </c>
      <c r="I9" s="52"/>
      <c r="J9" s="2">
        <v>5</v>
      </c>
      <c r="K9" s="41" t="s">
        <v>33</v>
      </c>
      <c r="L9" s="41" t="s">
        <v>32</v>
      </c>
      <c r="M9" s="41" t="s">
        <v>34</v>
      </c>
      <c r="N9" s="41" t="s">
        <v>42</v>
      </c>
      <c r="O9" s="41" t="s">
        <v>31</v>
      </c>
      <c r="Q9" s="17">
        <f t="shared" si="5"/>
        <v>8</v>
      </c>
      <c r="R9" s="17">
        <f t="shared" si="6"/>
        <v>7</v>
      </c>
      <c r="S9" s="17">
        <f t="shared" si="7"/>
        <v>9</v>
      </c>
      <c r="T9" s="17">
        <f t="shared" si="8"/>
        <v>14</v>
      </c>
      <c r="U9" s="17">
        <f t="shared" si="9"/>
        <v>6</v>
      </c>
      <c r="W9" s="7">
        <v>11324</v>
      </c>
      <c r="X9" s="7">
        <v>10657</v>
      </c>
      <c r="Y9" s="7">
        <v>12429</v>
      </c>
      <c r="Z9" s="7">
        <v>13946</v>
      </c>
      <c r="AA9" s="7">
        <v>14416</v>
      </c>
      <c r="AB9" s="13"/>
      <c r="AF9" s="2" t="s">
        <v>30</v>
      </c>
      <c r="AG9" s="9">
        <v>100655</v>
      </c>
      <c r="AH9" s="9">
        <v>62180</v>
      </c>
      <c r="AI9" s="9">
        <v>64133</v>
      </c>
      <c r="AJ9" s="9">
        <v>65390</v>
      </c>
      <c r="AK9" s="9">
        <v>79480</v>
      </c>
    </row>
    <row r="10" spans="1:37" ht="15.9" customHeight="1" x14ac:dyDescent="0.3">
      <c r="A10" s="2" t="str">
        <v>M4</v>
      </c>
      <c r="B10" s="38" t="str">
        <v>M4</v>
      </c>
      <c r="C10" s="9">
        <f t="shared" si="0"/>
        <v>17</v>
      </c>
      <c r="D10" s="9">
        <f t="shared" si="1"/>
        <v>27</v>
      </c>
      <c r="E10" s="9">
        <f t="shared" si="2"/>
        <v>10</v>
      </c>
      <c r="F10" s="9">
        <f t="shared" si="3"/>
        <v>28</v>
      </c>
      <c r="G10" s="9">
        <f t="shared" si="4"/>
        <v>14</v>
      </c>
      <c r="H10" s="38">
        <v>6</v>
      </c>
      <c r="I10" s="52"/>
      <c r="J10" s="2">
        <v>6</v>
      </c>
      <c r="K10" s="41" t="s">
        <v>29</v>
      </c>
      <c r="L10" s="41" t="s">
        <v>33</v>
      </c>
      <c r="M10" s="41" t="s">
        <v>30</v>
      </c>
      <c r="N10" s="41" t="s">
        <v>34</v>
      </c>
      <c r="O10" s="41" t="s">
        <v>29</v>
      </c>
      <c r="Q10" s="17">
        <f t="shared" si="5"/>
        <v>4</v>
      </c>
      <c r="R10" s="17">
        <f t="shared" si="6"/>
        <v>8</v>
      </c>
      <c r="S10" s="17">
        <f t="shared" si="7"/>
        <v>5</v>
      </c>
      <c r="T10" s="17">
        <f t="shared" si="8"/>
        <v>9</v>
      </c>
      <c r="U10" s="17">
        <f t="shared" si="9"/>
        <v>4</v>
      </c>
      <c r="W10" s="7">
        <v>9801</v>
      </c>
      <c r="X10" s="7">
        <v>11055</v>
      </c>
      <c r="Y10" s="7">
        <v>14079</v>
      </c>
      <c r="Z10" s="7">
        <v>12984</v>
      </c>
      <c r="AA10" s="7">
        <v>12155</v>
      </c>
      <c r="AB10" s="13"/>
      <c r="AF10" s="2" t="s">
        <v>31</v>
      </c>
      <c r="AG10" s="9">
        <v>98070</v>
      </c>
      <c r="AH10" s="9">
        <v>104601</v>
      </c>
      <c r="AI10" s="9">
        <v>65577</v>
      </c>
      <c r="AJ10" s="9">
        <v>112624</v>
      </c>
      <c r="AK10" s="9">
        <v>79480</v>
      </c>
    </row>
    <row r="11" spans="1:37" ht="15.9" customHeight="1" x14ac:dyDescent="0.3">
      <c r="A11" s="2" t="str">
        <v>A</v>
      </c>
      <c r="B11" s="38" t="str">
        <v>A</v>
      </c>
      <c r="C11" s="9">
        <f t="shared" si="0"/>
        <v>33</v>
      </c>
      <c r="D11" s="9">
        <f t="shared" si="1"/>
        <v>30</v>
      </c>
      <c r="E11" s="9">
        <f t="shared" si="2"/>
        <v>11</v>
      </c>
      <c r="F11" s="9">
        <f t="shared" si="3"/>
        <v>6</v>
      </c>
      <c r="G11" s="9">
        <f t="shared" si="4"/>
        <v>29</v>
      </c>
      <c r="H11" s="38">
        <v>7</v>
      </c>
      <c r="I11" s="52"/>
      <c r="J11" s="2">
        <v>7</v>
      </c>
      <c r="K11" s="41" t="s">
        <v>33</v>
      </c>
      <c r="L11" s="41" t="s">
        <v>31</v>
      </c>
      <c r="M11" s="41" t="s">
        <v>28</v>
      </c>
      <c r="N11" s="41" t="s">
        <v>34</v>
      </c>
      <c r="O11" s="41" t="s">
        <v>30</v>
      </c>
      <c r="Q11" s="17">
        <f t="shared" si="5"/>
        <v>8</v>
      </c>
      <c r="R11" s="17">
        <f t="shared" si="6"/>
        <v>6</v>
      </c>
      <c r="S11" s="17">
        <f t="shared" si="7"/>
        <v>3</v>
      </c>
      <c r="T11" s="17">
        <f t="shared" si="8"/>
        <v>9</v>
      </c>
      <c r="U11" s="17">
        <f t="shared" si="9"/>
        <v>5</v>
      </c>
      <c r="W11" s="7">
        <v>12942</v>
      </c>
      <c r="X11" s="7">
        <v>13075</v>
      </c>
      <c r="Y11" s="7">
        <v>12914</v>
      </c>
      <c r="Z11" s="7">
        <v>12022</v>
      </c>
      <c r="AA11" s="7">
        <v>10175</v>
      </c>
      <c r="AB11" s="13"/>
      <c r="AF11" s="2" t="s">
        <v>32</v>
      </c>
      <c r="AG11" s="9">
        <v>150063</v>
      </c>
      <c r="AH11" s="9">
        <v>148819</v>
      </c>
      <c r="AI11" s="9">
        <v>144545</v>
      </c>
      <c r="AJ11" s="9">
        <v>160567</v>
      </c>
      <c r="AK11" s="9">
        <v>153521</v>
      </c>
    </row>
    <row r="12" spans="1:37" ht="15.9" customHeight="1" x14ac:dyDescent="0.3">
      <c r="A12" s="2" t="str">
        <v>K</v>
      </c>
      <c r="B12" s="38" t="str">
        <v>K</v>
      </c>
      <c r="C12" s="9">
        <f t="shared" si="0"/>
        <v>37</v>
      </c>
      <c r="D12" s="9">
        <f t="shared" si="1"/>
        <v>8</v>
      </c>
      <c r="E12" s="9">
        <f t="shared" si="2"/>
        <v>8</v>
      </c>
      <c r="F12" s="9">
        <f t="shared" si="3"/>
        <v>30</v>
      </c>
      <c r="G12" s="9">
        <f t="shared" si="4"/>
        <v>24</v>
      </c>
      <c r="H12" s="38">
        <v>8</v>
      </c>
      <c r="I12" s="52"/>
      <c r="J12" s="2">
        <v>8</v>
      </c>
      <c r="K12" s="41" t="s">
        <v>30</v>
      </c>
      <c r="L12" s="41" t="s">
        <v>30</v>
      </c>
      <c r="M12" s="41" t="s">
        <v>38</v>
      </c>
      <c r="N12" s="41" t="s">
        <v>31</v>
      </c>
      <c r="O12" s="41" t="s">
        <v>29</v>
      </c>
      <c r="Q12" s="17">
        <f t="shared" si="5"/>
        <v>5</v>
      </c>
      <c r="R12" s="17">
        <f t="shared" si="6"/>
        <v>5</v>
      </c>
      <c r="S12" s="17">
        <f t="shared" si="7"/>
        <v>12</v>
      </c>
      <c r="T12" s="17">
        <f t="shared" si="8"/>
        <v>6</v>
      </c>
      <c r="U12" s="17">
        <f t="shared" si="9"/>
        <v>4</v>
      </c>
      <c r="W12" s="7">
        <v>11991</v>
      </c>
      <c r="X12" s="7">
        <v>13361</v>
      </c>
      <c r="Y12" s="7">
        <v>12331</v>
      </c>
      <c r="Z12" s="7">
        <v>9698</v>
      </c>
      <c r="AA12" s="7">
        <v>10835</v>
      </c>
      <c r="AB12" s="13"/>
      <c r="AF12" s="2" t="s">
        <v>33</v>
      </c>
      <c r="AG12" s="9">
        <v>150580</v>
      </c>
      <c r="AH12" s="9">
        <v>147575</v>
      </c>
      <c r="AI12" s="9">
        <v>132532</v>
      </c>
      <c r="AJ12" s="9">
        <v>152340</v>
      </c>
      <c r="AK12" s="9">
        <v>143850</v>
      </c>
    </row>
    <row r="13" spans="1:37" ht="15.9" customHeight="1" x14ac:dyDescent="0.3">
      <c r="A13" s="2" t="str">
        <v>Q</v>
      </c>
      <c r="B13" s="38" t="str">
        <v>Q</v>
      </c>
      <c r="C13" s="9">
        <f t="shared" si="0"/>
        <v>18</v>
      </c>
      <c r="D13" s="9">
        <f t="shared" si="1"/>
        <v>8</v>
      </c>
      <c r="E13" s="9">
        <f t="shared" si="2"/>
        <v>34</v>
      </c>
      <c r="F13" s="9">
        <f t="shared" si="3"/>
        <v>25</v>
      </c>
      <c r="G13" s="9">
        <f t="shared" si="4"/>
        <v>31</v>
      </c>
      <c r="H13" s="38">
        <v>9</v>
      </c>
      <c r="I13" s="52"/>
      <c r="J13" s="2">
        <v>9</v>
      </c>
      <c r="K13" s="41" t="s">
        <v>33</v>
      </c>
      <c r="L13" s="41" t="s">
        <v>31</v>
      </c>
      <c r="M13" s="41" t="s">
        <v>26</v>
      </c>
      <c r="N13" s="41" t="s">
        <v>31</v>
      </c>
      <c r="O13" s="41" t="s">
        <v>33</v>
      </c>
      <c r="Q13" s="17">
        <f t="shared" si="5"/>
        <v>8</v>
      </c>
      <c r="R13" s="17">
        <f t="shared" si="6"/>
        <v>6</v>
      </c>
      <c r="S13" s="17">
        <f t="shared" si="7"/>
        <v>2</v>
      </c>
      <c r="T13" s="17">
        <f t="shared" si="8"/>
        <v>6</v>
      </c>
      <c r="U13" s="17">
        <f t="shared" si="9"/>
        <v>8</v>
      </c>
      <c r="W13" s="7">
        <v>12656</v>
      </c>
      <c r="X13" s="7">
        <v>13838</v>
      </c>
      <c r="Y13" s="7">
        <v>12785</v>
      </c>
      <c r="Z13" s="7">
        <v>7213</v>
      </c>
      <c r="AA13" s="7">
        <v>10678</v>
      </c>
      <c r="AB13" s="13"/>
      <c r="AF13" s="2" t="s">
        <v>34</v>
      </c>
      <c r="AG13" s="9">
        <v>173331</v>
      </c>
      <c r="AH13" s="9">
        <v>123946</v>
      </c>
      <c r="AI13" s="9">
        <v>165091</v>
      </c>
      <c r="AJ13" s="9">
        <v>136170</v>
      </c>
      <c r="AK13" s="9">
        <v>190692</v>
      </c>
    </row>
    <row r="14" spans="1:37" ht="15.9" customHeight="1" x14ac:dyDescent="0.3">
      <c r="A14" s="2" t="str">
        <v>J</v>
      </c>
      <c r="B14" s="38" t="str">
        <v>J</v>
      </c>
      <c r="C14" s="9">
        <f t="shared" si="0"/>
        <v>33</v>
      </c>
      <c r="D14" s="9">
        <f t="shared" si="1"/>
        <v>6</v>
      </c>
      <c r="E14" s="9">
        <f t="shared" si="2"/>
        <v>28</v>
      </c>
      <c r="F14" s="9">
        <f t="shared" si="3"/>
        <v>10</v>
      </c>
      <c r="G14" s="9">
        <f t="shared" si="4"/>
        <v>30</v>
      </c>
      <c r="H14" s="38">
        <v>10</v>
      </c>
      <c r="I14" s="52"/>
      <c r="J14" s="2">
        <v>10</v>
      </c>
      <c r="K14" s="41" t="s">
        <v>29</v>
      </c>
      <c r="L14" s="41" t="s">
        <v>44</v>
      </c>
      <c r="M14" s="41" t="s">
        <v>30</v>
      </c>
      <c r="N14" s="41" t="s">
        <v>31</v>
      </c>
      <c r="O14" s="41" t="s">
        <v>30</v>
      </c>
      <c r="Q14" s="17">
        <f t="shared" si="5"/>
        <v>4</v>
      </c>
      <c r="R14" s="17">
        <f t="shared" si="6"/>
        <v>15</v>
      </c>
      <c r="S14" s="17">
        <f t="shared" si="7"/>
        <v>5</v>
      </c>
      <c r="T14" s="17">
        <f t="shared" si="8"/>
        <v>6</v>
      </c>
      <c r="U14" s="17">
        <f t="shared" si="9"/>
        <v>5</v>
      </c>
      <c r="W14" s="7">
        <v>12656</v>
      </c>
      <c r="X14" s="7">
        <v>12693</v>
      </c>
      <c r="Y14" s="7">
        <v>10196</v>
      </c>
      <c r="Z14" s="7">
        <v>5109</v>
      </c>
      <c r="AA14" s="7">
        <v>10835</v>
      </c>
      <c r="AB14" s="13"/>
      <c r="AF14" s="2" t="s">
        <v>35</v>
      </c>
      <c r="AG14" s="9">
        <v>170861</v>
      </c>
      <c r="AH14" s="9">
        <v>126226</v>
      </c>
      <c r="AI14" s="9">
        <v>159840</v>
      </c>
      <c r="AJ14" s="9">
        <v>130355</v>
      </c>
      <c r="AK14" s="9">
        <v>188577</v>
      </c>
    </row>
    <row r="15" spans="1:37" ht="15.9" customHeight="1" x14ac:dyDescent="0.3">
      <c r="A15" s="2" t="str">
        <v>G1</v>
      </c>
      <c r="B15" s="38" t="str">
        <v>Golden M1</v>
      </c>
      <c r="C15" s="9">
        <f t="shared" si="0"/>
        <v>0</v>
      </c>
      <c r="D15" s="9">
        <f t="shared" si="1"/>
        <v>4</v>
      </c>
      <c r="E15" s="9">
        <f t="shared" si="2"/>
        <v>4</v>
      </c>
      <c r="F15" s="9">
        <f t="shared" si="3"/>
        <v>4</v>
      </c>
      <c r="G15" s="9">
        <f t="shared" si="4"/>
        <v>0</v>
      </c>
      <c r="H15" s="38">
        <v>11</v>
      </c>
      <c r="I15" s="52"/>
      <c r="J15" s="2">
        <v>11</v>
      </c>
      <c r="K15" s="41" t="s">
        <v>28</v>
      </c>
      <c r="L15" s="41" t="s">
        <v>42</v>
      </c>
      <c r="M15" s="41" t="s">
        <v>38</v>
      </c>
      <c r="N15" s="41" t="s">
        <v>34</v>
      </c>
      <c r="O15" s="41" t="s">
        <v>31</v>
      </c>
      <c r="Q15" s="17">
        <f t="shared" si="5"/>
        <v>3</v>
      </c>
      <c r="R15" s="17">
        <f t="shared" si="6"/>
        <v>14</v>
      </c>
      <c r="S15" s="17">
        <f t="shared" si="7"/>
        <v>12</v>
      </c>
      <c r="T15" s="17">
        <f t="shared" si="8"/>
        <v>9</v>
      </c>
      <c r="U15" s="17">
        <f t="shared" si="9"/>
        <v>6</v>
      </c>
      <c r="W15" s="7">
        <v>11609</v>
      </c>
      <c r="X15" s="7">
        <v>12263</v>
      </c>
      <c r="Y15" s="7">
        <v>11004</v>
      </c>
      <c r="Z15" s="7">
        <v>3527</v>
      </c>
      <c r="AA15" s="7">
        <v>10647</v>
      </c>
      <c r="AB15" s="13"/>
      <c r="AF15" s="2" t="s">
        <v>36</v>
      </c>
      <c r="AG15" s="9">
        <v>0</v>
      </c>
      <c r="AH15" s="9">
        <v>16098</v>
      </c>
      <c r="AI15" s="9">
        <v>7549</v>
      </c>
      <c r="AJ15" s="9">
        <v>10071</v>
      </c>
      <c r="AK15" s="9">
        <v>0</v>
      </c>
    </row>
    <row r="16" spans="1:37" ht="15.9" customHeight="1" x14ac:dyDescent="0.3">
      <c r="A16" s="2" t="str">
        <v>G2</v>
      </c>
      <c r="B16" s="38" t="str">
        <v>Golden M2</v>
      </c>
      <c r="C16" s="9">
        <f t="shared" si="0"/>
        <v>0</v>
      </c>
      <c r="D16" s="9">
        <f t="shared" si="1"/>
        <v>14</v>
      </c>
      <c r="E16" s="9">
        <f t="shared" si="2"/>
        <v>6</v>
      </c>
      <c r="F16" s="9">
        <f t="shared" si="3"/>
        <v>4</v>
      </c>
      <c r="G16" s="9">
        <f t="shared" si="4"/>
        <v>0</v>
      </c>
      <c r="H16" s="38">
        <v>12</v>
      </c>
      <c r="I16" s="52"/>
      <c r="J16" s="2">
        <v>12</v>
      </c>
      <c r="K16" s="41" t="s">
        <v>35</v>
      </c>
      <c r="L16" s="41" t="s">
        <v>31</v>
      </c>
      <c r="M16" s="41" t="s">
        <v>35</v>
      </c>
      <c r="N16" s="41" t="s">
        <v>31</v>
      </c>
      <c r="O16" s="41" t="s">
        <v>33</v>
      </c>
      <c r="Q16" s="17">
        <f t="shared" si="5"/>
        <v>10</v>
      </c>
      <c r="R16" s="17">
        <f t="shared" si="6"/>
        <v>6</v>
      </c>
      <c r="S16" s="17">
        <f t="shared" si="7"/>
        <v>10</v>
      </c>
      <c r="T16" s="17">
        <f t="shared" si="8"/>
        <v>6</v>
      </c>
      <c r="U16" s="17">
        <f t="shared" si="9"/>
        <v>8</v>
      </c>
      <c r="W16" s="7">
        <v>10943</v>
      </c>
      <c r="X16" s="7">
        <v>13456</v>
      </c>
      <c r="Y16" s="7">
        <v>10973</v>
      </c>
      <c r="Z16" s="7">
        <v>7213</v>
      </c>
      <c r="AA16" s="7">
        <v>12909</v>
      </c>
      <c r="AB16" s="13"/>
      <c r="AF16" s="2" t="s">
        <v>38</v>
      </c>
      <c r="AG16" s="9">
        <v>0</v>
      </c>
      <c r="AH16" s="9">
        <v>7738</v>
      </c>
      <c r="AI16" s="9">
        <v>13260</v>
      </c>
      <c r="AJ16" s="9">
        <v>4965</v>
      </c>
      <c r="AK16" s="9">
        <v>0</v>
      </c>
    </row>
    <row r="17" spans="1:37" ht="15.9" customHeight="1" x14ac:dyDescent="0.3">
      <c r="A17" s="2" t="str">
        <v>G3</v>
      </c>
      <c r="B17" s="38" t="str">
        <v>Golden M3</v>
      </c>
      <c r="C17" s="9">
        <f t="shared" si="0"/>
        <v>0</v>
      </c>
      <c r="D17" s="9">
        <f t="shared" si="1"/>
        <v>6</v>
      </c>
      <c r="E17" s="9">
        <f t="shared" si="2"/>
        <v>12</v>
      </c>
      <c r="F17" s="9">
        <f t="shared" si="3"/>
        <v>4</v>
      </c>
      <c r="G17" s="9">
        <f t="shared" si="4"/>
        <v>0</v>
      </c>
      <c r="H17" s="38">
        <v>13</v>
      </c>
      <c r="I17" s="52"/>
      <c r="J17" s="2">
        <v>13</v>
      </c>
      <c r="K17" s="41" t="s">
        <v>29</v>
      </c>
      <c r="L17" s="41" t="s">
        <v>34</v>
      </c>
      <c r="M17" s="41" t="s">
        <v>29</v>
      </c>
      <c r="N17" s="41" t="s">
        <v>33</v>
      </c>
      <c r="O17" s="41" t="s">
        <v>28</v>
      </c>
      <c r="Q17" s="17">
        <f t="shared" si="5"/>
        <v>4</v>
      </c>
      <c r="R17" s="17">
        <f t="shared" si="6"/>
        <v>9</v>
      </c>
      <c r="S17" s="17">
        <f t="shared" si="7"/>
        <v>4</v>
      </c>
      <c r="T17" s="17">
        <f t="shared" si="8"/>
        <v>8</v>
      </c>
      <c r="U17" s="17">
        <f t="shared" si="9"/>
        <v>3</v>
      </c>
      <c r="W17" s="7">
        <v>8802</v>
      </c>
      <c r="X17" s="7">
        <v>11452</v>
      </c>
      <c r="Y17" s="7">
        <v>13303</v>
      </c>
      <c r="Z17" s="7">
        <v>7213</v>
      </c>
      <c r="AA17" s="7">
        <v>11777</v>
      </c>
      <c r="AB17" s="13"/>
      <c r="AF17" s="2" t="s">
        <v>40</v>
      </c>
      <c r="AG17" s="9">
        <v>0</v>
      </c>
      <c r="AH17" s="9">
        <v>12160</v>
      </c>
      <c r="AI17" s="9">
        <v>10240</v>
      </c>
      <c r="AJ17" s="9">
        <v>8511</v>
      </c>
      <c r="AK17" s="9">
        <v>0</v>
      </c>
    </row>
    <row r="18" spans="1:37" ht="15.9" customHeight="1" x14ac:dyDescent="0.3">
      <c r="A18" s="2" t="str">
        <v>G4</v>
      </c>
      <c r="B18" s="38" t="str">
        <v>Golden M4</v>
      </c>
      <c r="C18" s="9">
        <f t="shared" si="0"/>
        <v>0</v>
      </c>
      <c r="D18" s="9">
        <f t="shared" si="1"/>
        <v>16</v>
      </c>
      <c r="E18" s="9">
        <f t="shared" si="2"/>
        <v>4</v>
      </c>
      <c r="F18" s="9">
        <f t="shared" si="3"/>
        <v>16</v>
      </c>
      <c r="G18" s="9">
        <f t="shared" si="4"/>
        <v>0</v>
      </c>
      <c r="H18" s="38">
        <v>14</v>
      </c>
      <c r="I18" s="52"/>
      <c r="J18" s="9">
        <v>14</v>
      </c>
      <c r="K18" s="41" t="s">
        <v>31</v>
      </c>
      <c r="L18" s="41" t="s">
        <v>29</v>
      </c>
      <c r="M18" s="41" t="s">
        <v>33</v>
      </c>
      <c r="N18" s="41" t="s">
        <v>31</v>
      </c>
      <c r="O18" s="41" t="s">
        <v>29</v>
      </c>
      <c r="Q18" s="17">
        <f t="shared" si="5"/>
        <v>6</v>
      </c>
      <c r="R18" s="17">
        <f t="shared" si="6"/>
        <v>4</v>
      </c>
      <c r="S18" s="17">
        <f t="shared" si="7"/>
        <v>8</v>
      </c>
      <c r="T18" s="17">
        <f t="shared" si="8"/>
        <v>6</v>
      </c>
      <c r="U18" s="17">
        <f t="shared" si="9"/>
        <v>4</v>
      </c>
      <c r="W18" s="7">
        <v>10468</v>
      </c>
      <c r="X18" s="7">
        <v>11611</v>
      </c>
      <c r="Y18" s="7">
        <v>12235</v>
      </c>
      <c r="Z18" s="7">
        <v>5109</v>
      </c>
      <c r="AA18" s="7">
        <v>8574</v>
      </c>
      <c r="AB18" s="13"/>
      <c r="AF18" s="2" t="s">
        <v>42</v>
      </c>
      <c r="AG18" s="9">
        <v>0</v>
      </c>
      <c r="AH18" s="9">
        <v>20243</v>
      </c>
      <c r="AI18" s="9">
        <v>9781</v>
      </c>
      <c r="AJ18" s="9">
        <v>10780</v>
      </c>
      <c r="AK18" s="9">
        <v>0</v>
      </c>
    </row>
    <row r="19" spans="1:37" ht="15.9" customHeight="1" x14ac:dyDescent="0.3">
      <c r="A19" s="2" t="str">
        <v>GA</v>
      </c>
      <c r="B19" s="38" t="str">
        <v>Golden A</v>
      </c>
      <c r="C19" s="9">
        <f t="shared" si="0"/>
        <v>0</v>
      </c>
      <c r="D19" s="9">
        <f t="shared" si="1"/>
        <v>22</v>
      </c>
      <c r="E19" s="9">
        <f t="shared" si="2"/>
        <v>6</v>
      </c>
      <c r="F19" s="9">
        <f t="shared" si="3"/>
        <v>4</v>
      </c>
      <c r="G19" s="9">
        <f t="shared" si="4"/>
        <v>0</v>
      </c>
      <c r="H19" s="38">
        <v>15</v>
      </c>
      <c r="I19" s="52"/>
      <c r="J19" s="2">
        <v>15</v>
      </c>
      <c r="K19" s="41" t="s">
        <v>35</v>
      </c>
      <c r="L19" s="41" t="s">
        <v>29</v>
      </c>
      <c r="M19" s="41" t="s">
        <v>48</v>
      </c>
      <c r="N19" s="41" t="s">
        <v>46</v>
      </c>
      <c r="O19" s="41" t="s">
        <v>33</v>
      </c>
      <c r="Q19" s="17">
        <f t="shared" si="5"/>
        <v>10</v>
      </c>
      <c r="R19" s="17">
        <f t="shared" si="6"/>
        <v>4</v>
      </c>
      <c r="S19" s="17">
        <f t="shared" si="7"/>
        <v>17</v>
      </c>
      <c r="T19" s="17">
        <f t="shared" si="8"/>
        <v>16</v>
      </c>
      <c r="U19" s="17">
        <f t="shared" si="9"/>
        <v>8</v>
      </c>
      <c r="W19" s="7">
        <v>9358</v>
      </c>
      <c r="X19" s="7">
        <v>10100</v>
      </c>
      <c r="Y19" s="7">
        <v>10600</v>
      </c>
      <c r="Z19" s="7">
        <v>3527</v>
      </c>
      <c r="AA19" s="7">
        <v>7114</v>
      </c>
      <c r="AB19" s="13"/>
      <c r="AF19" s="2" t="s">
        <v>44</v>
      </c>
      <c r="AG19" s="9">
        <v>0</v>
      </c>
      <c r="AH19" s="9">
        <v>27498</v>
      </c>
      <c r="AI19" s="9">
        <v>20481</v>
      </c>
      <c r="AJ19" s="9">
        <v>15745</v>
      </c>
      <c r="AK19" s="9">
        <v>0</v>
      </c>
    </row>
    <row r="20" spans="1:37" ht="15.9" customHeight="1" x14ac:dyDescent="0.3">
      <c r="A20" s="2" t="str">
        <v>GK</v>
      </c>
      <c r="B20" s="38" t="str">
        <v>Golden K</v>
      </c>
      <c r="C20" s="9">
        <f t="shared" si="0"/>
        <v>0</v>
      </c>
      <c r="D20" s="9">
        <f t="shared" si="1"/>
        <v>6</v>
      </c>
      <c r="E20" s="9">
        <f t="shared" si="2"/>
        <v>4</v>
      </c>
      <c r="F20" s="9">
        <f t="shared" si="3"/>
        <v>22</v>
      </c>
      <c r="G20" s="9">
        <f t="shared" si="4"/>
        <v>0</v>
      </c>
      <c r="H20" s="38">
        <v>16</v>
      </c>
      <c r="I20" s="52"/>
      <c r="J20" s="2">
        <v>16</v>
      </c>
      <c r="K20" s="41" t="s">
        <v>34</v>
      </c>
      <c r="L20" s="41" t="s">
        <v>31</v>
      </c>
      <c r="M20" s="41" t="s">
        <v>44</v>
      </c>
      <c r="N20" s="41" t="s">
        <v>46</v>
      </c>
      <c r="O20" s="41" t="s">
        <v>29</v>
      </c>
      <c r="Q20" s="17">
        <f t="shared" si="5"/>
        <v>9</v>
      </c>
      <c r="R20" s="17">
        <f t="shared" si="6"/>
        <v>6</v>
      </c>
      <c r="S20" s="17">
        <f t="shared" si="7"/>
        <v>15</v>
      </c>
      <c r="T20" s="17">
        <f t="shared" si="8"/>
        <v>16</v>
      </c>
      <c r="U20" s="17">
        <f t="shared" si="9"/>
        <v>4</v>
      </c>
      <c r="W20" s="7">
        <v>9596</v>
      </c>
      <c r="X20" s="7">
        <v>10896</v>
      </c>
      <c r="Y20" s="7">
        <v>13027</v>
      </c>
      <c r="Z20" s="7">
        <v>7213</v>
      </c>
      <c r="AA20" s="7">
        <v>12484</v>
      </c>
      <c r="AB20" s="13"/>
      <c r="AF20" s="2" t="s">
        <v>46</v>
      </c>
      <c r="AG20" s="9">
        <v>0</v>
      </c>
      <c r="AH20" s="9">
        <v>27359</v>
      </c>
      <c r="AI20" s="9">
        <v>19430</v>
      </c>
      <c r="AJ20" s="9">
        <v>16738</v>
      </c>
      <c r="AK20" s="9">
        <v>0</v>
      </c>
    </row>
    <row r="21" spans="1:37" ht="15.9" customHeight="1" x14ac:dyDescent="0.3">
      <c r="A21" s="2" t="str">
        <v>GQ</v>
      </c>
      <c r="B21" s="38" t="str">
        <v>Golden Q</v>
      </c>
      <c r="C21" s="9">
        <f t="shared" si="0"/>
        <v>0</v>
      </c>
      <c r="D21" s="9">
        <f t="shared" si="1"/>
        <v>6</v>
      </c>
      <c r="E21" s="9">
        <f t="shared" si="2"/>
        <v>14</v>
      </c>
      <c r="F21" s="9">
        <f t="shared" si="3"/>
        <v>14</v>
      </c>
      <c r="G21" s="9">
        <f t="shared" si="4"/>
        <v>0</v>
      </c>
      <c r="H21" s="38">
        <v>17</v>
      </c>
      <c r="I21" s="52"/>
      <c r="J21" s="2">
        <v>17</v>
      </c>
      <c r="K21" s="41" t="s">
        <v>35</v>
      </c>
      <c r="L21" s="41" t="s">
        <v>36</v>
      </c>
      <c r="M21" s="41" t="s">
        <v>50</v>
      </c>
      <c r="N21" s="41" t="s">
        <v>33</v>
      </c>
      <c r="O21" s="41" t="s">
        <v>34</v>
      </c>
      <c r="Q21" s="17">
        <f t="shared" si="5"/>
        <v>10</v>
      </c>
      <c r="R21" s="17">
        <f t="shared" si="6"/>
        <v>11</v>
      </c>
      <c r="S21" s="17">
        <f t="shared" si="7"/>
        <v>18</v>
      </c>
      <c r="T21" s="17">
        <f t="shared" si="8"/>
        <v>8</v>
      </c>
      <c r="U21" s="17">
        <f t="shared" si="9"/>
        <v>9</v>
      </c>
      <c r="W21" s="7">
        <v>11895</v>
      </c>
      <c r="X21" s="7">
        <v>9146</v>
      </c>
      <c r="Y21" s="7">
        <v>11813</v>
      </c>
      <c r="Z21" s="7">
        <v>7213</v>
      </c>
      <c r="AA21" s="7">
        <v>12909</v>
      </c>
      <c r="AB21" s="13"/>
      <c r="AF21" s="2" t="s">
        <v>48</v>
      </c>
      <c r="AG21" s="9">
        <v>0</v>
      </c>
      <c r="AH21" s="9">
        <v>22869</v>
      </c>
      <c r="AI21" s="9">
        <v>24288</v>
      </c>
      <c r="AJ21" s="9">
        <v>15035</v>
      </c>
      <c r="AK21" s="9">
        <v>0</v>
      </c>
    </row>
    <row r="22" spans="1:37" ht="15.9" customHeight="1" x14ac:dyDescent="0.3">
      <c r="A22" s="2" t="str">
        <v>GJ</v>
      </c>
      <c r="B22" s="38" t="str">
        <v>Golden J</v>
      </c>
      <c r="C22" s="9">
        <f t="shared" si="0"/>
        <v>0</v>
      </c>
      <c r="D22" s="9">
        <f t="shared" si="1"/>
        <v>4</v>
      </c>
      <c r="E22" s="9">
        <f t="shared" si="2"/>
        <v>16</v>
      </c>
      <c r="F22" s="9">
        <f t="shared" si="3"/>
        <v>4</v>
      </c>
      <c r="G22" s="9">
        <f t="shared" si="4"/>
        <v>0</v>
      </c>
      <c r="H22" s="38">
        <v>18</v>
      </c>
      <c r="I22" s="52"/>
      <c r="J22" s="2">
        <v>18</v>
      </c>
      <c r="K22" s="41" t="s">
        <v>33</v>
      </c>
      <c r="L22" s="41" t="s">
        <v>28</v>
      </c>
      <c r="M22" s="41" t="s">
        <v>34</v>
      </c>
      <c r="N22" s="41" t="s">
        <v>33</v>
      </c>
      <c r="O22" s="41" t="s">
        <v>31</v>
      </c>
      <c r="Q22" s="17">
        <f t="shared" si="5"/>
        <v>8</v>
      </c>
      <c r="R22" s="17">
        <f t="shared" si="6"/>
        <v>3</v>
      </c>
      <c r="S22" s="17">
        <f t="shared" si="7"/>
        <v>9</v>
      </c>
      <c r="T22" s="17">
        <f t="shared" si="8"/>
        <v>8</v>
      </c>
      <c r="U22" s="17">
        <f t="shared" si="9"/>
        <v>6</v>
      </c>
      <c r="W22" s="7">
        <v>11799</v>
      </c>
      <c r="X22" s="7">
        <v>13266</v>
      </c>
      <c r="Y22" s="7">
        <v>10357</v>
      </c>
      <c r="Z22" s="7">
        <v>5109</v>
      </c>
      <c r="AA22" s="7">
        <v>14604</v>
      </c>
      <c r="AB22" s="13"/>
      <c r="AF22" s="2" t="s">
        <v>50</v>
      </c>
      <c r="AG22" s="9">
        <v>0</v>
      </c>
      <c r="AH22" s="9">
        <v>24112</v>
      </c>
      <c r="AI22" s="9">
        <v>22515</v>
      </c>
      <c r="AJ22" s="9">
        <v>16738</v>
      </c>
      <c r="AK22" s="9">
        <v>0</v>
      </c>
    </row>
    <row r="23" spans="1:37" ht="15.9" customHeight="1" x14ac:dyDescent="0.3">
      <c r="C23" s="19">
        <f>SUM(C4:C22)</f>
        <v>200</v>
      </c>
      <c r="D23" s="19">
        <f>SUM(D4:D22)</f>
        <v>200</v>
      </c>
      <c r="E23" s="19">
        <f>SUM(E4:E22)</f>
        <v>200</v>
      </c>
      <c r="F23" s="19">
        <f>SUM(F4:F22)</f>
        <v>200</v>
      </c>
      <c r="G23" s="19">
        <f>SUM(G4:G22)</f>
        <v>200</v>
      </c>
      <c r="I23" s="52"/>
      <c r="J23" s="2">
        <v>19</v>
      </c>
      <c r="K23" s="41" t="s">
        <v>28</v>
      </c>
      <c r="L23" s="41" t="s">
        <v>29</v>
      </c>
      <c r="M23" s="41" t="s">
        <v>32</v>
      </c>
      <c r="N23" s="41" t="s">
        <v>46</v>
      </c>
      <c r="O23" s="41" t="s">
        <v>32</v>
      </c>
      <c r="Q23" s="17">
        <f t="shared" si="5"/>
        <v>3</v>
      </c>
      <c r="R23" s="17">
        <f t="shared" si="6"/>
        <v>4</v>
      </c>
      <c r="S23" s="17">
        <f t="shared" si="7"/>
        <v>7</v>
      </c>
      <c r="T23" s="17">
        <f t="shared" si="8"/>
        <v>16</v>
      </c>
      <c r="U23" s="17">
        <f t="shared" si="9"/>
        <v>7</v>
      </c>
      <c r="W23" s="7">
        <v>12656</v>
      </c>
      <c r="X23" s="7">
        <v>14029</v>
      </c>
      <c r="Y23" s="7">
        <v>9871</v>
      </c>
      <c r="Z23" s="7">
        <v>3527</v>
      </c>
      <c r="AA23" s="7">
        <v>11683</v>
      </c>
      <c r="AB23" s="13"/>
    </row>
    <row r="24" spans="1:37" ht="15.9" customHeight="1" x14ac:dyDescent="0.3">
      <c r="I24" s="52"/>
      <c r="J24" s="2">
        <v>20</v>
      </c>
      <c r="K24" s="41" t="s">
        <v>29</v>
      </c>
      <c r="L24" s="41" t="s">
        <v>44</v>
      </c>
      <c r="M24" s="41" t="s">
        <v>42</v>
      </c>
      <c r="N24" s="41" t="s">
        <v>33</v>
      </c>
      <c r="O24" s="41" t="s">
        <v>35</v>
      </c>
      <c r="Q24" s="17">
        <f t="shared" si="5"/>
        <v>4</v>
      </c>
      <c r="R24" s="17">
        <f t="shared" si="6"/>
        <v>15</v>
      </c>
      <c r="S24" s="17">
        <f t="shared" si="7"/>
        <v>14</v>
      </c>
      <c r="T24" s="17">
        <f t="shared" si="8"/>
        <v>8</v>
      </c>
      <c r="U24" s="17">
        <f t="shared" si="9"/>
        <v>10</v>
      </c>
      <c r="W24" s="7">
        <v>11324</v>
      </c>
      <c r="X24" s="7">
        <v>11691</v>
      </c>
      <c r="Y24" s="7">
        <v>10196</v>
      </c>
      <c r="Z24" s="7">
        <v>7213</v>
      </c>
      <c r="AA24" s="7">
        <v>12909</v>
      </c>
    </row>
    <row r="25" spans="1:37" ht="16.5" customHeight="1" x14ac:dyDescent="0.3">
      <c r="I25" s="52"/>
      <c r="J25" s="2">
        <v>21</v>
      </c>
      <c r="K25" s="41" t="s">
        <v>31</v>
      </c>
      <c r="L25" s="41" t="s">
        <v>42</v>
      </c>
      <c r="M25" s="41" t="s">
        <v>42</v>
      </c>
      <c r="N25" s="41" t="s">
        <v>42</v>
      </c>
      <c r="O25" s="41" t="s">
        <v>34</v>
      </c>
      <c r="Q25" s="17">
        <f t="shared" si="5"/>
        <v>6</v>
      </c>
      <c r="R25" s="17">
        <f t="shared" si="6"/>
        <v>14</v>
      </c>
      <c r="S25" s="17">
        <f t="shared" si="7"/>
        <v>14</v>
      </c>
      <c r="T25" s="17">
        <f t="shared" si="8"/>
        <v>14</v>
      </c>
      <c r="U25" s="17">
        <f t="shared" si="9"/>
        <v>9</v>
      </c>
      <c r="W25" s="7">
        <v>13132</v>
      </c>
      <c r="X25" s="7">
        <v>11532</v>
      </c>
      <c r="Y25" s="7">
        <v>12137</v>
      </c>
      <c r="Z25" s="7">
        <v>10499</v>
      </c>
      <c r="AA25" s="7">
        <v>10175</v>
      </c>
      <c r="AB25" s="13"/>
    </row>
    <row r="26" spans="1:37" ht="16.5" customHeight="1" x14ac:dyDescent="0.3">
      <c r="I26" s="52"/>
      <c r="J26" s="2">
        <v>22</v>
      </c>
      <c r="K26" s="41" t="s">
        <v>30</v>
      </c>
      <c r="L26" s="41" t="s">
        <v>31</v>
      </c>
      <c r="M26" s="41" t="s">
        <v>35</v>
      </c>
      <c r="N26" s="41" t="s">
        <v>28</v>
      </c>
      <c r="O26" s="41" t="s">
        <v>35</v>
      </c>
      <c r="Q26" s="17">
        <f t="shared" si="5"/>
        <v>5</v>
      </c>
      <c r="R26" s="17">
        <f t="shared" si="6"/>
        <v>6</v>
      </c>
      <c r="S26" s="17">
        <f t="shared" si="7"/>
        <v>10</v>
      </c>
      <c r="T26" s="17">
        <f t="shared" si="8"/>
        <v>3</v>
      </c>
      <c r="U26" s="17">
        <f t="shared" si="9"/>
        <v>10</v>
      </c>
      <c r="W26" s="7">
        <v>11991</v>
      </c>
      <c r="X26" s="7">
        <v>12009</v>
      </c>
      <c r="Y26" s="7">
        <v>13691</v>
      </c>
      <c r="Z26" s="7">
        <v>12022</v>
      </c>
      <c r="AA26" s="7">
        <v>12626</v>
      </c>
      <c r="AB26" s="13"/>
    </row>
    <row r="27" spans="1:37" ht="16.5" customHeight="1" x14ac:dyDescent="0.3">
      <c r="I27" s="52"/>
      <c r="J27" s="2">
        <v>23</v>
      </c>
      <c r="K27" s="41" t="s">
        <v>33</v>
      </c>
      <c r="L27" s="41" t="s">
        <v>29</v>
      </c>
      <c r="M27" s="41" t="s">
        <v>50</v>
      </c>
      <c r="N27" s="41" t="s">
        <v>48</v>
      </c>
      <c r="O27" s="41" t="s">
        <v>31</v>
      </c>
      <c r="Q27" s="17">
        <f t="shared" si="5"/>
        <v>8</v>
      </c>
      <c r="R27" s="17">
        <f t="shared" si="6"/>
        <v>4</v>
      </c>
      <c r="S27" s="17">
        <f t="shared" si="7"/>
        <v>18</v>
      </c>
      <c r="T27" s="17">
        <f t="shared" si="8"/>
        <v>17</v>
      </c>
      <c r="U27" s="17">
        <f t="shared" si="9"/>
        <v>6</v>
      </c>
      <c r="W27" s="7">
        <v>12466</v>
      </c>
      <c r="X27" s="7">
        <v>12883</v>
      </c>
      <c r="Y27" s="7">
        <v>14273</v>
      </c>
      <c r="Z27" s="7">
        <v>12407</v>
      </c>
      <c r="AA27" s="7">
        <v>12719</v>
      </c>
      <c r="AB27" s="13"/>
    </row>
    <row r="28" spans="1:37" ht="16.5" customHeight="1" x14ac:dyDescent="0.3">
      <c r="I28" s="52"/>
      <c r="J28" s="2">
        <v>24</v>
      </c>
      <c r="K28" s="41" t="s">
        <v>29</v>
      </c>
      <c r="L28" s="41" t="s">
        <v>31</v>
      </c>
      <c r="M28" s="41" t="s">
        <v>40</v>
      </c>
      <c r="N28" s="41" t="s">
        <v>46</v>
      </c>
      <c r="O28" s="41" t="s">
        <v>32</v>
      </c>
      <c r="Q28" s="17">
        <f t="shared" si="5"/>
        <v>4</v>
      </c>
      <c r="R28" s="17">
        <f t="shared" si="6"/>
        <v>6</v>
      </c>
      <c r="S28" s="17">
        <f t="shared" si="7"/>
        <v>13</v>
      </c>
      <c r="T28" s="17">
        <f t="shared" si="8"/>
        <v>16</v>
      </c>
      <c r="U28" s="17">
        <f t="shared" si="9"/>
        <v>7</v>
      </c>
      <c r="W28" s="7">
        <v>9326</v>
      </c>
      <c r="X28" s="7">
        <v>13743</v>
      </c>
      <c r="Y28" s="7">
        <v>12235</v>
      </c>
      <c r="Z28" s="7">
        <v>14330</v>
      </c>
      <c r="AA28" s="7">
        <v>12343</v>
      </c>
      <c r="AB28" s="13"/>
    </row>
    <row r="29" spans="1:37" ht="16.5" customHeight="1" x14ac:dyDescent="0.3">
      <c r="I29" s="52"/>
      <c r="J29" s="2">
        <v>25</v>
      </c>
      <c r="K29" s="41" t="s">
        <v>32</v>
      </c>
      <c r="L29" s="41" t="s">
        <v>32</v>
      </c>
      <c r="M29" s="41" t="s">
        <v>50</v>
      </c>
      <c r="N29" s="41" t="s">
        <v>38</v>
      </c>
      <c r="O29" s="41" t="s">
        <v>30</v>
      </c>
      <c r="Q29" s="17">
        <f t="shared" si="5"/>
        <v>7</v>
      </c>
      <c r="R29" s="17">
        <f t="shared" si="6"/>
        <v>7</v>
      </c>
      <c r="S29" s="17">
        <f t="shared" si="7"/>
        <v>18</v>
      </c>
      <c r="T29" s="17">
        <f t="shared" si="8"/>
        <v>12</v>
      </c>
      <c r="U29" s="17">
        <f t="shared" si="9"/>
        <v>5</v>
      </c>
      <c r="W29" s="7">
        <v>12466</v>
      </c>
      <c r="X29" s="7">
        <v>12406</v>
      </c>
      <c r="Y29" s="7">
        <v>13982</v>
      </c>
      <c r="Z29" s="7">
        <v>12888</v>
      </c>
      <c r="AA29" s="7">
        <v>13473</v>
      </c>
      <c r="AB29" s="13"/>
    </row>
    <row r="30" spans="1:37" ht="16.5" customHeight="1" x14ac:dyDescent="0.3">
      <c r="I30" s="52"/>
      <c r="J30" s="2">
        <v>26</v>
      </c>
      <c r="K30" s="41" t="s">
        <v>30</v>
      </c>
      <c r="L30" s="41" t="s">
        <v>36</v>
      </c>
      <c r="M30" s="41" t="s">
        <v>30</v>
      </c>
      <c r="N30" s="41" t="s">
        <v>36</v>
      </c>
      <c r="O30" s="41" t="s">
        <v>32</v>
      </c>
      <c r="Q30" s="17">
        <f t="shared" si="5"/>
        <v>5</v>
      </c>
      <c r="R30" s="17">
        <f t="shared" si="6"/>
        <v>11</v>
      </c>
      <c r="S30" s="17">
        <f t="shared" si="7"/>
        <v>5</v>
      </c>
      <c r="T30" s="17">
        <f t="shared" si="8"/>
        <v>11</v>
      </c>
      <c r="U30" s="17">
        <f t="shared" si="9"/>
        <v>7</v>
      </c>
      <c r="W30" s="7">
        <v>11895</v>
      </c>
      <c r="X30" s="7">
        <v>12025</v>
      </c>
      <c r="Y30" s="7">
        <v>12914</v>
      </c>
      <c r="Z30" s="7">
        <v>12182</v>
      </c>
      <c r="AA30" s="7">
        <v>11777</v>
      </c>
      <c r="AB30" s="13"/>
    </row>
    <row r="31" spans="1:37" ht="16.5" customHeight="1" x14ac:dyDescent="0.3">
      <c r="I31" s="52"/>
      <c r="J31" s="2">
        <v>27</v>
      </c>
      <c r="K31" s="41" t="s">
        <v>33</v>
      </c>
      <c r="L31" s="41" t="s">
        <v>26</v>
      </c>
      <c r="M31" s="41" t="s">
        <v>40</v>
      </c>
      <c r="N31" s="41" t="s">
        <v>32</v>
      </c>
      <c r="O31" s="41" t="s">
        <v>30</v>
      </c>
      <c r="Q31" s="17">
        <f t="shared" si="5"/>
        <v>8</v>
      </c>
      <c r="R31" s="17">
        <f t="shared" si="6"/>
        <v>2</v>
      </c>
      <c r="S31" s="17">
        <f t="shared" si="7"/>
        <v>13</v>
      </c>
      <c r="T31" s="17">
        <f t="shared" si="8"/>
        <v>7</v>
      </c>
      <c r="U31" s="17">
        <f t="shared" si="9"/>
        <v>5</v>
      </c>
      <c r="W31" s="7">
        <v>11229</v>
      </c>
      <c r="X31" s="7">
        <v>11532</v>
      </c>
      <c r="Y31" s="7">
        <v>8771</v>
      </c>
      <c r="Z31" s="7">
        <v>10339</v>
      </c>
      <c r="AA31" s="7">
        <v>11872</v>
      </c>
      <c r="AB31" s="13"/>
    </row>
    <row r="32" spans="1:37" ht="16.5" customHeight="1" x14ac:dyDescent="0.3">
      <c r="J32" s="2">
        <v>28</v>
      </c>
      <c r="K32" s="41" t="s">
        <v>35</v>
      </c>
      <c r="L32" s="41" t="s">
        <v>34</v>
      </c>
      <c r="M32" s="41" t="s">
        <v>33</v>
      </c>
      <c r="N32" s="41" t="s">
        <v>34</v>
      </c>
      <c r="O32" s="41" t="s">
        <v>30</v>
      </c>
      <c r="Q32" s="17">
        <f t="shared" si="5"/>
        <v>10</v>
      </c>
      <c r="R32" s="17">
        <f t="shared" si="6"/>
        <v>9</v>
      </c>
      <c r="S32" s="17">
        <f t="shared" si="7"/>
        <v>8</v>
      </c>
      <c r="T32" s="17">
        <f t="shared" si="8"/>
        <v>9</v>
      </c>
      <c r="U32" s="17">
        <f t="shared" si="9"/>
        <v>5</v>
      </c>
      <c r="W32" s="7">
        <v>11102</v>
      </c>
      <c r="X32" s="7">
        <v>13202</v>
      </c>
      <c r="Y32" s="7">
        <v>13027</v>
      </c>
      <c r="Z32" s="7">
        <v>9698</v>
      </c>
      <c r="AA32" s="7">
        <v>11495</v>
      </c>
      <c r="AB32" s="13"/>
    </row>
    <row r="33" spans="10:28" ht="16.5" customHeight="1" x14ac:dyDescent="0.3">
      <c r="J33" s="2">
        <v>29</v>
      </c>
      <c r="K33" s="41" t="s">
        <v>35</v>
      </c>
      <c r="L33" s="41" t="s">
        <v>36</v>
      </c>
      <c r="M33" s="41" t="s">
        <v>29</v>
      </c>
      <c r="N33" s="41" t="s">
        <v>31</v>
      </c>
      <c r="O33" s="41" t="s">
        <v>32</v>
      </c>
      <c r="Q33" s="17">
        <f t="shared" si="5"/>
        <v>10</v>
      </c>
      <c r="R33" s="17">
        <f t="shared" si="6"/>
        <v>11</v>
      </c>
      <c r="S33" s="17">
        <f t="shared" si="7"/>
        <v>4</v>
      </c>
      <c r="T33" s="17">
        <f t="shared" si="8"/>
        <v>6</v>
      </c>
      <c r="U33" s="17">
        <f t="shared" si="9"/>
        <v>7</v>
      </c>
      <c r="W33" s="7">
        <v>9754</v>
      </c>
      <c r="X33" s="7">
        <v>9623</v>
      </c>
      <c r="Y33" s="7">
        <v>10681</v>
      </c>
      <c r="Z33" s="7">
        <v>11701</v>
      </c>
      <c r="AA33" s="7">
        <v>12531</v>
      </c>
      <c r="AB33" s="13"/>
    </row>
    <row r="34" spans="10:28" ht="16.5" customHeight="1" x14ac:dyDescent="0.3">
      <c r="J34" s="2">
        <v>30</v>
      </c>
      <c r="K34" s="41" t="s">
        <v>33</v>
      </c>
      <c r="L34" s="41" t="s">
        <v>31</v>
      </c>
      <c r="M34" s="41" t="s">
        <v>46</v>
      </c>
      <c r="N34" s="41" t="s">
        <v>33</v>
      </c>
      <c r="O34" s="41" t="s">
        <v>34</v>
      </c>
      <c r="Q34" s="17">
        <f t="shared" si="5"/>
        <v>8</v>
      </c>
      <c r="R34" s="17">
        <f t="shared" si="6"/>
        <v>6</v>
      </c>
      <c r="S34" s="17">
        <f t="shared" si="7"/>
        <v>16</v>
      </c>
      <c r="T34" s="17">
        <f t="shared" si="8"/>
        <v>8</v>
      </c>
      <c r="U34" s="17">
        <f t="shared" si="9"/>
        <v>9</v>
      </c>
      <c r="W34" s="7">
        <v>9437</v>
      </c>
      <c r="X34" s="7">
        <v>10816</v>
      </c>
      <c r="Y34" s="7">
        <v>10923</v>
      </c>
      <c r="Z34" s="7">
        <v>10499</v>
      </c>
      <c r="AA34" s="7">
        <v>12531</v>
      </c>
      <c r="AB34" s="13"/>
    </row>
    <row r="35" spans="10:28" ht="16.5" customHeight="1" x14ac:dyDescent="0.3">
      <c r="J35" s="2">
        <v>31</v>
      </c>
      <c r="K35" s="41" t="s">
        <v>35</v>
      </c>
      <c r="L35" s="41" t="s">
        <v>44</v>
      </c>
      <c r="M35" s="41" t="s">
        <v>31</v>
      </c>
      <c r="N35" s="41" t="s">
        <v>30</v>
      </c>
      <c r="O35" s="41" t="s">
        <v>33</v>
      </c>
      <c r="Q35" s="17">
        <f t="shared" si="5"/>
        <v>10</v>
      </c>
      <c r="R35" s="17">
        <f t="shared" si="6"/>
        <v>15</v>
      </c>
      <c r="S35" s="17">
        <f t="shared" si="7"/>
        <v>6</v>
      </c>
      <c r="T35" s="17">
        <f t="shared" si="8"/>
        <v>5</v>
      </c>
      <c r="U35" s="17">
        <f t="shared" si="9"/>
        <v>8</v>
      </c>
      <c r="W35" s="7">
        <v>10754</v>
      </c>
      <c r="X35" s="7">
        <v>9305</v>
      </c>
      <c r="Y35" s="7">
        <v>9322</v>
      </c>
      <c r="Z35" s="7">
        <v>11942</v>
      </c>
      <c r="AA35" s="7">
        <v>12719</v>
      </c>
      <c r="AB35" s="13"/>
    </row>
    <row r="36" spans="10:28" ht="16.5" customHeight="1" x14ac:dyDescent="0.3">
      <c r="J36" s="2">
        <v>32</v>
      </c>
      <c r="K36" s="41" t="s">
        <v>29</v>
      </c>
      <c r="L36" s="41" t="s">
        <v>35</v>
      </c>
      <c r="M36" s="41" t="s">
        <v>48</v>
      </c>
      <c r="N36" s="41" t="s">
        <v>29</v>
      </c>
      <c r="O36" s="41" t="s">
        <v>28</v>
      </c>
      <c r="Q36" s="17">
        <f t="shared" si="5"/>
        <v>4</v>
      </c>
      <c r="R36" s="17">
        <f t="shared" si="6"/>
        <v>10</v>
      </c>
      <c r="S36" s="17">
        <f t="shared" si="7"/>
        <v>17</v>
      </c>
      <c r="T36" s="17">
        <f t="shared" si="8"/>
        <v>4</v>
      </c>
      <c r="U36" s="17">
        <f t="shared" si="9"/>
        <v>3</v>
      </c>
      <c r="W36" s="7">
        <v>14560</v>
      </c>
      <c r="X36" s="7">
        <v>11055</v>
      </c>
      <c r="Y36" s="7">
        <v>13011</v>
      </c>
      <c r="Z36" s="7">
        <v>11445</v>
      </c>
      <c r="AA36" s="7">
        <v>12060</v>
      </c>
      <c r="AB36" s="13"/>
    </row>
    <row r="37" spans="10:28" ht="16.5" customHeight="1" x14ac:dyDescent="0.3">
      <c r="J37" s="2">
        <v>33</v>
      </c>
      <c r="K37" s="41" t="s">
        <v>28</v>
      </c>
      <c r="L37" s="41" t="s">
        <v>44</v>
      </c>
      <c r="M37" s="41" t="s">
        <v>29</v>
      </c>
      <c r="N37" s="41" t="s">
        <v>29</v>
      </c>
      <c r="O37" s="41" t="s">
        <v>29</v>
      </c>
      <c r="Q37" s="17">
        <f t="shared" si="5"/>
        <v>3</v>
      </c>
      <c r="R37" s="17">
        <f t="shared" si="6"/>
        <v>15</v>
      </c>
      <c r="S37" s="17">
        <f t="shared" si="7"/>
        <v>4</v>
      </c>
      <c r="T37" s="17">
        <f t="shared" si="8"/>
        <v>4</v>
      </c>
      <c r="U37" s="17">
        <f t="shared" si="9"/>
        <v>4</v>
      </c>
      <c r="W37" s="7">
        <v>11609</v>
      </c>
      <c r="X37" s="7">
        <v>10657</v>
      </c>
      <c r="Y37" s="7">
        <v>10114</v>
      </c>
      <c r="Z37" s="7">
        <v>13177</v>
      </c>
      <c r="AA37" s="7">
        <v>10993</v>
      </c>
      <c r="AB37" s="13"/>
    </row>
    <row r="38" spans="10:28" ht="16.5" customHeight="1" x14ac:dyDescent="0.3">
      <c r="J38" s="2">
        <v>34</v>
      </c>
      <c r="K38" s="41" t="s">
        <v>35</v>
      </c>
      <c r="L38" s="41" t="s">
        <v>31</v>
      </c>
      <c r="M38" s="41" t="s">
        <v>50</v>
      </c>
      <c r="N38" s="41" t="s">
        <v>36</v>
      </c>
      <c r="O38" s="41" t="s">
        <v>34</v>
      </c>
      <c r="Q38" s="17">
        <f t="shared" si="5"/>
        <v>10</v>
      </c>
      <c r="R38" s="17">
        <f t="shared" si="6"/>
        <v>6</v>
      </c>
      <c r="S38" s="17">
        <f t="shared" si="7"/>
        <v>18</v>
      </c>
      <c r="T38" s="17">
        <f t="shared" si="8"/>
        <v>11</v>
      </c>
      <c r="U38" s="17">
        <f t="shared" si="9"/>
        <v>9</v>
      </c>
      <c r="W38" s="7">
        <v>12942</v>
      </c>
      <c r="X38" s="7">
        <v>13361</v>
      </c>
      <c r="Y38" s="7">
        <v>10357</v>
      </c>
      <c r="Z38" s="7">
        <v>12503</v>
      </c>
      <c r="AA38" s="7">
        <v>10443</v>
      </c>
      <c r="AB38" s="13"/>
    </row>
    <row r="39" spans="10:28" ht="16.5" customHeight="1" x14ac:dyDescent="0.3">
      <c r="J39" s="2">
        <v>35</v>
      </c>
      <c r="K39" s="41" t="s">
        <v>26</v>
      </c>
      <c r="L39" s="41" t="s">
        <v>28</v>
      </c>
      <c r="M39" s="41" t="s">
        <v>40</v>
      </c>
      <c r="N39" s="41" t="s">
        <v>30</v>
      </c>
      <c r="O39" s="41" t="s">
        <v>28</v>
      </c>
      <c r="Q39" s="17">
        <f t="shared" si="5"/>
        <v>2</v>
      </c>
      <c r="R39" s="17">
        <f t="shared" si="6"/>
        <v>3</v>
      </c>
      <c r="S39" s="17">
        <f t="shared" si="7"/>
        <v>13</v>
      </c>
      <c r="T39" s="17">
        <f t="shared" si="8"/>
        <v>5</v>
      </c>
      <c r="U39" s="17">
        <f t="shared" si="9"/>
        <v>3</v>
      </c>
      <c r="W39" s="7">
        <v>12562</v>
      </c>
      <c r="X39" s="7">
        <v>10260</v>
      </c>
      <c r="Y39" s="7">
        <v>8658</v>
      </c>
      <c r="Z39" s="7">
        <v>12888</v>
      </c>
      <c r="AA39" s="7">
        <v>10835</v>
      </c>
      <c r="AB39" s="13"/>
    </row>
    <row r="40" spans="10:28" ht="16.5" customHeight="1" x14ac:dyDescent="0.3">
      <c r="J40" s="2">
        <v>36</v>
      </c>
      <c r="K40" s="41" t="s">
        <v>29</v>
      </c>
      <c r="L40" s="41" t="s">
        <v>46</v>
      </c>
      <c r="M40" s="41" t="s">
        <v>28</v>
      </c>
      <c r="N40" s="41" t="s">
        <v>33</v>
      </c>
      <c r="O40" s="41" t="s">
        <v>30</v>
      </c>
      <c r="Q40" s="17">
        <f t="shared" si="5"/>
        <v>4</v>
      </c>
      <c r="R40" s="17">
        <f t="shared" si="6"/>
        <v>16</v>
      </c>
      <c r="S40" s="17">
        <f t="shared" si="7"/>
        <v>3</v>
      </c>
      <c r="T40" s="17">
        <f t="shared" si="8"/>
        <v>8</v>
      </c>
      <c r="U40" s="17">
        <f t="shared" si="9"/>
        <v>5</v>
      </c>
      <c r="W40" s="7">
        <v>8406</v>
      </c>
      <c r="X40" s="7">
        <v>9623</v>
      </c>
      <c r="Y40" s="7">
        <v>10114</v>
      </c>
      <c r="Z40" s="7">
        <v>12888</v>
      </c>
      <c r="AA40" s="7">
        <v>13568</v>
      </c>
      <c r="AB40" s="13"/>
    </row>
    <row r="41" spans="10:28" ht="16.5" customHeight="1" x14ac:dyDescent="0.3">
      <c r="J41" s="2">
        <v>37</v>
      </c>
      <c r="K41" s="41" t="s">
        <v>33</v>
      </c>
      <c r="L41" s="41" t="s">
        <v>46</v>
      </c>
      <c r="M41" s="41" t="s">
        <v>30</v>
      </c>
      <c r="N41" s="41" t="s">
        <v>48</v>
      </c>
      <c r="O41" s="41" t="s">
        <v>28</v>
      </c>
      <c r="Q41" s="17">
        <f t="shared" si="5"/>
        <v>8</v>
      </c>
      <c r="R41" s="17">
        <f t="shared" si="6"/>
        <v>16</v>
      </c>
      <c r="S41" s="17">
        <f t="shared" si="7"/>
        <v>5</v>
      </c>
      <c r="T41" s="17">
        <f t="shared" si="8"/>
        <v>17</v>
      </c>
      <c r="U41" s="17">
        <f t="shared" si="9"/>
        <v>3</v>
      </c>
      <c r="W41" s="7">
        <v>10785</v>
      </c>
      <c r="X41" s="7">
        <v>11135</v>
      </c>
      <c r="Y41" s="7">
        <v>6662</v>
      </c>
      <c r="Z41" s="7">
        <v>11381</v>
      </c>
      <c r="AA41" s="7">
        <v>11589</v>
      </c>
      <c r="AB41" s="13"/>
    </row>
    <row r="42" spans="10:28" ht="16.5" customHeight="1" x14ac:dyDescent="0.3">
      <c r="J42" s="2">
        <v>38</v>
      </c>
      <c r="K42" s="41" t="s">
        <v>29</v>
      </c>
      <c r="L42" s="41" t="s">
        <v>40</v>
      </c>
      <c r="M42" s="41" t="s">
        <v>34</v>
      </c>
      <c r="N42" s="41" t="s">
        <v>31</v>
      </c>
      <c r="O42" s="41" t="s">
        <v>30</v>
      </c>
      <c r="Q42" s="17">
        <f t="shared" si="5"/>
        <v>4</v>
      </c>
      <c r="R42" s="17">
        <f t="shared" si="6"/>
        <v>13</v>
      </c>
      <c r="S42" s="17">
        <f t="shared" si="7"/>
        <v>9</v>
      </c>
      <c r="T42" s="17">
        <f t="shared" si="8"/>
        <v>6</v>
      </c>
      <c r="U42" s="17">
        <f t="shared" si="9"/>
        <v>5</v>
      </c>
      <c r="W42" s="7">
        <v>11737</v>
      </c>
      <c r="X42" s="7">
        <v>13456</v>
      </c>
      <c r="Y42" s="7">
        <v>7255</v>
      </c>
      <c r="Z42" s="7">
        <v>9297</v>
      </c>
      <c r="AA42" s="7">
        <v>14039</v>
      </c>
      <c r="AB42" s="13"/>
    </row>
    <row r="43" spans="10:28" ht="16.5" customHeight="1" x14ac:dyDescent="0.3">
      <c r="J43" s="2">
        <v>39</v>
      </c>
      <c r="K43" s="41" t="s">
        <v>29</v>
      </c>
      <c r="L43" s="41" t="s">
        <v>40</v>
      </c>
      <c r="M43" s="41" t="s">
        <v>44</v>
      </c>
      <c r="N43" s="41" t="s">
        <v>42</v>
      </c>
      <c r="O43" s="41" t="s">
        <v>35</v>
      </c>
      <c r="Q43" s="17">
        <f t="shared" si="5"/>
        <v>4</v>
      </c>
      <c r="R43" s="17">
        <f t="shared" si="6"/>
        <v>13</v>
      </c>
      <c r="S43" s="17">
        <f t="shared" si="7"/>
        <v>15</v>
      </c>
      <c r="T43" s="17">
        <f t="shared" si="8"/>
        <v>14</v>
      </c>
      <c r="U43" s="17">
        <f t="shared" si="9"/>
        <v>10</v>
      </c>
      <c r="W43" s="7">
        <v>12466</v>
      </c>
      <c r="X43" s="7">
        <v>12025</v>
      </c>
      <c r="Y43" s="7">
        <v>7364</v>
      </c>
      <c r="Z43" s="7">
        <v>10339</v>
      </c>
      <c r="AA43" s="7">
        <v>12060</v>
      </c>
      <c r="AB43" s="13"/>
    </row>
    <row r="44" spans="10:28" ht="16.5" customHeight="1" x14ac:dyDescent="0.3">
      <c r="J44" s="2">
        <v>40</v>
      </c>
      <c r="K44" s="41" t="s">
        <v>32</v>
      </c>
      <c r="L44" s="41" t="s">
        <v>38</v>
      </c>
      <c r="M44" s="41" t="s">
        <v>34</v>
      </c>
      <c r="N44" s="41" t="s">
        <v>33</v>
      </c>
      <c r="O44" s="41" t="s">
        <v>31</v>
      </c>
      <c r="Q44" s="17">
        <f t="shared" si="5"/>
        <v>7</v>
      </c>
      <c r="R44" s="17">
        <f t="shared" si="6"/>
        <v>12</v>
      </c>
      <c r="S44" s="17">
        <f t="shared" si="7"/>
        <v>9</v>
      </c>
      <c r="T44" s="17">
        <f t="shared" si="8"/>
        <v>8</v>
      </c>
      <c r="U44" s="17">
        <f t="shared" si="9"/>
        <v>6</v>
      </c>
      <c r="W44" s="7">
        <v>10071</v>
      </c>
      <c r="X44" s="7">
        <v>12502</v>
      </c>
      <c r="Y44" s="7">
        <v>5341</v>
      </c>
      <c r="Z44" s="7">
        <v>12696</v>
      </c>
      <c r="AA44" s="7">
        <v>13850</v>
      </c>
      <c r="AB44" s="13"/>
    </row>
    <row r="45" spans="10:28" ht="16.5" customHeight="1" x14ac:dyDescent="0.3">
      <c r="J45" s="2">
        <v>41</v>
      </c>
      <c r="K45" s="41" t="s">
        <v>32</v>
      </c>
      <c r="L45" s="41" t="s">
        <v>32</v>
      </c>
      <c r="M45" s="41" t="s">
        <v>35</v>
      </c>
      <c r="N45" s="41" t="s">
        <v>38</v>
      </c>
      <c r="O45" s="41" t="s">
        <v>28</v>
      </c>
      <c r="Q45" s="17">
        <f t="shared" si="5"/>
        <v>7</v>
      </c>
      <c r="R45" s="17">
        <f t="shared" si="6"/>
        <v>7</v>
      </c>
      <c r="S45" s="17">
        <f t="shared" si="7"/>
        <v>10</v>
      </c>
      <c r="T45" s="17">
        <f t="shared" si="8"/>
        <v>12</v>
      </c>
      <c r="U45" s="17">
        <f t="shared" si="9"/>
        <v>3</v>
      </c>
      <c r="W45" s="7">
        <v>9120</v>
      </c>
      <c r="X45" s="7">
        <v>12883</v>
      </c>
      <c r="Y45" s="7">
        <v>10762</v>
      </c>
      <c r="Z45" s="7">
        <v>11445</v>
      </c>
      <c r="AA45" s="7">
        <v>12909</v>
      </c>
      <c r="AB45" s="13"/>
    </row>
    <row r="46" spans="10:28" ht="16.5" customHeight="1" x14ac:dyDescent="0.3">
      <c r="J46" s="2">
        <v>42</v>
      </c>
      <c r="K46" s="41" t="s">
        <v>31</v>
      </c>
      <c r="L46" s="41" t="s">
        <v>29</v>
      </c>
      <c r="M46" s="41" t="s">
        <v>48</v>
      </c>
      <c r="N46" s="41" t="s">
        <v>46</v>
      </c>
      <c r="O46" s="41" t="s">
        <v>32</v>
      </c>
      <c r="Q46" s="17">
        <f t="shared" si="5"/>
        <v>6</v>
      </c>
      <c r="R46" s="17">
        <f t="shared" si="6"/>
        <v>4</v>
      </c>
      <c r="S46" s="17">
        <f t="shared" si="7"/>
        <v>17</v>
      </c>
      <c r="T46" s="17">
        <f t="shared" si="8"/>
        <v>16</v>
      </c>
      <c r="U46" s="17">
        <f t="shared" si="9"/>
        <v>7</v>
      </c>
      <c r="W46" s="7">
        <v>9199</v>
      </c>
      <c r="X46" s="7">
        <v>3473</v>
      </c>
      <c r="Y46" s="7">
        <v>9629</v>
      </c>
      <c r="Z46" s="7">
        <v>13080</v>
      </c>
      <c r="AA46" s="7">
        <v>12438</v>
      </c>
      <c r="AB46" s="13"/>
    </row>
    <row r="47" spans="10:28" ht="16.5" customHeight="1" x14ac:dyDescent="0.3">
      <c r="J47" s="2">
        <v>43</v>
      </c>
      <c r="K47" s="41" t="s">
        <v>31</v>
      </c>
      <c r="L47" s="41" t="s">
        <v>32</v>
      </c>
      <c r="M47" s="41" t="s">
        <v>48</v>
      </c>
      <c r="N47" s="41" t="s">
        <v>30</v>
      </c>
      <c r="O47" s="41" t="s">
        <v>34</v>
      </c>
      <c r="Q47" s="17">
        <f t="shared" si="5"/>
        <v>6</v>
      </c>
      <c r="R47" s="17">
        <f t="shared" si="6"/>
        <v>7</v>
      </c>
      <c r="S47" s="17">
        <f t="shared" si="7"/>
        <v>17</v>
      </c>
      <c r="T47" s="17">
        <f t="shared" si="8"/>
        <v>5</v>
      </c>
      <c r="U47" s="17">
        <f t="shared" si="9"/>
        <v>9</v>
      </c>
      <c r="W47" s="7">
        <v>11991</v>
      </c>
      <c r="X47" s="7">
        <v>5395</v>
      </c>
      <c r="Y47" s="7">
        <v>13399</v>
      </c>
      <c r="Z47" s="7">
        <v>11782</v>
      </c>
      <c r="AA47" s="7">
        <v>12719</v>
      </c>
      <c r="AB47" s="13"/>
    </row>
    <row r="48" spans="10:28" ht="16.5" customHeight="1" x14ac:dyDescent="0.3">
      <c r="J48" s="2">
        <v>44</v>
      </c>
      <c r="K48" s="41" t="s">
        <v>33</v>
      </c>
      <c r="L48" s="41" t="s">
        <v>29</v>
      </c>
      <c r="M48" s="41" t="s">
        <v>40</v>
      </c>
      <c r="N48" s="41" t="s">
        <v>33</v>
      </c>
      <c r="O48" s="41" t="s">
        <v>33</v>
      </c>
      <c r="Q48" s="17">
        <f t="shared" si="5"/>
        <v>8</v>
      </c>
      <c r="R48" s="17">
        <f t="shared" si="6"/>
        <v>4</v>
      </c>
      <c r="S48" s="17">
        <f t="shared" si="7"/>
        <v>13</v>
      </c>
      <c r="T48" s="17">
        <f t="shared" si="8"/>
        <v>8</v>
      </c>
      <c r="U48" s="17">
        <f t="shared" si="9"/>
        <v>8</v>
      </c>
      <c r="W48" s="7">
        <v>10547</v>
      </c>
      <c r="X48" s="7">
        <v>7184</v>
      </c>
      <c r="Y48" s="7">
        <v>14371</v>
      </c>
      <c r="Z48" s="7">
        <v>10660</v>
      </c>
      <c r="AA48" s="7">
        <v>12296</v>
      </c>
      <c r="AB48" s="13"/>
    </row>
    <row r="49" spans="10:28" ht="16.5" customHeight="1" x14ac:dyDescent="0.3">
      <c r="J49" s="2">
        <v>45</v>
      </c>
      <c r="K49" s="41" t="s">
        <v>28</v>
      </c>
      <c r="L49" s="41" t="s">
        <v>32</v>
      </c>
      <c r="M49" s="41" t="s">
        <v>42</v>
      </c>
      <c r="N49" s="41" t="s">
        <v>33</v>
      </c>
      <c r="O49" s="41" t="s">
        <v>31</v>
      </c>
      <c r="Q49" s="17">
        <f t="shared" si="5"/>
        <v>3</v>
      </c>
      <c r="R49" s="17">
        <f t="shared" si="6"/>
        <v>7</v>
      </c>
      <c r="S49" s="17">
        <f t="shared" si="7"/>
        <v>14</v>
      </c>
      <c r="T49" s="17">
        <f t="shared" si="8"/>
        <v>8</v>
      </c>
      <c r="U49" s="17">
        <f t="shared" si="9"/>
        <v>6</v>
      </c>
      <c r="W49" s="7">
        <v>11181</v>
      </c>
      <c r="X49" s="7">
        <v>5567</v>
      </c>
      <c r="Y49" s="7">
        <v>9322</v>
      </c>
      <c r="Z49" s="7">
        <v>2284</v>
      </c>
      <c r="AA49" s="7">
        <v>12626</v>
      </c>
      <c r="AB49" s="13"/>
    </row>
    <row r="50" spans="10:28" ht="16.5" customHeight="1" x14ac:dyDescent="0.3">
      <c r="J50" s="2">
        <v>46</v>
      </c>
      <c r="K50" s="41" t="s">
        <v>35</v>
      </c>
      <c r="L50" s="41" t="s">
        <v>31</v>
      </c>
      <c r="M50" s="41" t="s">
        <v>42</v>
      </c>
      <c r="N50" s="41" t="s">
        <v>33</v>
      </c>
      <c r="O50" s="41" t="s">
        <v>32</v>
      </c>
      <c r="Q50" s="17">
        <f t="shared" si="5"/>
        <v>10</v>
      </c>
      <c r="R50" s="17">
        <f t="shared" si="6"/>
        <v>6</v>
      </c>
      <c r="S50" s="17">
        <f t="shared" si="7"/>
        <v>14</v>
      </c>
      <c r="T50" s="17">
        <f t="shared" si="8"/>
        <v>8</v>
      </c>
      <c r="U50" s="17">
        <f t="shared" si="9"/>
        <v>7</v>
      </c>
      <c r="W50" s="7">
        <v>12212</v>
      </c>
      <c r="X50" s="7">
        <v>5328</v>
      </c>
      <c r="Y50" s="7">
        <v>6068</v>
      </c>
      <c r="Z50" s="7">
        <v>2284</v>
      </c>
      <c r="AA50" s="7">
        <v>12814</v>
      </c>
      <c r="AB50" s="13"/>
    </row>
    <row r="51" spans="10:28" ht="16.5" customHeight="1" x14ac:dyDescent="0.3">
      <c r="J51" s="2">
        <v>47</v>
      </c>
      <c r="K51" s="41" t="s">
        <v>29</v>
      </c>
      <c r="L51" s="41" t="s">
        <v>29</v>
      </c>
      <c r="M51" s="41" t="s">
        <v>31</v>
      </c>
      <c r="N51" s="41" t="s">
        <v>48</v>
      </c>
      <c r="O51" s="41" t="s">
        <v>35</v>
      </c>
      <c r="Q51" s="17">
        <f t="shared" si="5"/>
        <v>4</v>
      </c>
      <c r="R51" s="17">
        <f t="shared" si="6"/>
        <v>4</v>
      </c>
      <c r="S51" s="17">
        <f t="shared" si="7"/>
        <v>6</v>
      </c>
      <c r="T51" s="17">
        <f t="shared" si="8"/>
        <v>17</v>
      </c>
      <c r="U51" s="17">
        <f t="shared" si="9"/>
        <v>10</v>
      </c>
      <c r="W51" s="7">
        <v>11261</v>
      </c>
      <c r="X51" s="7">
        <v>5567</v>
      </c>
      <c r="Y51" s="7">
        <v>11247</v>
      </c>
      <c r="Z51" s="7">
        <v>2284</v>
      </c>
      <c r="AA51" s="7">
        <v>12626</v>
      </c>
      <c r="AB51" s="13"/>
    </row>
    <row r="52" spans="10:28" ht="16.5" customHeight="1" x14ac:dyDescent="0.3">
      <c r="J52" s="2">
        <v>48</v>
      </c>
      <c r="K52" s="41" t="s">
        <v>32</v>
      </c>
      <c r="L52" s="41" t="s">
        <v>32</v>
      </c>
      <c r="M52" s="41" t="s">
        <v>34</v>
      </c>
      <c r="N52" s="41" t="s">
        <v>42</v>
      </c>
      <c r="O52" s="41" t="s">
        <v>32</v>
      </c>
      <c r="Q52" s="17">
        <f t="shared" si="5"/>
        <v>7</v>
      </c>
      <c r="R52" s="17">
        <f t="shared" si="6"/>
        <v>7</v>
      </c>
      <c r="S52" s="17">
        <f t="shared" si="7"/>
        <v>9</v>
      </c>
      <c r="T52" s="17">
        <f t="shared" si="8"/>
        <v>14</v>
      </c>
      <c r="U52" s="17">
        <f t="shared" si="9"/>
        <v>7</v>
      </c>
      <c r="W52" s="7">
        <v>12752</v>
      </c>
      <c r="X52" s="7">
        <v>8132</v>
      </c>
      <c r="Y52" s="7">
        <v>9953</v>
      </c>
      <c r="Z52" s="7">
        <v>2284</v>
      </c>
      <c r="AA52" s="7">
        <v>11212</v>
      </c>
      <c r="AB52" s="13"/>
    </row>
    <row r="53" spans="10:28" ht="16.5" customHeight="1" x14ac:dyDescent="0.3">
      <c r="J53" s="2">
        <v>49</v>
      </c>
      <c r="K53" s="41" t="s">
        <v>32</v>
      </c>
      <c r="L53" s="41" t="s">
        <v>42</v>
      </c>
      <c r="M53" s="41" t="s">
        <v>34</v>
      </c>
      <c r="N53" s="41" t="s">
        <v>46</v>
      </c>
      <c r="O53" s="41" t="s">
        <v>30</v>
      </c>
      <c r="Q53" s="17">
        <f t="shared" si="5"/>
        <v>7</v>
      </c>
      <c r="R53" s="17">
        <f t="shared" si="6"/>
        <v>14</v>
      </c>
      <c r="S53" s="17">
        <f t="shared" si="7"/>
        <v>9</v>
      </c>
      <c r="T53" s="17">
        <f t="shared" si="8"/>
        <v>16</v>
      </c>
      <c r="U53" s="17">
        <f t="shared" si="9"/>
        <v>5</v>
      </c>
      <c r="W53" s="7">
        <v>12752</v>
      </c>
      <c r="X53" s="7">
        <v>3694</v>
      </c>
      <c r="Y53" s="7">
        <v>14176</v>
      </c>
      <c r="Z53" s="7">
        <v>2284</v>
      </c>
      <c r="AA53" s="7">
        <v>12909</v>
      </c>
      <c r="AB53" s="13"/>
    </row>
    <row r="54" spans="10:28" ht="16.5" customHeight="1" x14ac:dyDescent="0.3">
      <c r="J54" s="2">
        <v>50</v>
      </c>
      <c r="K54" s="41" t="s">
        <v>31</v>
      </c>
      <c r="L54" s="41" t="s">
        <v>32</v>
      </c>
      <c r="M54" s="41" t="s">
        <v>32</v>
      </c>
      <c r="N54" s="41" t="s">
        <v>30</v>
      </c>
      <c r="O54" s="41" t="s">
        <v>34</v>
      </c>
      <c r="Q54" s="17">
        <f t="shared" si="5"/>
        <v>6</v>
      </c>
      <c r="R54" s="17">
        <f t="shared" si="6"/>
        <v>7</v>
      </c>
      <c r="S54" s="17">
        <f t="shared" si="7"/>
        <v>7</v>
      </c>
      <c r="T54" s="17">
        <f t="shared" si="8"/>
        <v>5</v>
      </c>
      <c r="U54" s="17">
        <f t="shared" si="9"/>
        <v>9</v>
      </c>
      <c r="W54" s="7">
        <v>14654</v>
      </c>
      <c r="X54" s="7">
        <v>3694</v>
      </c>
      <c r="Y54" s="7">
        <v>13497</v>
      </c>
      <c r="Z54" s="7">
        <v>2284</v>
      </c>
      <c r="AA54" s="7">
        <v>10365</v>
      </c>
      <c r="AB54" s="13"/>
    </row>
    <row r="55" spans="10:28" ht="16.5" customHeight="1" x14ac:dyDescent="0.3">
      <c r="J55" s="2">
        <v>51</v>
      </c>
      <c r="K55" s="41" t="s">
        <v>32</v>
      </c>
      <c r="L55" s="41" t="s">
        <v>32</v>
      </c>
      <c r="M55" s="41" t="s">
        <v>32</v>
      </c>
      <c r="N55" s="41" t="s">
        <v>34</v>
      </c>
      <c r="O55" s="41" t="s">
        <v>30</v>
      </c>
      <c r="Q55" s="17">
        <f t="shared" si="5"/>
        <v>7</v>
      </c>
      <c r="R55" s="17">
        <f t="shared" si="6"/>
        <v>7</v>
      </c>
      <c r="S55" s="17">
        <f t="shared" si="7"/>
        <v>7</v>
      </c>
      <c r="T55" s="17">
        <f t="shared" si="8"/>
        <v>9</v>
      </c>
      <c r="U55" s="17">
        <f t="shared" si="9"/>
        <v>5</v>
      </c>
      <c r="W55" s="7">
        <v>13893</v>
      </c>
      <c r="X55" s="7">
        <v>3694</v>
      </c>
      <c r="Y55" s="7">
        <v>12817</v>
      </c>
      <c r="Z55" s="7">
        <v>2284</v>
      </c>
      <c r="AA55" s="7">
        <v>8715</v>
      </c>
      <c r="AB55" s="13"/>
    </row>
    <row r="56" spans="10:28" ht="16.5" customHeight="1" x14ac:dyDescent="0.3">
      <c r="J56" s="2">
        <v>52</v>
      </c>
      <c r="K56" s="41" t="s">
        <v>35</v>
      </c>
      <c r="L56" s="41" t="s">
        <v>31</v>
      </c>
      <c r="M56" s="41" t="s">
        <v>28</v>
      </c>
      <c r="N56" s="41" t="s">
        <v>34</v>
      </c>
      <c r="O56" s="41" t="s">
        <v>28</v>
      </c>
      <c r="Q56" s="17">
        <f t="shared" si="5"/>
        <v>10</v>
      </c>
      <c r="R56" s="17">
        <f t="shared" si="6"/>
        <v>6</v>
      </c>
      <c r="S56" s="17">
        <f t="shared" si="7"/>
        <v>3</v>
      </c>
      <c r="T56" s="17">
        <f t="shared" si="8"/>
        <v>9</v>
      </c>
      <c r="U56" s="17">
        <f t="shared" si="9"/>
        <v>3</v>
      </c>
      <c r="W56" s="7">
        <v>11419</v>
      </c>
      <c r="X56" s="7">
        <v>3694</v>
      </c>
      <c r="Y56" s="7">
        <v>8901</v>
      </c>
      <c r="Z56" s="7">
        <v>2284</v>
      </c>
      <c r="AA56" s="7">
        <v>10286</v>
      </c>
      <c r="AB56" s="13"/>
    </row>
    <row r="57" spans="10:28" ht="16.5" customHeight="1" x14ac:dyDescent="0.3">
      <c r="J57" s="2">
        <v>53</v>
      </c>
      <c r="K57" s="41" t="s">
        <v>35</v>
      </c>
      <c r="L57" s="41" t="s">
        <v>44</v>
      </c>
      <c r="M57" s="41" t="s">
        <v>46</v>
      </c>
      <c r="N57" s="41" t="s">
        <v>40</v>
      </c>
      <c r="O57" s="41" t="s">
        <v>28</v>
      </c>
      <c r="Q57" s="17">
        <f t="shared" si="5"/>
        <v>10</v>
      </c>
      <c r="R57" s="17">
        <f t="shared" si="6"/>
        <v>15</v>
      </c>
      <c r="S57" s="17">
        <f t="shared" si="7"/>
        <v>16</v>
      </c>
      <c r="T57" s="17">
        <f t="shared" si="8"/>
        <v>13</v>
      </c>
      <c r="U57" s="17">
        <f t="shared" si="9"/>
        <v>3</v>
      </c>
      <c r="W57" s="7">
        <v>12562</v>
      </c>
      <c r="X57" s="7">
        <v>3694</v>
      </c>
      <c r="Y57" s="7">
        <v>10033</v>
      </c>
      <c r="Z57" s="7">
        <v>2284</v>
      </c>
      <c r="AA57" s="7">
        <v>9971</v>
      </c>
      <c r="AB57" s="13"/>
    </row>
    <row r="58" spans="10:28" ht="16.5" customHeight="1" x14ac:dyDescent="0.3">
      <c r="J58" s="2">
        <v>54</v>
      </c>
      <c r="K58" s="41" t="s">
        <v>32</v>
      </c>
      <c r="L58" s="41" t="s">
        <v>32</v>
      </c>
      <c r="M58" s="41" t="s">
        <v>34</v>
      </c>
      <c r="N58" s="41" t="s">
        <v>46</v>
      </c>
      <c r="O58" s="41" t="s">
        <v>28</v>
      </c>
      <c r="Q58" s="17">
        <f t="shared" si="5"/>
        <v>7</v>
      </c>
      <c r="R58" s="17">
        <f t="shared" si="6"/>
        <v>7</v>
      </c>
      <c r="S58" s="17">
        <f t="shared" si="7"/>
        <v>9</v>
      </c>
      <c r="T58" s="17">
        <f t="shared" si="8"/>
        <v>16</v>
      </c>
      <c r="U58" s="17">
        <f t="shared" si="9"/>
        <v>3</v>
      </c>
      <c r="W58" s="7">
        <v>14179</v>
      </c>
      <c r="X58" s="7">
        <v>3694</v>
      </c>
      <c r="Y58" s="7">
        <v>10923</v>
      </c>
      <c r="Z58" s="7">
        <v>2284</v>
      </c>
      <c r="AA58" s="7">
        <v>10365</v>
      </c>
      <c r="AB58" s="13"/>
    </row>
    <row r="59" spans="10:28" ht="16.5" customHeight="1" x14ac:dyDescent="0.3">
      <c r="J59" s="2">
        <v>55</v>
      </c>
      <c r="K59" s="41" t="s">
        <v>28</v>
      </c>
      <c r="L59" s="41" t="s">
        <v>44</v>
      </c>
      <c r="M59" s="41" t="s">
        <v>34</v>
      </c>
      <c r="N59" s="41" t="s">
        <v>33</v>
      </c>
      <c r="O59" s="41" t="s">
        <v>34</v>
      </c>
      <c r="Q59" s="17">
        <f t="shared" si="5"/>
        <v>3</v>
      </c>
      <c r="R59" s="17">
        <f t="shared" si="6"/>
        <v>15</v>
      </c>
      <c r="S59" s="17">
        <f t="shared" si="7"/>
        <v>9</v>
      </c>
      <c r="T59" s="17">
        <f t="shared" si="8"/>
        <v>8</v>
      </c>
      <c r="U59" s="17">
        <f t="shared" si="9"/>
        <v>9</v>
      </c>
      <c r="W59" s="7">
        <v>11419</v>
      </c>
      <c r="X59" s="7">
        <v>3694</v>
      </c>
      <c r="Y59" s="7">
        <v>10196</v>
      </c>
      <c r="Z59" s="7">
        <v>10740</v>
      </c>
      <c r="AA59" s="7">
        <v>12814</v>
      </c>
      <c r="AB59" s="13"/>
    </row>
    <row r="60" spans="10:28" ht="16.5" customHeight="1" x14ac:dyDescent="0.3">
      <c r="J60" s="2">
        <v>56</v>
      </c>
      <c r="K60" s="41" t="s">
        <v>33</v>
      </c>
      <c r="L60" s="41" t="s">
        <v>32</v>
      </c>
      <c r="M60" s="41" t="s">
        <v>50</v>
      </c>
      <c r="N60" s="41" t="s">
        <v>48</v>
      </c>
      <c r="O60" s="41" t="s">
        <v>29</v>
      </c>
      <c r="Q60" s="17">
        <f t="shared" si="5"/>
        <v>8</v>
      </c>
      <c r="R60" s="17">
        <f t="shared" si="6"/>
        <v>7</v>
      </c>
      <c r="S60" s="17">
        <f t="shared" si="7"/>
        <v>18</v>
      </c>
      <c r="T60" s="17">
        <f t="shared" si="8"/>
        <v>17</v>
      </c>
      <c r="U60" s="17">
        <f t="shared" si="9"/>
        <v>4</v>
      </c>
      <c r="W60" s="7">
        <v>13323</v>
      </c>
      <c r="X60" s="7">
        <v>3694</v>
      </c>
      <c r="Y60" s="7">
        <v>11458</v>
      </c>
      <c r="Z60" s="7">
        <v>6051</v>
      </c>
      <c r="AA60" s="7">
        <v>14228</v>
      </c>
      <c r="AB60" s="13"/>
    </row>
    <row r="61" spans="10:28" ht="15.6" customHeight="1" x14ac:dyDescent="0.3">
      <c r="J61" s="2">
        <v>57</v>
      </c>
      <c r="K61" s="41" t="s">
        <v>31</v>
      </c>
      <c r="L61" s="41" t="s">
        <v>34</v>
      </c>
      <c r="M61" s="41" t="s">
        <v>33</v>
      </c>
      <c r="N61" s="41" t="s">
        <v>33</v>
      </c>
      <c r="O61" s="41" t="s">
        <v>32</v>
      </c>
      <c r="Q61" s="17">
        <f t="shared" si="5"/>
        <v>6</v>
      </c>
      <c r="R61" s="17">
        <f t="shared" si="6"/>
        <v>9</v>
      </c>
      <c r="S61" s="17">
        <f t="shared" si="7"/>
        <v>8</v>
      </c>
      <c r="T61" s="17">
        <f t="shared" si="8"/>
        <v>8</v>
      </c>
      <c r="U61" s="17">
        <f t="shared" si="9"/>
        <v>7</v>
      </c>
      <c r="W61" s="7">
        <v>5923</v>
      </c>
      <c r="X61" s="7">
        <v>3694</v>
      </c>
      <c r="Y61" s="7">
        <v>12526</v>
      </c>
      <c r="Z61" s="7">
        <v>6732</v>
      </c>
      <c r="AA61" s="7">
        <v>11401</v>
      </c>
      <c r="AB61" s="13"/>
    </row>
    <row r="62" spans="10:28" ht="15.6" customHeight="1" x14ac:dyDescent="0.3">
      <c r="J62" s="2">
        <v>58</v>
      </c>
      <c r="K62" s="41" t="s">
        <v>34</v>
      </c>
      <c r="L62" s="41" t="s">
        <v>31</v>
      </c>
      <c r="M62" s="41" t="s">
        <v>26</v>
      </c>
      <c r="N62" s="41" t="s">
        <v>35</v>
      </c>
      <c r="O62" s="41" t="s">
        <v>35</v>
      </c>
      <c r="Q62" s="17">
        <f t="shared" si="5"/>
        <v>9</v>
      </c>
      <c r="R62" s="17">
        <f t="shared" si="6"/>
        <v>6</v>
      </c>
      <c r="S62" s="17">
        <f t="shared" si="7"/>
        <v>2</v>
      </c>
      <c r="T62" s="17">
        <f t="shared" si="8"/>
        <v>10</v>
      </c>
      <c r="U62" s="17">
        <f t="shared" si="9"/>
        <v>10</v>
      </c>
      <c r="W62" s="7">
        <v>11324</v>
      </c>
      <c r="X62" s="7">
        <v>6786</v>
      </c>
      <c r="Y62" s="7">
        <v>12526</v>
      </c>
      <c r="Z62" s="7">
        <v>6204</v>
      </c>
      <c r="AA62" s="7">
        <v>9045</v>
      </c>
      <c r="AB62" s="13"/>
    </row>
    <row r="63" spans="10:28" ht="16.5" customHeight="1" x14ac:dyDescent="0.3">
      <c r="J63" s="2">
        <v>59</v>
      </c>
      <c r="K63" s="41" t="s">
        <v>29</v>
      </c>
      <c r="L63" s="41" t="s">
        <v>44</v>
      </c>
      <c r="M63" s="41" t="s">
        <v>34</v>
      </c>
      <c r="N63" s="41" t="s">
        <v>26</v>
      </c>
      <c r="O63" s="41" t="s">
        <v>35</v>
      </c>
      <c r="Q63" s="17">
        <f t="shared" si="5"/>
        <v>4</v>
      </c>
      <c r="R63" s="17">
        <f t="shared" si="6"/>
        <v>15</v>
      </c>
      <c r="S63" s="17">
        <f t="shared" si="7"/>
        <v>9</v>
      </c>
      <c r="T63" s="17">
        <f t="shared" si="8"/>
        <v>2</v>
      </c>
      <c r="U63" s="17">
        <f t="shared" si="9"/>
        <v>10</v>
      </c>
      <c r="W63" s="7">
        <v>12466</v>
      </c>
      <c r="X63" s="7">
        <v>11055</v>
      </c>
      <c r="Y63" s="7">
        <v>14856</v>
      </c>
      <c r="Z63" s="7">
        <v>7213</v>
      </c>
      <c r="AA63" s="7">
        <v>12626</v>
      </c>
      <c r="AB63" s="13"/>
    </row>
    <row r="64" spans="10:28" ht="16.5" customHeight="1" x14ac:dyDescent="0.3">
      <c r="J64" s="2">
        <v>60</v>
      </c>
      <c r="K64" s="41" t="s">
        <v>30</v>
      </c>
      <c r="L64" s="41" t="s">
        <v>28</v>
      </c>
      <c r="M64" s="41" t="s">
        <v>33</v>
      </c>
      <c r="N64" s="41" t="s">
        <v>46</v>
      </c>
      <c r="O64" s="41" t="s">
        <v>34</v>
      </c>
      <c r="Q64" s="17">
        <f t="shared" si="5"/>
        <v>5</v>
      </c>
      <c r="R64" s="17">
        <f t="shared" si="6"/>
        <v>3</v>
      </c>
      <c r="S64" s="17">
        <f t="shared" si="7"/>
        <v>8</v>
      </c>
      <c r="T64" s="17">
        <f t="shared" si="8"/>
        <v>16</v>
      </c>
      <c r="U64" s="17">
        <f t="shared" si="9"/>
        <v>9</v>
      </c>
      <c r="W64" s="7">
        <v>13989</v>
      </c>
      <c r="X64" s="7">
        <v>11643</v>
      </c>
      <c r="Y64" s="7">
        <v>12914</v>
      </c>
      <c r="Z64" s="7">
        <v>7614</v>
      </c>
      <c r="AA64" s="7">
        <v>12438</v>
      </c>
      <c r="AB64" s="13"/>
    </row>
    <row r="65" spans="10:28" ht="16.5" customHeight="1" x14ac:dyDescent="0.3">
      <c r="J65" s="2">
        <v>61</v>
      </c>
      <c r="K65" s="41" t="s">
        <v>26</v>
      </c>
      <c r="L65" s="41" t="s">
        <v>32</v>
      </c>
      <c r="M65" s="41" t="s">
        <v>31</v>
      </c>
      <c r="N65" s="41" t="s">
        <v>46</v>
      </c>
      <c r="O65" s="41" t="s">
        <v>32</v>
      </c>
      <c r="Q65" s="17">
        <f t="shared" si="5"/>
        <v>2</v>
      </c>
      <c r="R65" s="17">
        <f t="shared" si="6"/>
        <v>7</v>
      </c>
      <c r="S65" s="17">
        <f t="shared" si="7"/>
        <v>6</v>
      </c>
      <c r="T65" s="17">
        <f t="shared" si="8"/>
        <v>16</v>
      </c>
      <c r="U65" s="17">
        <f t="shared" si="9"/>
        <v>7</v>
      </c>
      <c r="W65" s="7">
        <v>10373</v>
      </c>
      <c r="X65" s="7">
        <v>13838</v>
      </c>
      <c r="Y65" s="7">
        <v>10600</v>
      </c>
      <c r="Z65" s="7">
        <v>5651</v>
      </c>
      <c r="AA65" s="7">
        <v>13002</v>
      </c>
      <c r="AB65" s="13"/>
    </row>
    <row r="66" spans="10:28" ht="16.5" customHeight="1" x14ac:dyDescent="0.3">
      <c r="J66" s="2">
        <v>62</v>
      </c>
      <c r="K66" s="41" t="s">
        <v>32</v>
      </c>
      <c r="L66" s="41" t="s">
        <v>32</v>
      </c>
      <c r="M66" s="41" t="s">
        <v>50</v>
      </c>
      <c r="N66" s="41" t="s">
        <v>31</v>
      </c>
      <c r="O66" s="41" t="s">
        <v>35</v>
      </c>
      <c r="Q66" s="17">
        <f t="shared" si="5"/>
        <v>7</v>
      </c>
      <c r="R66" s="17">
        <f t="shared" si="6"/>
        <v>7</v>
      </c>
      <c r="S66" s="17">
        <f t="shared" si="7"/>
        <v>18</v>
      </c>
      <c r="T66" s="17">
        <f t="shared" si="8"/>
        <v>6</v>
      </c>
      <c r="U66" s="17">
        <f t="shared" si="9"/>
        <v>10</v>
      </c>
      <c r="W66" s="7">
        <v>3410</v>
      </c>
      <c r="X66" s="7">
        <v>13456</v>
      </c>
      <c r="Y66" s="7">
        <v>10276</v>
      </c>
      <c r="Z66" s="7">
        <v>5109</v>
      </c>
      <c r="AA66" s="7">
        <v>12909</v>
      </c>
      <c r="AB66" s="13"/>
    </row>
    <row r="67" spans="10:28" ht="16.5" customHeight="1" x14ac:dyDescent="0.3">
      <c r="J67" s="2">
        <v>63</v>
      </c>
      <c r="K67" s="41" t="s">
        <v>32</v>
      </c>
      <c r="L67" s="41" t="s">
        <v>42</v>
      </c>
      <c r="M67" s="41" t="s">
        <v>40</v>
      </c>
      <c r="N67" s="41" t="s">
        <v>50</v>
      </c>
      <c r="O67" s="41" t="s">
        <v>33</v>
      </c>
      <c r="Q67" s="17">
        <f t="shared" si="5"/>
        <v>7</v>
      </c>
      <c r="R67" s="17">
        <f t="shared" si="6"/>
        <v>14</v>
      </c>
      <c r="S67" s="17">
        <f t="shared" si="7"/>
        <v>13</v>
      </c>
      <c r="T67" s="17">
        <f t="shared" si="8"/>
        <v>18</v>
      </c>
      <c r="U67" s="17">
        <f t="shared" si="9"/>
        <v>8</v>
      </c>
      <c r="W67" s="7">
        <v>3515</v>
      </c>
      <c r="X67" s="7">
        <v>9066</v>
      </c>
      <c r="Y67" s="7">
        <v>10843</v>
      </c>
      <c r="Z67" s="7">
        <v>12599</v>
      </c>
      <c r="AA67" s="7">
        <v>13850</v>
      </c>
      <c r="AB67" s="13"/>
    </row>
    <row r="68" spans="10:28" ht="16.5" customHeight="1" x14ac:dyDescent="0.3">
      <c r="J68" s="2">
        <v>64</v>
      </c>
      <c r="K68" s="41" t="s">
        <v>29</v>
      </c>
      <c r="L68" s="41" t="s">
        <v>32</v>
      </c>
      <c r="M68" s="41" t="s">
        <v>35</v>
      </c>
      <c r="N68" s="41" t="s">
        <v>31</v>
      </c>
      <c r="O68" s="41" t="s">
        <v>28</v>
      </c>
      <c r="Q68" s="17">
        <f t="shared" ref="Q68:Q131" si="10">IF(K68="","",VLOOKUP(K68,$A$4:$H$22,8,FALSE))</f>
        <v>4</v>
      </c>
      <c r="R68" s="17">
        <f t="shared" ref="R68:R131" si="11">IF(L68="","",VLOOKUP(L68,$A$4:$H$22,8,FALSE))</f>
        <v>7</v>
      </c>
      <c r="S68" s="17">
        <f t="shared" ref="S68:S131" si="12">IF(M68="","",VLOOKUP(M68,$A$4:$H$22,8,FALSE))</f>
        <v>10</v>
      </c>
      <c r="T68" s="17">
        <f t="shared" ref="T68:T131" si="13">IF(N68="","",VLOOKUP(N68,$A$4:$H$22,8,FALSE))</f>
        <v>6</v>
      </c>
      <c r="U68" s="17">
        <f t="shared" ref="U68:U131" si="14">IF(O68="","",VLOOKUP(O68,$A$4:$H$22,8,FALSE))</f>
        <v>3</v>
      </c>
      <c r="W68" s="7">
        <v>3437</v>
      </c>
      <c r="X68" s="7">
        <v>10419</v>
      </c>
      <c r="Y68" s="7">
        <v>10843</v>
      </c>
      <c r="Z68" s="7">
        <v>9537</v>
      </c>
      <c r="AA68" s="7">
        <v>14039</v>
      </c>
      <c r="AB68" s="13"/>
    </row>
    <row r="69" spans="10:28" ht="16.5" customHeight="1" x14ac:dyDescent="0.3">
      <c r="J69" s="2">
        <v>65</v>
      </c>
      <c r="K69" s="41" t="s">
        <v>33</v>
      </c>
      <c r="L69" s="41" t="s">
        <v>32</v>
      </c>
      <c r="M69" s="41" t="s">
        <v>30</v>
      </c>
      <c r="N69" s="41" t="s">
        <v>31</v>
      </c>
      <c r="O69" s="41" t="s">
        <v>34</v>
      </c>
      <c r="Q69" s="17">
        <f t="shared" si="10"/>
        <v>8</v>
      </c>
      <c r="R69" s="17">
        <f t="shared" si="11"/>
        <v>7</v>
      </c>
      <c r="S69" s="17">
        <f t="shared" si="12"/>
        <v>5</v>
      </c>
      <c r="T69" s="17">
        <f t="shared" si="13"/>
        <v>6</v>
      </c>
      <c r="U69" s="17">
        <f t="shared" si="14"/>
        <v>9</v>
      </c>
      <c r="W69" s="7">
        <v>4695</v>
      </c>
      <c r="X69" s="7">
        <v>9702</v>
      </c>
      <c r="Y69" s="7">
        <v>13108</v>
      </c>
      <c r="Z69" s="7">
        <v>4769</v>
      </c>
      <c r="AA69" s="7">
        <v>12909</v>
      </c>
      <c r="AB69" s="13"/>
    </row>
    <row r="70" spans="10:28" ht="16.5" customHeight="1" x14ac:dyDescent="0.3">
      <c r="J70" s="2">
        <v>66</v>
      </c>
      <c r="K70" s="41" t="s">
        <v>28</v>
      </c>
      <c r="L70" s="41" t="s">
        <v>34</v>
      </c>
      <c r="M70" s="41" t="s">
        <v>40</v>
      </c>
      <c r="N70" s="41" t="s">
        <v>29</v>
      </c>
      <c r="O70" s="41" t="s">
        <v>31</v>
      </c>
      <c r="Q70" s="17">
        <f t="shared" si="10"/>
        <v>3</v>
      </c>
      <c r="R70" s="17">
        <f t="shared" si="11"/>
        <v>9</v>
      </c>
      <c r="S70" s="17">
        <f t="shared" si="12"/>
        <v>13</v>
      </c>
      <c r="T70" s="17">
        <f t="shared" si="13"/>
        <v>4</v>
      </c>
      <c r="U70" s="17">
        <f t="shared" si="14"/>
        <v>6</v>
      </c>
      <c r="W70" s="7">
        <v>4218</v>
      </c>
      <c r="X70" s="7">
        <v>10975</v>
      </c>
      <c r="Y70" s="7">
        <v>12235</v>
      </c>
      <c r="Z70" s="7">
        <v>6598</v>
      </c>
      <c r="AA70" s="7">
        <v>13756</v>
      </c>
      <c r="AB70" s="13"/>
    </row>
    <row r="71" spans="10:28" ht="16.5" customHeight="1" x14ac:dyDescent="0.3">
      <c r="J71" s="2">
        <v>67</v>
      </c>
      <c r="K71" s="41" t="s">
        <v>33</v>
      </c>
      <c r="L71" s="41" t="s">
        <v>48</v>
      </c>
      <c r="M71" s="41" t="s">
        <v>30</v>
      </c>
      <c r="N71" s="41" t="s">
        <v>46</v>
      </c>
      <c r="O71" s="41" t="s">
        <v>32</v>
      </c>
      <c r="Q71" s="17">
        <f t="shared" si="10"/>
        <v>8</v>
      </c>
      <c r="R71" s="17">
        <f t="shared" si="11"/>
        <v>17</v>
      </c>
      <c r="S71" s="17">
        <f t="shared" si="12"/>
        <v>5</v>
      </c>
      <c r="T71" s="17">
        <f t="shared" si="13"/>
        <v>16</v>
      </c>
      <c r="U71" s="17">
        <f t="shared" si="14"/>
        <v>7</v>
      </c>
      <c r="W71" s="7">
        <v>4124</v>
      </c>
      <c r="X71" s="7">
        <v>12693</v>
      </c>
      <c r="Y71" s="7">
        <v>8836</v>
      </c>
      <c r="Z71" s="7">
        <v>7614</v>
      </c>
      <c r="AA71" s="7">
        <v>12155</v>
      </c>
      <c r="AB71" s="13"/>
    </row>
    <row r="72" spans="10:28" ht="16.5" customHeight="1" x14ac:dyDescent="0.3">
      <c r="J72" s="2">
        <v>68</v>
      </c>
      <c r="K72" s="41" t="s">
        <v>33</v>
      </c>
      <c r="L72" s="41" t="s">
        <v>42</v>
      </c>
      <c r="M72" s="41" t="s">
        <v>31</v>
      </c>
      <c r="N72" s="41" t="s">
        <v>31</v>
      </c>
      <c r="O72" s="41" t="s">
        <v>32</v>
      </c>
      <c r="Q72" s="17">
        <f t="shared" si="10"/>
        <v>8</v>
      </c>
      <c r="R72" s="17">
        <f t="shared" si="11"/>
        <v>14</v>
      </c>
      <c r="S72" s="17">
        <f t="shared" si="12"/>
        <v>6</v>
      </c>
      <c r="T72" s="17">
        <f t="shared" si="13"/>
        <v>6</v>
      </c>
      <c r="U72" s="17">
        <f t="shared" si="14"/>
        <v>7</v>
      </c>
      <c r="W72" s="7">
        <v>3902</v>
      </c>
      <c r="X72" s="7">
        <v>12979</v>
      </c>
      <c r="Y72" s="7">
        <v>13108</v>
      </c>
      <c r="Z72" s="7">
        <v>5651</v>
      </c>
      <c r="AA72" s="7">
        <v>13379</v>
      </c>
      <c r="AB72" s="13"/>
    </row>
    <row r="73" spans="10:28" ht="16.5" customHeight="1" x14ac:dyDescent="0.3">
      <c r="J73" s="2">
        <v>69</v>
      </c>
      <c r="K73" s="41" t="s">
        <v>29</v>
      </c>
      <c r="L73" s="41" t="s">
        <v>44</v>
      </c>
      <c r="M73" s="41" t="s">
        <v>35</v>
      </c>
      <c r="N73" s="41" t="s">
        <v>30</v>
      </c>
      <c r="O73" s="41" t="s">
        <v>32</v>
      </c>
      <c r="Q73" s="17">
        <f t="shared" si="10"/>
        <v>4</v>
      </c>
      <c r="R73" s="17">
        <f t="shared" si="11"/>
        <v>15</v>
      </c>
      <c r="S73" s="17">
        <f t="shared" si="12"/>
        <v>10</v>
      </c>
      <c r="T73" s="17">
        <f t="shared" si="13"/>
        <v>5</v>
      </c>
      <c r="U73" s="17">
        <f t="shared" si="14"/>
        <v>7</v>
      </c>
      <c r="W73" s="7">
        <v>3410</v>
      </c>
      <c r="X73" s="7">
        <v>15079</v>
      </c>
      <c r="Y73" s="7">
        <v>12720</v>
      </c>
      <c r="Z73" s="7">
        <v>13465</v>
      </c>
      <c r="AA73" s="7">
        <v>10835</v>
      </c>
      <c r="AB73" s="13"/>
    </row>
    <row r="74" spans="10:28" ht="16.5" customHeight="1" x14ac:dyDescent="0.3">
      <c r="J74" s="2">
        <v>70</v>
      </c>
      <c r="K74" s="41" t="s">
        <v>32</v>
      </c>
      <c r="L74" s="41" t="s">
        <v>33</v>
      </c>
      <c r="M74" s="41" t="s">
        <v>35</v>
      </c>
      <c r="N74" s="41" t="s">
        <v>33</v>
      </c>
      <c r="O74" s="41" t="s">
        <v>33</v>
      </c>
      <c r="Q74" s="17">
        <f t="shared" si="10"/>
        <v>7</v>
      </c>
      <c r="R74" s="17">
        <f t="shared" si="11"/>
        <v>8</v>
      </c>
      <c r="S74" s="17">
        <f t="shared" si="12"/>
        <v>10</v>
      </c>
      <c r="T74" s="17">
        <f t="shared" si="13"/>
        <v>8</v>
      </c>
      <c r="U74" s="17">
        <f t="shared" si="14"/>
        <v>8</v>
      </c>
      <c r="W74" s="7">
        <v>3515</v>
      </c>
      <c r="X74" s="7">
        <v>11929</v>
      </c>
      <c r="Y74" s="7">
        <v>10195</v>
      </c>
      <c r="Z74" s="7">
        <v>13849</v>
      </c>
      <c r="AA74" s="7">
        <v>10207</v>
      </c>
      <c r="AB74" s="13"/>
    </row>
    <row r="75" spans="10:28" ht="16.5" customHeight="1" x14ac:dyDescent="0.3">
      <c r="J75" s="2">
        <v>71</v>
      </c>
      <c r="K75" s="41" t="s">
        <v>34</v>
      </c>
      <c r="L75" s="41" t="s">
        <v>38</v>
      </c>
      <c r="M75" s="41" t="s">
        <v>31</v>
      </c>
      <c r="N75" s="41" t="s">
        <v>28</v>
      </c>
      <c r="O75" s="41" t="s">
        <v>33</v>
      </c>
      <c r="Q75" s="17">
        <f t="shared" si="10"/>
        <v>9</v>
      </c>
      <c r="R75" s="17">
        <f t="shared" si="11"/>
        <v>12</v>
      </c>
      <c r="S75" s="17">
        <f t="shared" si="12"/>
        <v>6</v>
      </c>
      <c r="T75" s="17">
        <f t="shared" si="13"/>
        <v>3</v>
      </c>
      <c r="U75" s="17">
        <f t="shared" si="14"/>
        <v>8</v>
      </c>
      <c r="W75" s="7">
        <v>3437</v>
      </c>
      <c r="X75" s="7">
        <v>12693</v>
      </c>
      <c r="Y75" s="7">
        <v>13205</v>
      </c>
      <c r="Z75" s="7">
        <v>13369</v>
      </c>
      <c r="AA75" s="7">
        <v>11385</v>
      </c>
      <c r="AB75" s="13"/>
    </row>
    <row r="76" spans="10:28" ht="16.5" customHeight="1" x14ac:dyDescent="0.3">
      <c r="J76" s="2">
        <v>72</v>
      </c>
      <c r="K76" s="41" t="s">
        <v>29</v>
      </c>
      <c r="L76" s="41" t="s">
        <v>32</v>
      </c>
      <c r="M76" s="41" t="s">
        <v>35</v>
      </c>
      <c r="N76" s="41" t="s">
        <v>34</v>
      </c>
      <c r="O76" s="41" t="s">
        <v>33</v>
      </c>
      <c r="Q76" s="17">
        <f t="shared" si="10"/>
        <v>4</v>
      </c>
      <c r="R76" s="17">
        <f t="shared" si="11"/>
        <v>7</v>
      </c>
      <c r="S76" s="17">
        <f t="shared" si="12"/>
        <v>10</v>
      </c>
      <c r="T76" s="17">
        <f t="shared" si="13"/>
        <v>9</v>
      </c>
      <c r="U76" s="17">
        <f t="shared" si="14"/>
        <v>8</v>
      </c>
      <c r="W76" s="7">
        <v>4695</v>
      </c>
      <c r="X76" s="7">
        <v>10880</v>
      </c>
      <c r="Y76" s="7">
        <v>12299</v>
      </c>
      <c r="Z76" s="7">
        <v>10981</v>
      </c>
      <c r="AA76" s="7">
        <v>12719</v>
      </c>
      <c r="AB76" s="13"/>
    </row>
    <row r="77" spans="10:28" ht="16.5" customHeight="1" x14ac:dyDescent="0.3">
      <c r="J77" s="2">
        <v>73</v>
      </c>
      <c r="K77" s="41" t="s">
        <v>32</v>
      </c>
      <c r="L77" s="41" t="s">
        <v>28</v>
      </c>
      <c r="M77" s="41" t="s">
        <v>36</v>
      </c>
      <c r="N77" s="41" t="s">
        <v>31</v>
      </c>
      <c r="O77" s="41" t="s">
        <v>30</v>
      </c>
      <c r="Q77" s="17">
        <f t="shared" si="10"/>
        <v>7</v>
      </c>
      <c r="R77" s="17">
        <f t="shared" si="11"/>
        <v>3</v>
      </c>
      <c r="S77" s="17">
        <f t="shared" si="12"/>
        <v>11</v>
      </c>
      <c r="T77" s="17">
        <f t="shared" si="13"/>
        <v>6</v>
      </c>
      <c r="U77" s="17">
        <f t="shared" si="14"/>
        <v>5</v>
      </c>
      <c r="W77" s="7">
        <v>4218</v>
      </c>
      <c r="X77" s="7">
        <v>13838</v>
      </c>
      <c r="Y77" s="7">
        <v>10114</v>
      </c>
      <c r="Z77" s="7">
        <v>9377</v>
      </c>
      <c r="AA77" s="7">
        <v>6784</v>
      </c>
      <c r="AB77" s="13"/>
    </row>
    <row r="78" spans="10:28" ht="16.5" customHeight="1" x14ac:dyDescent="0.3">
      <c r="J78" s="2">
        <v>74</v>
      </c>
      <c r="K78" s="41" t="s">
        <v>33</v>
      </c>
      <c r="L78" s="41" t="s">
        <v>31</v>
      </c>
      <c r="M78" s="41" t="s">
        <v>30</v>
      </c>
      <c r="N78" s="41" t="s">
        <v>35</v>
      </c>
      <c r="O78" s="41" t="s">
        <v>33</v>
      </c>
      <c r="Q78" s="17">
        <f t="shared" si="10"/>
        <v>8</v>
      </c>
      <c r="R78" s="17">
        <f t="shared" si="11"/>
        <v>6</v>
      </c>
      <c r="S78" s="17">
        <f t="shared" si="12"/>
        <v>5</v>
      </c>
      <c r="T78" s="17">
        <f t="shared" si="13"/>
        <v>10</v>
      </c>
      <c r="U78" s="17">
        <f t="shared" si="14"/>
        <v>8</v>
      </c>
      <c r="W78" s="7">
        <v>4124</v>
      </c>
      <c r="X78" s="7">
        <v>13838</v>
      </c>
      <c r="Y78" s="7">
        <v>6662</v>
      </c>
      <c r="Z78" s="7">
        <v>11060</v>
      </c>
      <c r="AA78" s="7">
        <v>8574</v>
      </c>
      <c r="AB78" s="13"/>
    </row>
    <row r="79" spans="10:28" ht="16.5" customHeight="1" x14ac:dyDescent="0.3">
      <c r="J79" s="2">
        <v>75</v>
      </c>
      <c r="K79" s="41" t="s">
        <v>33</v>
      </c>
      <c r="L79" s="41" t="s">
        <v>30</v>
      </c>
      <c r="M79" s="41" t="s">
        <v>30</v>
      </c>
      <c r="N79" s="41" t="s">
        <v>31</v>
      </c>
      <c r="O79" s="41" t="s">
        <v>33</v>
      </c>
      <c r="Q79" s="17">
        <f t="shared" si="10"/>
        <v>8</v>
      </c>
      <c r="R79" s="17">
        <f t="shared" si="11"/>
        <v>5</v>
      </c>
      <c r="S79" s="17">
        <f t="shared" si="12"/>
        <v>5</v>
      </c>
      <c r="T79" s="17">
        <f t="shared" si="13"/>
        <v>6</v>
      </c>
      <c r="U79" s="17">
        <f t="shared" si="14"/>
        <v>8</v>
      </c>
      <c r="W79" s="7">
        <v>3902</v>
      </c>
      <c r="X79" s="7">
        <v>14983</v>
      </c>
      <c r="Y79" s="7">
        <v>7255</v>
      </c>
      <c r="Z79" s="7">
        <v>6598</v>
      </c>
      <c r="AA79" s="7">
        <v>7114</v>
      </c>
      <c r="AB79" s="13"/>
    </row>
    <row r="80" spans="10:28" ht="15.6" customHeight="1" x14ac:dyDescent="0.3">
      <c r="J80" s="2">
        <v>76</v>
      </c>
      <c r="K80" s="41" t="s">
        <v>29</v>
      </c>
      <c r="L80" s="41" t="s">
        <v>50</v>
      </c>
      <c r="M80" s="41" t="s">
        <v>40</v>
      </c>
      <c r="N80" s="41" t="s">
        <v>31</v>
      </c>
      <c r="O80" s="41" t="s">
        <v>30</v>
      </c>
      <c r="Q80" s="17">
        <f t="shared" si="10"/>
        <v>4</v>
      </c>
      <c r="R80" s="17">
        <f t="shared" si="11"/>
        <v>18</v>
      </c>
      <c r="S80" s="17">
        <f t="shared" si="12"/>
        <v>13</v>
      </c>
      <c r="T80" s="17">
        <f t="shared" si="13"/>
        <v>6</v>
      </c>
      <c r="U80" s="17">
        <f t="shared" si="14"/>
        <v>5</v>
      </c>
      <c r="W80" s="7">
        <v>12466</v>
      </c>
      <c r="X80" s="7">
        <v>12406</v>
      </c>
      <c r="Y80" s="7">
        <v>7364</v>
      </c>
      <c r="Z80" s="7">
        <v>7614</v>
      </c>
      <c r="AA80" s="7">
        <v>12484</v>
      </c>
      <c r="AB80" s="13"/>
    </row>
    <row r="81" spans="10:28" ht="15.6" customHeight="1" x14ac:dyDescent="0.3">
      <c r="J81" s="2">
        <v>77</v>
      </c>
      <c r="K81" s="41" t="s">
        <v>28</v>
      </c>
      <c r="L81" s="41" t="s">
        <v>29</v>
      </c>
      <c r="M81" s="41" t="s">
        <v>50</v>
      </c>
      <c r="N81" s="41" t="s">
        <v>42</v>
      </c>
      <c r="O81" s="41" t="s">
        <v>34</v>
      </c>
      <c r="Q81" s="17">
        <f t="shared" si="10"/>
        <v>3</v>
      </c>
      <c r="R81" s="17">
        <f t="shared" si="11"/>
        <v>4</v>
      </c>
      <c r="S81" s="17">
        <f t="shared" si="12"/>
        <v>18</v>
      </c>
      <c r="T81" s="17">
        <f t="shared" si="13"/>
        <v>14</v>
      </c>
      <c r="U81" s="17">
        <f t="shared" si="14"/>
        <v>9</v>
      </c>
      <c r="W81" s="7">
        <v>4218</v>
      </c>
      <c r="X81" s="7">
        <v>13933</v>
      </c>
      <c r="Y81" s="7">
        <v>13205</v>
      </c>
      <c r="Z81" s="7">
        <v>5691</v>
      </c>
      <c r="AA81" s="7">
        <v>10365</v>
      </c>
      <c r="AB81" s="13"/>
    </row>
    <row r="82" spans="10:28" ht="15.6" customHeight="1" x14ac:dyDescent="0.3">
      <c r="J82" s="2">
        <v>78</v>
      </c>
      <c r="K82" s="41" t="s">
        <v>33</v>
      </c>
      <c r="L82" s="41" t="s">
        <v>44</v>
      </c>
      <c r="M82" s="41" t="s">
        <v>44</v>
      </c>
      <c r="N82" s="41" t="s">
        <v>46</v>
      </c>
      <c r="O82" s="41" t="s">
        <v>34</v>
      </c>
      <c r="Q82" s="17">
        <f t="shared" si="10"/>
        <v>8</v>
      </c>
      <c r="R82" s="17">
        <f t="shared" si="11"/>
        <v>15</v>
      </c>
      <c r="S82" s="17">
        <f t="shared" si="12"/>
        <v>15</v>
      </c>
      <c r="T82" s="17">
        <f t="shared" si="13"/>
        <v>16</v>
      </c>
      <c r="U82" s="17">
        <f t="shared" si="14"/>
        <v>9</v>
      </c>
      <c r="W82" s="7">
        <v>4124</v>
      </c>
      <c r="X82" s="7">
        <v>13456</v>
      </c>
      <c r="Y82" s="7">
        <v>12429</v>
      </c>
      <c r="Z82" s="7">
        <v>3312</v>
      </c>
      <c r="AA82" s="7">
        <v>10050</v>
      </c>
      <c r="AB82" s="13"/>
    </row>
    <row r="83" spans="10:28" ht="15.6" customHeight="1" x14ac:dyDescent="0.3">
      <c r="J83" s="2">
        <v>79</v>
      </c>
      <c r="K83" s="41" t="s">
        <v>29</v>
      </c>
      <c r="L83" s="41" t="s">
        <v>42</v>
      </c>
      <c r="M83" s="41" t="s">
        <v>35</v>
      </c>
      <c r="N83" s="41" t="s">
        <v>42</v>
      </c>
      <c r="O83" s="41" t="s">
        <v>34</v>
      </c>
      <c r="Q83" s="17">
        <f t="shared" si="10"/>
        <v>4</v>
      </c>
      <c r="R83" s="17">
        <f t="shared" si="11"/>
        <v>14</v>
      </c>
      <c r="S83" s="17">
        <f t="shared" si="12"/>
        <v>10</v>
      </c>
      <c r="T83" s="17">
        <f t="shared" si="13"/>
        <v>14</v>
      </c>
      <c r="U83" s="17">
        <f t="shared" si="14"/>
        <v>9</v>
      </c>
      <c r="W83" s="7">
        <v>3902</v>
      </c>
      <c r="X83" s="7">
        <v>10307</v>
      </c>
      <c r="Y83" s="7">
        <v>13497</v>
      </c>
      <c r="Z83" s="7">
        <v>5550</v>
      </c>
      <c r="AA83" s="7">
        <v>9501</v>
      </c>
      <c r="AB83" s="13"/>
    </row>
    <row r="84" spans="10:28" ht="15.6" customHeight="1" x14ac:dyDescent="0.3">
      <c r="J84" s="2">
        <v>80</v>
      </c>
      <c r="K84" s="41" t="s">
        <v>33</v>
      </c>
      <c r="L84" s="41" t="s">
        <v>42</v>
      </c>
      <c r="M84" s="41" t="s">
        <v>35</v>
      </c>
      <c r="N84" s="41" t="s">
        <v>31</v>
      </c>
      <c r="O84" s="41" t="s">
        <v>35</v>
      </c>
      <c r="Q84" s="17">
        <f t="shared" si="10"/>
        <v>8</v>
      </c>
      <c r="R84" s="17">
        <f t="shared" si="11"/>
        <v>14</v>
      </c>
      <c r="S84" s="17">
        <f t="shared" si="12"/>
        <v>10</v>
      </c>
      <c r="T84" s="17">
        <f t="shared" si="13"/>
        <v>6</v>
      </c>
      <c r="U84" s="17">
        <f t="shared" si="14"/>
        <v>10</v>
      </c>
      <c r="W84" s="7">
        <v>12846</v>
      </c>
      <c r="X84" s="7">
        <v>11357</v>
      </c>
      <c r="Y84" s="7">
        <v>13303</v>
      </c>
      <c r="Z84" s="7">
        <v>3793</v>
      </c>
      <c r="AA84" s="7">
        <v>13850</v>
      </c>
      <c r="AB84" s="13"/>
    </row>
    <row r="85" spans="10:28" ht="15.6" customHeight="1" x14ac:dyDescent="0.3">
      <c r="J85" s="2">
        <v>81</v>
      </c>
      <c r="K85" s="41" t="s">
        <v>31</v>
      </c>
      <c r="L85" s="41" t="s">
        <v>35</v>
      </c>
      <c r="M85" s="41" t="s">
        <v>40</v>
      </c>
      <c r="N85" s="41" t="s">
        <v>42</v>
      </c>
      <c r="O85" s="41" t="s">
        <v>32</v>
      </c>
      <c r="Q85" s="17">
        <f t="shared" si="10"/>
        <v>6</v>
      </c>
      <c r="R85" s="17">
        <f t="shared" si="11"/>
        <v>10</v>
      </c>
      <c r="S85" s="17">
        <f t="shared" si="12"/>
        <v>13</v>
      </c>
      <c r="T85" s="17">
        <f t="shared" si="13"/>
        <v>14</v>
      </c>
      <c r="U85" s="17">
        <f t="shared" si="14"/>
        <v>7</v>
      </c>
      <c r="W85" s="7">
        <v>10468</v>
      </c>
      <c r="X85" s="7">
        <v>14506</v>
      </c>
      <c r="Y85" s="7">
        <v>13399</v>
      </c>
      <c r="Z85" s="7">
        <v>3312</v>
      </c>
      <c r="AA85" s="7">
        <v>13568</v>
      </c>
      <c r="AB85" s="13"/>
    </row>
    <row r="86" spans="10:28" ht="15.6" customHeight="1" x14ac:dyDescent="0.3">
      <c r="J86" s="2">
        <v>82</v>
      </c>
      <c r="K86" s="41" t="s">
        <v>33</v>
      </c>
      <c r="L86" s="41" t="s">
        <v>33</v>
      </c>
      <c r="M86" s="41" t="s">
        <v>48</v>
      </c>
      <c r="N86" s="41" t="s">
        <v>34</v>
      </c>
      <c r="O86" s="41" t="s">
        <v>33</v>
      </c>
      <c r="Q86" s="17">
        <f t="shared" si="10"/>
        <v>8</v>
      </c>
      <c r="R86" s="17">
        <f t="shared" si="11"/>
        <v>8</v>
      </c>
      <c r="S86" s="17">
        <f t="shared" si="12"/>
        <v>17</v>
      </c>
      <c r="T86" s="17">
        <f t="shared" si="13"/>
        <v>9</v>
      </c>
      <c r="U86" s="17">
        <f t="shared" si="14"/>
        <v>8</v>
      </c>
      <c r="W86" s="7">
        <v>9833</v>
      </c>
      <c r="X86" s="7">
        <v>13838</v>
      </c>
      <c r="Y86" s="7">
        <v>12622</v>
      </c>
      <c r="Z86" s="7">
        <v>5550</v>
      </c>
      <c r="AA86" s="7">
        <v>12438</v>
      </c>
      <c r="AB86" s="13"/>
    </row>
    <row r="87" spans="10:28" ht="15.6" customHeight="1" x14ac:dyDescent="0.3">
      <c r="J87" s="2">
        <v>83</v>
      </c>
      <c r="K87" s="41" t="s">
        <v>34</v>
      </c>
      <c r="L87" s="41" t="s">
        <v>48</v>
      </c>
      <c r="M87" s="41" t="s">
        <v>30</v>
      </c>
      <c r="N87" s="41" t="s">
        <v>48</v>
      </c>
      <c r="O87" s="41" t="s">
        <v>26</v>
      </c>
      <c r="Q87" s="17">
        <f t="shared" si="10"/>
        <v>9</v>
      </c>
      <c r="R87" s="17">
        <f t="shared" si="11"/>
        <v>17</v>
      </c>
      <c r="S87" s="17">
        <f t="shared" si="12"/>
        <v>5</v>
      </c>
      <c r="T87" s="17">
        <f t="shared" si="13"/>
        <v>17</v>
      </c>
      <c r="U87" s="17">
        <f t="shared" si="14"/>
        <v>2</v>
      </c>
      <c r="W87" s="7">
        <v>9437</v>
      </c>
      <c r="X87" s="7">
        <v>12789</v>
      </c>
      <c r="Y87" s="7">
        <v>11360</v>
      </c>
      <c r="Z87" s="7">
        <v>3793</v>
      </c>
      <c r="AA87" s="7">
        <v>14039</v>
      </c>
      <c r="AB87" s="13"/>
    </row>
    <row r="88" spans="10:28" ht="15.6" customHeight="1" x14ac:dyDescent="0.3">
      <c r="J88" s="2">
        <v>84</v>
      </c>
      <c r="K88" s="41" t="s">
        <v>31</v>
      </c>
      <c r="L88" s="41" t="s">
        <v>26</v>
      </c>
      <c r="M88" s="41" t="s">
        <v>30</v>
      </c>
      <c r="N88" s="41" t="s">
        <v>31</v>
      </c>
      <c r="O88" s="41" t="s">
        <v>29</v>
      </c>
      <c r="Q88" s="17">
        <f t="shared" si="10"/>
        <v>6</v>
      </c>
      <c r="R88" s="17">
        <f t="shared" si="11"/>
        <v>2</v>
      </c>
      <c r="S88" s="17">
        <f t="shared" si="12"/>
        <v>5</v>
      </c>
      <c r="T88" s="17">
        <f t="shared" si="13"/>
        <v>6</v>
      </c>
      <c r="U88" s="17">
        <f t="shared" si="14"/>
        <v>4</v>
      </c>
      <c r="W88" s="7">
        <v>10627</v>
      </c>
      <c r="X88" s="7">
        <v>14315</v>
      </c>
      <c r="Y88" s="7">
        <v>12526</v>
      </c>
      <c r="Z88" s="7">
        <v>3312</v>
      </c>
      <c r="AA88" s="7">
        <v>6502</v>
      </c>
      <c r="AB88" s="13"/>
    </row>
    <row r="89" spans="10:28" ht="15.6" customHeight="1" x14ac:dyDescent="0.3">
      <c r="J89" s="2">
        <v>85</v>
      </c>
      <c r="K89" s="41" t="s">
        <v>34</v>
      </c>
      <c r="L89" s="41" t="s">
        <v>46</v>
      </c>
      <c r="M89" s="41" t="s">
        <v>36</v>
      </c>
      <c r="N89" s="41" t="s">
        <v>48</v>
      </c>
      <c r="O89" s="41" t="s">
        <v>28</v>
      </c>
      <c r="Q89" s="17">
        <f t="shared" si="10"/>
        <v>9</v>
      </c>
      <c r="R89" s="17">
        <f t="shared" si="11"/>
        <v>16</v>
      </c>
      <c r="S89" s="17">
        <f t="shared" si="12"/>
        <v>11</v>
      </c>
      <c r="T89" s="17">
        <f t="shared" si="13"/>
        <v>17</v>
      </c>
      <c r="U89" s="17">
        <f t="shared" si="14"/>
        <v>3</v>
      </c>
      <c r="W89" s="7">
        <v>10627</v>
      </c>
      <c r="X89" s="7">
        <v>13456</v>
      </c>
      <c r="Y89" s="7">
        <v>10195</v>
      </c>
      <c r="Z89" s="7">
        <v>5550</v>
      </c>
      <c r="AA89" s="7">
        <v>6046</v>
      </c>
      <c r="AB89" s="13"/>
    </row>
    <row r="90" spans="10:28" ht="15.6" customHeight="1" x14ac:dyDescent="0.3">
      <c r="J90" s="2">
        <v>86</v>
      </c>
      <c r="K90" s="41" t="s">
        <v>32</v>
      </c>
      <c r="L90" s="41" t="s">
        <v>31</v>
      </c>
      <c r="M90" s="41" t="s">
        <v>35</v>
      </c>
      <c r="N90" s="41" t="s">
        <v>32</v>
      </c>
      <c r="O90" s="41" t="s">
        <v>30</v>
      </c>
      <c r="Q90" s="17">
        <f t="shared" si="10"/>
        <v>7</v>
      </c>
      <c r="R90" s="17">
        <f t="shared" si="11"/>
        <v>6</v>
      </c>
      <c r="S90" s="17">
        <f t="shared" si="12"/>
        <v>10</v>
      </c>
      <c r="T90" s="17">
        <f t="shared" si="13"/>
        <v>7</v>
      </c>
      <c r="U90" s="17">
        <f t="shared" si="14"/>
        <v>5</v>
      </c>
      <c r="W90" s="7">
        <v>12466</v>
      </c>
      <c r="X90" s="7">
        <v>13170</v>
      </c>
      <c r="Y90" s="7">
        <v>13691</v>
      </c>
      <c r="Z90" s="7">
        <v>11060</v>
      </c>
      <c r="AA90" s="7">
        <v>5103</v>
      </c>
      <c r="AB90" s="13"/>
    </row>
    <row r="91" spans="10:28" ht="15.6" customHeight="1" x14ac:dyDescent="0.3">
      <c r="J91" s="2">
        <v>87</v>
      </c>
      <c r="K91" s="41" t="s">
        <v>33</v>
      </c>
      <c r="L91" s="41" t="s">
        <v>29</v>
      </c>
      <c r="M91" s="41" t="s">
        <v>31</v>
      </c>
      <c r="N91" s="41" t="s">
        <v>34</v>
      </c>
      <c r="O91" s="41" t="s">
        <v>29</v>
      </c>
      <c r="Q91" s="17">
        <f t="shared" si="10"/>
        <v>8</v>
      </c>
      <c r="R91" s="17">
        <f t="shared" si="11"/>
        <v>4</v>
      </c>
      <c r="S91" s="17">
        <f t="shared" si="12"/>
        <v>6</v>
      </c>
      <c r="T91" s="17">
        <f t="shared" si="13"/>
        <v>9</v>
      </c>
      <c r="U91" s="17">
        <f t="shared" si="14"/>
        <v>4</v>
      </c>
      <c r="W91" s="7">
        <v>11578</v>
      </c>
      <c r="X91" s="7">
        <v>10816</v>
      </c>
      <c r="Y91" s="7">
        <v>12622</v>
      </c>
      <c r="Z91" s="7">
        <v>9458</v>
      </c>
      <c r="AA91" s="7">
        <v>5888</v>
      </c>
      <c r="AB91" s="13"/>
    </row>
    <row r="92" spans="10:28" ht="15.6" customHeight="1" x14ac:dyDescent="0.3">
      <c r="J92" s="2">
        <v>88</v>
      </c>
      <c r="K92" s="41" t="s">
        <v>29</v>
      </c>
      <c r="L92" s="41" t="s">
        <v>35</v>
      </c>
      <c r="M92" s="41" t="s">
        <v>38</v>
      </c>
      <c r="N92" s="41" t="s">
        <v>31</v>
      </c>
      <c r="O92" s="41" t="s">
        <v>29</v>
      </c>
      <c r="Q92" s="17">
        <f t="shared" si="10"/>
        <v>4</v>
      </c>
      <c r="R92" s="17">
        <f t="shared" si="11"/>
        <v>10</v>
      </c>
      <c r="S92" s="17">
        <f t="shared" si="12"/>
        <v>12</v>
      </c>
      <c r="T92" s="17">
        <f t="shared" si="13"/>
        <v>6</v>
      </c>
      <c r="U92" s="17">
        <f t="shared" si="14"/>
        <v>4</v>
      </c>
      <c r="W92" s="7">
        <v>11102</v>
      </c>
      <c r="X92" s="7">
        <v>11214</v>
      </c>
      <c r="Y92" s="7">
        <v>12914</v>
      </c>
      <c r="Z92" s="7">
        <v>5531</v>
      </c>
      <c r="AA92" s="7">
        <v>4672</v>
      </c>
      <c r="AB92" s="13"/>
    </row>
    <row r="93" spans="10:28" ht="15.6" customHeight="1" x14ac:dyDescent="0.3">
      <c r="J93" s="2">
        <v>89</v>
      </c>
      <c r="K93" s="41" t="s">
        <v>35</v>
      </c>
      <c r="L93" s="41" t="s">
        <v>50</v>
      </c>
      <c r="M93" s="41" t="s">
        <v>40</v>
      </c>
      <c r="N93" s="41" t="s">
        <v>34</v>
      </c>
      <c r="O93" s="41" t="s">
        <v>29</v>
      </c>
      <c r="Q93" s="17">
        <f t="shared" si="10"/>
        <v>10</v>
      </c>
      <c r="R93" s="17">
        <f t="shared" si="11"/>
        <v>18</v>
      </c>
      <c r="S93" s="17">
        <f t="shared" si="12"/>
        <v>13</v>
      </c>
      <c r="T93" s="17">
        <f t="shared" si="13"/>
        <v>9</v>
      </c>
      <c r="U93" s="17">
        <f t="shared" si="14"/>
        <v>4</v>
      </c>
      <c r="W93" s="7">
        <v>10309</v>
      </c>
      <c r="X93" s="7">
        <v>10577</v>
      </c>
      <c r="Y93" s="7">
        <v>11004</v>
      </c>
      <c r="Z93" s="7">
        <v>4769</v>
      </c>
      <c r="AA93" s="7">
        <v>6962</v>
      </c>
      <c r="AB93" s="13"/>
    </row>
    <row r="94" spans="10:28" ht="15.6" customHeight="1" x14ac:dyDescent="0.3">
      <c r="J94" s="2">
        <v>90</v>
      </c>
      <c r="K94" s="41" t="s">
        <v>34</v>
      </c>
      <c r="L94" s="41" t="s">
        <v>50</v>
      </c>
      <c r="M94" s="41" t="s">
        <v>29</v>
      </c>
      <c r="N94" s="41" t="s">
        <v>42</v>
      </c>
      <c r="O94" s="41" t="s">
        <v>32</v>
      </c>
      <c r="Q94" s="17">
        <f t="shared" si="10"/>
        <v>9</v>
      </c>
      <c r="R94" s="17">
        <f t="shared" si="11"/>
        <v>18</v>
      </c>
      <c r="S94" s="17">
        <f t="shared" si="12"/>
        <v>4</v>
      </c>
      <c r="T94" s="17">
        <f t="shared" si="13"/>
        <v>14</v>
      </c>
      <c r="U94" s="17">
        <f t="shared" si="14"/>
        <v>7</v>
      </c>
      <c r="W94" s="7">
        <v>10151</v>
      </c>
      <c r="X94" s="7">
        <v>11262</v>
      </c>
      <c r="Y94" s="7">
        <v>11652</v>
      </c>
      <c r="Z94" s="7">
        <v>6598</v>
      </c>
      <c r="AA94" s="7">
        <v>7302</v>
      </c>
      <c r="AB94" s="13"/>
    </row>
    <row r="95" spans="10:28" ht="15.6" customHeight="1" x14ac:dyDescent="0.3">
      <c r="J95" s="2">
        <v>91</v>
      </c>
      <c r="K95" s="41" t="s">
        <v>34</v>
      </c>
      <c r="L95" s="41" t="s">
        <v>38</v>
      </c>
      <c r="M95" s="41" t="s">
        <v>44</v>
      </c>
      <c r="N95" s="41" t="s">
        <v>29</v>
      </c>
      <c r="O95" s="41" t="s">
        <v>29</v>
      </c>
      <c r="Q95" s="17">
        <f t="shared" si="10"/>
        <v>9</v>
      </c>
      <c r="R95" s="17">
        <f t="shared" si="11"/>
        <v>12</v>
      </c>
      <c r="S95" s="17">
        <f t="shared" si="12"/>
        <v>15</v>
      </c>
      <c r="T95" s="17">
        <f t="shared" si="13"/>
        <v>4</v>
      </c>
      <c r="U95" s="17">
        <f t="shared" si="14"/>
        <v>4</v>
      </c>
      <c r="W95" s="7">
        <v>13037</v>
      </c>
      <c r="X95" s="7">
        <v>13170</v>
      </c>
      <c r="Y95" s="7">
        <v>10276</v>
      </c>
      <c r="Z95" s="7">
        <v>6204</v>
      </c>
      <c r="AA95" s="7">
        <v>5339</v>
      </c>
      <c r="AB95" s="13"/>
    </row>
    <row r="96" spans="10:28" ht="15.6" customHeight="1" x14ac:dyDescent="0.3">
      <c r="J96" s="2">
        <v>92</v>
      </c>
      <c r="K96" s="41" t="s">
        <v>34</v>
      </c>
      <c r="L96" s="41" t="s">
        <v>48</v>
      </c>
      <c r="M96" s="41" t="s">
        <v>34</v>
      </c>
      <c r="N96" s="41" t="s">
        <v>42</v>
      </c>
      <c r="O96" s="41" t="s">
        <v>30</v>
      </c>
      <c r="Q96" s="17">
        <f t="shared" si="10"/>
        <v>9</v>
      </c>
      <c r="R96" s="17">
        <f t="shared" si="11"/>
        <v>17</v>
      </c>
      <c r="S96" s="17">
        <f t="shared" si="12"/>
        <v>9</v>
      </c>
      <c r="T96" s="17">
        <f t="shared" si="13"/>
        <v>14</v>
      </c>
      <c r="U96" s="17">
        <f t="shared" si="14"/>
        <v>5</v>
      </c>
      <c r="W96" s="7">
        <v>10151</v>
      </c>
      <c r="X96" s="7">
        <v>12502</v>
      </c>
      <c r="Y96" s="7">
        <v>11976</v>
      </c>
      <c r="Z96" s="7">
        <v>5290</v>
      </c>
      <c r="AA96" s="7">
        <v>6784</v>
      </c>
      <c r="AB96" s="13"/>
    </row>
    <row r="97" spans="10:28" ht="15.6" customHeight="1" x14ac:dyDescent="0.3">
      <c r="J97" s="2">
        <v>93</v>
      </c>
      <c r="K97" s="41" t="s">
        <v>32</v>
      </c>
      <c r="L97" s="41" t="s">
        <v>31</v>
      </c>
      <c r="M97" s="41" t="s">
        <v>34</v>
      </c>
      <c r="N97" s="41" t="s">
        <v>33</v>
      </c>
      <c r="O97" s="41" t="s">
        <v>33</v>
      </c>
      <c r="Q97" s="17">
        <f t="shared" si="10"/>
        <v>7</v>
      </c>
      <c r="R97" s="17">
        <f t="shared" si="11"/>
        <v>6</v>
      </c>
      <c r="S97" s="17">
        <f t="shared" si="12"/>
        <v>9</v>
      </c>
      <c r="T97" s="17">
        <f t="shared" si="13"/>
        <v>8</v>
      </c>
      <c r="U97" s="17">
        <f t="shared" si="14"/>
        <v>8</v>
      </c>
      <c r="W97" s="7">
        <v>9635</v>
      </c>
      <c r="X97" s="7">
        <v>12216</v>
      </c>
      <c r="Y97" s="7">
        <v>11328</v>
      </c>
      <c r="Z97" s="7">
        <v>5610</v>
      </c>
      <c r="AA97" s="7">
        <v>8574</v>
      </c>
      <c r="AB97" s="13"/>
    </row>
    <row r="98" spans="10:28" ht="15.6" customHeight="1" x14ac:dyDescent="0.3">
      <c r="J98" s="2">
        <v>94</v>
      </c>
      <c r="K98" s="41" t="s">
        <v>34</v>
      </c>
      <c r="L98" s="41" t="s">
        <v>32</v>
      </c>
      <c r="M98" s="41" t="s">
        <v>48</v>
      </c>
      <c r="N98" s="41" t="s">
        <v>33</v>
      </c>
      <c r="O98" s="41" t="s">
        <v>34</v>
      </c>
      <c r="Q98" s="17">
        <f t="shared" si="10"/>
        <v>9</v>
      </c>
      <c r="R98" s="17">
        <f t="shared" si="11"/>
        <v>7</v>
      </c>
      <c r="S98" s="17">
        <f t="shared" si="12"/>
        <v>17</v>
      </c>
      <c r="T98" s="17">
        <f t="shared" si="13"/>
        <v>8</v>
      </c>
      <c r="U98" s="17">
        <f t="shared" si="14"/>
        <v>9</v>
      </c>
      <c r="W98" s="7">
        <v>9437</v>
      </c>
      <c r="X98" s="7">
        <v>13456</v>
      </c>
      <c r="Y98" s="7">
        <v>10357</v>
      </c>
      <c r="Z98" s="7">
        <v>6051</v>
      </c>
      <c r="AA98" s="7">
        <v>14039</v>
      </c>
      <c r="AB98" s="13"/>
    </row>
    <row r="99" spans="10:28" ht="15.6" customHeight="1" x14ac:dyDescent="0.3">
      <c r="J99" s="2">
        <v>95</v>
      </c>
      <c r="K99" s="41" t="s">
        <v>35</v>
      </c>
      <c r="L99" s="41" t="s">
        <v>31</v>
      </c>
      <c r="M99" s="41" t="s">
        <v>29</v>
      </c>
      <c r="N99" s="41" t="s">
        <v>46</v>
      </c>
      <c r="O99" s="41" t="s">
        <v>35</v>
      </c>
      <c r="Q99" s="17">
        <f t="shared" si="10"/>
        <v>10</v>
      </c>
      <c r="R99" s="17">
        <f t="shared" si="11"/>
        <v>6</v>
      </c>
      <c r="S99" s="17">
        <f t="shared" si="12"/>
        <v>4</v>
      </c>
      <c r="T99" s="17">
        <f t="shared" si="13"/>
        <v>16</v>
      </c>
      <c r="U99" s="17">
        <f t="shared" si="14"/>
        <v>10</v>
      </c>
      <c r="W99" s="7">
        <v>8802</v>
      </c>
      <c r="X99" s="7">
        <v>10498</v>
      </c>
      <c r="Y99" s="7">
        <v>11328</v>
      </c>
      <c r="Z99" s="7">
        <v>6732</v>
      </c>
      <c r="AA99" s="7">
        <v>11495</v>
      </c>
      <c r="AB99" s="13"/>
    </row>
    <row r="100" spans="10:28" ht="15.6" customHeight="1" x14ac:dyDescent="0.3">
      <c r="J100" s="2">
        <v>96</v>
      </c>
      <c r="K100" s="41" t="s">
        <v>32</v>
      </c>
      <c r="L100" s="41" t="s">
        <v>30</v>
      </c>
      <c r="M100" s="41" t="s">
        <v>30</v>
      </c>
      <c r="N100" s="41" t="s">
        <v>33</v>
      </c>
      <c r="O100" s="41" t="s">
        <v>30</v>
      </c>
      <c r="Q100" s="17">
        <f t="shared" si="10"/>
        <v>7</v>
      </c>
      <c r="R100" s="17">
        <f t="shared" si="11"/>
        <v>5</v>
      </c>
      <c r="S100" s="17">
        <f t="shared" si="12"/>
        <v>5</v>
      </c>
      <c r="T100" s="17">
        <f t="shared" si="13"/>
        <v>8</v>
      </c>
      <c r="U100" s="17">
        <f t="shared" si="14"/>
        <v>5</v>
      </c>
      <c r="W100" s="7">
        <v>10705</v>
      </c>
      <c r="X100" s="7">
        <v>10816</v>
      </c>
      <c r="Y100" s="7">
        <v>10923</v>
      </c>
      <c r="Z100" s="7">
        <v>6204</v>
      </c>
      <c r="AA100" s="7">
        <v>13662</v>
      </c>
      <c r="AB100" s="13"/>
    </row>
    <row r="101" spans="10:28" ht="15.6" customHeight="1" x14ac:dyDescent="0.3">
      <c r="J101" s="2">
        <v>97</v>
      </c>
      <c r="K101" s="41" t="s">
        <v>31</v>
      </c>
      <c r="L101" s="41" t="s">
        <v>29</v>
      </c>
      <c r="M101" s="41" t="s">
        <v>40</v>
      </c>
      <c r="N101" s="41" t="s">
        <v>26</v>
      </c>
      <c r="O101" s="41" t="s">
        <v>32</v>
      </c>
      <c r="Q101" s="17">
        <f t="shared" si="10"/>
        <v>6</v>
      </c>
      <c r="R101" s="17">
        <f t="shared" si="11"/>
        <v>4</v>
      </c>
      <c r="S101" s="17">
        <f t="shared" si="12"/>
        <v>13</v>
      </c>
      <c r="T101" s="17">
        <f t="shared" si="13"/>
        <v>2</v>
      </c>
      <c r="U101" s="17">
        <f t="shared" si="14"/>
        <v>7</v>
      </c>
      <c r="W101" s="7">
        <v>12371</v>
      </c>
      <c r="X101" s="7">
        <v>10657</v>
      </c>
      <c r="Y101" s="7">
        <v>12235</v>
      </c>
      <c r="Z101" s="7">
        <v>7213</v>
      </c>
      <c r="AA101" s="7">
        <v>12248</v>
      </c>
      <c r="AB101" s="13"/>
    </row>
    <row r="102" spans="10:28" ht="15.6" customHeight="1" x14ac:dyDescent="0.3">
      <c r="J102" s="2">
        <v>98</v>
      </c>
      <c r="K102" s="41" t="s">
        <v>31</v>
      </c>
      <c r="L102" s="41" t="s">
        <v>38</v>
      </c>
      <c r="M102" s="41" t="s">
        <v>31</v>
      </c>
      <c r="N102" s="41" t="s">
        <v>46</v>
      </c>
      <c r="O102" s="41" t="s">
        <v>34</v>
      </c>
      <c r="Q102" s="17">
        <f t="shared" si="10"/>
        <v>6</v>
      </c>
      <c r="R102" s="17">
        <f t="shared" si="11"/>
        <v>12</v>
      </c>
      <c r="S102" s="17">
        <f t="shared" si="12"/>
        <v>6</v>
      </c>
      <c r="T102" s="17">
        <f t="shared" si="13"/>
        <v>16</v>
      </c>
      <c r="U102" s="17">
        <f t="shared" si="14"/>
        <v>9</v>
      </c>
      <c r="W102" s="7">
        <v>12276</v>
      </c>
      <c r="X102" s="7">
        <v>14029</v>
      </c>
      <c r="Y102" s="7">
        <v>11846</v>
      </c>
      <c r="Z102" s="7">
        <v>6204</v>
      </c>
      <c r="AA102" s="7">
        <v>12060</v>
      </c>
      <c r="AB102" s="13"/>
    </row>
    <row r="103" spans="10:28" ht="15.6" customHeight="1" x14ac:dyDescent="0.3">
      <c r="J103" s="2">
        <v>99</v>
      </c>
      <c r="K103" s="41" t="s">
        <v>31</v>
      </c>
      <c r="L103" s="41" t="s">
        <v>33</v>
      </c>
      <c r="M103" s="41" t="s">
        <v>38</v>
      </c>
      <c r="N103" s="41" t="s">
        <v>46</v>
      </c>
      <c r="O103" s="41" t="s">
        <v>30</v>
      </c>
      <c r="Q103" s="17">
        <f t="shared" si="10"/>
        <v>6</v>
      </c>
      <c r="R103" s="17">
        <f t="shared" si="11"/>
        <v>8</v>
      </c>
      <c r="S103" s="17">
        <f t="shared" si="12"/>
        <v>12</v>
      </c>
      <c r="T103" s="17">
        <f t="shared" si="13"/>
        <v>16</v>
      </c>
      <c r="U103" s="17">
        <f t="shared" si="14"/>
        <v>5</v>
      </c>
      <c r="W103" s="7">
        <v>10627</v>
      </c>
      <c r="X103" s="7">
        <v>13933</v>
      </c>
      <c r="Y103" s="7">
        <v>14467</v>
      </c>
      <c r="Z103" s="7">
        <v>5290</v>
      </c>
      <c r="AA103" s="7">
        <v>12719</v>
      </c>
      <c r="AB103" s="13"/>
    </row>
    <row r="104" spans="10:28" ht="15.6" customHeight="1" x14ac:dyDescent="0.3">
      <c r="J104" s="2">
        <v>100</v>
      </c>
      <c r="K104" s="41" t="s">
        <v>32</v>
      </c>
      <c r="L104" s="41" t="s">
        <v>38</v>
      </c>
      <c r="M104" s="41" t="s">
        <v>50</v>
      </c>
      <c r="N104" s="41" t="s">
        <v>46</v>
      </c>
      <c r="O104" s="41" t="s">
        <v>32</v>
      </c>
      <c r="Q104" s="17">
        <f t="shared" si="10"/>
        <v>7</v>
      </c>
      <c r="R104" s="17">
        <f t="shared" si="11"/>
        <v>12</v>
      </c>
      <c r="S104" s="17">
        <f t="shared" si="12"/>
        <v>18</v>
      </c>
      <c r="T104" s="17">
        <f t="shared" si="13"/>
        <v>16</v>
      </c>
      <c r="U104" s="17">
        <f t="shared" si="14"/>
        <v>7</v>
      </c>
      <c r="W104" s="7">
        <v>10468</v>
      </c>
      <c r="X104" s="7">
        <v>11357</v>
      </c>
      <c r="Y104" s="7">
        <v>13594</v>
      </c>
      <c r="Z104" s="7">
        <v>5610</v>
      </c>
      <c r="AA104" s="7">
        <v>11872</v>
      </c>
      <c r="AB104" s="13"/>
    </row>
    <row r="105" spans="10:28" ht="15.6" customHeight="1" x14ac:dyDescent="0.3">
      <c r="J105" s="2">
        <v>101</v>
      </c>
      <c r="K105" s="41" t="s">
        <v>32</v>
      </c>
      <c r="L105" s="41" t="s">
        <v>31</v>
      </c>
      <c r="M105" s="41" t="s">
        <v>35</v>
      </c>
      <c r="N105" s="41" t="s">
        <v>44</v>
      </c>
      <c r="O105" s="41" t="s">
        <v>31</v>
      </c>
      <c r="Q105" s="17">
        <f t="shared" si="10"/>
        <v>7</v>
      </c>
      <c r="R105" s="17">
        <f t="shared" si="11"/>
        <v>6</v>
      </c>
      <c r="S105" s="17">
        <f t="shared" si="12"/>
        <v>10</v>
      </c>
      <c r="T105" s="17">
        <f t="shared" si="13"/>
        <v>15</v>
      </c>
      <c r="U105" s="17">
        <f t="shared" si="14"/>
        <v>6</v>
      </c>
      <c r="W105" s="7">
        <v>8644</v>
      </c>
      <c r="X105" s="7">
        <v>13552</v>
      </c>
      <c r="Y105" s="7">
        <v>13691</v>
      </c>
      <c r="Z105" s="7">
        <v>9858</v>
      </c>
      <c r="AA105" s="7">
        <v>11150</v>
      </c>
      <c r="AB105" s="13"/>
    </row>
    <row r="106" spans="10:28" ht="15.6" customHeight="1" x14ac:dyDescent="0.3">
      <c r="J106" s="2">
        <v>102</v>
      </c>
      <c r="K106" s="41" t="s">
        <v>29</v>
      </c>
      <c r="L106" s="41" t="s">
        <v>29</v>
      </c>
      <c r="M106" s="41" t="s">
        <v>34</v>
      </c>
      <c r="N106" s="41" t="s">
        <v>42</v>
      </c>
      <c r="O106" s="41" t="s">
        <v>32</v>
      </c>
      <c r="Q106" s="17">
        <f t="shared" si="10"/>
        <v>4</v>
      </c>
      <c r="R106" s="17">
        <f t="shared" si="11"/>
        <v>4</v>
      </c>
      <c r="S106" s="17">
        <f t="shared" si="12"/>
        <v>9</v>
      </c>
      <c r="T106" s="17">
        <f t="shared" si="13"/>
        <v>14</v>
      </c>
      <c r="U106" s="17">
        <f t="shared" si="14"/>
        <v>7</v>
      </c>
      <c r="W106" s="7">
        <v>13799</v>
      </c>
      <c r="X106" s="7">
        <v>13361</v>
      </c>
      <c r="Y106" s="7">
        <v>11976</v>
      </c>
      <c r="Z106" s="7">
        <v>13849</v>
      </c>
      <c r="AA106" s="7">
        <v>11778</v>
      </c>
      <c r="AB106" s="13"/>
    </row>
    <row r="107" spans="10:28" ht="15.6" customHeight="1" x14ac:dyDescent="0.3">
      <c r="J107" s="2">
        <v>103</v>
      </c>
      <c r="K107" s="41" t="s">
        <v>30</v>
      </c>
      <c r="L107" s="41" t="s">
        <v>29</v>
      </c>
      <c r="M107" s="41" t="s">
        <v>29</v>
      </c>
      <c r="N107" s="41" t="s">
        <v>44</v>
      </c>
      <c r="O107" s="41" t="s">
        <v>31</v>
      </c>
      <c r="Q107" s="17">
        <f t="shared" si="10"/>
        <v>5</v>
      </c>
      <c r="R107" s="17">
        <f t="shared" si="11"/>
        <v>4</v>
      </c>
      <c r="S107" s="17">
        <f t="shared" si="12"/>
        <v>4</v>
      </c>
      <c r="T107" s="17">
        <f t="shared" si="13"/>
        <v>15</v>
      </c>
      <c r="U107" s="17">
        <f t="shared" si="14"/>
        <v>6</v>
      </c>
      <c r="W107" s="7">
        <v>13037</v>
      </c>
      <c r="X107" s="7">
        <v>15079</v>
      </c>
      <c r="Y107" s="7">
        <v>7255</v>
      </c>
      <c r="Z107" s="7">
        <v>12696</v>
      </c>
      <c r="AA107" s="7">
        <v>11699</v>
      </c>
      <c r="AB107" s="13"/>
    </row>
    <row r="108" spans="10:28" ht="15.6" customHeight="1" x14ac:dyDescent="0.3">
      <c r="J108" s="2">
        <v>104</v>
      </c>
      <c r="K108" s="41" t="s">
        <v>30</v>
      </c>
      <c r="L108" s="41" t="s">
        <v>29</v>
      </c>
      <c r="M108" s="41" t="s">
        <v>50</v>
      </c>
      <c r="N108" s="41" t="s">
        <v>33</v>
      </c>
      <c r="O108" s="41" t="s">
        <v>29</v>
      </c>
      <c r="Q108" s="17">
        <f t="shared" si="10"/>
        <v>5</v>
      </c>
      <c r="R108" s="17">
        <f t="shared" si="11"/>
        <v>4</v>
      </c>
      <c r="S108" s="17">
        <f t="shared" si="12"/>
        <v>18</v>
      </c>
      <c r="T108" s="17">
        <f t="shared" si="13"/>
        <v>8</v>
      </c>
      <c r="U108" s="17">
        <f t="shared" si="14"/>
        <v>4</v>
      </c>
      <c r="W108" s="7">
        <v>12656</v>
      </c>
      <c r="X108" s="7">
        <v>12120</v>
      </c>
      <c r="Y108" s="7">
        <v>12461</v>
      </c>
      <c r="Z108" s="7">
        <v>13849</v>
      </c>
      <c r="AA108" s="7">
        <v>11463</v>
      </c>
      <c r="AB108" s="13"/>
    </row>
    <row r="109" spans="10:28" ht="15.6" customHeight="1" x14ac:dyDescent="0.3">
      <c r="J109" s="2">
        <v>105</v>
      </c>
      <c r="K109" s="41" t="s">
        <v>32</v>
      </c>
      <c r="L109" s="41" t="s">
        <v>31</v>
      </c>
      <c r="M109" s="41" t="s">
        <v>33</v>
      </c>
      <c r="N109" s="41" t="s">
        <v>32</v>
      </c>
      <c r="O109" s="41" t="s">
        <v>30</v>
      </c>
      <c r="Q109" s="17">
        <f t="shared" si="10"/>
        <v>7</v>
      </c>
      <c r="R109" s="17">
        <f t="shared" si="11"/>
        <v>6</v>
      </c>
      <c r="S109" s="17">
        <f t="shared" si="12"/>
        <v>8</v>
      </c>
      <c r="T109" s="17">
        <f t="shared" si="13"/>
        <v>7</v>
      </c>
      <c r="U109" s="17">
        <f t="shared" si="14"/>
        <v>5</v>
      </c>
      <c r="W109" s="7">
        <v>10563</v>
      </c>
      <c r="X109" s="7">
        <v>12406</v>
      </c>
      <c r="Y109" s="7">
        <v>11409</v>
      </c>
      <c r="Z109" s="7">
        <v>16638</v>
      </c>
      <c r="AA109" s="7">
        <v>13379</v>
      </c>
      <c r="AB109" s="13"/>
    </row>
    <row r="110" spans="10:28" ht="15.6" customHeight="1" x14ac:dyDescent="0.3">
      <c r="J110" s="2">
        <v>106</v>
      </c>
      <c r="K110" s="41" t="s">
        <v>33</v>
      </c>
      <c r="L110" s="41" t="s">
        <v>42</v>
      </c>
      <c r="M110" s="41" t="s">
        <v>32</v>
      </c>
      <c r="N110" s="41" t="s">
        <v>28</v>
      </c>
      <c r="O110" s="41" t="s">
        <v>32</v>
      </c>
      <c r="Q110" s="17">
        <f t="shared" si="10"/>
        <v>8</v>
      </c>
      <c r="R110" s="17">
        <f t="shared" si="11"/>
        <v>14</v>
      </c>
      <c r="S110" s="17">
        <f t="shared" si="12"/>
        <v>7</v>
      </c>
      <c r="T110" s="17">
        <f t="shared" si="13"/>
        <v>3</v>
      </c>
      <c r="U110" s="17">
        <f t="shared" si="14"/>
        <v>7</v>
      </c>
      <c r="W110" s="7">
        <v>11705</v>
      </c>
      <c r="X110" s="7">
        <v>15842</v>
      </c>
      <c r="Y110" s="7">
        <v>7201</v>
      </c>
      <c r="Z110" s="7">
        <v>13849</v>
      </c>
      <c r="AA110" s="7">
        <v>14699</v>
      </c>
      <c r="AB110" s="13"/>
    </row>
    <row r="111" spans="10:28" ht="15.6" customHeight="1" x14ac:dyDescent="0.3">
      <c r="J111" s="2">
        <v>107</v>
      </c>
      <c r="K111" s="41" t="s">
        <v>35</v>
      </c>
      <c r="L111" s="41" t="s">
        <v>31</v>
      </c>
      <c r="M111" s="41" t="s">
        <v>32</v>
      </c>
      <c r="N111" s="41" t="s">
        <v>29</v>
      </c>
      <c r="O111" s="41" t="s">
        <v>35</v>
      </c>
      <c r="Q111" s="17">
        <f t="shared" si="10"/>
        <v>10</v>
      </c>
      <c r="R111" s="17">
        <f t="shared" si="11"/>
        <v>6</v>
      </c>
      <c r="S111" s="17">
        <f t="shared" si="12"/>
        <v>7</v>
      </c>
      <c r="T111" s="17">
        <f t="shared" si="13"/>
        <v>4</v>
      </c>
      <c r="U111" s="17">
        <f t="shared" si="14"/>
        <v>10</v>
      </c>
      <c r="W111" s="7">
        <v>14464</v>
      </c>
      <c r="X111" s="7">
        <v>13552</v>
      </c>
      <c r="Y111" s="7">
        <v>7444</v>
      </c>
      <c r="Z111" s="7">
        <v>8896</v>
      </c>
      <c r="AA111" s="7">
        <v>12531</v>
      </c>
      <c r="AB111" s="13"/>
    </row>
    <row r="112" spans="10:28" ht="15.6" customHeight="1" x14ac:dyDescent="0.3">
      <c r="J112" s="2">
        <v>108</v>
      </c>
      <c r="K112" s="41" t="s">
        <v>34</v>
      </c>
      <c r="L112" s="41" t="s">
        <v>28</v>
      </c>
      <c r="M112" s="41" t="s">
        <v>32</v>
      </c>
      <c r="N112" s="41" t="s">
        <v>42</v>
      </c>
      <c r="O112" s="41" t="s">
        <v>32</v>
      </c>
      <c r="Q112" s="17">
        <f t="shared" si="10"/>
        <v>9</v>
      </c>
      <c r="R112" s="17">
        <f t="shared" si="11"/>
        <v>3</v>
      </c>
      <c r="S112" s="17">
        <f t="shared" si="12"/>
        <v>7</v>
      </c>
      <c r="T112" s="17">
        <f t="shared" si="13"/>
        <v>14</v>
      </c>
      <c r="U112" s="17">
        <f t="shared" si="14"/>
        <v>7</v>
      </c>
      <c r="W112" s="7">
        <v>13132</v>
      </c>
      <c r="X112" s="7">
        <v>13266</v>
      </c>
      <c r="Y112" s="7">
        <v>8771</v>
      </c>
      <c r="Z112" s="7">
        <v>12423</v>
      </c>
      <c r="AA112" s="7">
        <v>11966</v>
      </c>
      <c r="AB112" s="13"/>
    </row>
    <row r="113" spans="10:28" ht="15.6" customHeight="1" x14ac:dyDescent="0.3">
      <c r="J113" s="2">
        <v>109</v>
      </c>
      <c r="K113" s="41" t="s">
        <v>32</v>
      </c>
      <c r="L113" s="41" t="s">
        <v>30</v>
      </c>
      <c r="M113" s="41" t="s">
        <v>50</v>
      </c>
      <c r="N113" s="41" t="s">
        <v>33</v>
      </c>
      <c r="O113" s="41" t="s">
        <v>29</v>
      </c>
      <c r="Q113" s="17">
        <f t="shared" si="10"/>
        <v>7</v>
      </c>
      <c r="R113" s="17">
        <f t="shared" si="11"/>
        <v>5</v>
      </c>
      <c r="S113" s="17">
        <f t="shared" si="12"/>
        <v>18</v>
      </c>
      <c r="T113" s="17">
        <f t="shared" si="13"/>
        <v>8</v>
      </c>
      <c r="U113" s="17">
        <f t="shared" si="14"/>
        <v>4</v>
      </c>
      <c r="W113" s="7">
        <v>12371</v>
      </c>
      <c r="X113" s="7">
        <v>13933</v>
      </c>
      <c r="Y113" s="7">
        <v>6263</v>
      </c>
      <c r="Z113" s="7">
        <v>10740</v>
      </c>
      <c r="AA113" s="7">
        <v>12296</v>
      </c>
      <c r="AB113" s="13"/>
    </row>
    <row r="114" spans="10:28" ht="15.6" customHeight="1" x14ac:dyDescent="0.3">
      <c r="J114" s="2">
        <v>110</v>
      </c>
      <c r="K114" s="41" t="s">
        <v>35</v>
      </c>
      <c r="L114" s="41" t="s">
        <v>34</v>
      </c>
      <c r="M114" s="41" t="s">
        <v>30</v>
      </c>
      <c r="N114" s="41" t="s">
        <v>29</v>
      </c>
      <c r="O114" s="41" t="s">
        <v>31</v>
      </c>
      <c r="Q114" s="17">
        <f t="shared" si="10"/>
        <v>10</v>
      </c>
      <c r="R114" s="17">
        <f t="shared" si="11"/>
        <v>9</v>
      </c>
      <c r="S114" s="17">
        <f t="shared" si="12"/>
        <v>5</v>
      </c>
      <c r="T114" s="17">
        <f t="shared" si="13"/>
        <v>4</v>
      </c>
      <c r="U114" s="17">
        <f t="shared" si="14"/>
        <v>6</v>
      </c>
      <c r="W114" s="7">
        <v>12942</v>
      </c>
      <c r="X114" s="7">
        <v>12502</v>
      </c>
      <c r="Y114" s="7">
        <v>6748</v>
      </c>
      <c r="Z114" s="7">
        <v>9858</v>
      </c>
      <c r="AA114" s="7">
        <v>12155</v>
      </c>
      <c r="AB114" s="13"/>
    </row>
    <row r="115" spans="10:28" ht="15.6" customHeight="1" x14ac:dyDescent="0.3">
      <c r="J115" s="2">
        <v>111</v>
      </c>
      <c r="K115" s="41" t="s">
        <v>35</v>
      </c>
      <c r="L115" s="41" t="s">
        <v>31</v>
      </c>
      <c r="M115" s="41" t="s">
        <v>50</v>
      </c>
      <c r="N115" s="41" t="s">
        <v>33</v>
      </c>
      <c r="O115" s="41" t="s">
        <v>33</v>
      </c>
      <c r="Q115" s="17">
        <f t="shared" si="10"/>
        <v>10</v>
      </c>
      <c r="R115" s="17">
        <f t="shared" si="11"/>
        <v>6</v>
      </c>
      <c r="S115" s="17">
        <f t="shared" si="12"/>
        <v>18</v>
      </c>
      <c r="T115" s="17">
        <f t="shared" si="13"/>
        <v>8</v>
      </c>
      <c r="U115" s="17">
        <f t="shared" si="14"/>
        <v>8</v>
      </c>
      <c r="W115" s="7">
        <v>14274</v>
      </c>
      <c r="X115" s="7">
        <v>13266</v>
      </c>
      <c r="Y115" s="7">
        <v>9322</v>
      </c>
      <c r="Z115" s="7">
        <v>10018</v>
      </c>
      <c r="AA115" s="7">
        <v>6595</v>
      </c>
      <c r="AB115" s="13"/>
    </row>
    <row r="116" spans="10:28" ht="15.6" customHeight="1" x14ac:dyDescent="0.3">
      <c r="J116" s="2">
        <v>112</v>
      </c>
      <c r="K116" s="41" t="s">
        <v>28</v>
      </c>
      <c r="L116" s="41" t="s">
        <v>38</v>
      </c>
      <c r="M116" s="41" t="s">
        <v>34</v>
      </c>
      <c r="N116" s="41" t="s">
        <v>30</v>
      </c>
      <c r="O116" s="41" t="s">
        <v>29</v>
      </c>
      <c r="Q116" s="17">
        <f t="shared" si="10"/>
        <v>3</v>
      </c>
      <c r="R116" s="17">
        <f t="shared" si="11"/>
        <v>12</v>
      </c>
      <c r="S116" s="17">
        <f t="shared" si="12"/>
        <v>9</v>
      </c>
      <c r="T116" s="17">
        <f t="shared" si="13"/>
        <v>5</v>
      </c>
      <c r="U116" s="17">
        <f t="shared" si="14"/>
        <v>4</v>
      </c>
      <c r="W116" s="7">
        <v>9278</v>
      </c>
      <c r="X116" s="7">
        <v>14602</v>
      </c>
      <c r="Y116" s="7">
        <v>6068</v>
      </c>
      <c r="Z116" s="7">
        <v>12103</v>
      </c>
      <c r="AA116" s="7">
        <v>4868</v>
      </c>
      <c r="AB116" s="13"/>
    </row>
    <row r="117" spans="10:28" ht="15.6" customHeight="1" x14ac:dyDescent="0.3">
      <c r="J117" s="2">
        <v>113</v>
      </c>
      <c r="K117" s="41" t="s">
        <v>35</v>
      </c>
      <c r="L117" s="41" t="s">
        <v>40</v>
      </c>
      <c r="M117" s="41" t="s">
        <v>44</v>
      </c>
      <c r="N117" s="41" t="s">
        <v>35</v>
      </c>
      <c r="O117" s="41" t="s">
        <v>30</v>
      </c>
      <c r="Q117" s="17">
        <f t="shared" si="10"/>
        <v>10</v>
      </c>
      <c r="R117" s="17">
        <f t="shared" si="11"/>
        <v>13</v>
      </c>
      <c r="S117" s="17">
        <f t="shared" si="12"/>
        <v>15</v>
      </c>
      <c r="T117" s="17">
        <f t="shared" si="13"/>
        <v>10</v>
      </c>
      <c r="U117" s="17">
        <f t="shared" si="14"/>
        <v>5</v>
      </c>
      <c r="W117" s="7">
        <v>9675</v>
      </c>
      <c r="X117" s="7">
        <v>13361</v>
      </c>
      <c r="Y117" s="7">
        <v>6231</v>
      </c>
      <c r="Z117" s="7">
        <v>12407</v>
      </c>
      <c r="AA117" s="7">
        <v>5103</v>
      </c>
      <c r="AB117" s="13"/>
    </row>
    <row r="118" spans="10:28" ht="15.6" customHeight="1" x14ac:dyDescent="0.3">
      <c r="J118" s="2">
        <v>114</v>
      </c>
      <c r="K118" s="41" t="s">
        <v>28</v>
      </c>
      <c r="L118" s="41" t="s">
        <v>34</v>
      </c>
      <c r="M118" s="41" t="s">
        <v>34</v>
      </c>
      <c r="N118" s="41" t="s">
        <v>35</v>
      </c>
      <c r="O118" s="41" t="s">
        <v>29</v>
      </c>
      <c r="Q118" s="17">
        <f t="shared" si="10"/>
        <v>3</v>
      </c>
      <c r="R118" s="17">
        <f t="shared" si="11"/>
        <v>9</v>
      </c>
      <c r="S118" s="17">
        <f t="shared" si="12"/>
        <v>9</v>
      </c>
      <c r="T118" s="17">
        <f t="shared" si="13"/>
        <v>10</v>
      </c>
      <c r="U118" s="17">
        <f t="shared" si="14"/>
        <v>4</v>
      </c>
      <c r="W118" s="7">
        <v>10230</v>
      </c>
      <c r="X118" s="7">
        <v>13266</v>
      </c>
      <c r="Y118" s="7">
        <v>7201</v>
      </c>
      <c r="Z118" s="7">
        <v>12888</v>
      </c>
      <c r="AA118" s="7">
        <v>5888</v>
      </c>
      <c r="AB118" s="13"/>
    </row>
    <row r="119" spans="10:28" ht="15.6" customHeight="1" x14ac:dyDescent="0.3">
      <c r="J119" s="2">
        <v>115</v>
      </c>
      <c r="K119" s="41" t="s">
        <v>33</v>
      </c>
      <c r="L119" s="41" t="s">
        <v>38</v>
      </c>
      <c r="M119" s="41" t="s">
        <v>38</v>
      </c>
      <c r="N119" s="41" t="s">
        <v>44</v>
      </c>
      <c r="O119" s="41" t="s">
        <v>29</v>
      </c>
      <c r="Q119" s="17">
        <f t="shared" si="10"/>
        <v>8</v>
      </c>
      <c r="R119" s="17">
        <f t="shared" si="11"/>
        <v>12</v>
      </c>
      <c r="S119" s="17">
        <f t="shared" si="12"/>
        <v>12</v>
      </c>
      <c r="T119" s="17">
        <f t="shared" si="13"/>
        <v>15</v>
      </c>
      <c r="U119" s="17">
        <f t="shared" si="14"/>
        <v>4</v>
      </c>
      <c r="W119" s="7">
        <v>10071</v>
      </c>
      <c r="X119" s="7">
        <v>10498</v>
      </c>
      <c r="Y119" s="7">
        <v>7444</v>
      </c>
      <c r="Z119" s="7">
        <v>13946</v>
      </c>
      <c r="AA119" s="7">
        <v>4672</v>
      </c>
      <c r="AB119" s="13"/>
    </row>
    <row r="120" spans="10:28" ht="15.6" customHeight="1" x14ac:dyDescent="0.3">
      <c r="J120" s="2">
        <v>116</v>
      </c>
      <c r="K120" s="41" t="s">
        <v>35</v>
      </c>
      <c r="L120" s="41" t="s">
        <v>46</v>
      </c>
      <c r="M120" s="41" t="s">
        <v>30</v>
      </c>
      <c r="N120" s="41" t="s">
        <v>46</v>
      </c>
      <c r="O120" s="41" t="s">
        <v>29</v>
      </c>
      <c r="Q120" s="17">
        <f t="shared" si="10"/>
        <v>10</v>
      </c>
      <c r="R120" s="17">
        <f t="shared" si="11"/>
        <v>16</v>
      </c>
      <c r="S120" s="17">
        <f t="shared" si="12"/>
        <v>5</v>
      </c>
      <c r="T120" s="17">
        <f t="shared" si="13"/>
        <v>16</v>
      </c>
      <c r="U120" s="17">
        <f t="shared" si="14"/>
        <v>4</v>
      </c>
      <c r="W120" s="7">
        <v>10230</v>
      </c>
      <c r="X120" s="7">
        <v>12979</v>
      </c>
      <c r="Y120" s="7">
        <v>8771</v>
      </c>
      <c r="Z120" s="7">
        <v>13465</v>
      </c>
      <c r="AA120" s="7">
        <v>6962</v>
      </c>
      <c r="AB120" s="13"/>
    </row>
    <row r="121" spans="10:28" ht="15.6" customHeight="1" x14ac:dyDescent="0.3">
      <c r="J121" s="2">
        <v>117</v>
      </c>
      <c r="K121" s="41" t="s">
        <v>33</v>
      </c>
      <c r="L121" s="41" t="s">
        <v>42</v>
      </c>
      <c r="M121" s="41" t="s">
        <v>33</v>
      </c>
      <c r="N121" s="41" t="s">
        <v>26</v>
      </c>
      <c r="O121" s="41" t="s">
        <v>33</v>
      </c>
      <c r="Q121" s="17">
        <f t="shared" si="10"/>
        <v>8</v>
      </c>
      <c r="R121" s="17">
        <f t="shared" si="11"/>
        <v>14</v>
      </c>
      <c r="S121" s="17">
        <f t="shared" si="12"/>
        <v>8</v>
      </c>
      <c r="T121" s="17">
        <f t="shared" si="13"/>
        <v>2</v>
      </c>
      <c r="U121" s="17">
        <f t="shared" si="14"/>
        <v>8</v>
      </c>
      <c r="W121" s="7">
        <v>5923</v>
      </c>
      <c r="X121" s="7">
        <v>13456</v>
      </c>
      <c r="Y121" s="7">
        <v>6263</v>
      </c>
      <c r="Z121" s="7">
        <v>14330</v>
      </c>
      <c r="AA121" s="7">
        <v>7302</v>
      </c>
      <c r="AB121" s="13"/>
    </row>
    <row r="122" spans="10:28" ht="15.6" customHeight="1" x14ac:dyDescent="0.3">
      <c r="J122" s="2">
        <v>118</v>
      </c>
      <c r="K122" s="41" t="s">
        <v>29</v>
      </c>
      <c r="L122" s="41" t="s">
        <v>50</v>
      </c>
      <c r="M122" s="41" t="s">
        <v>34</v>
      </c>
      <c r="N122" s="41" t="s">
        <v>42</v>
      </c>
      <c r="O122" s="41" t="s">
        <v>30</v>
      </c>
      <c r="Q122" s="17">
        <f t="shared" si="10"/>
        <v>4</v>
      </c>
      <c r="R122" s="17">
        <f t="shared" si="11"/>
        <v>18</v>
      </c>
      <c r="S122" s="17">
        <f t="shared" si="12"/>
        <v>9</v>
      </c>
      <c r="T122" s="17">
        <f t="shared" si="13"/>
        <v>14</v>
      </c>
      <c r="U122" s="17">
        <f t="shared" si="14"/>
        <v>5</v>
      </c>
      <c r="W122" s="7">
        <v>4726</v>
      </c>
      <c r="X122" s="7">
        <v>13075</v>
      </c>
      <c r="Y122" s="7">
        <v>6748</v>
      </c>
      <c r="Z122" s="7">
        <v>13849</v>
      </c>
      <c r="AA122" s="7">
        <v>5339</v>
      </c>
      <c r="AB122" s="13"/>
    </row>
    <row r="123" spans="10:28" ht="15.6" customHeight="1" x14ac:dyDescent="0.3">
      <c r="J123" s="2">
        <v>119</v>
      </c>
      <c r="K123" s="41" t="s">
        <v>33</v>
      </c>
      <c r="L123" s="41" t="s">
        <v>40</v>
      </c>
      <c r="M123" s="41" t="s">
        <v>29</v>
      </c>
      <c r="N123" s="41" t="s">
        <v>42</v>
      </c>
      <c r="O123" s="41" t="s">
        <v>32</v>
      </c>
      <c r="Q123" s="17">
        <f t="shared" si="10"/>
        <v>8</v>
      </c>
      <c r="R123" s="17">
        <f t="shared" si="11"/>
        <v>13</v>
      </c>
      <c r="S123" s="17">
        <f t="shared" si="12"/>
        <v>4</v>
      </c>
      <c r="T123" s="17">
        <f t="shared" si="13"/>
        <v>14</v>
      </c>
      <c r="U123" s="17">
        <f t="shared" si="14"/>
        <v>7</v>
      </c>
      <c r="W123" s="7">
        <v>3585</v>
      </c>
      <c r="X123" s="7">
        <v>10339</v>
      </c>
      <c r="Y123" s="7">
        <v>10600</v>
      </c>
      <c r="Z123" s="7">
        <v>12103</v>
      </c>
      <c r="AA123" s="7">
        <v>11024</v>
      </c>
      <c r="AB123" s="13"/>
    </row>
    <row r="124" spans="10:28" ht="15.6" customHeight="1" x14ac:dyDescent="0.3">
      <c r="J124" s="2">
        <v>120</v>
      </c>
      <c r="K124" s="41" t="s">
        <v>33</v>
      </c>
      <c r="L124" s="41" t="s">
        <v>34</v>
      </c>
      <c r="M124" s="41" t="s">
        <v>30</v>
      </c>
      <c r="N124" s="41" t="s">
        <v>31</v>
      </c>
      <c r="O124" s="41" t="s">
        <v>32</v>
      </c>
      <c r="Q124" s="17">
        <f t="shared" si="10"/>
        <v>8</v>
      </c>
      <c r="R124" s="17">
        <f t="shared" si="11"/>
        <v>9</v>
      </c>
      <c r="S124" s="17">
        <f t="shared" si="12"/>
        <v>5</v>
      </c>
      <c r="T124" s="17">
        <f t="shared" si="13"/>
        <v>6</v>
      </c>
      <c r="U124" s="17">
        <f t="shared" si="14"/>
        <v>7</v>
      </c>
      <c r="W124" s="7">
        <v>4314</v>
      </c>
      <c r="X124" s="7">
        <v>10021</v>
      </c>
      <c r="Y124" s="7">
        <v>8496</v>
      </c>
      <c r="Z124" s="7">
        <v>10339</v>
      </c>
      <c r="AA124" s="7">
        <v>11872</v>
      </c>
      <c r="AB124" s="13"/>
    </row>
    <row r="125" spans="10:28" ht="15.6" customHeight="1" x14ac:dyDescent="0.3">
      <c r="J125" s="2">
        <v>121</v>
      </c>
      <c r="K125" s="41" t="s">
        <v>32</v>
      </c>
      <c r="L125" s="41" t="s">
        <v>32</v>
      </c>
      <c r="M125" s="41" t="s">
        <v>34</v>
      </c>
      <c r="N125" s="41" t="s">
        <v>34</v>
      </c>
      <c r="O125" s="41" t="s">
        <v>34</v>
      </c>
      <c r="Q125" s="17">
        <f t="shared" si="10"/>
        <v>7</v>
      </c>
      <c r="R125" s="17">
        <f t="shared" si="11"/>
        <v>7</v>
      </c>
      <c r="S125" s="17">
        <f t="shared" si="12"/>
        <v>9</v>
      </c>
      <c r="T125" s="17">
        <f t="shared" si="13"/>
        <v>9</v>
      </c>
      <c r="U125" s="17">
        <f t="shared" si="14"/>
        <v>9</v>
      </c>
      <c r="W125" s="7">
        <v>4124</v>
      </c>
      <c r="X125" s="7">
        <v>10100</v>
      </c>
      <c r="Y125" s="7">
        <v>2249</v>
      </c>
      <c r="Z125" s="7">
        <v>10981</v>
      </c>
      <c r="AA125" s="7">
        <v>8480</v>
      </c>
      <c r="AB125" s="13"/>
    </row>
    <row r="126" spans="10:28" ht="15.6" customHeight="1" x14ac:dyDescent="0.3">
      <c r="J126" s="2">
        <v>122</v>
      </c>
      <c r="K126" s="41" t="s">
        <v>35</v>
      </c>
      <c r="L126" s="41" t="s">
        <v>42</v>
      </c>
      <c r="M126" s="41" t="s">
        <v>34</v>
      </c>
      <c r="N126" s="41" t="s">
        <v>50</v>
      </c>
      <c r="O126" s="41" t="s">
        <v>35</v>
      </c>
      <c r="Q126" s="17">
        <f t="shared" si="10"/>
        <v>10</v>
      </c>
      <c r="R126" s="17">
        <f t="shared" si="11"/>
        <v>14</v>
      </c>
      <c r="S126" s="17">
        <f t="shared" si="12"/>
        <v>9</v>
      </c>
      <c r="T126" s="17">
        <f t="shared" si="13"/>
        <v>18</v>
      </c>
      <c r="U126" s="17">
        <f t="shared" si="14"/>
        <v>10</v>
      </c>
      <c r="W126" s="7">
        <v>3775</v>
      </c>
      <c r="X126" s="7">
        <v>11262</v>
      </c>
      <c r="Y126" s="7">
        <v>2249</v>
      </c>
      <c r="Z126" s="7">
        <v>10740</v>
      </c>
      <c r="AA126" s="7">
        <v>10129</v>
      </c>
      <c r="AB126" s="13"/>
    </row>
    <row r="127" spans="10:28" ht="15.6" customHeight="1" x14ac:dyDescent="0.3">
      <c r="J127" s="2">
        <v>123</v>
      </c>
      <c r="K127" s="41" t="s">
        <v>32</v>
      </c>
      <c r="L127" s="41" t="s">
        <v>44</v>
      </c>
      <c r="M127" s="41" t="s">
        <v>35</v>
      </c>
      <c r="N127" s="41" t="s">
        <v>31</v>
      </c>
      <c r="O127" s="41" t="s">
        <v>32</v>
      </c>
      <c r="Q127" s="17">
        <f t="shared" si="10"/>
        <v>7</v>
      </c>
      <c r="R127" s="17">
        <f t="shared" si="11"/>
        <v>15</v>
      </c>
      <c r="S127" s="17">
        <f t="shared" si="12"/>
        <v>10</v>
      </c>
      <c r="T127" s="17">
        <f t="shared" si="13"/>
        <v>6</v>
      </c>
      <c r="U127" s="17">
        <f t="shared" si="14"/>
        <v>7</v>
      </c>
      <c r="W127" s="7">
        <v>5923</v>
      </c>
      <c r="X127" s="7">
        <v>12025</v>
      </c>
      <c r="Y127" s="7">
        <v>2249</v>
      </c>
      <c r="Z127" s="7">
        <v>12503</v>
      </c>
      <c r="AA127" s="7">
        <v>10599</v>
      </c>
      <c r="AB127" s="13"/>
    </row>
    <row r="128" spans="10:28" ht="15.6" customHeight="1" x14ac:dyDescent="0.3">
      <c r="J128" s="2">
        <v>124</v>
      </c>
      <c r="K128" s="41" t="s">
        <v>30</v>
      </c>
      <c r="L128" s="41" t="s">
        <v>38</v>
      </c>
      <c r="M128" s="41" t="s">
        <v>35</v>
      </c>
      <c r="N128" s="41" t="s">
        <v>34</v>
      </c>
      <c r="O128" s="41" t="s">
        <v>32</v>
      </c>
      <c r="Q128" s="17">
        <f t="shared" si="10"/>
        <v>5</v>
      </c>
      <c r="R128" s="17">
        <f t="shared" si="11"/>
        <v>12</v>
      </c>
      <c r="S128" s="17">
        <f t="shared" si="12"/>
        <v>10</v>
      </c>
      <c r="T128" s="17">
        <f t="shared" si="13"/>
        <v>9</v>
      </c>
      <c r="U128" s="17">
        <f t="shared" si="14"/>
        <v>7</v>
      </c>
      <c r="W128" s="7">
        <v>4726</v>
      </c>
      <c r="X128" s="7">
        <v>12883</v>
      </c>
      <c r="Y128" s="7">
        <v>2249</v>
      </c>
      <c r="Z128" s="7">
        <v>13657</v>
      </c>
      <c r="AA128" s="7">
        <v>11071</v>
      </c>
      <c r="AB128" s="13"/>
    </row>
    <row r="129" spans="10:28" ht="15.6" customHeight="1" x14ac:dyDescent="0.3">
      <c r="J129" s="2">
        <v>125</v>
      </c>
      <c r="K129" s="41" t="s">
        <v>30</v>
      </c>
      <c r="L129" s="41" t="s">
        <v>33</v>
      </c>
      <c r="M129" s="41" t="s">
        <v>35</v>
      </c>
      <c r="N129" s="41" t="s">
        <v>29</v>
      </c>
      <c r="O129" s="41" t="s">
        <v>35</v>
      </c>
      <c r="Q129" s="17">
        <f t="shared" si="10"/>
        <v>5</v>
      </c>
      <c r="R129" s="17">
        <f t="shared" si="11"/>
        <v>8</v>
      </c>
      <c r="S129" s="17">
        <f t="shared" si="12"/>
        <v>10</v>
      </c>
      <c r="T129" s="17">
        <f t="shared" si="13"/>
        <v>4</v>
      </c>
      <c r="U129" s="17">
        <f t="shared" si="14"/>
        <v>10</v>
      </c>
      <c r="W129" s="7">
        <v>3585</v>
      </c>
      <c r="X129" s="7">
        <v>12216</v>
      </c>
      <c r="Y129" s="7">
        <v>2249</v>
      </c>
      <c r="Z129" s="7">
        <v>12423</v>
      </c>
      <c r="AA129" s="7">
        <v>11401</v>
      </c>
      <c r="AB129" s="13"/>
    </row>
    <row r="130" spans="10:28" ht="15.6" customHeight="1" x14ac:dyDescent="0.3">
      <c r="J130" s="2">
        <v>126</v>
      </c>
      <c r="K130" s="41" t="s">
        <v>32</v>
      </c>
      <c r="L130" s="41" t="s">
        <v>28</v>
      </c>
      <c r="M130" s="41" t="s">
        <v>35</v>
      </c>
      <c r="N130" s="41" t="s">
        <v>28</v>
      </c>
      <c r="O130" s="41" t="s">
        <v>33</v>
      </c>
      <c r="Q130" s="17">
        <f t="shared" si="10"/>
        <v>7</v>
      </c>
      <c r="R130" s="17">
        <f t="shared" si="11"/>
        <v>3</v>
      </c>
      <c r="S130" s="17">
        <f t="shared" si="12"/>
        <v>10</v>
      </c>
      <c r="T130" s="17">
        <f t="shared" si="13"/>
        <v>3</v>
      </c>
      <c r="U130" s="17">
        <f t="shared" si="14"/>
        <v>8</v>
      </c>
      <c r="W130" s="7">
        <v>4314</v>
      </c>
      <c r="X130" s="7">
        <v>13361</v>
      </c>
      <c r="Y130" s="7">
        <v>10114</v>
      </c>
      <c r="Z130" s="7">
        <v>10178</v>
      </c>
      <c r="AA130" s="7">
        <v>12719</v>
      </c>
      <c r="AB130" s="13"/>
    </row>
    <row r="131" spans="10:28" ht="15.6" customHeight="1" x14ac:dyDescent="0.3">
      <c r="J131" s="2">
        <v>127</v>
      </c>
      <c r="K131" s="41" t="s">
        <v>29</v>
      </c>
      <c r="L131" s="41" t="s">
        <v>31</v>
      </c>
      <c r="M131" s="41" t="s">
        <v>33</v>
      </c>
      <c r="N131" s="41" t="s">
        <v>33</v>
      </c>
      <c r="O131" s="41" t="s">
        <v>34</v>
      </c>
      <c r="Q131" s="17">
        <f t="shared" si="10"/>
        <v>4</v>
      </c>
      <c r="R131" s="17">
        <f t="shared" si="11"/>
        <v>6</v>
      </c>
      <c r="S131" s="17">
        <f t="shared" si="12"/>
        <v>8</v>
      </c>
      <c r="T131" s="17">
        <f t="shared" si="13"/>
        <v>8</v>
      </c>
      <c r="U131" s="17">
        <f t="shared" si="14"/>
        <v>9</v>
      </c>
      <c r="W131" s="7">
        <v>4124</v>
      </c>
      <c r="X131" s="7">
        <v>10021</v>
      </c>
      <c r="Y131" s="7">
        <v>9629</v>
      </c>
      <c r="Z131" s="7">
        <v>11141</v>
      </c>
      <c r="AA131" s="7">
        <v>11589</v>
      </c>
      <c r="AB131" s="13"/>
    </row>
    <row r="132" spans="10:28" ht="15.6" customHeight="1" x14ac:dyDescent="0.3">
      <c r="J132" s="2">
        <v>128</v>
      </c>
      <c r="K132" s="41" t="s">
        <v>33</v>
      </c>
      <c r="L132" s="41" t="s">
        <v>31</v>
      </c>
      <c r="M132" s="41" t="s">
        <v>35</v>
      </c>
      <c r="N132" s="41" t="s">
        <v>31</v>
      </c>
      <c r="O132" s="41" t="s">
        <v>32</v>
      </c>
      <c r="Q132" s="17">
        <f t="shared" ref="Q132:Q195" si="15">IF(K132="","",VLOOKUP(K132,$A$4:$H$22,8,FALSE))</f>
        <v>8</v>
      </c>
      <c r="R132" s="17">
        <f t="shared" ref="R132:R195" si="16">IF(L132="","",VLOOKUP(L132,$A$4:$H$22,8,FALSE))</f>
        <v>6</v>
      </c>
      <c r="S132" s="17">
        <f t="shared" ref="S132:S195" si="17">IF(M132="","",VLOOKUP(M132,$A$4:$H$22,8,FALSE))</f>
        <v>10</v>
      </c>
      <c r="T132" s="17">
        <f t="shared" ref="T132:T195" si="18">IF(N132="","",VLOOKUP(N132,$A$4:$H$22,8,FALSE))</f>
        <v>6</v>
      </c>
      <c r="U132" s="17">
        <f t="shared" ref="U132:U195" si="19">IF(O132="","",VLOOKUP(O132,$A$4:$H$22,8,FALSE))</f>
        <v>7</v>
      </c>
      <c r="W132" s="7">
        <v>3775</v>
      </c>
      <c r="X132" s="7">
        <v>5395</v>
      </c>
      <c r="Y132" s="7">
        <v>11360</v>
      </c>
      <c r="Z132" s="7">
        <v>9858</v>
      </c>
      <c r="AA132" s="7">
        <v>12343</v>
      </c>
      <c r="AB132" s="13"/>
    </row>
    <row r="133" spans="10:28" ht="15.6" customHeight="1" x14ac:dyDescent="0.3">
      <c r="J133" s="2">
        <v>129</v>
      </c>
      <c r="K133" s="41" t="s">
        <v>30</v>
      </c>
      <c r="L133" s="41" t="s">
        <v>31</v>
      </c>
      <c r="M133" s="41" t="s">
        <v>48</v>
      </c>
      <c r="N133" s="41" t="s">
        <v>31</v>
      </c>
      <c r="O133" s="41" t="s">
        <v>33</v>
      </c>
      <c r="Q133" s="17">
        <f t="shared" si="15"/>
        <v>5</v>
      </c>
      <c r="R133" s="17">
        <f t="shared" si="16"/>
        <v>6</v>
      </c>
      <c r="S133" s="17">
        <f t="shared" si="17"/>
        <v>17</v>
      </c>
      <c r="T133" s="17">
        <f t="shared" si="18"/>
        <v>6</v>
      </c>
      <c r="U133" s="17">
        <f t="shared" si="19"/>
        <v>8</v>
      </c>
      <c r="W133" s="7">
        <v>5923</v>
      </c>
      <c r="X133" s="7">
        <v>7184</v>
      </c>
      <c r="Y133" s="7">
        <v>13108</v>
      </c>
      <c r="Z133" s="7">
        <v>11541</v>
      </c>
      <c r="AA133" s="7">
        <v>12438</v>
      </c>
      <c r="AB133" s="13"/>
    </row>
    <row r="134" spans="10:28" ht="15.6" customHeight="1" x14ac:dyDescent="0.3">
      <c r="J134" s="2">
        <v>130</v>
      </c>
      <c r="K134" s="41" t="s">
        <v>35</v>
      </c>
      <c r="L134" s="41" t="s">
        <v>44</v>
      </c>
      <c r="M134" s="41" t="s">
        <v>34</v>
      </c>
      <c r="N134" s="41" t="s">
        <v>30</v>
      </c>
      <c r="O134" s="41" t="s">
        <v>35</v>
      </c>
      <c r="Q134" s="17">
        <f t="shared" si="15"/>
        <v>10</v>
      </c>
      <c r="R134" s="17">
        <f t="shared" si="16"/>
        <v>15</v>
      </c>
      <c r="S134" s="17">
        <f t="shared" si="17"/>
        <v>9</v>
      </c>
      <c r="T134" s="17">
        <f t="shared" si="18"/>
        <v>5</v>
      </c>
      <c r="U134" s="17">
        <f t="shared" si="19"/>
        <v>10</v>
      </c>
      <c r="W134" s="7">
        <v>4726</v>
      </c>
      <c r="X134" s="7">
        <v>5567</v>
      </c>
      <c r="Y134" s="7">
        <v>9144</v>
      </c>
      <c r="Z134" s="7">
        <v>12311</v>
      </c>
      <c r="AA134" s="7">
        <v>10286</v>
      </c>
      <c r="AB134" s="13"/>
    </row>
    <row r="135" spans="10:28" ht="15.6" customHeight="1" x14ac:dyDescent="0.3">
      <c r="J135" s="2">
        <v>131</v>
      </c>
      <c r="K135" s="41" t="s">
        <v>32</v>
      </c>
      <c r="L135" s="41" t="s">
        <v>29</v>
      </c>
      <c r="M135" s="41" t="s">
        <v>32</v>
      </c>
      <c r="N135" s="41" t="s">
        <v>34</v>
      </c>
      <c r="O135" s="41" t="s">
        <v>29</v>
      </c>
      <c r="Q135" s="17">
        <f t="shared" si="15"/>
        <v>7</v>
      </c>
      <c r="R135" s="17">
        <f t="shared" si="16"/>
        <v>4</v>
      </c>
      <c r="S135" s="17">
        <f t="shared" si="17"/>
        <v>7</v>
      </c>
      <c r="T135" s="17">
        <f t="shared" si="18"/>
        <v>9</v>
      </c>
      <c r="U135" s="17">
        <f t="shared" si="19"/>
        <v>4</v>
      </c>
      <c r="W135" s="7">
        <v>3585</v>
      </c>
      <c r="X135" s="7">
        <v>5328</v>
      </c>
      <c r="Y135" s="7">
        <v>10802</v>
      </c>
      <c r="Z135" s="7">
        <v>13946</v>
      </c>
      <c r="AA135" s="7">
        <v>10129</v>
      </c>
      <c r="AB135" s="13"/>
    </row>
    <row r="136" spans="10:28" ht="15.6" customHeight="1" x14ac:dyDescent="0.3">
      <c r="J136" s="2">
        <v>132</v>
      </c>
      <c r="K136" s="41" t="s">
        <v>35</v>
      </c>
      <c r="L136" s="41" t="s">
        <v>29</v>
      </c>
      <c r="M136" s="41" t="s">
        <v>30</v>
      </c>
      <c r="N136" s="41" t="s">
        <v>35</v>
      </c>
      <c r="O136" s="41" t="s">
        <v>29</v>
      </c>
      <c r="Q136" s="17">
        <f t="shared" si="15"/>
        <v>10</v>
      </c>
      <c r="R136" s="17">
        <f t="shared" si="16"/>
        <v>4</v>
      </c>
      <c r="S136" s="17">
        <f t="shared" si="17"/>
        <v>5</v>
      </c>
      <c r="T136" s="17">
        <f t="shared" si="18"/>
        <v>10</v>
      </c>
      <c r="U136" s="17">
        <f t="shared" si="19"/>
        <v>4</v>
      </c>
      <c r="W136" s="7">
        <v>4314</v>
      </c>
      <c r="X136" s="7">
        <v>5567</v>
      </c>
      <c r="Y136" s="7">
        <v>5948</v>
      </c>
      <c r="Z136" s="7">
        <v>13849</v>
      </c>
      <c r="AA136" s="7">
        <v>10914</v>
      </c>
      <c r="AB136" s="13"/>
    </row>
    <row r="137" spans="10:28" ht="15.6" customHeight="1" x14ac:dyDescent="0.3">
      <c r="J137" s="2">
        <v>133</v>
      </c>
      <c r="K137" s="41" t="s">
        <v>33</v>
      </c>
      <c r="L137" s="41" t="s">
        <v>46</v>
      </c>
      <c r="M137" s="41" t="s">
        <v>48</v>
      </c>
      <c r="N137" s="41" t="s">
        <v>48</v>
      </c>
      <c r="O137" s="41" t="s">
        <v>29</v>
      </c>
      <c r="Q137" s="17">
        <f t="shared" si="15"/>
        <v>8</v>
      </c>
      <c r="R137" s="17">
        <f t="shared" si="16"/>
        <v>16</v>
      </c>
      <c r="S137" s="17">
        <f t="shared" si="17"/>
        <v>17</v>
      </c>
      <c r="T137" s="17">
        <f t="shared" si="18"/>
        <v>17</v>
      </c>
      <c r="U137" s="17">
        <f t="shared" si="19"/>
        <v>4</v>
      </c>
      <c r="W137" s="7">
        <v>4124</v>
      </c>
      <c r="X137" s="7">
        <v>8132</v>
      </c>
      <c r="Y137" s="7">
        <v>6651</v>
      </c>
      <c r="Z137" s="7">
        <v>14235</v>
      </c>
      <c r="AA137" s="7">
        <v>10835</v>
      </c>
      <c r="AB137" s="13"/>
    </row>
    <row r="138" spans="10:28" ht="15.6" customHeight="1" x14ac:dyDescent="0.3">
      <c r="J138" s="2">
        <v>134</v>
      </c>
      <c r="K138" s="41" t="s">
        <v>35</v>
      </c>
      <c r="L138" s="41" t="s">
        <v>42</v>
      </c>
      <c r="M138" s="41" t="s">
        <v>50</v>
      </c>
      <c r="N138" s="41" t="s">
        <v>32</v>
      </c>
      <c r="O138" s="41" t="s">
        <v>34</v>
      </c>
      <c r="Q138" s="17">
        <f t="shared" si="15"/>
        <v>10</v>
      </c>
      <c r="R138" s="17">
        <f t="shared" si="16"/>
        <v>14</v>
      </c>
      <c r="S138" s="17">
        <f t="shared" si="17"/>
        <v>18</v>
      </c>
      <c r="T138" s="17">
        <f t="shared" si="18"/>
        <v>7</v>
      </c>
      <c r="U138" s="17">
        <f t="shared" si="19"/>
        <v>9</v>
      </c>
      <c r="W138" s="7">
        <v>3775</v>
      </c>
      <c r="X138" s="7">
        <v>6786</v>
      </c>
      <c r="Y138" s="7">
        <v>8706</v>
      </c>
      <c r="Z138" s="7">
        <v>11541</v>
      </c>
      <c r="AA138" s="7">
        <v>13097</v>
      </c>
      <c r="AB138" s="13"/>
    </row>
    <row r="139" spans="10:28" ht="15.6" customHeight="1" x14ac:dyDescent="0.3">
      <c r="J139" s="2">
        <v>135</v>
      </c>
      <c r="K139" s="41" t="s">
        <v>35</v>
      </c>
      <c r="L139" s="41" t="s">
        <v>42</v>
      </c>
      <c r="M139" s="41" t="s">
        <v>35</v>
      </c>
      <c r="N139" s="41" t="s">
        <v>48</v>
      </c>
      <c r="O139" s="41" t="s">
        <v>28</v>
      </c>
      <c r="Q139" s="17">
        <f t="shared" si="15"/>
        <v>10</v>
      </c>
      <c r="R139" s="17">
        <f t="shared" si="16"/>
        <v>14</v>
      </c>
      <c r="S139" s="17">
        <f t="shared" si="17"/>
        <v>10</v>
      </c>
      <c r="T139" s="17">
        <f t="shared" si="18"/>
        <v>17</v>
      </c>
      <c r="U139" s="17">
        <f t="shared" si="19"/>
        <v>3</v>
      </c>
      <c r="W139" s="7">
        <v>12752</v>
      </c>
      <c r="X139" s="7">
        <v>5408</v>
      </c>
      <c r="Y139" s="7">
        <v>6689</v>
      </c>
      <c r="Z139" s="7">
        <v>12984</v>
      </c>
      <c r="AA139" s="7">
        <v>13568</v>
      </c>
      <c r="AB139" s="13"/>
    </row>
    <row r="140" spans="10:28" ht="15.6" customHeight="1" x14ac:dyDescent="0.3">
      <c r="J140" s="2">
        <v>136</v>
      </c>
      <c r="K140" s="41" t="s">
        <v>28</v>
      </c>
      <c r="L140" s="41" t="s">
        <v>32</v>
      </c>
      <c r="M140" s="41" t="s">
        <v>35</v>
      </c>
      <c r="N140" s="41" t="s">
        <v>46</v>
      </c>
      <c r="O140" s="41" t="s">
        <v>33</v>
      </c>
      <c r="Q140" s="17">
        <f t="shared" si="15"/>
        <v>3</v>
      </c>
      <c r="R140" s="17">
        <f t="shared" si="16"/>
        <v>7</v>
      </c>
      <c r="S140" s="17">
        <f t="shared" si="17"/>
        <v>10</v>
      </c>
      <c r="T140" s="17">
        <f t="shared" si="18"/>
        <v>16</v>
      </c>
      <c r="U140" s="17">
        <f t="shared" si="19"/>
        <v>8</v>
      </c>
      <c r="W140" s="7">
        <v>13513</v>
      </c>
      <c r="X140" s="7">
        <v>5395</v>
      </c>
      <c r="Y140" s="7">
        <v>6231</v>
      </c>
      <c r="Z140" s="7">
        <v>11733</v>
      </c>
      <c r="AA140" s="7">
        <v>13191</v>
      </c>
      <c r="AB140" s="13"/>
    </row>
    <row r="141" spans="10:28" ht="15.6" customHeight="1" x14ac:dyDescent="0.3">
      <c r="J141" s="2">
        <v>137</v>
      </c>
      <c r="K141" s="41" t="s">
        <v>33</v>
      </c>
      <c r="L141" s="41" t="s">
        <v>32</v>
      </c>
      <c r="M141" s="41" t="s">
        <v>50</v>
      </c>
      <c r="N141" s="41" t="s">
        <v>29</v>
      </c>
      <c r="O141" s="41" t="s">
        <v>26</v>
      </c>
      <c r="Q141" s="17">
        <f t="shared" si="15"/>
        <v>8</v>
      </c>
      <c r="R141" s="17">
        <f t="shared" si="16"/>
        <v>7</v>
      </c>
      <c r="S141" s="17">
        <f t="shared" si="17"/>
        <v>18</v>
      </c>
      <c r="T141" s="17">
        <f t="shared" si="18"/>
        <v>4</v>
      </c>
      <c r="U141" s="17">
        <f t="shared" si="19"/>
        <v>2</v>
      </c>
      <c r="W141" s="7">
        <v>9278</v>
      </c>
      <c r="X141" s="7">
        <v>7184</v>
      </c>
      <c r="Y141" s="7">
        <v>1331</v>
      </c>
      <c r="Z141" s="7">
        <v>13849</v>
      </c>
      <c r="AA141" s="7">
        <v>10757</v>
      </c>
      <c r="AB141" s="13"/>
    </row>
    <row r="142" spans="10:28" ht="15.6" customHeight="1" x14ac:dyDescent="0.3">
      <c r="J142" s="2">
        <v>138</v>
      </c>
      <c r="K142" s="41" t="s">
        <v>35</v>
      </c>
      <c r="L142" s="41" t="s">
        <v>32</v>
      </c>
      <c r="M142" s="41" t="s">
        <v>34</v>
      </c>
      <c r="N142" s="41" t="s">
        <v>46</v>
      </c>
      <c r="O142" s="41" t="s">
        <v>28</v>
      </c>
      <c r="Q142" s="17">
        <f t="shared" si="15"/>
        <v>10</v>
      </c>
      <c r="R142" s="17">
        <f t="shared" si="16"/>
        <v>7</v>
      </c>
      <c r="S142" s="17">
        <f t="shared" si="17"/>
        <v>9</v>
      </c>
      <c r="T142" s="17">
        <f t="shared" si="18"/>
        <v>16</v>
      </c>
      <c r="U142" s="17">
        <f t="shared" si="19"/>
        <v>3</v>
      </c>
      <c r="W142" s="7">
        <v>9675</v>
      </c>
      <c r="X142" s="7">
        <v>10419</v>
      </c>
      <c r="Y142" s="7">
        <v>1331</v>
      </c>
      <c r="Z142" s="7">
        <v>12888</v>
      </c>
      <c r="AA142" s="7">
        <v>9579</v>
      </c>
      <c r="AB142" s="13"/>
    </row>
    <row r="143" spans="10:28" ht="15.6" customHeight="1" x14ac:dyDescent="0.3">
      <c r="J143" s="2">
        <v>139</v>
      </c>
      <c r="K143" s="41" t="s">
        <v>28</v>
      </c>
      <c r="L143" s="41" t="s">
        <v>32</v>
      </c>
      <c r="M143" s="41" t="s">
        <v>28</v>
      </c>
      <c r="N143" s="41" t="s">
        <v>34</v>
      </c>
      <c r="O143" s="41" t="s">
        <v>35</v>
      </c>
      <c r="Q143" s="17">
        <f t="shared" si="15"/>
        <v>3</v>
      </c>
      <c r="R143" s="17">
        <f t="shared" si="16"/>
        <v>7</v>
      </c>
      <c r="S143" s="17">
        <f t="shared" si="17"/>
        <v>3</v>
      </c>
      <c r="T143" s="17">
        <f t="shared" si="18"/>
        <v>9</v>
      </c>
      <c r="U143" s="17">
        <f t="shared" si="19"/>
        <v>10</v>
      </c>
      <c r="W143" s="7">
        <v>8564</v>
      </c>
      <c r="X143" s="7">
        <v>11214</v>
      </c>
      <c r="Y143" s="7">
        <v>1331</v>
      </c>
      <c r="Z143" s="7">
        <v>11156</v>
      </c>
      <c r="AA143" s="7">
        <v>10678</v>
      </c>
      <c r="AB143" s="13"/>
    </row>
    <row r="144" spans="10:28" ht="15.6" customHeight="1" x14ac:dyDescent="0.3">
      <c r="J144" s="2">
        <v>140</v>
      </c>
      <c r="K144" s="41" t="s">
        <v>29</v>
      </c>
      <c r="L144" s="41" t="s">
        <v>38</v>
      </c>
      <c r="M144" s="41" t="s">
        <v>35</v>
      </c>
      <c r="N144" s="41" t="s">
        <v>34</v>
      </c>
      <c r="O144" s="41" t="s">
        <v>34</v>
      </c>
      <c r="Q144" s="17">
        <f t="shared" si="15"/>
        <v>4</v>
      </c>
      <c r="R144" s="17">
        <f t="shared" si="16"/>
        <v>12</v>
      </c>
      <c r="S144" s="17">
        <f t="shared" si="17"/>
        <v>10</v>
      </c>
      <c r="T144" s="17">
        <f t="shared" si="18"/>
        <v>9</v>
      </c>
      <c r="U144" s="17">
        <f t="shared" si="19"/>
        <v>9</v>
      </c>
      <c r="W144" s="7">
        <v>13893</v>
      </c>
      <c r="X144" s="7">
        <v>12693</v>
      </c>
      <c r="Y144" s="7">
        <v>1331</v>
      </c>
      <c r="Z144" s="7">
        <v>13369</v>
      </c>
      <c r="AA144" s="7">
        <v>10647</v>
      </c>
      <c r="AB144" s="13"/>
    </row>
    <row r="145" spans="10:28" ht="15.6" customHeight="1" x14ac:dyDescent="0.3">
      <c r="J145" s="2">
        <v>141</v>
      </c>
      <c r="K145" s="41" t="s">
        <v>30</v>
      </c>
      <c r="L145" s="41" t="s">
        <v>32</v>
      </c>
      <c r="M145" s="41" t="s">
        <v>34</v>
      </c>
      <c r="N145" s="41" t="s">
        <v>38</v>
      </c>
      <c r="O145" s="41" t="s">
        <v>34</v>
      </c>
      <c r="Q145" s="17">
        <f t="shared" si="15"/>
        <v>5</v>
      </c>
      <c r="R145" s="17">
        <f t="shared" si="16"/>
        <v>7</v>
      </c>
      <c r="S145" s="17">
        <f t="shared" si="17"/>
        <v>9</v>
      </c>
      <c r="T145" s="17">
        <f t="shared" si="18"/>
        <v>12</v>
      </c>
      <c r="U145" s="17">
        <f t="shared" si="19"/>
        <v>9</v>
      </c>
      <c r="W145" s="7">
        <v>12752</v>
      </c>
      <c r="X145" s="7">
        <v>4867</v>
      </c>
      <c r="Y145" s="7">
        <v>1331</v>
      </c>
      <c r="Z145" s="7">
        <v>12214</v>
      </c>
      <c r="AA145" s="7">
        <v>10647</v>
      </c>
      <c r="AB145" s="13"/>
    </row>
    <row r="146" spans="10:28" ht="15.6" customHeight="1" x14ac:dyDescent="0.3">
      <c r="J146" s="2">
        <v>142</v>
      </c>
      <c r="K146" s="41" t="s">
        <v>35</v>
      </c>
      <c r="L146" s="41" t="s">
        <v>28</v>
      </c>
      <c r="M146" s="41" t="s">
        <v>35</v>
      </c>
      <c r="N146" s="41" t="s">
        <v>50</v>
      </c>
      <c r="O146" s="41" t="s">
        <v>34</v>
      </c>
      <c r="Q146" s="17">
        <f t="shared" si="15"/>
        <v>10</v>
      </c>
      <c r="R146" s="17">
        <f t="shared" si="16"/>
        <v>3</v>
      </c>
      <c r="S146" s="17">
        <f t="shared" si="17"/>
        <v>10</v>
      </c>
      <c r="T146" s="17">
        <f t="shared" si="18"/>
        <v>18</v>
      </c>
      <c r="U146" s="17">
        <f t="shared" si="19"/>
        <v>9</v>
      </c>
      <c r="W146" s="7">
        <v>12562</v>
      </c>
      <c r="X146" s="7">
        <v>3473</v>
      </c>
      <c r="Y146" s="7">
        <v>1331</v>
      </c>
      <c r="Z146" s="7">
        <v>11782</v>
      </c>
      <c r="AA146" s="7">
        <v>11683</v>
      </c>
      <c r="AB146" s="13"/>
    </row>
    <row r="147" spans="10:28" ht="15.6" customHeight="1" x14ac:dyDescent="0.3">
      <c r="J147" s="2">
        <v>143</v>
      </c>
      <c r="K147" s="41" t="s">
        <v>29</v>
      </c>
      <c r="L147" s="41" t="s">
        <v>29</v>
      </c>
      <c r="M147" s="41" t="s">
        <v>34</v>
      </c>
      <c r="N147" s="41" t="s">
        <v>31</v>
      </c>
      <c r="O147" s="41" t="s">
        <v>33</v>
      </c>
      <c r="Q147" s="17">
        <f t="shared" si="15"/>
        <v>4</v>
      </c>
      <c r="R147" s="17">
        <f t="shared" si="16"/>
        <v>4</v>
      </c>
      <c r="S147" s="17">
        <f t="shared" si="17"/>
        <v>9</v>
      </c>
      <c r="T147" s="17">
        <f t="shared" si="18"/>
        <v>6</v>
      </c>
      <c r="U147" s="17">
        <f t="shared" si="19"/>
        <v>8</v>
      </c>
      <c r="W147" s="7">
        <v>12276</v>
      </c>
      <c r="X147" s="7">
        <v>5395</v>
      </c>
      <c r="Y147" s="7">
        <v>1331</v>
      </c>
      <c r="Z147" s="7">
        <v>10419</v>
      </c>
      <c r="AA147" s="7">
        <v>11589</v>
      </c>
      <c r="AB147" s="13"/>
    </row>
    <row r="148" spans="10:28" ht="15.6" customHeight="1" x14ac:dyDescent="0.3">
      <c r="J148" s="2">
        <v>144</v>
      </c>
      <c r="K148" s="41" t="s">
        <v>32</v>
      </c>
      <c r="L148" s="41" t="s">
        <v>44</v>
      </c>
      <c r="M148" s="41" t="s">
        <v>34</v>
      </c>
      <c r="N148" s="41" t="s">
        <v>46</v>
      </c>
      <c r="O148" s="41" t="s">
        <v>34</v>
      </c>
      <c r="Q148" s="17">
        <f t="shared" si="15"/>
        <v>7</v>
      </c>
      <c r="R148" s="17">
        <f t="shared" si="16"/>
        <v>15</v>
      </c>
      <c r="S148" s="17">
        <f t="shared" si="17"/>
        <v>9</v>
      </c>
      <c r="T148" s="17">
        <f t="shared" si="18"/>
        <v>16</v>
      </c>
      <c r="U148" s="17">
        <f t="shared" si="19"/>
        <v>9</v>
      </c>
      <c r="W148" s="7">
        <v>10547</v>
      </c>
      <c r="X148" s="7">
        <v>3685</v>
      </c>
      <c r="Y148" s="7">
        <v>1331</v>
      </c>
      <c r="Z148" s="7">
        <v>9618</v>
      </c>
      <c r="AA148" s="7">
        <v>11071</v>
      </c>
      <c r="AB148" s="13"/>
    </row>
    <row r="149" spans="10:28" ht="15.6" customHeight="1" x14ac:dyDescent="0.3">
      <c r="J149" s="2">
        <v>145</v>
      </c>
      <c r="K149" s="41" t="s">
        <v>31</v>
      </c>
      <c r="L149" s="41" t="s">
        <v>29</v>
      </c>
      <c r="M149" s="41" t="s">
        <v>34</v>
      </c>
      <c r="N149" s="41" t="s">
        <v>29</v>
      </c>
      <c r="O149" s="41" t="s">
        <v>32</v>
      </c>
      <c r="Q149" s="17">
        <f t="shared" si="15"/>
        <v>6</v>
      </c>
      <c r="R149" s="17">
        <f t="shared" si="16"/>
        <v>4</v>
      </c>
      <c r="S149" s="17">
        <f t="shared" si="17"/>
        <v>9</v>
      </c>
      <c r="T149" s="17">
        <f t="shared" si="18"/>
        <v>4</v>
      </c>
      <c r="U149" s="17">
        <f t="shared" si="19"/>
        <v>7</v>
      </c>
      <c r="W149" s="7">
        <v>10943</v>
      </c>
      <c r="X149" s="7">
        <v>4867</v>
      </c>
      <c r="Y149" s="7">
        <v>1331</v>
      </c>
      <c r="Z149" s="7">
        <v>12022</v>
      </c>
      <c r="AA149" s="7">
        <v>11385</v>
      </c>
      <c r="AB149" s="13"/>
    </row>
    <row r="150" spans="10:28" ht="15.6" customHeight="1" x14ac:dyDescent="0.3">
      <c r="J150" s="2">
        <v>146</v>
      </c>
      <c r="K150" s="41" t="s">
        <v>30</v>
      </c>
      <c r="L150" s="41" t="s">
        <v>31</v>
      </c>
      <c r="M150" s="41" t="s">
        <v>34</v>
      </c>
      <c r="N150" s="41" t="s">
        <v>32</v>
      </c>
      <c r="O150" s="41" t="s">
        <v>35</v>
      </c>
      <c r="Q150" s="17">
        <f t="shared" si="15"/>
        <v>5</v>
      </c>
      <c r="R150" s="17">
        <f t="shared" si="16"/>
        <v>6</v>
      </c>
      <c r="S150" s="17">
        <f t="shared" si="17"/>
        <v>9</v>
      </c>
      <c r="T150" s="17">
        <f t="shared" si="18"/>
        <v>7</v>
      </c>
      <c r="U150" s="17">
        <f t="shared" si="19"/>
        <v>10</v>
      </c>
      <c r="W150" s="7">
        <v>10943</v>
      </c>
      <c r="X150" s="7">
        <v>3473</v>
      </c>
      <c r="Y150" s="7">
        <v>7201</v>
      </c>
      <c r="Z150" s="7">
        <v>10869</v>
      </c>
      <c r="AA150" s="7">
        <v>4593</v>
      </c>
      <c r="AB150" s="13"/>
    </row>
    <row r="151" spans="10:28" ht="15.6" customHeight="1" x14ac:dyDescent="0.3">
      <c r="J151" s="2">
        <v>147</v>
      </c>
      <c r="K151" s="41" t="s">
        <v>30</v>
      </c>
      <c r="L151" s="41" t="s">
        <v>38</v>
      </c>
      <c r="M151" s="41" t="s">
        <v>50</v>
      </c>
      <c r="N151" s="41" t="s">
        <v>31</v>
      </c>
      <c r="O151" s="41" t="s">
        <v>30</v>
      </c>
      <c r="Q151" s="17">
        <f t="shared" si="15"/>
        <v>5</v>
      </c>
      <c r="R151" s="17">
        <f t="shared" si="16"/>
        <v>12</v>
      </c>
      <c r="S151" s="17">
        <f t="shared" si="17"/>
        <v>18</v>
      </c>
      <c r="T151" s="17">
        <f t="shared" si="18"/>
        <v>6</v>
      </c>
      <c r="U151" s="17">
        <f t="shared" si="19"/>
        <v>5</v>
      </c>
      <c r="W151" s="7">
        <v>10087</v>
      </c>
      <c r="X151" s="7">
        <v>5395</v>
      </c>
      <c r="Y151" s="7">
        <v>7444</v>
      </c>
      <c r="Z151" s="7">
        <v>13561</v>
      </c>
      <c r="AA151" s="7">
        <v>5457</v>
      </c>
      <c r="AB151" s="13"/>
    </row>
    <row r="152" spans="10:28" ht="15.6" customHeight="1" x14ac:dyDescent="0.3">
      <c r="J152" s="2">
        <v>148</v>
      </c>
      <c r="K152" s="41" t="s">
        <v>34</v>
      </c>
      <c r="L152" s="41" t="s">
        <v>32</v>
      </c>
      <c r="M152" s="41" t="s">
        <v>33</v>
      </c>
      <c r="N152" s="41" t="s">
        <v>40</v>
      </c>
      <c r="O152" s="41" t="s">
        <v>31</v>
      </c>
      <c r="Q152" s="17">
        <f t="shared" si="15"/>
        <v>9</v>
      </c>
      <c r="R152" s="17">
        <f t="shared" si="16"/>
        <v>7</v>
      </c>
      <c r="S152" s="17">
        <f t="shared" si="17"/>
        <v>8</v>
      </c>
      <c r="T152" s="17">
        <f t="shared" si="18"/>
        <v>13</v>
      </c>
      <c r="U152" s="17">
        <f t="shared" si="19"/>
        <v>6</v>
      </c>
      <c r="W152" s="7">
        <v>11657</v>
      </c>
      <c r="X152" s="7">
        <v>3685</v>
      </c>
      <c r="Y152" s="7">
        <v>12235</v>
      </c>
      <c r="Z152" s="7">
        <v>14811</v>
      </c>
      <c r="AA152" s="7">
        <v>5026</v>
      </c>
      <c r="AB152" s="13"/>
    </row>
    <row r="153" spans="10:28" ht="15.6" customHeight="1" x14ac:dyDescent="0.3">
      <c r="J153" s="2">
        <v>149</v>
      </c>
      <c r="K153" s="41" t="s">
        <v>34</v>
      </c>
      <c r="L153" s="41" t="s">
        <v>29</v>
      </c>
      <c r="M153" s="41" t="s">
        <v>46</v>
      </c>
      <c r="N153" s="41" t="s">
        <v>34</v>
      </c>
      <c r="O153" s="41" t="s">
        <v>30</v>
      </c>
      <c r="Q153" s="17">
        <f t="shared" si="15"/>
        <v>9</v>
      </c>
      <c r="R153" s="17">
        <f t="shared" si="16"/>
        <v>4</v>
      </c>
      <c r="S153" s="17">
        <f t="shared" si="17"/>
        <v>16</v>
      </c>
      <c r="T153" s="17">
        <f t="shared" si="18"/>
        <v>9</v>
      </c>
      <c r="U153" s="17">
        <f t="shared" si="19"/>
        <v>5</v>
      </c>
      <c r="W153" s="7">
        <v>10389</v>
      </c>
      <c r="X153" s="7">
        <v>4867</v>
      </c>
      <c r="Y153" s="7">
        <v>14371</v>
      </c>
      <c r="Z153" s="7">
        <v>11156</v>
      </c>
      <c r="AA153" s="7">
        <v>5418</v>
      </c>
      <c r="AB153" s="13"/>
    </row>
    <row r="154" spans="10:28" ht="15.6" customHeight="1" x14ac:dyDescent="0.3">
      <c r="J154" s="2">
        <v>150</v>
      </c>
      <c r="K154" s="41" t="s">
        <v>33</v>
      </c>
      <c r="L154" s="41" t="s">
        <v>31</v>
      </c>
      <c r="M154" s="41" t="s">
        <v>35</v>
      </c>
      <c r="N154" s="41" t="s">
        <v>31</v>
      </c>
      <c r="O154" s="41" t="s">
        <v>34</v>
      </c>
      <c r="Q154" s="17">
        <f t="shared" si="15"/>
        <v>8</v>
      </c>
      <c r="R154" s="17">
        <f t="shared" si="16"/>
        <v>6</v>
      </c>
      <c r="S154" s="17">
        <f t="shared" si="17"/>
        <v>10</v>
      </c>
      <c r="T154" s="17">
        <f t="shared" si="18"/>
        <v>6</v>
      </c>
      <c r="U154" s="17">
        <f t="shared" si="19"/>
        <v>9</v>
      </c>
      <c r="W154" s="7">
        <v>11102</v>
      </c>
      <c r="X154" s="7">
        <v>11929</v>
      </c>
      <c r="Y154" s="7">
        <v>15148</v>
      </c>
      <c r="Z154" s="7">
        <v>13753</v>
      </c>
      <c r="AA154" s="7">
        <v>5614</v>
      </c>
      <c r="AB154" s="13"/>
    </row>
    <row r="155" spans="10:28" ht="15.6" customHeight="1" x14ac:dyDescent="0.3">
      <c r="J155" s="2">
        <v>151</v>
      </c>
      <c r="K155" s="41" t="s">
        <v>32</v>
      </c>
      <c r="L155" s="41" t="s">
        <v>35</v>
      </c>
      <c r="M155" s="41" t="s">
        <v>28</v>
      </c>
      <c r="N155" s="41" t="s">
        <v>33</v>
      </c>
      <c r="O155" s="41" t="s">
        <v>35</v>
      </c>
      <c r="Q155" s="17">
        <f t="shared" si="15"/>
        <v>7</v>
      </c>
      <c r="R155" s="17">
        <f t="shared" si="16"/>
        <v>10</v>
      </c>
      <c r="S155" s="17">
        <f t="shared" si="17"/>
        <v>3</v>
      </c>
      <c r="T155" s="17">
        <f t="shared" si="18"/>
        <v>8</v>
      </c>
      <c r="U155" s="17">
        <f t="shared" si="19"/>
        <v>10</v>
      </c>
      <c r="W155" s="7">
        <v>13323</v>
      </c>
      <c r="X155" s="7">
        <v>12979</v>
      </c>
      <c r="Y155" s="7">
        <v>14176</v>
      </c>
      <c r="Z155" s="7">
        <v>13849</v>
      </c>
      <c r="AA155" s="7">
        <v>5732</v>
      </c>
      <c r="AB155" s="13"/>
    </row>
    <row r="156" spans="10:28" ht="15.6" customHeight="1" x14ac:dyDescent="0.3">
      <c r="J156" s="2">
        <v>152</v>
      </c>
      <c r="K156" s="41" t="s">
        <v>35</v>
      </c>
      <c r="L156" s="41" t="s">
        <v>35</v>
      </c>
      <c r="M156" s="41" t="s">
        <v>32</v>
      </c>
      <c r="N156" s="41" t="s">
        <v>33</v>
      </c>
      <c r="O156" s="41" t="s">
        <v>34</v>
      </c>
      <c r="Q156" s="17">
        <f t="shared" si="15"/>
        <v>10</v>
      </c>
      <c r="R156" s="17">
        <f t="shared" si="16"/>
        <v>10</v>
      </c>
      <c r="S156" s="17">
        <f t="shared" si="17"/>
        <v>7</v>
      </c>
      <c r="T156" s="17">
        <f t="shared" si="18"/>
        <v>8</v>
      </c>
      <c r="U156" s="17">
        <f t="shared" si="19"/>
        <v>9</v>
      </c>
      <c r="W156" s="7">
        <v>10705</v>
      </c>
      <c r="X156" s="7">
        <v>12979</v>
      </c>
      <c r="Y156" s="7">
        <v>11458</v>
      </c>
      <c r="Z156" s="7">
        <v>11061</v>
      </c>
      <c r="AA156" s="7">
        <v>6548</v>
      </c>
      <c r="AB156" s="13"/>
    </row>
    <row r="157" spans="10:28" ht="15.6" customHeight="1" x14ac:dyDescent="0.3">
      <c r="J157" s="2">
        <v>153</v>
      </c>
      <c r="K157" s="41" t="s">
        <v>33</v>
      </c>
      <c r="L157" s="41" t="s">
        <v>48</v>
      </c>
      <c r="M157" s="41" t="s">
        <v>34</v>
      </c>
      <c r="N157" s="41" t="s">
        <v>28</v>
      </c>
      <c r="O157" s="41" t="s">
        <v>30</v>
      </c>
      <c r="Q157" s="17">
        <f t="shared" si="15"/>
        <v>8</v>
      </c>
      <c r="R157" s="17">
        <f t="shared" si="16"/>
        <v>17</v>
      </c>
      <c r="S157" s="17">
        <f t="shared" si="17"/>
        <v>9</v>
      </c>
      <c r="T157" s="17">
        <f t="shared" si="18"/>
        <v>3</v>
      </c>
      <c r="U157" s="17">
        <f t="shared" si="19"/>
        <v>5</v>
      </c>
      <c r="W157" s="7">
        <v>9278</v>
      </c>
      <c r="X157" s="7">
        <v>9830</v>
      </c>
      <c r="Y157" s="7">
        <v>11943</v>
      </c>
      <c r="Z157" s="7">
        <v>12599</v>
      </c>
      <c r="AA157" s="7">
        <v>6407</v>
      </c>
      <c r="AB157" s="13"/>
    </row>
    <row r="158" spans="10:28" ht="15.6" customHeight="1" x14ac:dyDescent="0.3">
      <c r="J158" s="2">
        <v>154</v>
      </c>
      <c r="K158" s="41" t="s">
        <v>29</v>
      </c>
      <c r="L158" s="41" t="s">
        <v>46</v>
      </c>
      <c r="M158" s="41" t="s">
        <v>30</v>
      </c>
      <c r="N158" s="41" t="s">
        <v>35</v>
      </c>
      <c r="O158" s="41" t="s">
        <v>35</v>
      </c>
      <c r="Q158" s="17">
        <f t="shared" si="15"/>
        <v>4</v>
      </c>
      <c r="R158" s="17">
        <f t="shared" si="16"/>
        <v>16</v>
      </c>
      <c r="S158" s="17">
        <f t="shared" si="17"/>
        <v>5</v>
      </c>
      <c r="T158" s="17">
        <f t="shared" si="18"/>
        <v>10</v>
      </c>
      <c r="U158" s="17">
        <f t="shared" si="19"/>
        <v>10</v>
      </c>
      <c r="W158" s="7">
        <v>9278</v>
      </c>
      <c r="X158" s="7">
        <v>13552</v>
      </c>
      <c r="Y158" s="7">
        <v>13691</v>
      </c>
      <c r="Z158" s="7">
        <v>13369</v>
      </c>
      <c r="AA158" s="7">
        <v>7114</v>
      </c>
      <c r="AB158" s="13"/>
    </row>
    <row r="159" spans="10:28" ht="15.6" customHeight="1" x14ac:dyDescent="0.3">
      <c r="J159" s="2">
        <v>155</v>
      </c>
      <c r="K159" s="41" t="s">
        <v>33</v>
      </c>
      <c r="L159" s="41" t="s">
        <v>31</v>
      </c>
      <c r="M159" s="41" t="s">
        <v>35</v>
      </c>
      <c r="N159" s="41" t="s">
        <v>36</v>
      </c>
      <c r="O159" s="41" t="s">
        <v>29</v>
      </c>
      <c r="Q159" s="17">
        <f t="shared" si="15"/>
        <v>8</v>
      </c>
      <c r="R159" s="17">
        <f t="shared" si="16"/>
        <v>6</v>
      </c>
      <c r="S159" s="17">
        <f t="shared" si="17"/>
        <v>10</v>
      </c>
      <c r="T159" s="17">
        <f t="shared" si="18"/>
        <v>11</v>
      </c>
      <c r="U159" s="17">
        <f t="shared" si="19"/>
        <v>4</v>
      </c>
      <c r="W159" s="7">
        <v>10864</v>
      </c>
      <c r="X159" s="7">
        <v>14506</v>
      </c>
      <c r="Y159" s="7">
        <v>12622</v>
      </c>
      <c r="Z159" s="7">
        <v>11830</v>
      </c>
      <c r="AA159" s="7">
        <v>4514</v>
      </c>
      <c r="AB159" s="13"/>
    </row>
    <row r="160" spans="10:28" ht="15.6" customHeight="1" x14ac:dyDescent="0.3">
      <c r="J160" s="2">
        <v>156</v>
      </c>
      <c r="K160" s="41" t="s">
        <v>35</v>
      </c>
      <c r="L160" s="41" t="s">
        <v>48</v>
      </c>
      <c r="M160" s="41" t="s">
        <v>48</v>
      </c>
      <c r="N160" s="41" t="s">
        <v>44</v>
      </c>
      <c r="O160" s="41" t="s">
        <v>32</v>
      </c>
      <c r="Q160" s="17">
        <f t="shared" si="15"/>
        <v>10</v>
      </c>
      <c r="R160" s="17">
        <f t="shared" si="16"/>
        <v>17</v>
      </c>
      <c r="S160" s="17">
        <f t="shared" si="17"/>
        <v>17</v>
      </c>
      <c r="T160" s="17">
        <f t="shared" si="18"/>
        <v>15</v>
      </c>
      <c r="U160" s="17">
        <f t="shared" si="19"/>
        <v>7</v>
      </c>
      <c r="W160" s="7">
        <v>9635</v>
      </c>
      <c r="X160" s="7">
        <v>14220</v>
      </c>
      <c r="Y160" s="7">
        <v>13691</v>
      </c>
      <c r="Z160" s="7">
        <v>12888</v>
      </c>
      <c r="AA160" s="7">
        <v>5888</v>
      </c>
      <c r="AB160" s="13"/>
    </row>
    <row r="161" spans="10:28" ht="15.6" customHeight="1" x14ac:dyDescent="0.3">
      <c r="J161" s="2">
        <v>157</v>
      </c>
      <c r="K161" s="41" t="s">
        <v>35</v>
      </c>
      <c r="L161" s="41" t="s">
        <v>38</v>
      </c>
      <c r="M161" s="41" t="s">
        <v>30</v>
      </c>
      <c r="N161" s="41" t="s">
        <v>46</v>
      </c>
      <c r="O161" s="41" t="s">
        <v>35</v>
      </c>
      <c r="Q161" s="17">
        <f t="shared" si="15"/>
        <v>10</v>
      </c>
      <c r="R161" s="17">
        <f t="shared" si="16"/>
        <v>12</v>
      </c>
      <c r="S161" s="17">
        <f t="shared" si="17"/>
        <v>5</v>
      </c>
      <c r="T161" s="17">
        <f t="shared" si="18"/>
        <v>16</v>
      </c>
      <c r="U161" s="17">
        <f t="shared" si="19"/>
        <v>10</v>
      </c>
      <c r="W161" s="7">
        <v>9833</v>
      </c>
      <c r="X161" s="7">
        <v>10657</v>
      </c>
      <c r="Y161" s="7">
        <v>15244</v>
      </c>
      <c r="Z161" s="7">
        <v>15485</v>
      </c>
      <c r="AA161" s="7">
        <v>4593</v>
      </c>
      <c r="AB161" s="13"/>
    </row>
    <row r="162" spans="10:28" ht="15.6" customHeight="1" x14ac:dyDescent="0.3">
      <c r="J162" s="2">
        <v>158</v>
      </c>
      <c r="K162" s="41" t="s">
        <v>34</v>
      </c>
      <c r="L162" s="41" t="s">
        <v>40</v>
      </c>
      <c r="M162" s="41" t="s">
        <v>50</v>
      </c>
      <c r="N162" s="41" t="s">
        <v>48</v>
      </c>
      <c r="O162" s="41" t="s">
        <v>35</v>
      </c>
      <c r="Q162" s="17">
        <f t="shared" si="15"/>
        <v>9</v>
      </c>
      <c r="R162" s="17">
        <f t="shared" si="16"/>
        <v>13</v>
      </c>
      <c r="S162" s="17">
        <f t="shared" si="17"/>
        <v>18</v>
      </c>
      <c r="T162" s="17">
        <f t="shared" si="18"/>
        <v>17</v>
      </c>
      <c r="U162" s="17">
        <f t="shared" si="19"/>
        <v>10</v>
      </c>
      <c r="W162" s="7">
        <v>14084</v>
      </c>
      <c r="X162" s="7">
        <v>11930</v>
      </c>
      <c r="Y162" s="7">
        <v>11458</v>
      </c>
      <c r="Z162" s="7">
        <v>11061</v>
      </c>
      <c r="AA162" s="7">
        <v>5457</v>
      </c>
      <c r="AB162" s="13"/>
    </row>
    <row r="163" spans="10:28" ht="15.6" customHeight="1" x14ac:dyDescent="0.3">
      <c r="J163" s="2">
        <v>159</v>
      </c>
      <c r="K163" s="41" t="s">
        <v>32</v>
      </c>
      <c r="L163" s="41" t="s">
        <v>33</v>
      </c>
      <c r="M163" s="41" t="s">
        <v>30</v>
      </c>
      <c r="N163" s="41" t="s">
        <v>46</v>
      </c>
      <c r="O163" s="41" t="s">
        <v>35</v>
      </c>
      <c r="Q163" s="17">
        <f t="shared" si="15"/>
        <v>7</v>
      </c>
      <c r="R163" s="17">
        <f t="shared" si="16"/>
        <v>8</v>
      </c>
      <c r="S163" s="17">
        <f t="shared" si="17"/>
        <v>5</v>
      </c>
      <c r="T163" s="17">
        <f t="shared" si="18"/>
        <v>16</v>
      </c>
      <c r="U163" s="17">
        <f t="shared" si="19"/>
        <v>10</v>
      </c>
      <c r="W163" s="7">
        <v>11609</v>
      </c>
      <c r="X163" s="7">
        <v>8907</v>
      </c>
      <c r="Y163" s="7">
        <v>9871</v>
      </c>
      <c r="Z163" s="7">
        <v>13177</v>
      </c>
      <c r="AA163" s="7">
        <v>5026</v>
      </c>
      <c r="AB163" s="13"/>
    </row>
    <row r="164" spans="10:28" ht="15.6" customHeight="1" x14ac:dyDescent="0.3">
      <c r="J164" s="2">
        <v>160</v>
      </c>
      <c r="K164" s="41" t="s">
        <v>28</v>
      </c>
      <c r="L164" s="41" t="s">
        <v>29</v>
      </c>
      <c r="M164" s="41" t="s">
        <v>32</v>
      </c>
      <c r="N164" s="41" t="s">
        <v>35</v>
      </c>
      <c r="O164" s="41" t="s">
        <v>33</v>
      </c>
      <c r="Q164" s="17">
        <f t="shared" si="15"/>
        <v>3</v>
      </c>
      <c r="R164" s="17">
        <f t="shared" si="16"/>
        <v>4</v>
      </c>
      <c r="S164" s="17">
        <f t="shared" si="17"/>
        <v>7</v>
      </c>
      <c r="T164" s="17">
        <f t="shared" si="18"/>
        <v>10</v>
      </c>
      <c r="U164" s="17">
        <f t="shared" si="19"/>
        <v>8</v>
      </c>
      <c r="W164" s="7">
        <v>11515</v>
      </c>
      <c r="X164" s="7">
        <v>12312</v>
      </c>
      <c r="Y164" s="7">
        <v>9548</v>
      </c>
      <c r="Z164" s="7">
        <v>9938</v>
      </c>
      <c r="AA164" s="7">
        <v>5418</v>
      </c>
      <c r="AB164" s="13"/>
    </row>
    <row r="165" spans="10:28" ht="15.6" customHeight="1" x14ac:dyDescent="0.3">
      <c r="J165" s="2">
        <v>161</v>
      </c>
      <c r="K165" s="41" t="s">
        <v>34</v>
      </c>
      <c r="L165" s="41" t="s">
        <v>32</v>
      </c>
      <c r="M165" s="41" t="s">
        <v>38</v>
      </c>
      <c r="N165" s="41" t="s">
        <v>48</v>
      </c>
      <c r="O165" s="41" t="s">
        <v>28</v>
      </c>
      <c r="Q165" s="17">
        <f t="shared" si="15"/>
        <v>9</v>
      </c>
      <c r="R165" s="17">
        <f t="shared" si="16"/>
        <v>7</v>
      </c>
      <c r="S165" s="17">
        <f t="shared" si="17"/>
        <v>12</v>
      </c>
      <c r="T165" s="17">
        <f t="shared" si="18"/>
        <v>17</v>
      </c>
      <c r="U165" s="17">
        <f t="shared" si="19"/>
        <v>3</v>
      </c>
      <c r="W165" s="7">
        <v>14845</v>
      </c>
      <c r="X165" s="7">
        <v>13838</v>
      </c>
      <c r="Y165" s="7">
        <v>11004</v>
      </c>
      <c r="Z165" s="7">
        <v>10580</v>
      </c>
      <c r="AA165" s="7">
        <v>5614</v>
      </c>
      <c r="AB165" s="13"/>
    </row>
    <row r="166" spans="10:28" ht="15.6" customHeight="1" x14ac:dyDescent="0.3">
      <c r="J166" s="2">
        <v>162</v>
      </c>
      <c r="K166" s="41" t="s">
        <v>34</v>
      </c>
      <c r="L166" s="41" t="s">
        <v>31</v>
      </c>
      <c r="M166" s="41" t="s">
        <v>29</v>
      </c>
      <c r="N166" s="41" t="s">
        <v>42</v>
      </c>
      <c r="O166" s="41" t="s">
        <v>35</v>
      </c>
      <c r="Q166" s="17">
        <f t="shared" si="15"/>
        <v>9</v>
      </c>
      <c r="R166" s="17">
        <f t="shared" si="16"/>
        <v>6</v>
      </c>
      <c r="S166" s="17">
        <f t="shared" si="17"/>
        <v>4</v>
      </c>
      <c r="T166" s="17">
        <f t="shared" si="18"/>
        <v>14</v>
      </c>
      <c r="U166" s="17">
        <f t="shared" si="19"/>
        <v>10</v>
      </c>
      <c r="W166" s="7">
        <v>12466</v>
      </c>
      <c r="X166" s="7">
        <v>12312</v>
      </c>
      <c r="Y166" s="7">
        <v>10519</v>
      </c>
      <c r="Z166" s="7">
        <v>8015</v>
      </c>
      <c r="AA166" s="7">
        <v>5732</v>
      </c>
      <c r="AB166" s="13"/>
    </row>
    <row r="167" spans="10:28" ht="15.6" customHeight="1" x14ac:dyDescent="0.3">
      <c r="J167" s="2">
        <v>163</v>
      </c>
      <c r="K167" s="41" t="s">
        <v>30</v>
      </c>
      <c r="L167" s="41" t="s">
        <v>34</v>
      </c>
      <c r="M167" s="41" t="s">
        <v>29</v>
      </c>
      <c r="N167" s="41" t="s">
        <v>40</v>
      </c>
      <c r="O167" s="41" t="s">
        <v>31</v>
      </c>
      <c r="Q167" s="17">
        <f t="shared" si="15"/>
        <v>5</v>
      </c>
      <c r="R167" s="17">
        <f t="shared" si="16"/>
        <v>9</v>
      </c>
      <c r="S167" s="17">
        <f t="shared" si="17"/>
        <v>4</v>
      </c>
      <c r="T167" s="17">
        <f t="shared" si="18"/>
        <v>13</v>
      </c>
      <c r="U167" s="17">
        <f t="shared" si="19"/>
        <v>6</v>
      </c>
      <c r="W167" s="7">
        <v>9516</v>
      </c>
      <c r="X167" s="7">
        <v>11929</v>
      </c>
      <c r="Y167" s="7">
        <v>10390</v>
      </c>
      <c r="Z167" s="7">
        <v>11541</v>
      </c>
      <c r="AA167" s="7">
        <v>6548</v>
      </c>
      <c r="AB167" s="13"/>
    </row>
    <row r="168" spans="10:28" ht="15.6" customHeight="1" x14ac:dyDescent="0.3">
      <c r="J168" s="2">
        <v>164</v>
      </c>
      <c r="K168" s="41" t="s">
        <v>35</v>
      </c>
      <c r="L168" s="41" t="s">
        <v>33</v>
      </c>
      <c r="M168" s="41" t="s">
        <v>50</v>
      </c>
      <c r="N168" s="41" t="s">
        <v>30</v>
      </c>
      <c r="O168" s="41" t="s">
        <v>30</v>
      </c>
      <c r="Q168" s="17">
        <f t="shared" si="15"/>
        <v>10</v>
      </c>
      <c r="R168" s="17">
        <f t="shared" si="16"/>
        <v>8</v>
      </c>
      <c r="S168" s="17">
        <f t="shared" si="17"/>
        <v>18</v>
      </c>
      <c r="T168" s="17">
        <f t="shared" si="18"/>
        <v>5</v>
      </c>
      <c r="U168" s="17">
        <f t="shared" si="19"/>
        <v>5</v>
      </c>
      <c r="W168" s="7">
        <v>10389</v>
      </c>
      <c r="X168" s="7">
        <v>12502</v>
      </c>
      <c r="Y168" s="7">
        <v>13303</v>
      </c>
      <c r="Z168" s="7">
        <v>12888</v>
      </c>
      <c r="AA168" s="7">
        <v>6407</v>
      </c>
      <c r="AB168" s="13"/>
    </row>
    <row r="169" spans="10:28" ht="15.6" customHeight="1" x14ac:dyDescent="0.3">
      <c r="J169" s="2">
        <v>165</v>
      </c>
      <c r="K169" s="41" t="s">
        <v>29</v>
      </c>
      <c r="L169" s="41" t="s">
        <v>42</v>
      </c>
      <c r="M169" s="41" t="s">
        <v>29</v>
      </c>
      <c r="N169" s="41" t="s">
        <v>34</v>
      </c>
      <c r="O169" s="41" t="s">
        <v>30</v>
      </c>
      <c r="Q169" s="17">
        <f t="shared" si="15"/>
        <v>4</v>
      </c>
      <c r="R169" s="17">
        <f t="shared" si="16"/>
        <v>14</v>
      </c>
      <c r="S169" s="17">
        <f t="shared" si="17"/>
        <v>4</v>
      </c>
      <c r="T169" s="17">
        <f t="shared" si="18"/>
        <v>9</v>
      </c>
      <c r="U169" s="17">
        <f t="shared" si="19"/>
        <v>5</v>
      </c>
      <c r="W169" s="7">
        <v>9040</v>
      </c>
      <c r="X169" s="7">
        <v>13552</v>
      </c>
      <c r="Y169" s="7">
        <v>11554</v>
      </c>
      <c r="Z169" s="7">
        <v>13080</v>
      </c>
      <c r="AA169" s="7">
        <v>7114</v>
      </c>
      <c r="AB169" s="13"/>
    </row>
    <row r="170" spans="10:28" ht="15.6" customHeight="1" x14ac:dyDescent="0.3">
      <c r="J170" s="2">
        <v>166</v>
      </c>
      <c r="K170" s="41" t="s">
        <v>32</v>
      </c>
      <c r="L170" s="41" t="s">
        <v>30</v>
      </c>
      <c r="M170" s="41" t="s">
        <v>46</v>
      </c>
      <c r="N170" s="41" t="s">
        <v>42</v>
      </c>
      <c r="O170" s="41" t="s">
        <v>31</v>
      </c>
      <c r="Q170" s="17">
        <f t="shared" si="15"/>
        <v>7</v>
      </c>
      <c r="R170" s="17">
        <f t="shared" si="16"/>
        <v>5</v>
      </c>
      <c r="S170" s="17">
        <f t="shared" si="17"/>
        <v>16</v>
      </c>
      <c r="T170" s="17">
        <f t="shared" si="18"/>
        <v>14</v>
      </c>
      <c r="U170" s="17">
        <f t="shared" si="19"/>
        <v>6</v>
      </c>
      <c r="W170" s="7">
        <v>14084</v>
      </c>
      <c r="X170" s="7">
        <v>11739</v>
      </c>
      <c r="Y170" s="7">
        <v>10681</v>
      </c>
      <c r="Z170" s="7">
        <v>13657</v>
      </c>
      <c r="AA170" s="7">
        <v>4514</v>
      </c>
      <c r="AB170" s="13"/>
    </row>
    <row r="171" spans="10:28" ht="15.6" customHeight="1" x14ac:dyDescent="0.3">
      <c r="J171" s="2">
        <v>167</v>
      </c>
      <c r="K171" s="41" t="s">
        <v>34</v>
      </c>
      <c r="L171" s="41" t="s">
        <v>26</v>
      </c>
      <c r="M171" s="41" t="s">
        <v>28</v>
      </c>
      <c r="N171" s="41" t="s">
        <v>34</v>
      </c>
      <c r="O171" s="41" t="s">
        <v>33</v>
      </c>
      <c r="Q171" s="17">
        <f t="shared" si="15"/>
        <v>9</v>
      </c>
      <c r="R171" s="17">
        <f t="shared" si="16"/>
        <v>2</v>
      </c>
      <c r="S171" s="17">
        <f t="shared" si="17"/>
        <v>3</v>
      </c>
      <c r="T171" s="17">
        <f t="shared" si="18"/>
        <v>9</v>
      </c>
      <c r="U171" s="17">
        <f t="shared" si="19"/>
        <v>8</v>
      </c>
      <c r="W171" s="7">
        <v>13227</v>
      </c>
      <c r="X171" s="7">
        <v>9782</v>
      </c>
      <c r="Y171" s="7">
        <v>9629</v>
      </c>
      <c r="Z171" s="7">
        <v>10772</v>
      </c>
      <c r="AA171" s="7">
        <v>5888</v>
      </c>
      <c r="AB171" s="13"/>
    </row>
    <row r="172" spans="10:28" ht="15.6" customHeight="1" x14ac:dyDescent="0.3">
      <c r="J172" s="2">
        <v>168</v>
      </c>
      <c r="K172" s="41" t="s">
        <v>32</v>
      </c>
      <c r="L172" s="41" t="s">
        <v>30</v>
      </c>
      <c r="M172" s="41" t="s">
        <v>36</v>
      </c>
      <c r="N172" s="41" t="s">
        <v>34</v>
      </c>
      <c r="O172" s="41" t="s">
        <v>35</v>
      </c>
      <c r="Q172" s="17">
        <f t="shared" si="15"/>
        <v>7</v>
      </c>
      <c r="R172" s="17">
        <f t="shared" si="16"/>
        <v>5</v>
      </c>
      <c r="S172" s="17">
        <f t="shared" si="17"/>
        <v>11</v>
      </c>
      <c r="T172" s="17">
        <f t="shared" si="18"/>
        <v>9</v>
      </c>
      <c r="U172" s="17">
        <f t="shared" si="19"/>
        <v>10</v>
      </c>
      <c r="W172" s="7">
        <v>9913</v>
      </c>
      <c r="X172" s="7">
        <v>10180</v>
      </c>
      <c r="Y172" s="7">
        <v>9467</v>
      </c>
      <c r="Z172" s="7">
        <v>13946</v>
      </c>
      <c r="AA172" s="7">
        <v>11542</v>
      </c>
      <c r="AB172" s="13"/>
    </row>
    <row r="173" spans="10:28" ht="15.6" customHeight="1" x14ac:dyDescent="0.3">
      <c r="J173" s="2">
        <v>169</v>
      </c>
      <c r="K173" s="41" t="s">
        <v>29</v>
      </c>
      <c r="L173" s="41" t="s">
        <v>44</v>
      </c>
      <c r="M173" s="41" t="s">
        <v>28</v>
      </c>
      <c r="N173" s="41" t="s">
        <v>34</v>
      </c>
      <c r="O173" s="41" t="s">
        <v>34</v>
      </c>
      <c r="Q173" s="17">
        <f t="shared" si="15"/>
        <v>4</v>
      </c>
      <c r="R173" s="17">
        <f t="shared" si="16"/>
        <v>15</v>
      </c>
      <c r="S173" s="17">
        <f t="shared" si="17"/>
        <v>3</v>
      </c>
      <c r="T173" s="17">
        <f t="shared" si="18"/>
        <v>9</v>
      </c>
      <c r="U173" s="17">
        <f t="shared" si="19"/>
        <v>9</v>
      </c>
      <c r="W173" s="7">
        <v>10627</v>
      </c>
      <c r="X173" s="7">
        <v>3261</v>
      </c>
      <c r="Y173" s="7">
        <v>13884</v>
      </c>
      <c r="Z173" s="7">
        <v>14427</v>
      </c>
      <c r="AA173" s="7">
        <v>8637</v>
      </c>
      <c r="AB173" s="13"/>
    </row>
    <row r="174" spans="10:28" ht="15.6" customHeight="1" x14ac:dyDescent="0.3">
      <c r="J174" s="2">
        <v>170</v>
      </c>
      <c r="K174" s="41" t="s">
        <v>32</v>
      </c>
      <c r="L174" s="41" t="s">
        <v>44</v>
      </c>
      <c r="M174" s="41" t="s">
        <v>34</v>
      </c>
      <c r="N174" s="41" t="s">
        <v>38</v>
      </c>
      <c r="O174" s="41" t="s">
        <v>35</v>
      </c>
      <c r="Q174" s="17">
        <f t="shared" si="15"/>
        <v>7</v>
      </c>
      <c r="R174" s="17">
        <f t="shared" si="16"/>
        <v>15</v>
      </c>
      <c r="S174" s="17">
        <f t="shared" si="17"/>
        <v>9</v>
      </c>
      <c r="T174" s="17">
        <f t="shared" si="18"/>
        <v>12</v>
      </c>
      <c r="U174" s="17">
        <f t="shared" si="19"/>
        <v>10</v>
      </c>
      <c r="W174" s="7">
        <v>11340</v>
      </c>
      <c r="X174" s="7">
        <v>3525</v>
      </c>
      <c r="Y174" s="7">
        <v>8820</v>
      </c>
      <c r="Z174" s="7">
        <v>12599</v>
      </c>
      <c r="AA174" s="7">
        <v>13568</v>
      </c>
      <c r="AB174" s="13"/>
    </row>
    <row r="175" spans="10:28" ht="15.6" customHeight="1" x14ac:dyDescent="0.3">
      <c r="J175" s="2">
        <v>171</v>
      </c>
      <c r="K175" s="41" t="s">
        <v>29</v>
      </c>
      <c r="L175" s="41" t="s">
        <v>44</v>
      </c>
      <c r="M175" s="41" t="s">
        <v>48</v>
      </c>
      <c r="N175" s="41" t="s">
        <v>33</v>
      </c>
      <c r="O175" s="41" t="s">
        <v>33</v>
      </c>
      <c r="Q175" s="17">
        <f t="shared" si="15"/>
        <v>4</v>
      </c>
      <c r="R175" s="17">
        <f t="shared" si="16"/>
        <v>15</v>
      </c>
      <c r="S175" s="17">
        <f t="shared" si="17"/>
        <v>17</v>
      </c>
      <c r="T175" s="17">
        <f t="shared" si="18"/>
        <v>8</v>
      </c>
      <c r="U175" s="17">
        <f t="shared" si="19"/>
        <v>8</v>
      </c>
      <c r="W175" s="7">
        <v>10626</v>
      </c>
      <c r="X175" s="7">
        <v>8132</v>
      </c>
      <c r="Y175" s="7">
        <v>12299</v>
      </c>
      <c r="Z175" s="7">
        <v>12503</v>
      </c>
      <c r="AA175" s="7">
        <v>13756</v>
      </c>
      <c r="AB175" s="13"/>
    </row>
    <row r="176" spans="10:28" ht="15.6" customHeight="1" x14ac:dyDescent="0.3">
      <c r="J176" s="2">
        <v>172</v>
      </c>
      <c r="K176" s="41" t="s">
        <v>30</v>
      </c>
      <c r="L176" s="41" t="s">
        <v>30</v>
      </c>
      <c r="M176" s="41" t="s">
        <v>44</v>
      </c>
      <c r="N176" s="41" t="s">
        <v>34</v>
      </c>
      <c r="O176" s="41" t="s">
        <v>35</v>
      </c>
      <c r="Q176" s="17">
        <f t="shared" si="15"/>
        <v>5</v>
      </c>
      <c r="R176" s="17">
        <f t="shared" si="16"/>
        <v>5</v>
      </c>
      <c r="S176" s="17">
        <f t="shared" si="17"/>
        <v>15</v>
      </c>
      <c r="T176" s="17">
        <f t="shared" si="18"/>
        <v>9</v>
      </c>
      <c r="U176" s="17">
        <f t="shared" si="19"/>
        <v>10</v>
      </c>
      <c r="W176" s="7">
        <v>12656</v>
      </c>
      <c r="X176" s="7">
        <v>6786</v>
      </c>
      <c r="Y176" s="7">
        <v>10923</v>
      </c>
      <c r="Z176" s="7">
        <v>12407</v>
      </c>
      <c r="AA176" s="7">
        <v>9579</v>
      </c>
      <c r="AB176" s="13"/>
    </row>
    <row r="177" spans="10:28" ht="15.6" customHeight="1" x14ac:dyDescent="0.3">
      <c r="J177" s="2">
        <v>173</v>
      </c>
      <c r="K177" s="41" t="s">
        <v>33</v>
      </c>
      <c r="L177" s="41" t="s">
        <v>42</v>
      </c>
      <c r="M177" s="41" t="s">
        <v>34</v>
      </c>
      <c r="N177" s="41" t="s">
        <v>33</v>
      </c>
      <c r="O177" s="41" t="s">
        <v>28</v>
      </c>
      <c r="Q177" s="17">
        <f t="shared" si="15"/>
        <v>8</v>
      </c>
      <c r="R177" s="17">
        <f t="shared" si="16"/>
        <v>14</v>
      </c>
      <c r="S177" s="17">
        <f t="shared" si="17"/>
        <v>9</v>
      </c>
      <c r="T177" s="17">
        <f t="shared" si="18"/>
        <v>8</v>
      </c>
      <c r="U177" s="17">
        <f t="shared" si="19"/>
        <v>3</v>
      </c>
      <c r="W177" s="7">
        <v>13893</v>
      </c>
      <c r="X177" s="7">
        <v>5408</v>
      </c>
      <c r="Y177" s="7">
        <v>12720</v>
      </c>
      <c r="Z177" s="7">
        <v>12503</v>
      </c>
      <c r="AA177" s="7">
        <v>6962</v>
      </c>
      <c r="AB177" s="13"/>
    </row>
    <row r="178" spans="10:28" ht="15.6" customHeight="1" x14ac:dyDescent="0.3">
      <c r="J178" s="2">
        <v>174</v>
      </c>
      <c r="K178" s="41" t="s">
        <v>34</v>
      </c>
      <c r="L178" s="41" t="s">
        <v>44</v>
      </c>
      <c r="M178" s="41" t="s">
        <v>35</v>
      </c>
      <c r="N178" s="41" t="s">
        <v>28</v>
      </c>
      <c r="O178" s="41" t="s">
        <v>34</v>
      </c>
      <c r="Q178" s="17">
        <f t="shared" si="15"/>
        <v>9</v>
      </c>
      <c r="R178" s="17">
        <f t="shared" si="16"/>
        <v>15</v>
      </c>
      <c r="S178" s="17">
        <f t="shared" si="17"/>
        <v>10</v>
      </c>
      <c r="T178" s="17">
        <f t="shared" si="18"/>
        <v>3</v>
      </c>
      <c r="U178" s="17">
        <f t="shared" si="19"/>
        <v>9</v>
      </c>
      <c r="W178" s="7">
        <v>12752</v>
      </c>
      <c r="X178" s="7">
        <v>5395</v>
      </c>
      <c r="Y178" s="7">
        <v>12331</v>
      </c>
      <c r="Z178" s="7">
        <v>12696</v>
      </c>
      <c r="AA178" s="7">
        <v>7302</v>
      </c>
      <c r="AB178" s="13"/>
    </row>
    <row r="179" spans="10:28" ht="15.6" customHeight="1" x14ac:dyDescent="0.3">
      <c r="J179" s="2">
        <v>175</v>
      </c>
      <c r="K179" s="41" t="s">
        <v>33</v>
      </c>
      <c r="L179" s="41" t="s">
        <v>42</v>
      </c>
      <c r="M179" s="41" t="s">
        <v>40</v>
      </c>
      <c r="N179" s="41" t="s">
        <v>31</v>
      </c>
      <c r="O179" s="41" t="s">
        <v>29</v>
      </c>
      <c r="Q179" s="17">
        <f t="shared" si="15"/>
        <v>8</v>
      </c>
      <c r="R179" s="17">
        <f t="shared" si="16"/>
        <v>14</v>
      </c>
      <c r="S179" s="17">
        <f t="shared" si="17"/>
        <v>13</v>
      </c>
      <c r="T179" s="17">
        <f t="shared" si="18"/>
        <v>6</v>
      </c>
      <c r="U179" s="17">
        <f t="shared" si="19"/>
        <v>4</v>
      </c>
      <c r="W179" s="7">
        <v>11609</v>
      </c>
      <c r="X179" s="7">
        <v>3685</v>
      </c>
      <c r="Y179" s="7">
        <v>13884</v>
      </c>
      <c r="Z179" s="7">
        <v>14330</v>
      </c>
      <c r="AA179" s="7">
        <v>10914</v>
      </c>
      <c r="AB179" s="13"/>
    </row>
    <row r="180" spans="10:28" ht="15.6" customHeight="1" x14ac:dyDescent="0.3">
      <c r="J180" s="2">
        <v>176</v>
      </c>
      <c r="K180" s="41" t="s">
        <v>32</v>
      </c>
      <c r="L180" s="41" t="s">
        <v>38</v>
      </c>
      <c r="M180" s="41" t="s">
        <v>29</v>
      </c>
      <c r="N180" s="41" t="s">
        <v>50</v>
      </c>
      <c r="O180" s="41" t="s">
        <v>30</v>
      </c>
      <c r="Q180" s="17">
        <f t="shared" si="15"/>
        <v>7</v>
      </c>
      <c r="R180" s="17">
        <f t="shared" si="16"/>
        <v>12</v>
      </c>
      <c r="S180" s="17">
        <f t="shared" si="17"/>
        <v>4</v>
      </c>
      <c r="T180" s="17">
        <f t="shared" si="18"/>
        <v>18</v>
      </c>
      <c r="U180" s="17">
        <f t="shared" si="19"/>
        <v>5</v>
      </c>
      <c r="W180" s="7">
        <v>13893</v>
      </c>
      <c r="X180" s="7">
        <v>8987</v>
      </c>
      <c r="Y180" s="7">
        <v>12785</v>
      </c>
      <c r="Z180" s="7">
        <v>12983</v>
      </c>
      <c r="AA180" s="7">
        <v>12909</v>
      </c>
      <c r="AB180" s="13"/>
    </row>
    <row r="181" spans="10:28" ht="15.6" customHeight="1" x14ac:dyDescent="0.3">
      <c r="J181" s="2">
        <v>177</v>
      </c>
      <c r="K181" s="41" t="s">
        <v>30</v>
      </c>
      <c r="L181" s="41" t="s">
        <v>44</v>
      </c>
      <c r="M181" s="41" t="s">
        <v>36</v>
      </c>
      <c r="N181" s="41" t="s">
        <v>34</v>
      </c>
      <c r="O181" s="41" t="s">
        <v>30</v>
      </c>
      <c r="Q181" s="17">
        <f t="shared" si="15"/>
        <v>5</v>
      </c>
      <c r="R181" s="17">
        <f t="shared" si="16"/>
        <v>15</v>
      </c>
      <c r="S181" s="17">
        <f t="shared" si="17"/>
        <v>11</v>
      </c>
      <c r="T181" s="17">
        <f t="shared" si="18"/>
        <v>9</v>
      </c>
      <c r="U181" s="17">
        <f t="shared" si="19"/>
        <v>5</v>
      </c>
      <c r="W181" s="7">
        <v>12466</v>
      </c>
      <c r="X181" s="7">
        <v>8132</v>
      </c>
      <c r="Y181" s="7">
        <v>10802</v>
      </c>
      <c r="Z181" s="7">
        <v>15099</v>
      </c>
      <c r="AA181" s="7">
        <v>11872</v>
      </c>
      <c r="AB181" s="13"/>
    </row>
    <row r="182" spans="10:28" ht="15.6" customHeight="1" x14ac:dyDescent="0.3">
      <c r="J182" s="2">
        <v>178</v>
      </c>
      <c r="K182" s="41" t="s">
        <v>29</v>
      </c>
      <c r="L182" s="41" t="s">
        <v>35</v>
      </c>
      <c r="M182" s="41" t="s">
        <v>34</v>
      </c>
      <c r="N182" s="41" t="s">
        <v>36</v>
      </c>
      <c r="O182" s="41" t="s">
        <v>30</v>
      </c>
      <c r="Q182" s="17">
        <f t="shared" si="15"/>
        <v>4</v>
      </c>
      <c r="R182" s="17">
        <f t="shared" si="16"/>
        <v>10</v>
      </c>
      <c r="S182" s="17">
        <f t="shared" si="17"/>
        <v>9</v>
      </c>
      <c r="T182" s="17">
        <f t="shared" si="18"/>
        <v>11</v>
      </c>
      <c r="U182" s="17">
        <f t="shared" si="19"/>
        <v>5</v>
      </c>
      <c r="W182" s="7">
        <v>8644</v>
      </c>
      <c r="X182" s="7">
        <v>9225</v>
      </c>
      <c r="Y182" s="7">
        <v>5948</v>
      </c>
      <c r="Z182" s="7">
        <v>14235</v>
      </c>
      <c r="AA182" s="7">
        <v>12909</v>
      </c>
      <c r="AB182" s="13"/>
    </row>
    <row r="183" spans="10:28" ht="15.6" customHeight="1" x14ac:dyDescent="0.3">
      <c r="J183" s="2">
        <v>179</v>
      </c>
      <c r="K183" s="41" t="s">
        <v>31</v>
      </c>
      <c r="L183" s="41" t="s">
        <v>38</v>
      </c>
      <c r="M183" s="41" t="s">
        <v>32</v>
      </c>
      <c r="N183" s="41" t="s">
        <v>33</v>
      </c>
      <c r="O183" s="41" t="s">
        <v>26</v>
      </c>
      <c r="Q183" s="17">
        <f t="shared" si="15"/>
        <v>6</v>
      </c>
      <c r="R183" s="17">
        <f t="shared" si="16"/>
        <v>12</v>
      </c>
      <c r="S183" s="17">
        <f t="shared" si="17"/>
        <v>7</v>
      </c>
      <c r="T183" s="17">
        <f t="shared" si="18"/>
        <v>8</v>
      </c>
      <c r="U183" s="17">
        <f t="shared" si="19"/>
        <v>2</v>
      </c>
      <c r="W183" s="7">
        <v>10071</v>
      </c>
      <c r="X183" s="7">
        <v>3261</v>
      </c>
      <c r="Y183" s="7">
        <v>6651</v>
      </c>
      <c r="Z183" s="7">
        <v>14041</v>
      </c>
      <c r="AA183" s="7">
        <v>11856</v>
      </c>
      <c r="AB183" s="13"/>
    </row>
    <row r="184" spans="10:28" ht="15.6" customHeight="1" x14ac:dyDescent="0.3">
      <c r="J184" s="2">
        <v>180</v>
      </c>
      <c r="K184" s="41" t="s">
        <v>31</v>
      </c>
      <c r="L184" s="41" t="s">
        <v>36</v>
      </c>
      <c r="M184" s="41" t="s">
        <v>48</v>
      </c>
      <c r="N184" s="41" t="s">
        <v>48</v>
      </c>
      <c r="O184" s="41" t="s">
        <v>29</v>
      </c>
      <c r="Q184" s="17">
        <f t="shared" si="15"/>
        <v>6</v>
      </c>
      <c r="R184" s="17">
        <f t="shared" si="16"/>
        <v>11</v>
      </c>
      <c r="S184" s="17">
        <f t="shared" si="17"/>
        <v>17</v>
      </c>
      <c r="T184" s="17">
        <f t="shared" si="18"/>
        <v>17</v>
      </c>
      <c r="U184" s="17">
        <f t="shared" si="19"/>
        <v>4</v>
      </c>
      <c r="W184" s="7">
        <v>9437</v>
      </c>
      <c r="X184" s="7">
        <v>3525</v>
      </c>
      <c r="Y184" s="7">
        <v>8706</v>
      </c>
      <c r="Z184" s="7">
        <v>12663</v>
      </c>
      <c r="AA184" s="7">
        <v>8166</v>
      </c>
      <c r="AB184" s="13"/>
    </row>
    <row r="185" spans="10:28" ht="15.6" customHeight="1" x14ac:dyDescent="0.3">
      <c r="J185" s="2">
        <v>181</v>
      </c>
      <c r="K185" s="41" t="s">
        <v>35</v>
      </c>
      <c r="L185" s="41" t="s">
        <v>31</v>
      </c>
      <c r="M185" s="41" t="s">
        <v>34</v>
      </c>
      <c r="N185" s="41" t="s">
        <v>35</v>
      </c>
      <c r="O185" s="41" t="s">
        <v>34</v>
      </c>
      <c r="Q185" s="17">
        <f t="shared" si="15"/>
        <v>10</v>
      </c>
      <c r="R185" s="17">
        <f t="shared" si="16"/>
        <v>6</v>
      </c>
      <c r="S185" s="17">
        <f t="shared" si="17"/>
        <v>9</v>
      </c>
      <c r="T185" s="17">
        <f t="shared" si="18"/>
        <v>10</v>
      </c>
      <c r="U185" s="17">
        <f t="shared" si="19"/>
        <v>9</v>
      </c>
      <c r="W185" s="7">
        <v>9833</v>
      </c>
      <c r="X185" s="7">
        <v>3122</v>
      </c>
      <c r="Y185" s="7">
        <v>6689</v>
      </c>
      <c r="Z185" s="7">
        <v>5691</v>
      </c>
      <c r="AA185" s="7">
        <v>10914</v>
      </c>
      <c r="AB185" s="13"/>
    </row>
    <row r="186" spans="10:28" ht="15.6" customHeight="1" x14ac:dyDescent="0.3">
      <c r="J186" s="2">
        <v>182</v>
      </c>
      <c r="K186" s="41" t="s">
        <v>32</v>
      </c>
      <c r="L186" s="41" t="s">
        <v>40</v>
      </c>
      <c r="M186" s="41" t="s">
        <v>48</v>
      </c>
      <c r="N186" s="41" t="s">
        <v>30</v>
      </c>
      <c r="O186" s="41" t="s">
        <v>33</v>
      </c>
      <c r="Q186" s="17">
        <f t="shared" si="15"/>
        <v>7</v>
      </c>
      <c r="R186" s="17">
        <f t="shared" si="16"/>
        <v>13</v>
      </c>
      <c r="S186" s="17">
        <f t="shared" si="17"/>
        <v>17</v>
      </c>
      <c r="T186" s="17">
        <f t="shared" si="18"/>
        <v>5</v>
      </c>
      <c r="U186" s="17">
        <f t="shared" si="19"/>
        <v>8</v>
      </c>
      <c r="W186" s="7">
        <v>9754</v>
      </c>
      <c r="X186" s="7">
        <v>3261</v>
      </c>
      <c r="Y186" s="7">
        <v>5421</v>
      </c>
      <c r="Z186" s="7">
        <v>5531</v>
      </c>
      <c r="AA186" s="7">
        <v>6595</v>
      </c>
      <c r="AB186" s="13"/>
    </row>
    <row r="187" spans="10:28" ht="15.6" customHeight="1" x14ac:dyDescent="0.3">
      <c r="J187" s="2">
        <v>183</v>
      </c>
      <c r="K187" s="41" t="s">
        <v>35</v>
      </c>
      <c r="L187" s="41" t="s">
        <v>44</v>
      </c>
      <c r="M187" s="41" t="s">
        <v>48</v>
      </c>
      <c r="N187" s="41" t="s">
        <v>35</v>
      </c>
      <c r="O187" s="41" t="s">
        <v>35</v>
      </c>
      <c r="Q187" s="17">
        <f t="shared" si="15"/>
        <v>10</v>
      </c>
      <c r="R187" s="17">
        <f t="shared" si="16"/>
        <v>15</v>
      </c>
      <c r="S187" s="17">
        <f t="shared" si="17"/>
        <v>17</v>
      </c>
      <c r="T187" s="17">
        <f t="shared" si="18"/>
        <v>10</v>
      </c>
      <c r="U187" s="17">
        <f t="shared" si="19"/>
        <v>10</v>
      </c>
      <c r="W187" s="7">
        <v>13227</v>
      </c>
      <c r="X187" s="7">
        <v>3525</v>
      </c>
      <c r="Y187" s="7">
        <v>10519</v>
      </c>
      <c r="Z187" s="7">
        <v>11221</v>
      </c>
      <c r="AA187" s="7">
        <v>4868</v>
      </c>
      <c r="AB187" s="13"/>
    </row>
    <row r="188" spans="10:28" ht="15.6" customHeight="1" x14ac:dyDescent="0.3">
      <c r="J188" s="2">
        <v>184</v>
      </c>
      <c r="K188" s="41" t="s">
        <v>35</v>
      </c>
      <c r="L188" s="41" t="s">
        <v>29</v>
      </c>
      <c r="M188" s="41" t="s">
        <v>35</v>
      </c>
      <c r="N188" s="41" t="s">
        <v>31</v>
      </c>
      <c r="O188" s="41" t="s">
        <v>32</v>
      </c>
      <c r="Q188" s="17">
        <f t="shared" si="15"/>
        <v>10</v>
      </c>
      <c r="R188" s="17">
        <f t="shared" si="16"/>
        <v>4</v>
      </c>
      <c r="S188" s="17">
        <f t="shared" si="17"/>
        <v>10</v>
      </c>
      <c r="T188" s="17">
        <f t="shared" si="18"/>
        <v>6</v>
      </c>
      <c r="U188" s="17">
        <f t="shared" si="19"/>
        <v>7</v>
      </c>
      <c r="W188" s="7">
        <v>14274</v>
      </c>
      <c r="X188" s="7">
        <v>3122</v>
      </c>
      <c r="Y188" s="7">
        <v>5219</v>
      </c>
      <c r="Z188" s="7">
        <v>10178</v>
      </c>
      <c r="AA188" s="7">
        <v>4632</v>
      </c>
      <c r="AB188" s="13"/>
    </row>
    <row r="189" spans="10:28" ht="15.6" customHeight="1" x14ac:dyDescent="0.3">
      <c r="J189" s="2">
        <v>185</v>
      </c>
      <c r="K189" s="41" t="s">
        <v>31</v>
      </c>
      <c r="L189" s="41" t="s">
        <v>29</v>
      </c>
      <c r="M189" s="41" t="s">
        <v>34</v>
      </c>
      <c r="N189" s="41" t="s">
        <v>33</v>
      </c>
      <c r="O189" s="41" t="s">
        <v>30</v>
      </c>
      <c r="Q189" s="17">
        <f t="shared" si="15"/>
        <v>6</v>
      </c>
      <c r="R189" s="17">
        <f t="shared" si="16"/>
        <v>4</v>
      </c>
      <c r="S189" s="17">
        <f t="shared" si="17"/>
        <v>9</v>
      </c>
      <c r="T189" s="17">
        <f t="shared" si="18"/>
        <v>8</v>
      </c>
      <c r="U189" s="17">
        <f t="shared" si="19"/>
        <v>5</v>
      </c>
      <c r="W189" s="7">
        <v>12846</v>
      </c>
      <c r="X189" s="7">
        <v>5289</v>
      </c>
      <c r="Y189" s="7">
        <v>10923</v>
      </c>
      <c r="Z189" s="7">
        <v>11926</v>
      </c>
      <c r="AA189" s="7">
        <v>5064</v>
      </c>
      <c r="AB189" s="13"/>
    </row>
    <row r="190" spans="10:28" ht="15.6" customHeight="1" x14ac:dyDescent="0.3">
      <c r="J190" s="2">
        <v>186</v>
      </c>
      <c r="K190" s="41" t="s">
        <v>31</v>
      </c>
      <c r="L190" s="41" t="s">
        <v>29</v>
      </c>
      <c r="M190" s="41" t="s">
        <v>35</v>
      </c>
      <c r="N190" s="41" t="s">
        <v>42</v>
      </c>
      <c r="O190" s="41" t="s">
        <v>30</v>
      </c>
      <c r="Q190" s="17">
        <f t="shared" si="15"/>
        <v>6</v>
      </c>
      <c r="R190" s="17">
        <f t="shared" si="16"/>
        <v>4</v>
      </c>
      <c r="S190" s="17">
        <f t="shared" si="17"/>
        <v>10</v>
      </c>
      <c r="T190" s="17">
        <f t="shared" si="18"/>
        <v>14</v>
      </c>
      <c r="U190" s="17">
        <f t="shared" si="19"/>
        <v>5</v>
      </c>
      <c r="W190" s="7">
        <v>11609</v>
      </c>
      <c r="X190" s="7">
        <v>5130</v>
      </c>
      <c r="Y190" s="7">
        <v>8706</v>
      </c>
      <c r="Z190" s="7">
        <v>13080</v>
      </c>
      <c r="AA190" s="7">
        <v>6124</v>
      </c>
      <c r="AB190" s="13"/>
    </row>
    <row r="191" spans="10:28" ht="15.6" customHeight="1" x14ac:dyDescent="0.3">
      <c r="J191" s="2">
        <v>187</v>
      </c>
      <c r="K191" s="41" t="s">
        <v>32</v>
      </c>
      <c r="L191" s="41" t="s">
        <v>32</v>
      </c>
      <c r="M191" s="41" t="s">
        <v>34</v>
      </c>
      <c r="N191" s="41" t="s">
        <v>48</v>
      </c>
      <c r="O191" s="41" t="s">
        <v>32</v>
      </c>
      <c r="Q191" s="17">
        <f t="shared" si="15"/>
        <v>7</v>
      </c>
      <c r="R191" s="17">
        <f t="shared" si="16"/>
        <v>7</v>
      </c>
      <c r="S191" s="17">
        <f t="shared" si="17"/>
        <v>9</v>
      </c>
      <c r="T191" s="17">
        <f t="shared" si="18"/>
        <v>17</v>
      </c>
      <c r="U191" s="17">
        <f t="shared" si="19"/>
        <v>7</v>
      </c>
      <c r="W191" s="7">
        <v>8961</v>
      </c>
      <c r="X191" s="7">
        <v>5328</v>
      </c>
      <c r="Y191" s="7">
        <v>6689</v>
      </c>
      <c r="Z191" s="7">
        <v>14138</v>
      </c>
      <c r="AA191" s="7">
        <v>5417</v>
      </c>
      <c r="AB191" s="13"/>
    </row>
    <row r="192" spans="10:28" ht="15.6" customHeight="1" x14ac:dyDescent="0.3">
      <c r="J192" s="2">
        <v>188</v>
      </c>
      <c r="K192" s="41" t="s">
        <v>31</v>
      </c>
      <c r="L192" s="41" t="s">
        <v>44</v>
      </c>
      <c r="M192" s="41" t="s">
        <v>30</v>
      </c>
      <c r="N192" s="41" t="s">
        <v>34</v>
      </c>
      <c r="O192" s="41" t="s">
        <v>34</v>
      </c>
      <c r="Q192" s="17">
        <f t="shared" si="15"/>
        <v>6</v>
      </c>
      <c r="R192" s="17">
        <f t="shared" si="16"/>
        <v>15</v>
      </c>
      <c r="S192" s="17">
        <f t="shared" si="17"/>
        <v>5</v>
      </c>
      <c r="T192" s="17">
        <f t="shared" si="18"/>
        <v>9</v>
      </c>
      <c r="U192" s="17">
        <f t="shared" si="19"/>
        <v>9</v>
      </c>
      <c r="W192" s="7">
        <v>8802</v>
      </c>
      <c r="X192" s="7">
        <v>5567</v>
      </c>
      <c r="Y192" s="7">
        <v>5421</v>
      </c>
      <c r="Z192" s="7">
        <v>12696</v>
      </c>
      <c r="AA192" s="7">
        <v>7066</v>
      </c>
      <c r="AB192" s="13"/>
    </row>
    <row r="193" spans="10:28" ht="15.6" customHeight="1" x14ac:dyDescent="0.3">
      <c r="J193" s="2">
        <v>189</v>
      </c>
      <c r="K193" s="41" t="s">
        <v>32</v>
      </c>
      <c r="L193" s="41" t="s">
        <v>32</v>
      </c>
      <c r="M193" s="41" t="s">
        <v>31</v>
      </c>
      <c r="N193" s="41" t="s">
        <v>33</v>
      </c>
      <c r="O193" s="41" t="s">
        <v>34</v>
      </c>
      <c r="Q193" s="17">
        <f t="shared" si="15"/>
        <v>7</v>
      </c>
      <c r="R193" s="17">
        <f t="shared" si="16"/>
        <v>7</v>
      </c>
      <c r="S193" s="17">
        <f t="shared" si="17"/>
        <v>6</v>
      </c>
      <c r="T193" s="17">
        <f t="shared" si="18"/>
        <v>8</v>
      </c>
      <c r="U193" s="17">
        <f t="shared" si="19"/>
        <v>9</v>
      </c>
      <c r="W193" s="7">
        <v>9754</v>
      </c>
      <c r="X193" s="7">
        <v>3122</v>
      </c>
      <c r="Y193" s="7">
        <v>9953</v>
      </c>
      <c r="Z193" s="7">
        <v>10820</v>
      </c>
      <c r="AA193" s="7">
        <v>6077</v>
      </c>
      <c r="AB193" s="13"/>
    </row>
    <row r="194" spans="10:28" ht="15.6" customHeight="1" x14ac:dyDescent="0.3">
      <c r="J194" s="2">
        <v>190</v>
      </c>
      <c r="K194" s="41" t="s">
        <v>33</v>
      </c>
      <c r="L194" s="41" t="s">
        <v>44</v>
      </c>
      <c r="M194" s="41" t="s">
        <v>31</v>
      </c>
      <c r="N194" s="41" t="s">
        <v>35</v>
      </c>
      <c r="O194" s="41" t="s">
        <v>35</v>
      </c>
      <c r="Q194" s="17">
        <f t="shared" si="15"/>
        <v>8</v>
      </c>
      <c r="R194" s="17">
        <f t="shared" si="16"/>
        <v>15</v>
      </c>
      <c r="S194" s="17">
        <f t="shared" si="17"/>
        <v>6</v>
      </c>
      <c r="T194" s="17">
        <f t="shared" si="18"/>
        <v>10</v>
      </c>
      <c r="U194" s="17">
        <f t="shared" si="19"/>
        <v>10</v>
      </c>
      <c r="W194" s="7">
        <v>11991</v>
      </c>
      <c r="X194" s="7">
        <v>5289</v>
      </c>
      <c r="Y194" s="7">
        <v>13982</v>
      </c>
      <c r="Z194" s="7">
        <v>11701</v>
      </c>
      <c r="AA194" s="7">
        <v>6031</v>
      </c>
      <c r="AB194" s="13"/>
    </row>
    <row r="195" spans="10:28" ht="15.6" customHeight="1" x14ac:dyDescent="0.3">
      <c r="J195" s="2">
        <v>191</v>
      </c>
      <c r="K195" s="41" t="s">
        <v>33</v>
      </c>
      <c r="L195" s="41" t="s">
        <v>32</v>
      </c>
      <c r="M195" s="41" t="s">
        <v>35</v>
      </c>
      <c r="N195" s="41" t="s">
        <v>46</v>
      </c>
      <c r="O195" s="41" t="s">
        <v>35</v>
      </c>
      <c r="Q195" s="17">
        <f t="shared" si="15"/>
        <v>8</v>
      </c>
      <c r="R195" s="17">
        <f t="shared" si="16"/>
        <v>7</v>
      </c>
      <c r="S195" s="17">
        <f t="shared" si="17"/>
        <v>10</v>
      </c>
      <c r="T195" s="17">
        <f t="shared" si="18"/>
        <v>16</v>
      </c>
      <c r="U195" s="17">
        <f t="shared" si="19"/>
        <v>10</v>
      </c>
      <c r="W195" s="7">
        <v>13037</v>
      </c>
      <c r="X195" s="7">
        <v>5130</v>
      </c>
      <c r="Y195" s="7">
        <v>13205</v>
      </c>
      <c r="Z195" s="7">
        <v>10499</v>
      </c>
      <c r="AA195" s="7">
        <v>6502</v>
      </c>
      <c r="AB195" s="13"/>
    </row>
    <row r="196" spans="10:28" ht="15.6" customHeight="1" x14ac:dyDescent="0.3">
      <c r="J196" s="2">
        <v>192</v>
      </c>
      <c r="K196" s="41" t="s">
        <v>33</v>
      </c>
      <c r="L196" s="41" t="s">
        <v>29</v>
      </c>
      <c r="M196" s="41" t="s">
        <v>32</v>
      </c>
      <c r="N196" s="41" t="s">
        <v>30</v>
      </c>
      <c r="O196" s="41" t="s">
        <v>35</v>
      </c>
      <c r="Q196" s="17">
        <f t="shared" ref="Q196:Q259" si="20">IF(K196="","",VLOOKUP(K196,$A$4:$H$22,8,FALSE))</f>
        <v>8</v>
      </c>
      <c r="R196" s="17">
        <f t="shared" ref="R196:R259" si="21">IF(L196="","",VLOOKUP(L196,$A$4:$H$22,8,FALSE))</f>
        <v>4</v>
      </c>
      <c r="S196" s="17">
        <f t="shared" ref="S196:S259" si="22">IF(M196="","",VLOOKUP(M196,$A$4:$H$22,8,FALSE))</f>
        <v>7</v>
      </c>
      <c r="T196" s="17">
        <f t="shared" ref="T196:T259" si="23">IF(N196="","",VLOOKUP(N196,$A$4:$H$22,8,FALSE))</f>
        <v>5</v>
      </c>
      <c r="U196" s="17">
        <f t="shared" ref="U196:U259" si="24">IF(O196="","",VLOOKUP(O196,$A$4:$H$22,8,FALSE))</f>
        <v>10</v>
      </c>
      <c r="W196" s="7">
        <v>12181</v>
      </c>
      <c r="X196" s="7">
        <v>5328</v>
      </c>
      <c r="Y196" s="7">
        <v>12914</v>
      </c>
      <c r="Z196" s="7">
        <v>10178</v>
      </c>
      <c r="AA196" s="7">
        <v>6046</v>
      </c>
      <c r="AB196" s="13"/>
    </row>
    <row r="197" spans="10:28" ht="15.6" customHeight="1" x14ac:dyDescent="0.3">
      <c r="J197" s="2">
        <v>193</v>
      </c>
      <c r="K197" s="41" t="s">
        <v>29</v>
      </c>
      <c r="L197" s="41" t="s">
        <v>29</v>
      </c>
      <c r="M197" s="41" t="s">
        <v>31</v>
      </c>
      <c r="N197" s="41" t="s">
        <v>40</v>
      </c>
      <c r="O197" s="41" t="s">
        <v>28</v>
      </c>
      <c r="Q197" s="17">
        <f t="shared" si="20"/>
        <v>4</v>
      </c>
      <c r="R197" s="17">
        <f t="shared" si="21"/>
        <v>4</v>
      </c>
      <c r="S197" s="17">
        <f t="shared" si="22"/>
        <v>6</v>
      </c>
      <c r="T197" s="17">
        <f t="shared" si="23"/>
        <v>13</v>
      </c>
      <c r="U197" s="17">
        <f t="shared" si="24"/>
        <v>3</v>
      </c>
      <c r="W197" s="7">
        <v>11895</v>
      </c>
      <c r="X197" s="7">
        <v>5567</v>
      </c>
      <c r="Y197" s="7">
        <v>11166</v>
      </c>
      <c r="Z197" s="7">
        <v>9618</v>
      </c>
      <c r="AA197" s="7">
        <v>4632</v>
      </c>
      <c r="AB197" s="13"/>
    </row>
    <row r="198" spans="10:28" ht="15.6" customHeight="1" x14ac:dyDescent="0.3">
      <c r="J198" s="2">
        <v>194</v>
      </c>
      <c r="K198" s="41" t="s">
        <v>28</v>
      </c>
      <c r="L198" s="41" t="s">
        <v>29</v>
      </c>
      <c r="M198" s="41" t="s">
        <v>35</v>
      </c>
      <c r="N198" s="41" t="s">
        <v>33</v>
      </c>
      <c r="O198" s="41" t="s">
        <v>35</v>
      </c>
      <c r="Q198" s="17">
        <f t="shared" si="20"/>
        <v>3</v>
      </c>
      <c r="R198" s="17">
        <f t="shared" si="21"/>
        <v>4</v>
      </c>
      <c r="S198" s="17">
        <f t="shared" si="22"/>
        <v>10</v>
      </c>
      <c r="T198" s="17">
        <f t="shared" si="23"/>
        <v>8</v>
      </c>
      <c r="U198" s="17">
        <f t="shared" si="24"/>
        <v>10</v>
      </c>
      <c r="W198" s="7">
        <v>11705</v>
      </c>
      <c r="X198" s="7">
        <v>3122</v>
      </c>
      <c r="Y198" s="7">
        <v>10519</v>
      </c>
      <c r="Z198" s="7">
        <v>10499</v>
      </c>
      <c r="AA198" s="7">
        <v>5064</v>
      </c>
      <c r="AB198" s="13"/>
    </row>
    <row r="199" spans="10:28" ht="15.6" customHeight="1" x14ac:dyDescent="0.3">
      <c r="J199" s="2">
        <v>195</v>
      </c>
      <c r="K199" s="41" t="s">
        <v>35</v>
      </c>
      <c r="L199" s="41" t="s">
        <v>32</v>
      </c>
      <c r="M199" s="41" t="s">
        <v>35</v>
      </c>
      <c r="N199" s="41" t="s">
        <v>30</v>
      </c>
      <c r="O199" s="41" t="s">
        <v>30</v>
      </c>
      <c r="Q199" s="17">
        <f t="shared" si="20"/>
        <v>10</v>
      </c>
      <c r="R199" s="17">
        <f t="shared" si="21"/>
        <v>7</v>
      </c>
      <c r="S199" s="17">
        <f t="shared" si="22"/>
        <v>10</v>
      </c>
      <c r="T199" s="17">
        <f t="shared" si="23"/>
        <v>5</v>
      </c>
      <c r="U199" s="17">
        <f t="shared" si="24"/>
        <v>5</v>
      </c>
      <c r="W199" s="7">
        <v>12466</v>
      </c>
      <c r="X199" s="7">
        <v>10816</v>
      </c>
      <c r="Y199" s="7">
        <v>10519</v>
      </c>
      <c r="Z199" s="7">
        <v>10499</v>
      </c>
      <c r="AA199" s="7">
        <v>6124</v>
      </c>
      <c r="AB199" s="13"/>
    </row>
    <row r="200" spans="10:28" ht="15.6" customHeight="1" x14ac:dyDescent="0.3">
      <c r="J200" s="2">
        <v>196</v>
      </c>
      <c r="K200" s="41" t="s">
        <v>30</v>
      </c>
      <c r="L200" s="41" t="s">
        <v>44</v>
      </c>
      <c r="M200" s="41" t="s">
        <v>40</v>
      </c>
      <c r="N200" s="41" t="s">
        <v>33</v>
      </c>
      <c r="O200" s="41" t="s">
        <v>31</v>
      </c>
      <c r="Q200" s="17">
        <f t="shared" si="20"/>
        <v>5</v>
      </c>
      <c r="R200" s="17">
        <f t="shared" si="21"/>
        <v>15</v>
      </c>
      <c r="S200" s="17">
        <f t="shared" si="22"/>
        <v>13</v>
      </c>
      <c r="T200" s="17">
        <f t="shared" si="23"/>
        <v>8</v>
      </c>
      <c r="U200" s="17">
        <f t="shared" si="24"/>
        <v>6</v>
      </c>
      <c r="W200" s="7">
        <v>10848</v>
      </c>
      <c r="X200" s="7">
        <v>12693</v>
      </c>
      <c r="Y200" s="7">
        <v>5219</v>
      </c>
      <c r="Z200" s="7">
        <v>13369</v>
      </c>
      <c r="AA200" s="7">
        <v>5417</v>
      </c>
      <c r="AB200" s="13"/>
    </row>
    <row r="201" spans="10:28" ht="15.6" customHeight="1" x14ac:dyDescent="0.3">
      <c r="J201" s="2">
        <v>197</v>
      </c>
      <c r="K201" s="41" t="s">
        <v>28</v>
      </c>
      <c r="L201" s="41" t="s">
        <v>32</v>
      </c>
      <c r="M201" s="41" t="s">
        <v>34</v>
      </c>
      <c r="N201" s="41" t="s">
        <v>48</v>
      </c>
      <c r="O201" s="41" t="s">
        <v>34</v>
      </c>
      <c r="Q201" s="17">
        <f t="shared" si="20"/>
        <v>3</v>
      </c>
      <c r="R201" s="17">
        <f t="shared" si="21"/>
        <v>7</v>
      </c>
      <c r="S201" s="17">
        <f t="shared" si="22"/>
        <v>9</v>
      </c>
      <c r="T201" s="17">
        <f t="shared" si="23"/>
        <v>17</v>
      </c>
      <c r="U201" s="17">
        <f t="shared" si="24"/>
        <v>9</v>
      </c>
      <c r="W201" s="7">
        <v>12276</v>
      </c>
      <c r="X201" s="7">
        <v>12312</v>
      </c>
      <c r="Y201" s="7">
        <v>6662</v>
      </c>
      <c r="Z201" s="7">
        <v>12503</v>
      </c>
      <c r="AA201" s="7">
        <v>7066</v>
      </c>
      <c r="AB201" s="13"/>
    </row>
    <row r="202" spans="10:28" ht="15.6" customHeight="1" x14ac:dyDescent="0.3">
      <c r="J202" s="2">
        <v>198</v>
      </c>
      <c r="K202" s="41" t="s">
        <v>34</v>
      </c>
      <c r="L202" s="41" t="s">
        <v>32</v>
      </c>
      <c r="M202" s="41" t="s">
        <v>34</v>
      </c>
      <c r="N202" s="41" t="s">
        <v>33</v>
      </c>
      <c r="O202" s="41" t="s">
        <v>35</v>
      </c>
      <c r="Q202" s="17">
        <f t="shared" si="20"/>
        <v>9</v>
      </c>
      <c r="R202" s="17">
        <f t="shared" si="21"/>
        <v>7</v>
      </c>
      <c r="S202" s="17">
        <f t="shared" si="22"/>
        <v>9</v>
      </c>
      <c r="T202" s="17">
        <f t="shared" si="23"/>
        <v>8</v>
      </c>
      <c r="U202" s="17">
        <f t="shared" si="24"/>
        <v>10</v>
      </c>
      <c r="W202" s="7">
        <v>14560</v>
      </c>
      <c r="X202" s="7">
        <v>11834</v>
      </c>
      <c r="Y202" s="7">
        <v>10276</v>
      </c>
      <c r="Z202" s="7">
        <v>13753</v>
      </c>
      <c r="AA202" s="7">
        <v>6077</v>
      </c>
      <c r="AB202" s="13"/>
    </row>
    <row r="203" spans="10:28" ht="15.6" customHeight="1" x14ac:dyDescent="0.3">
      <c r="J203" s="2">
        <v>199</v>
      </c>
      <c r="K203" s="41" t="s">
        <v>30</v>
      </c>
      <c r="L203" s="41" t="s">
        <v>33</v>
      </c>
      <c r="M203" s="41" t="s">
        <v>30</v>
      </c>
      <c r="N203" s="41" t="s">
        <v>34</v>
      </c>
      <c r="O203" s="41" t="s">
        <v>34</v>
      </c>
      <c r="Q203" s="17">
        <f t="shared" si="20"/>
        <v>5</v>
      </c>
      <c r="R203" s="17">
        <f t="shared" si="21"/>
        <v>8</v>
      </c>
      <c r="S203" s="17">
        <f t="shared" si="22"/>
        <v>5</v>
      </c>
      <c r="T203" s="17">
        <f t="shared" si="23"/>
        <v>9</v>
      </c>
      <c r="U203" s="17">
        <f t="shared" si="24"/>
        <v>9</v>
      </c>
      <c r="W203" s="7">
        <v>13608</v>
      </c>
      <c r="X203" s="7">
        <v>12979</v>
      </c>
      <c r="Y203" s="7">
        <v>8820</v>
      </c>
      <c r="Z203" s="7">
        <v>12311</v>
      </c>
      <c r="AA203" s="7">
        <v>6031</v>
      </c>
      <c r="AB203" s="13"/>
    </row>
    <row r="204" spans="10:28" ht="15.6" customHeight="1" x14ac:dyDescent="0.3">
      <c r="Q204" s="13" t="str">
        <f t="shared" si="20"/>
        <v/>
      </c>
      <c r="R204" s="6" t="str">
        <f t="shared" si="21"/>
        <v/>
      </c>
      <c r="S204" s="6" t="str">
        <f t="shared" si="22"/>
        <v/>
      </c>
      <c r="T204" s="6" t="str">
        <f t="shared" si="23"/>
        <v/>
      </c>
      <c r="U204" s="6" t="str">
        <f t="shared" si="24"/>
        <v/>
      </c>
      <c r="AB204" s="13"/>
    </row>
    <row r="205" spans="10:28" ht="15.6" customHeight="1" x14ac:dyDescent="0.3">
      <c r="Q205" s="13" t="str">
        <f t="shared" si="20"/>
        <v/>
      </c>
      <c r="R205" s="6" t="str">
        <f t="shared" si="21"/>
        <v/>
      </c>
      <c r="S205" s="6" t="str">
        <f t="shared" si="22"/>
        <v/>
      </c>
      <c r="T205" s="6" t="str">
        <f t="shared" si="23"/>
        <v/>
      </c>
      <c r="U205" s="6" t="str">
        <f t="shared" si="24"/>
        <v/>
      </c>
      <c r="AB205" s="13"/>
    </row>
    <row r="206" spans="10:28" ht="15.6" customHeight="1" x14ac:dyDescent="0.3">
      <c r="Q206" s="13" t="str">
        <f t="shared" si="20"/>
        <v/>
      </c>
      <c r="R206" s="6" t="str">
        <f t="shared" si="21"/>
        <v/>
      </c>
      <c r="S206" s="6" t="str">
        <f t="shared" si="22"/>
        <v/>
      </c>
      <c r="T206" s="6" t="str">
        <f t="shared" si="23"/>
        <v/>
      </c>
      <c r="U206" s="6" t="str">
        <f t="shared" si="24"/>
        <v/>
      </c>
      <c r="AB206" s="13"/>
    </row>
    <row r="207" spans="10:28" ht="15.6" customHeight="1" x14ac:dyDescent="0.3">
      <c r="Q207" s="13" t="str">
        <f t="shared" si="20"/>
        <v/>
      </c>
      <c r="R207" s="6" t="str">
        <f t="shared" si="21"/>
        <v/>
      </c>
      <c r="S207" s="6" t="str">
        <f t="shared" si="22"/>
        <v/>
      </c>
      <c r="T207" s="6" t="str">
        <f t="shared" si="23"/>
        <v/>
      </c>
      <c r="U207" s="6" t="str">
        <f t="shared" si="24"/>
        <v/>
      </c>
      <c r="AB207" s="13"/>
    </row>
    <row r="208" spans="10:28" ht="15.6" customHeight="1" x14ac:dyDescent="0.3">
      <c r="Q208" s="13" t="str">
        <f t="shared" si="20"/>
        <v/>
      </c>
      <c r="R208" s="6" t="str">
        <f t="shared" si="21"/>
        <v/>
      </c>
      <c r="S208" s="6" t="str">
        <f t="shared" si="22"/>
        <v/>
      </c>
      <c r="T208" s="6" t="str">
        <f t="shared" si="23"/>
        <v/>
      </c>
      <c r="U208" s="6" t="str">
        <f t="shared" si="24"/>
        <v/>
      </c>
      <c r="AB208" s="13"/>
    </row>
    <row r="209" spans="17:28" ht="15.6" customHeight="1" x14ac:dyDescent="0.3">
      <c r="Q209" s="13" t="str">
        <f t="shared" si="20"/>
        <v/>
      </c>
      <c r="R209" s="6" t="str">
        <f t="shared" si="21"/>
        <v/>
      </c>
      <c r="S209" s="6" t="str">
        <f t="shared" si="22"/>
        <v/>
      </c>
      <c r="T209" s="6" t="str">
        <f t="shared" si="23"/>
        <v/>
      </c>
      <c r="U209" s="6" t="str">
        <f t="shared" si="24"/>
        <v/>
      </c>
      <c r="AB209" s="13"/>
    </row>
    <row r="210" spans="17:28" ht="15.6" customHeight="1" x14ac:dyDescent="0.3">
      <c r="Q210" s="13" t="str">
        <f t="shared" si="20"/>
        <v/>
      </c>
      <c r="R210" s="6" t="str">
        <f t="shared" si="21"/>
        <v/>
      </c>
      <c r="S210" s="6" t="str">
        <f t="shared" si="22"/>
        <v/>
      </c>
      <c r="T210" s="6" t="str">
        <f t="shared" si="23"/>
        <v/>
      </c>
      <c r="U210" s="6" t="str">
        <f t="shared" si="24"/>
        <v/>
      </c>
      <c r="AB210" s="13"/>
    </row>
    <row r="211" spans="17:28" ht="15.6" customHeight="1" x14ac:dyDescent="0.3">
      <c r="Q211" s="13" t="str">
        <f t="shared" si="20"/>
        <v/>
      </c>
      <c r="R211" s="6" t="str">
        <f t="shared" si="21"/>
        <v/>
      </c>
      <c r="S211" s="6" t="str">
        <f t="shared" si="22"/>
        <v/>
      </c>
      <c r="T211" s="6" t="str">
        <f t="shared" si="23"/>
        <v/>
      </c>
      <c r="U211" s="6" t="str">
        <f t="shared" si="24"/>
        <v/>
      </c>
      <c r="AB211" s="13"/>
    </row>
    <row r="212" spans="17:28" ht="15.6" customHeight="1" x14ac:dyDescent="0.3">
      <c r="Q212" s="13" t="str">
        <f t="shared" si="20"/>
        <v/>
      </c>
      <c r="R212" s="6" t="str">
        <f t="shared" si="21"/>
        <v/>
      </c>
      <c r="S212" s="6" t="str">
        <f t="shared" si="22"/>
        <v/>
      </c>
      <c r="T212" s="6" t="str">
        <f t="shared" si="23"/>
        <v/>
      </c>
      <c r="U212" s="6" t="str">
        <f t="shared" si="24"/>
        <v/>
      </c>
      <c r="AB212" s="13"/>
    </row>
    <row r="213" spans="17:28" ht="15.6" customHeight="1" x14ac:dyDescent="0.3">
      <c r="Q213" s="13" t="str">
        <f t="shared" si="20"/>
        <v/>
      </c>
      <c r="R213" s="6" t="str">
        <f t="shared" si="21"/>
        <v/>
      </c>
      <c r="S213" s="6" t="str">
        <f t="shared" si="22"/>
        <v/>
      </c>
      <c r="T213" s="6" t="str">
        <f t="shared" si="23"/>
        <v/>
      </c>
      <c r="U213" s="6" t="str">
        <f t="shared" si="24"/>
        <v/>
      </c>
      <c r="AB213" s="13"/>
    </row>
    <row r="214" spans="17:28" ht="15.6" customHeight="1" x14ac:dyDescent="0.3">
      <c r="Q214" s="13" t="str">
        <f t="shared" si="20"/>
        <v/>
      </c>
      <c r="R214" s="6" t="str">
        <f t="shared" si="21"/>
        <v/>
      </c>
      <c r="S214" s="6" t="str">
        <f t="shared" si="22"/>
        <v/>
      </c>
      <c r="T214" s="6" t="str">
        <f t="shared" si="23"/>
        <v/>
      </c>
      <c r="U214" s="6" t="str">
        <f t="shared" si="24"/>
        <v/>
      </c>
      <c r="AB214" s="13"/>
    </row>
    <row r="215" spans="17:28" ht="15.6" customHeight="1" x14ac:dyDescent="0.3">
      <c r="Q215" s="13" t="str">
        <f t="shared" si="20"/>
        <v/>
      </c>
      <c r="R215" s="6" t="str">
        <f t="shared" si="21"/>
        <v/>
      </c>
      <c r="S215" s="6" t="str">
        <f t="shared" si="22"/>
        <v/>
      </c>
      <c r="T215" s="6" t="str">
        <f t="shared" si="23"/>
        <v/>
      </c>
      <c r="U215" s="6" t="str">
        <f t="shared" si="24"/>
        <v/>
      </c>
      <c r="AB215" s="13"/>
    </row>
    <row r="216" spans="17:28" ht="15.6" customHeight="1" x14ac:dyDescent="0.3">
      <c r="Q216" s="13" t="str">
        <f t="shared" si="20"/>
        <v/>
      </c>
      <c r="R216" s="6" t="str">
        <f t="shared" si="21"/>
        <v/>
      </c>
      <c r="S216" s="6" t="str">
        <f t="shared" si="22"/>
        <v/>
      </c>
      <c r="T216" s="6" t="str">
        <f t="shared" si="23"/>
        <v/>
      </c>
      <c r="U216" s="6" t="str">
        <f t="shared" si="24"/>
        <v/>
      </c>
      <c r="AB216" s="13"/>
    </row>
    <row r="217" spans="17:28" ht="15.6" customHeight="1" x14ac:dyDescent="0.3">
      <c r="Q217" s="13" t="str">
        <f t="shared" si="20"/>
        <v/>
      </c>
      <c r="R217" s="6" t="str">
        <f t="shared" si="21"/>
        <v/>
      </c>
      <c r="S217" s="6" t="str">
        <f t="shared" si="22"/>
        <v/>
      </c>
      <c r="T217" s="6" t="str">
        <f t="shared" si="23"/>
        <v/>
      </c>
      <c r="U217" s="6" t="str">
        <f t="shared" si="24"/>
        <v/>
      </c>
      <c r="AB217" s="13"/>
    </row>
    <row r="218" spans="17:28" ht="15.6" customHeight="1" x14ac:dyDescent="0.3">
      <c r="Q218" s="13" t="str">
        <f t="shared" si="20"/>
        <v/>
      </c>
      <c r="R218" s="6" t="str">
        <f t="shared" si="21"/>
        <v/>
      </c>
      <c r="S218" s="6" t="str">
        <f t="shared" si="22"/>
        <v/>
      </c>
      <c r="T218" s="6" t="str">
        <f t="shared" si="23"/>
        <v/>
      </c>
      <c r="U218" s="6" t="str">
        <f t="shared" si="24"/>
        <v/>
      </c>
      <c r="AB218" s="13"/>
    </row>
    <row r="219" spans="17:28" ht="15.6" customHeight="1" x14ac:dyDescent="0.3">
      <c r="Q219" s="13" t="str">
        <f t="shared" si="20"/>
        <v/>
      </c>
      <c r="R219" s="6" t="str">
        <f t="shared" si="21"/>
        <v/>
      </c>
      <c r="S219" s="6" t="str">
        <f t="shared" si="22"/>
        <v/>
      </c>
      <c r="T219" s="6" t="str">
        <f t="shared" si="23"/>
        <v/>
      </c>
      <c r="U219" s="6" t="str">
        <f t="shared" si="24"/>
        <v/>
      </c>
      <c r="AB219" s="13"/>
    </row>
    <row r="220" spans="17:28" ht="15.6" customHeight="1" x14ac:dyDescent="0.3">
      <c r="Q220" s="13" t="str">
        <f t="shared" si="20"/>
        <v/>
      </c>
      <c r="R220" s="6" t="str">
        <f t="shared" si="21"/>
        <v/>
      </c>
      <c r="S220" s="6" t="str">
        <f t="shared" si="22"/>
        <v/>
      </c>
      <c r="T220" s="6" t="str">
        <f t="shared" si="23"/>
        <v/>
      </c>
      <c r="U220" s="6" t="str">
        <f t="shared" si="24"/>
        <v/>
      </c>
      <c r="AB220" s="13"/>
    </row>
    <row r="221" spans="17:28" ht="15.6" customHeight="1" x14ac:dyDescent="0.3">
      <c r="Q221" s="13" t="str">
        <f t="shared" si="20"/>
        <v/>
      </c>
      <c r="R221" s="6" t="str">
        <f t="shared" si="21"/>
        <v/>
      </c>
      <c r="S221" s="6" t="str">
        <f t="shared" si="22"/>
        <v/>
      </c>
      <c r="T221" s="6" t="str">
        <f t="shared" si="23"/>
        <v/>
      </c>
      <c r="U221" s="6" t="str">
        <f t="shared" si="24"/>
        <v/>
      </c>
      <c r="AB221" s="13"/>
    </row>
    <row r="222" spans="17:28" ht="15.6" customHeight="1" x14ac:dyDescent="0.3">
      <c r="Q222" s="13" t="str">
        <f t="shared" si="20"/>
        <v/>
      </c>
      <c r="R222" s="6" t="str">
        <f t="shared" si="21"/>
        <v/>
      </c>
      <c r="S222" s="6" t="str">
        <f t="shared" si="22"/>
        <v/>
      </c>
      <c r="T222" s="6" t="str">
        <f t="shared" si="23"/>
        <v/>
      </c>
      <c r="U222" s="6" t="str">
        <f t="shared" si="24"/>
        <v/>
      </c>
      <c r="AB222" s="13"/>
    </row>
    <row r="223" spans="17:28" ht="15.6" customHeight="1" x14ac:dyDescent="0.3">
      <c r="Q223" s="13" t="str">
        <f t="shared" si="20"/>
        <v/>
      </c>
      <c r="R223" s="6" t="str">
        <f t="shared" si="21"/>
        <v/>
      </c>
      <c r="S223" s="6" t="str">
        <f t="shared" si="22"/>
        <v/>
      </c>
      <c r="T223" s="6" t="str">
        <f t="shared" si="23"/>
        <v/>
      </c>
      <c r="U223" s="6" t="str">
        <f t="shared" si="24"/>
        <v/>
      </c>
      <c r="AB223" s="13"/>
    </row>
    <row r="224" spans="17:28" ht="15.6" customHeight="1" x14ac:dyDescent="0.3">
      <c r="Q224" s="13" t="str">
        <f t="shared" si="20"/>
        <v/>
      </c>
      <c r="R224" s="6" t="str">
        <f t="shared" si="21"/>
        <v/>
      </c>
      <c r="S224" s="6" t="str">
        <f t="shared" si="22"/>
        <v/>
      </c>
      <c r="T224" s="6" t="str">
        <f t="shared" si="23"/>
        <v/>
      </c>
      <c r="U224" s="6" t="str">
        <f t="shared" si="24"/>
        <v/>
      </c>
      <c r="AB224" s="13"/>
    </row>
    <row r="225" spans="17:28" ht="15.6" customHeight="1" x14ac:dyDescent="0.3">
      <c r="Q225" s="13" t="str">
        <f t="shared" si="20"/>
        <v/>
      </c>
      <c r="R225" s="6" t="str">
        <f t="shared" si="21"/>
        <v/>
      </c>
      <c r="S225" s="6" t="str">
        <f t="shared" si="22"/>
        <v/>
      </c>
      <c r="T225" s="6" t="str">
        <f t="shared" si="23"/>
        <v/>
      </c>
      <c r="U225" s="6" t="str">
        <f t="shared" si="24"/>
        <v/>
      </c>
      <c r="AB225" s="13"/>
    </row>
    <row r="226" spans="17:28" ht="15.6" customHeight="1" x14ac:dyDescent="0.3">
      <c r="Q226" s="13" t="str">
        <f t="shared" si="20"/>
        <v/>
      </c>
      <c r="R226" s="6" t="str">
        <f t="shared" si="21"/>
        <v/>
      </c>
      <c r="S226" s="6" t="str">
        <f t="shared" si="22"/>
        <v/>
      </c>
      <c r="T226" s="6" t="str">
        <f t="shared" si="23"/>
        <v/>
      </c>
      <c r="U226" s="6" t="str">
        <f t="shared" si="24"/>
        <v/>
      </c>
      <c r="AB226" s="13"/>
    </row>
    <row r="227" spans="17:28" ht="15.6" customHeight="1" x14ac:dyDescent="0.3">
      <c r="Q227" s="13" t="str">
        <f t="shared" si="20"/>
        <v/>
      </c>
      <c r="R227" s="6" t="str">
        <f t="shared" si="21"/>
        <v/>
      </c>
      <c r="S227" s="6" t="str">
        <f t="shared" si="22"/>
        <v/>
      </c>
      <c r="T227" s="6" t="str">
        <f t="shared" si="23"/>
        <v/>
      </c>
      <c r="U227" s="6" t="str">
        <f t="shared" si="24"/>
        <v/>
      </c>
      <c r="AB227" s="13"/>
    </row>
    <row r="228" spans="17:28" ht="15.6" customHeight="1" x14ac:dyDescent="0.3">
      <c r="Q228" s="13" t="str">
        <f t="shared" si="20"/>
        <v/>
      </c>
      <c r="R228" s="6" t="str">
        <f t="shared" si="21"/>
        <v/>
      </c>
      <c r="S228" s="6" t="str">
        <f t="shared" si="22"/>
        <v/>
      </c>
      <c r="T228" s="6" t="str">
        <f t="shared" si="23"/>
        <v/>
      </c>
      <c r="U228" s="6" t="str">
        <f t="shared" si="24"/>
        <v/>
      </c>
      <c r="AB228" s="13"/>
    </row>
    <row r="229" spans="17:28" ht="15.6" customHeight="1" x14ac:dyDescent="0.3">
      <c r="Q229" s="13" t="str">
        <f t="shared" si="20"/>
        <v/>
      </c>
      <c r="R229" s="6" t="str">
        <f t="shared" si="21"/>
        <v/>
      </c>
      <c r="S229" s="6" t="str">
        <f t="shared" si="22"/>
        <v/>
      </c>
      <c r="T229" s="6" t="str">
        <f t="shared" si="23"/>
        <v/>
      </c>
      <c r="U229" s="6" t="str">
        <f t="shared" si="24"/>
        <v/>
      </c>
      <c r="AB229" s="13"/>
    </row>
    <row r="230" spans="17:28" ht="15.6" customHeight="1" x14ac:dyDescent="0.3">
      <c r="Q230" s="13" t="str">
        <f t="shared" si="20"/>
        <v/>
      </c>
      <c r="R230" s="6" t="str">
        <f t="shared" si="21"/>
        <v/>
      </c>
      <c r="S230" s="6" t="str">
        <f t="shared" si="22"/>
        <v/>
      </c>
      <c r="T230" s="6" t="str">
        <f t="shared" si="23"/>
        <v/>
      </c>
      <c r="U230" s="6" t="str">
        <f t="shared" si="24"/>
        <v/>
      </c>
      <c r="AB230" s="13"/>
    </row>
    <row r="231" spans="17:28" ht="15.6" customHeight="1" x14ac:dyDescent="0.3">
      <c r="Q231" s="13" t="str">
        <f t="shared" si="20"/>
        <v/>
      </c>
      <c r="R231" s="6" t="str">
        <f t="shared" si="21"/>
        <v/>
      </c>
      <c r="S231" s="6" t="str">
        <f t="shared" si="22"/>
        <v/>
      </c>
      <c r="T231" s="6" t="str">
        <f t="shared" si="23"/>
        <v/>
      </c>
      <c r="U231" s="6" t="str">
        <f t="shared" si="24"/>
        <v/>
      </c>
      <c r="AB231" s="13"/>
    </row>
    <row r="232" spans="17:28" ht="15.6" customHeight="1" x14ac:dyDescent="0.3">
      <c r="Q232" s="13" t="str">
        <f t="shared" si="20"/>
        <v/>
      </c>
      <c r="R232" s="6" t="str">
        <f t="shared" si="21"/>
        <v/>
      </c>
      <c r="S232" s="6" t="str">
        <f t="shared" si="22"/>
        <v/>
      </c>
      <c r="T232" s="6" t="str">
        <f t="shared" si="23"/>
        <v/>
      </c>
      <c r="U232" s="6" t="str">
        <f t="shared" si="24"/>
        <v/>
      </c>
      <c r="AB232" s="13"/>
    </row>
    <row r="233" spans="17:28" ht="15.6" customHeight="1" x14ac:dyDescent="0.3">
      <c r="Q233" s="13" t="str">
        <f t="shared" si="20"/>
        <v/>
      </c>
      <c r="R233" s="6" t="str">
        <f t="shared" si="21"/>
        <v/>
      </c>
      <c r="S233" s="6" t="str">
        <f t="shared" si="22"/>
        <v/>
      </c>
      <c r="T233" s="6" t="str">
        <f t="shared" si="23"/>
        <v/>
      </c>
      <c r="U233" s="6" t="str">
        <f t="shared" si="24"/>
        <v/>
      </c>
      <c r="AB233" s="13"/>
    </row>
    <row r="234" spans="17:28" ht="15.6" customHeight="1" x14ac:dyDescent="0.3">
      <c r="Q234" s="13" t="str">
        <f t="shared" si="20"/>
        <v/>
      </c>
      <c r="R234" s="6" t="str">
        <f t="shared" si="21"/>
        <v/>
      </c>
      <c r="S234" s="6" t="str">
        <f t="shared" si="22"/>
        <v/>
      </c>
      <c r="T234" s="6" t="str">
        <f t="shared" si="23"/>
        <v/>
      </c>
      <c r="U234" s="6" t="str">
        <f t="shared" si="24"/>
        <v/>
      </c>
      <c r="AB234" s="13"/>
    </row>
    <row r="235" spans="17:28" ht="15.6" customHeight="1" x14ac:dyDescent="0.3">
      <c r="Q235" s="13" t="str">
        <f t="shared" si="20"/>
        <v/>
      </c>
      <c r="R235" s="6" t="str">
        <f t="shared" si="21"/>
        <v/>
      </c>
      <c r="S235" s="6" t="str">
        <f t="shared" si="22"/>
        <v/>
      </c>
      <c r="T235" s="6" t="str">
        <f t="shared" si="23"/>
        <v/>
      </c>
      <c r="U235" s="6" t="str">
        <f t="shared" si="24"/>
        <v/>
      </c>
      <c r="AB235" s="13"/>
    </row>
    <row r="236" spans="17:28" ht="15.6" customHeight="1" x14ac:dyDescent="0.3">
      <c r="Q236" s="13" t="str">
        <f t="shared" si="20"/>
        <v/>
      </c>
      <c r="R236" s="6" t="str">
        <f t="shared" si="21"/>
        <v/>
      </c>
      <c r="S236" s="6" t="str">
        <f t="shared" si="22"/>
        <v/>
      </c>
      <c r="T236" s="6" t="str">
        <f t="shared" si="23"/>
        <v/>
      </c>
      <c r="U236" s="6" t="str">
        <f t="shared" si="24"/>
        <v/>
      </c>
      <c r="AB236" s="13"/>
    </row>
    <row r="237" spans="17:28" ht="15.6" customHeight="1" x14ac:dyDescent="0.3">
      <c r="Q237" s="13" t="str">
        <f t="shared" si="20"/>
        <v/>
      </c>
      <c r="R237" s="6" t="str">
        <f t="shared" si="21"/>
        <v/>
      </c>
      <c r="S237" s="6" t="str">
        <f t="shared" si="22"/>
        <v/>
      </c>
      <c r="T237" s="6" t="str">
        <f t="shared" si="23"/>
        <v/>
      </c>
      <c r="U237" s="6" t="str">
        <f t="shared" si="24"/>
        <v/>
      </c>
      <c r="AB237" s="13"/>
    </row>
    <row r="238" spans="17:28" ht="15.6" customHeight="1" x14ac:dyDescent="0.3">
      <c r="Q238" s="13" t="str">
        <f t="shared" si="20"/>
        <v/>
      </c>
      <c r="R238" s="6" t="str">
        <f t="shared" si="21"/>
        <v/>
      </c>
      <c r="S238" s="6" t="str">
        <f t="shared" si="22"/>
        <v/>
      </c>
      <c r="T238" s="6" t="str">
        <f t="shared" si="23"/>
        <v/>
      </c>
      <c r="U238" s="6" t="str">
        <f t="shared" si="24"/>
        <v/>
      </c>
      <c r="AB238" s="13"/>
    </row>
    <row r="239" spans="17:28" ht="15.6" customHeight="1" x14ac:dyDescent="0.3">
      <c r="Q239" s="13" t="str">
        <f t="shared" si="20"/>
        <v/>
      </c>
      <c r="R239" s="6" t="str">
        <f t="shared" si="21"/>
        <v/>
      </c>
      <c r="S239" s="6" t="str">
        <f t="shared" si="22"/>
        <v/>
      </c>
      <c r="T239" s="6" t="str">
        <f t="shared" si="23"/>
        <v/>
      </c>
      <c r="U239" s="6" t="str">
        <f t="shared" si="24"/>
        <v/>
      </c>
      <c r="AB239" s="13"/>
    </row>
    <row r="240" spans="17:28" ht="15.6" customHeight="1" x14ac:dyDescent="0.3">
      <c r="Q240" s="13" t="str">
        <f t="shared" si="20"/>
        <v/>
      </c>
      <c r="R240" s="6" t="str">
        <f t="shared" si="21"/>
        <v/>
      </c>
      <c r="S240" s="6" t="str">
        <f t="shared" si="22"/>
        <v/>
      </c>
      <c r="T240" s="6" t="str">
        <f t="shared" si="23"/>
        <v/>
      </c>
      <c r="U240" s="6" t="str">
        <f t="shared" si="24"/>
        <v/>
      </c>
      <c r="AB240" s="13"/>
    </row>
    <row r="241" spans="17:28" ht="15.6" customHeight="1" x14ac:dyDescent="0.3">
      <c r="Q241" s="13" t="str">
        <f t="shared" si="20"/>
        <v/>
      </c>
      <c r="R241" s="6" t="str">
        <f t="shared" si="21"/>
        <v/>
      </c>
      <c r="S241" s="6" t="str">
        <f t="shared" si="22"/>
        <v/>
      </c>
      <c r="T241" s="6" t="str">
        <f t="shared" si="23"/>
        <v/>
      </c>
      <c r="U241" s="6" t="str">
        <f t="shared" si="24"/>
        <v/>
      </c>
      <c r="AB241" s="13"/>
    </row>
    <row r="242" spans="17:28" ht="15.6" customHeight="1" x14ac:dyDescent="0.3">
      <c r="Q242" s="13" t="str">
        <f t="shared" si="20"/>
        <v/>
      </c>
      <c r="R242" s="6" t="str">
        <f t="shared" si="21"/>
        <v/>
      </c>
      <c r="S242" s="6" t="str">
        <f t="shared" si="22"/>
        <v/>
      </c>
      <c r="T242" s="6" t="str">
        <f t="shared" si="23"/>
        <v/>
      </c>
      <c r="U242" s="6" t="str">
        <f t="shared" si="24"/>
        <v/>
      </c>
      <c r="AB242" s="13"/>
    </row>
    <row r="243" spans="17:28" ht="15.6" customHeight="1" x14ac:dyDescent="0.3">
      <c r="Q243" s="13" t="str">
        <f t="shared" si="20"/>
        <v/>
      </c>
      <c r="R243" s="6" t="str">
        <f t="shared" si="21"/>
        <v/>
      </c>
      <c r="S243" s="6" t="str">
        <f t="shared" si="22"/>
        <v/>
      </c>
      <c r="T243" s="6" t="str">
        <f t="shared" si="23"/>
        <v/>
      </c>
      <c r="U243" s="6" t="str">
        <f t="shared" si="24"/>
        <v/>
      </c>
      <c r="AB243" s="13"/>
    </row>
    <row r="244" spans="17:28" ht="15.6" customHeight="1" x14ac:dyDescent="0.3">
      <c r="Q244" s="13" t="str">
        <f t="shared" si="20"/>
        <v/>
      </c>
      <c r="R244" s="6" t="str">
        <f t="shared" si="21"/>
        <v/>
      </c>
      <c r="S244" s="6" t="str">
        <f t="shared" si="22"/>
        <v/>
      </c>
      <c r="T244" s="6" t="str">
        <f t="shared" si="23"/>
        <v/>
      </c>
      <c r="U244" s="6" t="str">
        <f t="shared" si="24"/>
        <v/>
      </c>
      <c r="AB244" s="13"/>
    </row>
    <row r="245" spans="17:28" ht="15.6" customHeight="1" x14ac:dyDescent="0.3">
      <c r="Q245" s="13" t="str">
        <f t="shared" si="20"/>
        <v/>
      </c>
      <c r="R245" s="6" t="str">
        <f t="shared" si="21"/>
        <v/>
      </c>
      <c r="S245" s="6" t="str">
        <f t="shared" si="22"/>
        <v/>
      </c>
      <c r="T245" s="6" t="str">
        <f t="shared" si="23"/>
        <v/>
      </c>
      <c r="U245" s="6" t="str">
        <f t="shared" si="24"/>
        <v/>
      </c>
      <c r="AB245" s="13"/>
    </row>
    <row r="246" spans="17:28" ht="15.6" customHeight="1" x14ac:dyDescent="0.3">
      <c r="Q246" s="13" t="str">
        <f t="shared" si="20"/>
        <v/>
      </c>
      <c r="R246" s="6" t="str">
        <f t="shared" si="21"/>
        <v/>
      </c>
      <c r="S246" s="6" t="str">
        <f t="shared" si="22"/>
        <v/>
      </c>
      <c r="T246" s="6" t="str">
        <f t="shared" si="23"/>
        <v/>
      </c>
      <c r="U246" s="6" t="str">
        <f t="shared" si="24"/>
        <v/>
      </c>
      <c r="AB246" s="13"/>
    </row>
    <row r="247" spans="17:28" ht="15.6" customHeight="1" x14ac:dyDescent="0.3">
      <c r="Q247" s="13" t="str">
        <f t="shared" si="20"/>
        <v/>
      </c>
      <c r="R247" s="6" t="str">
        <f t="shared" si="21"/>
        <v/>
      </c>
      <c r="S247" s="6" t="str">
        <f t="shared" si="22"/>
        <v/>
      </c>
      <c r="T247" s="6" t="str">
        <f t="shared" si="23"/>
        <v/>
      </c>
      <c r="U247" s="6" t="str">
        <f t="shared" si="24"/>
        <v/>
      </c>
      <c r="AB247" s="13"/>
    </row>
    <row r="248" spans="17:28" ht="15.6" customHeight="1" x14ac:dyDescent="0.3">
      <c r="Q248" s="13" t="str">
        <f t="shared" si="20"/>
        <v/>
      </c>
      <c r="R248" s="6" t="str">
        <f t="shared" si="21"/>
        <v/>
      </c>
      <c r="S248" s="6" t="str">
        <f t="shared" si="22"/>
        <v/>
      </c>
      <c r="T248" s="6" t="str">
        <f t="shared" si="23"/>
        <v/>
      </c>
      <c r="U248" s="6" t="str">
        <f t="shared" si="24"/>
        <v/>
      </c>
      <c r="AB248" s="13"/>
    </row>
    <row r="249" spans="17:28" ht="15.6" customHeight="1" x14ac:dyDescent="0.3">
      <c r="Q249" s="13" t="str">
        <f t="shared" si="20"/>
        <v/>
      </c>
      <c r="R249" s="6" t="str">
        <f t="shared" si="21"/>
        <v/>
      </c>
      <c r="S249" s="6" t="str">
        <f t="shared" si="22"/>
        <v/>
      </c>
      <c r="T249" s="6" t="str">
        <f t="shared" si="23"/>
        <v/>
      </c>
      <c r="U249" s="6" t="str">
        <f t="shared" si="24"/>
        <v/>
      </c>
      <c r="AB249" s="13"/>
    </row>
    <row r="250" spans="17:28" ht="15.6" customHeight="1" x14ac:dyDescent="0.3">
      <c r="Q250" s="13" t="str">
        <f t="shared" si="20"/>
        <v/>
      </c>
      <c r="R250" s="6" t="str">
        <f t="shared" si="21"/>
        <v/>
      </c>
      <c r="S250" s="6" t="str">
        <f t="shared" si="22"/>
        <v/>
      </c>
      <c r="T250" s="6" t="str">
        <f t="shared" si="23"/>
        <v/>
      </c>
      <c r="U250" s="6" t="str">
        <f t="shared" si="24"/>
        <v/>
      </c>
      <c r="AB250" s="13"/>
    </row>
    <row r="251" spans="17:28" ht="15.6" customHeight="1" x14ac:dyDescent="0.3">
      <c r="Q251" s="13" t="str">
        <f t="shared" si="20"/>
        <v/>
      </c>
      <c r="R251" s="6" t="str">
        <f t="shared" si="21"/>
        <v/>
      </c>
      <c r="S251" s="6" t="str">
        <f t="shared" si="22"/>
        <v/>
      </c>
      <c r="T251" s="6" t="str">
        <f t="shared" si="23"/>
        <v/>
      </c>
      <c r="U251" s="6" t="str">
        <f t="shared" si="24"/>
        <v/>
      </c>
      <c r="AB251" s="13"/>
    </row>
    <row r="252" spans="17:28" ht="15.6" customHeight="1" x14ac:dyDescent="0.3">
      <c r="Q252" s="13" t="str">
        <f t="shared" si="20"/>
        <v/>
      </c>
      <c r="R252" s="6" t="str">
        <f t="shared" si="21"/>
        <v/>
      </c>
      <c r="S252" s="6" t="str">
        <f t="shared" si="22"/>
        <v/>
      </c>
      <c r="T252" s="6" t="str">
        <f t="shared" si="23"/>
        <v/>
      </c>
      <c r="U252" s="6" t="str">
        <f t="shared" si="24"/>
        <v/>
      </c>
      <c r="AB252" s="13"/>
    </row>
    <row r="253" spans="17:28" ht="15.6" customHeight="1" x14ac:dyDescent="0.3">
      <c r="Q253" s="13" t="str">
        <f t="shared" si="20"/>
        <v/>
      </c>
      <c r="R253" s="6" t="str">
        <f t="shared" si="21"/>
        <v/>
      </c>
      <c r="S253" s="6" t="str">
        <f t="shared" si="22"/>
        <v/>
      </c>
      <c r="T253" s="6" t="str">
        <f t="shared" si="23"/>
        <v/>
      </c>
      <c r="U253" s="6" t="str">
        <f t="shared" si="24"/>
        <v/>
      </c>
      <c r="AB253" s="13"/>
    </row>
    <row r="254" spans="17:28" ht="15.6" customHeight="1" x14ac:dyDescent="0.3">
      <c r="Q254" s="13" t="str">
        <f t="shared" si="20"/>
        <v/>
      </c>
      <c r="R254" s="6" t="str">
        <f t="shared" si="21"/>
        <v/>
      </c>
      <c r="S254" s="6" t="str">
        <f t="shared" si="22"/>
        <v/>
      </c>
      <c r="T254" s="6" t="str">
        <f t="shared" si="23"/>
        <v/>
      </c>
      <c r="U254" s="6" t="str">
        <f t="shared" si="24"/>
        <v/>
      </c>
      <c r="AB254" s="13"/>
    </row>
    <row r="255" spans="17:28" ht="15.6" customHeight="1" x14ac:dyDescent="0.3">
      <c r="Q255" s="13" t="str">
        <f t="shared" si="20"/>
        <v/>
      </c>
      <c r="R255" s="6" t="str">
        <f t="shared" si="21"/>
        <v/>
      </c>
      <c r="S255" s="6" t="str">
        <f t="shared" si="22"/>
        <v/>
      </c>
      <c r="T255" s="6" t="str">
        <f t="shared" si="23"/>
        <v/>
      </c>
      <c r="U255" s="6" t="str">
        <f t="shared" si="24"/>
        <v/>
      </c>
      <c r="AB255" s="13"/>
    </row>
    <row r="256" spans="17:28" ht="15.6" customHeight="1" x14ac:dyDescent="0.3">
      <c r="Q256" s="13" t="str">
        <f t="shared" si="20"/>
        <v/>
      </c>
      <c r="R256" s="6" t="str">
        <f t="shared" si="21"/>
        <v/>
      </c>
      <c r="S256" s="6" t="str">
        <f t="shared" si="22"/>
        <v/>
      </c>
      <c r="T256" s="6" t="str">
        <f t="shared" si="23"/>
        <v/>
      </c>
      <c r="U256" s="6" t="str">
        <f t="shared" si="24"/>
        <v/>
      </c>
      <c r="AB256" s="13"/>
    </row>
    <row r="257" spans="17:28" ht="15.6" customHeight="1" x14ac:dyDescent="0.3">
      <c r="Q257" s="13" t="str">
        <f t="shared" si="20"/>
        <v/>
      </c>
      <c r="R257" s="6" t="str">
        <f t="shared" si="21"/>
        <v/>
      </c>
      <c r="S257" s="6" t="str">
        <f t="shared" si="22"/>
        <v/>
      </c>
      <c r="T257" s="6" t="str">
        <f t="shared" si="23"/>
        <v/>
      </c>
      <c r="U257" s="6" t="str">
        <f t="shared" si="24"/>
        <v/>
      </c>
      <c r="AB257" s="13"/>
    </row>
    <row r="258" spans="17:28" ht="15.6" customHeight="1" x14ac:dyDescent="0.3">
      <c r="Q258" s="13" t="str">
        <f t="shared" si="20"/>
        <v/>
      </c>
      <c r="R258" s="6" t="str">
        <f t="shared" si="21"/>
        <v/>
      </c>
      <c r="S258" s="6" t="str">
        <f t="shared" si="22"/>
        <v/>
      </c>
      <c r="T258" s="6" t="str">
        <f t="shared" si="23"/>
        <v/>
      </c>
      <c r="U258" s="6" t="str">
        <f t="shared" si="24"/>
        <v/>
      </c>
      <c r="AB258" s="13"/>
    </row>
    <row r="259" spans="17:28" ht="15.6" customHeight="1" x14ac:dyDescent="0.3">
      <c r="Q259" s="13" t="str">
        <f t="shared" si="20"/>
        <v/>
      </c>
      <c r="R259" s="6" t="str">
        <f t="shared" si="21"/>
        <v/>
      </c>
      <c r="S259" s="6" t="str">
        <f t="shared" si="22"/>
        <v/>
      </c>
      <c r="T259" s="6" t="str">
        <f t="shared" si="23"/>
        <v/>
      </c>
      <c r="U259" s="6" t="str">
        <f t="shared" si="24"/>
        <v/>
      </c>
      <c r="AB259" s="13"/>
    </row>
    <row r="260" spans="17:28" ht="15.6" customHeight="1" x14ac:dyDescent="0.3">
      <c r="Q260" s="13" t="str">
        <f t="shared" ref="Q260:Q323" si="25">IF(K260="","",VLOOKUP(K260,$A$4:$H$22,8,FALSE))</f>
        <v/>
      </c>
      <c r="R260" s="6" t="str">
        <f t="shared" ref="R260:R323" si="26">IF(L260="","",VLOOKUP(L260,$A$4:$H$22,8,FALSE))</f>
        <v/>
      </c>
      <c r="S260" s="6" t="str">
        <f t="shared" ref="S260:S323" si="27">IF(M260="","",VLOOKUP(M260,$A$4:$H$22,8,FALSE))</f>
        <v/>
      </c>
      <c r="T260" s="6" t="str">
        <f t="shared" ref="T260:T323" si="28">IF(N260="","",VLOOKUP(N260,$A$4:$H$22,8,FALSE))</f>
        <v/>
      </c>
      <c r="U260" s="6" t="str">
        <f t="shared" ref="U260:U323" si="29">IF(O260="","",VLOOKUP(O260,$A$4:$H$22,8,FALSE))</f>
        <v/>
      </c>
      <c r="AB260" s="13"/>
    </row>
    <row r="261" spans="17:28" ht="15.6" customHeight="1" x14ac:dyDescent="0.3">
      <c r="Q261" s="13" t="str">
        <f t="shared" si="25"/>
        <v/>
      </c>
      <c r="R261" s="6" t="str">
        <f t="shared" si="26"/>
        <v/>
      </c>
      <c r="S261" s="6" t="str">
        <f t="shared" si="27"/>
        <v/>
      </c>
      <c r="T261" s="6" t="str">
        <f t="shared" si="28"/>
        <v/>
      </c>
      <c r="U261" s="6" t="str">
        <f t="shared" si="29"/>
        <v/>
      </c>
      <c r="AB261" s="13"/>
    </row>
    <row r="262" spans="17:28" ht="15.6" customHeight="1" x14ac:dyDescent="0.3">
      <c r="Q262" s="13" t="str">
        <f t="shared" si="25"/>
        <v/>
      </c>
      <c r="R262" s="6" t="str">
        <f t="shared" si="26"/>
        <v/>
      </c>
      <c r="S262" s="6" t="str">
        <f t="shared" si="27"/>
        <v/>
      </c>
      <c r="T262" s="6" t="str">
        <f t="shared" si="28"/>
        <v/>
      </c>
      <c r="U262" s="6" t="str">
        <f t="shared" si="29"/>
        <v/>
      </c>
      <c r="AB262" s="13"/>
    </row>
    <row r="263" spans="17:28" ht="15.6" customHeight="1" x14ac:dyDescent="0.3">
      <c r="Q263" s="13" t="str">
        <f t="shared" si="25"/>
        <v/>
      </c>
      <c r="R263" s="6" t="str">
        <f t="shared" si="26"/>
        <v/>
      </c>
      <c r="S263" s="6" t="str">
        <f t="shared" si="27"/>
        <v/>
      </c>
      <c r="T263" s="6" t="str">
        <f t="shared" si="28"/>
        <v/>
      </c>
      <c r="U263" s="6" t="str">
        <f t="shared" si="29"/>
        <v/>
      </c>
      <c r="AB263" s="13"/>
    </row>
    <row r="264" spans="17:28" ht="15.6" customHeight="1" x14ac:dyDescent="0.3">
      <c r="Q264" s="13" t="str">
        <f t="shared" si="25"/>
        <v/>
      </c>
      <c r="R264" s="6" t="str">
        <f t="shared" si="26"/>
        <v/>
      </c>
      <c r="S264" s="6" t="str">
        <f t="shared" si="27"/>
        <v/>
      </c>
      <c r="T264" s="6" t="str">
        <f t="shared" si="28"/>
        <v/>
      </c>
      <c r="U264" s="6" t="str">
        <f t="shared" si="29"/>
        <v/>
      </c>
      <c r="AB264" s="13"/>
    </row>
    <row r="265" spans="17:28" ht="15.6" customHeight="1" x14ac:dyDescent="0.3">
      <c r="Q265" s="13" t="str">
        <f t="shared" si="25"/>
        <v/>
      </c>
      <c r="R265" s="6" t="str">
        <f t="shared" si="26"/>
        <v/>
      </c>
      <c r="S265" s="6" t="str">
        <f t="shared" si="27"/>
        <v/>
      </c>
      <c r="T265" s="6" t="str">
        <f t="shared" si="28"/>
        <v/>
      </c>
      <c r="U265" s="6" t="str">
        <f t="shared" si="29"/>
        <v/>
      </c>
      <c r="AB265" s="13"/>
    </row>
    <row r="266" spans="17:28" ht="15.6" customHeight="1" x14ac:dyDescent="0.3">
      <c r="Q266" s="13" t="str">
        <f t="shared" si="25"/>
        <v/>
      </c>
      <c r="R266" s="6" t="str">
        <f t="shared" si="26"/>
        <v/>
      </c>
      <c r="S266" s="6" t="str">
        <f t="shared" si="27"/>
        <v/>
      </c>
      <c r="T266" s="6" t="str">
        <f t="shared" si="28"/>
        <v/>
      </c>
      <c r="U266" s="6" t="str">
        <f t="shared" si="29"/>
        <v/>
      </c>
      <c r="AB266" s="13"/>
    </row>
    <row r="267" spans="17:28" ht="15.6" customHeight="1" x14ac:dyDescent="0.3">
      <c r="Q267" s="13" t="str">
        <f t="shared" si="25"/>
        <v/>
      </c>
      <c r="R267" s="6" t="str">
        <f t="shared" si="26"/>
        <v/>
      </c>
      <c r="S267" s="6" t="str">
        <f t="shared" si="27"/>
        <v/>
      </c>
      <c r="T267" s="6" t="str">
        <f t="shared" si="28"/>
        <v/>
      </c>
      <c r="U267" s="6" t="str">
        <f t="shared" si="29"/>
        <v/>
      </c>
      <c r="AB267" s="13"/>
    </row>
    <row r="268" spans="17:28" ht="15.6" customHeight="1" x14ac:dyDescent="0.3">
      <c r="Q268" s="13" t="str">
        <f t="shared" si="25"/>
        <v/>
      </c>
      <c r="R268" s="6" t="str">
        <f t="shared" si="26"/>
        <v/>
      </c>
      <c r="S268" s="6" t="str">
        <f t="shared" si="27"/>
        <v/>
      </c>
      <c r="T268" s="6" t="str">
        <f t="shared" si="28"/>
        <v/>
      </c>
      <c r="U268" s="6" t="str">
        <f t="shared" si="29"/>
        <v/>
      </c>
      <c r="AB268" s="13"/>
    </row>
    <row r="269" spans="17:28" ht="15.6" customHeight="1" x14ac:dyDescent="0.3">
      <c r="Q269" s="13" t="str">
        <f t="shared" si="25"/>
        <v/>
      </c>
      <c r="R269" s="6" t="str">
        <f t="shared" si="26"/>
        <v/>
      </c>
      <c r="S269" s="6" t="str">
        <f t="shared" si="27"/>
        <v/>
      </c>
      <c r="T269" s="6" t="str">
        <f t="shared" si="28"/>
        <v/>
      </c>
      <c r="U269" s="6" t="str">
        <f t="shared" si="29"/>
        <v/>
      </c>
      <c r="AB269" s="13"/>
    </row>
    <row r="270" spans="17:28" ht="15.6" customHeight="1" x14ac:dyDescent="0.3">
      <c r="Q270" s="13" t="str">
        <f t="shared" si="25"/>
        <v/>
      </c>
      <c r="R270" s="6" t="str">
        <f t="shared" si="26"/>
        <v/>
      </c>
      <c r="S270" s="6" t="str">
        <f t="shared" si="27"/>
        <v/>
      </c>
      <c r="T270" s="6" t="str">
        <f t="shared" si="28"/>
        <v/>
      </c>
      <c r="U270" s="6" t="str">
        <f t="shared" si="29"/>
        <v/>
      </c>
      <c r="AB270" s="13"/>
    </row>
    <row r="271" spans="17:28" ht="15.6" customHeight="1" x14ac:dyDescent="0.3">
      <c r="Q271" s="13" t="str">
        <f t="shared" si="25"/>
        <v/>
      </c>
      <c r="R271" s="6" t="str">
        <f t="shared" si="26"/>
        <v/>
      </c>
      <c r="S271" s="6" t="str">
        <f t="shared" si="27"/>
        <v/>
      </c>
      <c r="T271" s="6" t="str">
        <f t="shared" si="28"/>
        <v/>
      </c>
      <c r="U271" s="6" t="str">
        <f t="shared" si="29"/>
        <v/>
      </c>
      <c r="AB271" s="13"/>
    </row>
    <row r="272" spans="17:28" ht="15.6" customHeight="1" x14ac:dyDescent="0.3">
      <c r="Q272" s="13" t="str">
        <f t="shared" si="25"/>
        <v/>
      </c>
      <c r="R272" s="6" t="str">
        <f t="shared" si="26"/>
        <v/>
      </c>
      <c r="S272" s="6" t="str">
        <f t="shared" si="27"/>
        <v/>
      </c>
      <c r="T272" s="6" t="str">
        <f t="shared" si="28"/>
        <v/>
      </c>
      <c r="U272" s="6" t="str">
        <f t="shared" si="29"/>
        <v/>
      </c>
      <c r="AB272" s="13"/>
    </row>
    <row r="273" spans="17:28" ht="15.6" customHeight="1" x14ac:dyDescent="0.3">
      <c r="Q273" s="13" t="str">
        <f t="shared" si="25"/>
        <v/>
      </c>
      <c r="R273" s="6" t="str">
        <f t="shared" si="26"/>
        <v/>
      </c>
      <c r="S273" s="6" t="str">
        <f t="shared" si="27"/>
        <v/>
      </c>
      <c r="T273" s="6" t="str">
        <f t="shared" si="28"/>
        <v/>
      </c>
      <c r="U273" s="6" t="str">
        <f t="shared" si="29"/>
        <v/>
      </c>
      <c r="AB273" s="13"/>
    </row>
    <row r="274" spans="17:28" ht="15.6" customHeight="1" x14ac:dyDescent="0.3">
      <c r="Q274" s="13" t="str">
        <f t="shared" si="25"/>
        <v/>
      </c>
      <c r="R274" s="6" t="str">
        <f t="shared" si="26"/>
        <v/>
      </c>
      <c r="S274" s="6" t="str">
        <f t="shared" si="27"/>
        <v/>
      </c>
      <c r="T274" s="6" t="str">
        <f t="shared" si="28"/>
        <v/>
      </c>
      <c r="U274" s="6" t="str">
        <f t="shared" si="29"/>
        <v/>
      </c>
      <c r="AB274" s="13"/>
    </row>
    <row r="275" spans="17:28" ht="15.6" customHeight="1" x14ac:dyDescent="0.3">
      <c r="Q275" s="13" t="str">
        <f t="shared" si="25"/>
        <v/>
      </c>
      <c r="R275" s="6" t="str">
        <f t="shared" si="26"/>
        <v/>
      </c>
      <c r="S275" s="6" t="str">
        <f t="shared" si="27"/>
        <v/>
      </c>
      <c r="T275" s="6" t="str">
        <f t="shared" si="28"/>
        <v/>
      </c>
      <c r="U275" s="6" t="str">
        <f t="shared" si="29"/>
        <v/>
      </c>
      <c r="AB275" s="13"/>
    </row>
    <row r="276" spans="17:28" ht="15.6" customHeight="1" x14ac:dyDescent="0.3">
      <c r="Q276" s="13" t="str">
        <f t="shared" si="25"/>
        <v/>
      </c>
      <c r="R276" s="6" t="str">
        <f t="shared" si="26"/>
        <v/>
      </c>
      <c r="S276" s="6" t="str">
        <f t="shared" si="27"/>
        <v/>
      </c>
      <c r="T276" s="6" t="str">
        <f t="shared" si="28"/>
        <v/>
      </c>
      <c r="U276" s="6" t="str">
        <f t="shared" si="29"/>
        <v/>
      </c>
      <c r="AB276" s="13"/>
    </row>
    <row r="277" spans="17:28" ht="15.6" customHeight="1" x14ac:dyDescent="0.3">
      <c r="Q277" s="13" t="str">
        <f t="shared" si="25"/>
        <v/>
      </c>
      <c r="R277" s="6" t="str">
        <f t="shared" si="26"/>
        <v/>
      </c>
      <c r="S277" s="6" t="str">
        <f t="shared" si="27"/>
        <v/>
      </c>
      <c r="T277" s="6" t="str">
        <f t="shared" si="28"/>
        <v/>
      </c>
      <c r="U277" s="6" t="str">
        <f t="shared" si="29"/>
        <v/>
      </c>
      <c r="AB277" s="13"/>
    </row>
    <row r="278" spans="17:28" ht="15.6" customHeight="1" x14ac:dyDescent="0.3">
      <c r="Q278" s="13" t="str">
        <f t="shared" si="25"/>
        <v/>
      </c>
      <c r="R278" s="6" t="str">
        <f t="shared" si="26"/>
        <v/>
      </c>
      <c r="S278" s="6" t="str">
        <f t="shared" si="27"/>
        <v/>
      </c>
      <c r="T278" s="6" t="str">
        <f t="shared" si="28"/>
        <v/>
      </c>
      <c r="U278" s="6" t="str">
        <f t="shared" si="29"/>
        <v/>
      </c>
      <c r="AB278" s="13"/>
    </row>
    <row r="279" spans="17:28" ht="15.6" customHeight="1" x14ac:dyDescent="0.3">
      <c r="Q279" s="13" t="str">
        <f t="shared" si="25"/>
        <v/>
      </c>
      <c r="R279" s="6" t="str">
        <f t="shared" si="26"/>
        <v/>
      </c>
      <c r="S279" s="6" t="str">
        <f t="shared" si="27"/>
        <v/>
      </c>
      <c r="T279" s="6" t="str">
        <f t="shared" si="28"/>
        <v/>
      </c>
      <c r="U279" s="6" t="str">
        <f t="shared" si="29"/>
        <v/>
      </c>
      <c r="AB279" s="13"/>
    </row>
    <row r="280" spans="17:28" ht="15.6" customHeight="1" x14ac:dyDescent="0.3">
      <c r="Q280" s="13" t="str">
        <f t="shared" si="25"/>
        <v/>
      </c>
      <c r="R280" s="6" t="str">
        <f t="shared" si="26"/>
        <v/>
      </c>
      <c r="S280" s="6" t="str">
        <f t="shared" si="27"/>
        <v/>
      </c>
      <c r="T280" s="6" t="str">
        <f t="shared" si="28"/>
        <v/>
      </c>
      <c r="U280" s="6" t="str">
        <f t="shared" si="29"/>
        <v/>
      </c>
      <c r="AB280" s="13"/>
    </row>
    <row r="281" spans="17:28" ht="15.6" customHeight="1" x14ac:dyDescent="0.3">
      <c r="Q281" s="13" t="str">
        <f t="shared" si="25"/>
        <v/>
      </c>
      <c r="R281" s="6" t="str">
        <f t="shared" si="26"/>
        <v/>
      </c>
      <c r="S281" s="6" t="str">
        <f t="shared" si="27"/>
        <v/>
      </c>
      <c r="T281" s="6" t="str">
        <f t="shared" si="28"/>
        <v/>
      </c>
      <c r="U281" s="6" t="str">
        <f t="shared" si="29"/>
        <v/>
      </c>
      <c r="AB281" s="13"/>
    </row>
    <row r="282" spans="17:28" ht="15.6" customHeight="1" x14ac:dyDescent="0.3">
      <c r="Q282" s="13" t="str">
        <f t="shared" si="25"/>
        <v/>
      </c>
      <c r="R282" s="6" t="str">
        <f t="shared" si="26"/>
        <v/>
      </c>
      <c r="S282" s="6" t="str">
        <f t="shared" si="27"/>
        <v/>
      </c>
      <c r="T282" s="6" t="str">
        <f t="shared" si="28"/>
        <v/>
      </c>
      <c r="U282" s="6" t="str">
        <f t="shared" si="29"/>
        <v/>
      </c>
      <c r="AB282" s="13"/>
    </row>
    <row r="283" spans="17:28" ht="15.6" customHeight="1" x14ac:dyDescent="0.3">
      <c r="Q283" s="13" t="str">
        <f t="shared" si="25"/>
        <v/>
      </c>
      <c r="R283" s="6" t="str">
        <f t="shared" si="26"/>
        <v/>
      </c>
      <c r="S283" s="6" t="str">
        <f t="shared" si="27"/>
        <v/>
      </c>
      <c r="T283" s="6" t="str">
        <f t="shared" si="28"/>
        <v/>
      </c>
      <c r="U283" s="6" t="str">
        <f t="shared" si="29"/>
        <v/>
      </c>
      <c r="AB283" s="13"/>
    </row>
    <row r="284" spans="17:28" ht="15.6" customHeight="1" x14ac:dyDescent="0.3">
      <c r="Q284" s="13" t="str">
        <f t="shared" si="25"/>
        <v/>
      </c>
      <c r="R284" s="6" t="str">
        <f t="shared" si="26"/>
        <v/>
      </c>
      <c r="S284" s="6" t="str">
        <f t="shared" si="27"/>
        <v/>
      </c>
      <c r="T284" s="6" t="str">
        <f t="shared" si="28"/>
        <v/>
      </c>
      <c r="U284" s="6" t="str">
        <f t="shared" si="29"/>
        <v/>
      </c>
      <c r="AB284" s="13"/>
    </row>
    <row r="285" spans="17:28" ht="15.6" customHeight="1" x14ac:dyDescent="0.3">
      <c r="Q285" s="13" t="str">
        <f t="shared" si="25"/>
        <v/>
      </c>
      <c r="R285" s="6" t="str">
        <f t="shared" si="26"/>
        <v/>
      </c>
      <c r="S285" s="6" t="str">
        <f t="shared" si="27"/>
        <v/>
      </c>
      <c r="T285" s="6" t="str">
        <f t="shared" si="28"/>
        <v/>
      </c>
      <c r="U285" s="6" t="str">
        <f t="shared" si="29"/>
        <v/>
      </c>
      <c r="AB285" s="13"/>
    </row>
    <row r="286" spans="17:28" ht="15.6" customHeight="1" x14ac:dyDescent="0.3">
      <c r="Q286" s="13" t="str">
        <f t="shared" si="25"/>
        <v/>
      </c>
      <c r="R286" s="6" t="str">
        <f t="shared" si="26"/>
        <v/>
      </c>
      <c r="S286" s="6" t="str">
        <f t="shared" si="27"/>
        <v/>
      </c>
      <c r="T286" s="6" t="str">
        <f t="shared" si="28"/>
        <v/>
      </c>
      <c r="U286" s="6" t="str">
        <f t="shared" si="29"/>
        <v/>
      </c>
      <c r="AB286" s="13"/>
    </row>
    <row r="287" spans="17:28" ht="15.6" customHeight="1" x14ac:dyDescent="0.3">
      <c r="Q287" s="13" t="str">
        <f t="shared" si="25"/>
        <v/>
      </c>
      <c r="R287" s="6" t="str">
        <f t="shared" si="26"/>
        <v/>
      </c>
      <c r="S287" s="6" t="str">
        <f t="shared" si="27"/>
        <v/>
      </c>
      <c r="T287" s="6" t="str">
        <f t="shared" si="28"/>
        <v/>
      </c>
      <c r="U287" s="6" t="str">
        <f t="shared" si="29"/>
        <v/>
      </c>
      <c r="AB287" s="13"/>
    </row>
    <row r="288" spans="17:28" ht="15.6" customHeight="1" x14ac:dyDescent="0.3">
      <c r="Q288" s="13" t="str">
        <f t="shared" si="25"/>
        <v/>
      </c>
      <c r="R288" s="6" t="str">
        <f t="shared" si="26"/>
        <v/>
      </c>
      <c r="S288" s="6" t="str">
        <f t="shared" si="27"/>
        <v/>
      </c>
      <c r="T288" s="6" t="str">
        <f t="shared" si="28"/>
        <v/>
      </c>
      <c r="U288" s="6" t="str">
        <f t="shared" si="29"/>
        <v/>
      </c>
      <c r="AB288" s="13"/>
    </row>
    <row r="289" spans="17:28" ht="15.6" customHeight="1" x14ac:dyDescent="0.3">
      <c r="Q289" s="13" t="str">
        <f t="shared" si="25"/>
        <v/>
      </c>
      <c r="R289" s="6" t="str">
        <f t="shared" si="26"/>
        <v/>
      </c>
      <c r="S289" s="6" t="str">
        <f t="shared" si="27"/>
        <v/>
      </c>
      <c r="T289" s="6" t="str">
        <f t="shared" si="28"/>
        <v/>
      </c>
      <c r="U289" s="6" t="str">
        <f t="shared" si="29"/>
        <v/>
      </c>
      <c r="AB289" s="13"/>
    </row>
    <row r="290" spans="17:28" ht="15.6" customHeight="1" x14ac:dyDescent="0.3">
      <c r="Q290" s="13" t="str">
        <f t="shared" si="25"/>
        <v/>
      </c>
      <c r="R290" s="6" t="str">
        <f t="shared" si="26"/>
        <v/>
      </c>
      <c r="S290" s="6" t="str">
        <f t="shared" si="27"/>
        <v/>
      </c>
      <c r="T290" s="6" t="str">
        <f t="shared" si="28"/>
        <v/>
      </c>
      <c r="U290" s="6" t="str">
        <f t="shared" si="29"/>
        <v/>
      </c>
      <c r="AB290" s="13"/>
    </row>
    <row r="291" spans="17:28" ht="15.6" customHeight="1" x14ac:dyDescent="0.3">
      <c r="Q291" s="13" t="str">
        <f t="shared" si="25"/>
        <v/>
      </c>
      <c r="R291" s="6" t="str">
        <f t="shared" si="26"/>
        <v/>
      </c>
      <c r="S291" s="6" t="str">
        <f t="shared" si="27"/>
        <v/>
      </c>
      <c r="T291" s="6" t="str">
        <f t="shared" si="28"/>
        <v/>
      </c>
      <c r="U291" s="6" t="str">
        <f t="shared" si="29"/>
        <v/>
      </c>
      <c r="AB291" s="13"/>
    </row>
    <row r="292" spans="17:28" ht="15.6" customHeight="1" x14ac:dyDescent="0.3">
      <c r="Q292" s="13" t="str">
        <f t="shared" si="25"/>
        <v/>
      </c>
      <c r="R292" s="6" t="str">
        <f t="shared" si="26"/>
        <v/>
      </c>
      <c r="S292" s="6" t="str">
        <f t="shared" si="27"/>
        <v/>
      </c>
      <c r="T292" s="6" t="str">
        <f t="shared" si="28"/>
        <v/>
      </c>
      <c r="U292" s="6" t="str">
        <f t="shared" si="29"/>
        <v/>
      </c>
      <c r="AB292" s="13"/>
    </row>
    <row r="293" spans="17:28" ht="15.6" customHeight="1" x14ac:dyDescent="0.3">
      <c r="Q293" s="13" t="str">
        <f t="shared" si="25"/>
        <v/>
      </c>
      <c r="R293" s="6" t="str">
        <f t="shared" si="26"/>
        <v/>
      </c>
      <c r="S293" s="6" t="str">
        <f t="shared" si="27"/>
        <v/>
      </c>
      <c r="T293" s="6" t="str">
        <f t="shared" si="28"/>
        <v/>
      </c>
      <c r="U293" s="6" t="str">
        <f t="shared" si="29"/>
        <v/>
      </c>
      <c r="AB293" s="13"/>
    </row>
    <row r="294" spans="17:28" ht="15.6" customHeight="1" x14ac:dyDescent="0.3">
      <c r="Q294" s="13" t="str">
        <f t="shared" si="25"/>
        <v/>
      </c>
      <c r="R294" s="6" t="str">
        <f t="shared" si="26"/>
        <v/>
      </c>
      <c r="S294" s="6" t="str">
        <f t="shared" si="27"/>
        <v/>
      </c>
      <c r="T294" s="6" t="str">
        <f t="shared" si="28"/>
        <v/>
      </c>
      <c r="U294" s="6" t="str">
        <f t="shared" si="29"/>
        <v/>
      </c>
      <c r="AB294" s="13"/>
    </row>
    <row r="295" spans="17:28" ht="15.6" customHeight="1" x14ac:dyDescent="0.3">
      <c r="Q295" s="13" t="str">
        <f t="shared" si="25"/>
        <v/>
      </c>
      <c r="R295" s="6" t="str">
        <f t="shared" si="26"/>
        <v/>
      </c>
      <c r="S295" s="6" t="str">
        <f t="shared" si="27"/>
        <v/>
      </c>
      <c r="T295" s="6" t="str">
        <f t="shared" si="28"/>
        <v/>
      </c>
      <c r="U295" s="6" t="str">
        <f t="shared" si="29"/>
        <v/>
      </c>
      <c r="AB295" s="13"/>
    </row>
    <row r="296" spans="17:28" ht="15.6" customHeight="1" x14ac:dyDescent="0.3">
      <c r="Q296" s="13" t="str">
        <f t="shared" si="25"/>
        <v/>
      </c>
      <c r="R296" s="6" t="str">
        <f t="shared" si="26"/>
        <v/>
      </c>
      <c r="S296" s="6" t="str">
        <f t="shared" si="27"/>
        <v/>
      </c>
      <c r="T296" s="6" t="str">
        <f t="shared" si="28"/>
        <v/>
      </c>
      <c r="U296" s="6" t="str">
        <f t="shared" si="29"/>
        <v/>
      </c>
      <c r="AB296" s="13"/>
    </row>
    <row r="297" spans="17:28" ht="15.6" customHeight="1" x14ac:dyDescent="0.3">
      <c r="Q297" s="13" t="str">
        <f t="shared" si="25"/>
        <v/>
      </c>
      <c r="R297" s="6" t="str">
        <f t="shared" si="26"/>
        <v/>
      </c>
      <c r="S297" s="6" t="str">
        <f t="shared" si="27"/>
        <v/>
      </c>
      <c r="T297" s="6" t="str">
        <f t="shared" si="28"/>
        <v/>
      </c>
      <c r="U297" s="6" t="str">
        <f t="shared" si="29"/>
        <v/>
      </c>
      <c r="AB297" s="13"/>
    </row>
    <row r="298" spans="17:28" ht="15.6" customHeight="1" x14ac:dyDescent="0.3">
      <c r="Q298" s="13" t="str">
        <f t="shared" si="25"/>
        <v/>
      </c>
      <c r="R298" s="6" t="str">
        <f t="shared" si="26"/>
        <v/>
      </c>
      <c r="S298" s="6" t="str">
        <f t="shared" si="27"/>
        <v/>
      </c>
      <c r="T298" s="6" t="str">
        <f t="shared" si="28"/>
        <v/>
      </c>
      <c r="U298" s="6" t="str">
        <f t="shared" si="29"/>
        <v/>
      </c>
      <c r="AB298" s="13"/>
    </row>
    <row r="299" spans="17:28" ht="15.6" customHeight="1" x14ac:dyDescent="0.3">
      <c r="Q299" s="13" t="str">
        <f t="shared" si="25"/>
        <v/>
      </c>
      <c r="R299" s="6" t="str">
        <f t="shared" si="26"/>
        <v/>
      </c>
      <c r="S299" s="6" t="str">
        <f t="shared" si="27"/>
        <v/>
      </c>
      <c r="T299" s="6" t="str">
        <f t="shared" si="28"/>
        <v/>
      </c>
      <c r="U299" s="6" t="str">
        <f t="shared" si="29"/>
        <v/>
      </c>
      <c r="AB299" s="13"/>
    </row>
    <row r="300" spans="17:28" ht="15.6" customHeight="1" x14ac:dyDescent="0.3">
      <c r="Q300" s="13" t="str">
        <f t="shared" si="25"/>
        <v/>
      </c>
      <c r="R300" s="6" t="str">
        <f t="shared" si="26"/>
        <v/>
      </c>
      <c r="S300" s="6" t="str">
        <f t="shared" si="27"/>
        <v/>
      </c>
      <c r="T300" s="6" t="str">
        <f t="shared" si="28"/>
        <v/>
      </c>
      <c r="U300" s="6" t="str">
        <f t="shared" si="29"/>
        <v/>
      </c>
      <c r="AB300" s="13"/>
    </row>
    <row r="301" spans="17:28" ht="15.6" customHeight="1" x14ac:dyDescent="0.3">
      <c r="Q301" s="13" t="str">
        <f t="shared" si="25"/>
        <v/>
      </c>
      <c r="R301" s="6" t="str">
        <f t="shared" si="26"/>
        <v/>
      </c>
      <c r="S301" s="6" t="str">
        <f t="shared" si="27"/>
        <v/>
      </c>
      <c r="T301" s="6" t="str">
        <f t="shared" si="28"/>
        <v/>
      </c>
      <c r="U301" s="6" t="str">
        <f t="shared" si="29"/>
        <v/>
      </c>
      <c r="AB301" s="13"/>
    </row>
    <row r="302" spans="17:28" ht="15.6" customHeight="1" x14ac:dyDescent="0.3">
      <c r="Q302" s="13" t="str">
        <f t="shared" si="25"/>
        <v/>
      </c>
      <c r="R302" s="6" t="str">
        <f t="shared" si="26"/>
        <v/>
      </c>
      <c r="S302" s="6" t="str">
        <f t="shared" si="27"/>
        <v/>
      </c>
      <c r="T302" s="6" t="str">
        <f t="shared" si="28"/>
        <v/>
      </c>
      <c r="U302" s="6" t="str">
        <f t="shared" si="29"/>
        <v/>
      </c>
      <c r="AB302" s="13"/>
    </row>
    <row r="303" spans="17:28" ht="15.6" customHeight="1" x14ac:dyDescent="0.3">
      <c r="Q303" s="13" t="str">
        <f t="shared" si="25"/>
        <v/>
      </c>
      <c r="R303" s="6" t="str">
        <f t="shared" si="26"/>
        <v/>
      </c>
      <c r="S303" s="6" t="str">
        <f t="shared" si="27"/>
        <v/>
      </c>
      <c r="T303" s="6" t="str">
        <f t="shared" si="28"/>
        <v/>
      </c>
      <c r="U303" s="6" t="str">
        <f t="shared" si="29"/>
        <v/>
      </c>
      <c r="AB303" s="13"/>
    </row>
    <row r="304" spans="17:28" ht="15.6" customHeight="1" x14ac:dyDescent="0.3">
      <c r="Q304" s="13" t="str">
        <f t="shared" si="25"/>
        <v/>
      </c>
      <c r="R304" s="6" t="str">
        <f t="shared" si="26"/>
        <v/>
      </c>
      <c r="S304" s="6" t="str">
        <f t="shared" si="27"/>
        <v/>
      </c>
      <c r="T304" s="6" t="str">
        <f t="shared" si="28"/>
        <v/>
      </c>
      <c r="U304" s="6" t="str">
        <f t="shared" si="29"/>
        <v/>
      </c>
      <c r="AB304" s="13"/>
    </row>
    <row r="305" spans="17:28" ht="15.6" customHeight="1" x14ac:dyDescent="0.3">
      <c r="Q305" s="13" t="str">
        <f t="shared" si="25"/>
        <v/>
      </c>
      <c r="R305" s="6" t="str">
        <f t="shared" si="26"/>
        <v/>
      </c>
      <c r="S305" s="6" t="str">
        <f t="shared" si="27"/>
        <v/>
      </c>
      <c r="T305" s="6" t="str">
        <f t="shared" si="28"/>
        <v/>
      </c>
      <c r="U305" s="6" t="str">
        <f t="shared" si="29"/>
        <v/>
      </c>
      <c r="AB305" s="13"/>
    </row>
    <row r="306" spans="17:28" ht="15.6" customHeight="1" x14ac:dyDescent="0.3">
      <c r="Q306" s="13" t="str">
        <f t="shared" si="25"/>
        <v/>
      </c>
      <c r="R306" s="6" t="str">
        <f t="shared" si="26"/>
        <v/>
      </c>
      <c r="S306" s="6" t="str">
        <f t="shared" si="27"/>
        <v/>
      </c>
      <c r="T306" s="6" t="str">
        <f t="shared" si="28"/>
        <v/>
      </c>
      <c r="U306" s="6" t="str">
        <f t="shared" si="29"/>
        <v/>
      </c>
      <c r="AB306" s="13"/>
    </row>
    <row r="307" spans="17:28" ht="15.6" customHeight="1" x14ac:dyDescent="0.3">
      <c r="Q307" s="13" t="str">
        <f t="shared" si="25"/>
        <v/>
      </c>
      <c r="R307" s="6" t="str">
        <f t="shared" si="26"/>
        <v/>
      </c>
      <c r="S307" s="6" t="str">
        <f t="shared" si="27"/>
        <v/>
      </c>
      <c r="T307" s="6" t="str">
        <f t="shared" si="28"/>
        <v/>
      </c>
      <c r="U307" s="6" t="str">
        <f t="shared" si="29"/>
        <v/>
      </c>
      <c r="AB307" s="13"/>
    </row>
    <row r="308" spans="17:28" ht="15.6" customHeight="1" x14ac:dyDescent="0.3">
      <c r="Q308" s="13" t="str">
        <f t="shared" si="25"/>
        <v/>
      </c>
      <c r="R308" s="6" t="str">
        <f t="shared" si="26"/>
        <v/>
      </c>
      <c r="S308" s="6" t="str">
        <f t="shared" si="27"/>
        <v/>
      </c>
      <c r="T308" s="6" t="str">
        <f t="shared" si="28"/>
        <v/>
      </c>
      <c r="U308" s="6" t="str">
        <f t="shared" si="29"/>
        <v/>
      </c>
      <c r="AB308" s="13"/>
    </row>
    <row r="309" spans="17:28" ht="15.6" customHeight="1" x14ac:dyDescent="0.3">
      <c r="Q309" s="13" t="str">
        <f t="shared" si="25"/>
        <v/>
      </c>
      <c r="R309" s="6" t="str">
        <f t="shared" si="26"/>
        <v/>
      </c>
      <c r="S309" s="6" t="str">
        <f t="shared" si="27"/>
        <v/>
      </c>
      <c r="T309" s="6" t="str">
        <f t="shared" si="28"/>
        <v/>
      </c>
      <c r="U309" s="6" t="str">
        <f t="shared" si="29"/>
        <v/>
      </c>
      <c r="AB309" s="13"/>
    </row>
    <row r="310" spans="17:28" ht="15.6" customHeight="1" x14ac:dyDescent="0.3">
      <c r="Q310" s="13" t="str">
        <f t="shared" si="25"/>
        <v/>
      </c>
      <c r="R310" s="6" t="str">
        <f t="shared" si="26"/>
        <v/>
      </c>
      <c r="S310" s="6" t="str">
        <f t="shared" si="27"/>
        <v/>
      </c>
      <c r="T310" s="6" t="str">
        <f t="shared" si="28"/>
        <v/>
      </c>
      <c r="U310" s="6" t="str">
        <f t="shared" si="29"/>
        <v/>
      </c>
      <c r="AB310" s="13"/>
    </row>
    <row r="311" spans="17:28" ht="15.6" customHeight="1" x14ac:dyDescent="0.3">
      <c r="Q311" s="13" t="str">
        <f t="shared" si="25"/>
        <v/>
      </c>
      <c r="R311" s="6" t="str">
        <f t="shared" si="26"/>
        <v/>
      </c>
      <c r="S311" s="6" t="str">
        <f t="shared" si="27"/>
        <v/>
      </c>
      <c r="T311" s="6" t="str">
        <f t="shared" si="28"/>
        <v/>
      </c>
      <c r="U311" s="6" t="str">
        <f t="shared" si="29"/>
        <v/>
      </c>
      <c r="AB311" s="13"/>
    </row>
    <row r="312" spans="17:28" ht="15.6" customHeight="1" x14ac:dyDescent="0.3">
      <c r="Q312" s="13" t="str">
        <f t="shared" si="25"/>
        <v/>
      </c>
      <c r="R312" s="6" t="str">
        <f t="shared" si="26"/>
        <v/>
      </c>
      <c r="S312" s="6" t="str">
        <f t="shared" si="27"/>
        <v/>
      </c>
      <c r="T312" s="6" t="str">
        <f t="shared" si="28"/>
        <v/>
      </c>
      <c r="U312" s="6" t="str">
        <f t="shared" si="29"/>
        <v/>
      </c>
      <c r="AB312" s="13"/>
    </row>
    <row r="313" spans="17:28" ht="15.6" customHeight="1" x14ac:dyDescent="0.3">
      <c r="Q313" s="13" t="str">
        <f t="shared" si="25"/>
        <v/>
      </c>
      <c r="R313" s="6" t="str">
        <f t="shared" si="26"/>
        <v/>
      </c>
      <c r="S313" s="6" t="str">
        <f t="shared" si="27"/>
        <v/>
      </c>
      <c r="T313" s="6" t="str">
        <f t="shared" si="28"/>
        <v/>
      </c>
      <c r="U313" s="6" t="str">
        <f t="shared" si="29"/>
        <v/>
      </c>
      <c r="AB313" s="13"/>
    </row>
    <row r="314" spans="17:28" ht="15.6" customHeight="1" x14ac:dyDescent="0.3">
      <c r="Q314" s="13" t="str">
        <f t="shared" si="25"/>
        <v/>
      </c>
      <c r="R314" s="6" t="str">
        <f t="shared" si="26"/>
        <v/>
      </c>
      <c r="S314" s="6" t="str">
        <f t="shared" si="27"/>
        <v/>
      </c>
      <c r="T314" s="6" t="str">
        <f t="shared" si="28"/>
        <v/>
      </c>
      <c r="U314" s="6" t="str">
        <f t="shared" si="29"/>
        <v/>
      </c>
      <c r="AB314" s="13"/>
    </row>
    <row r="315" spans="17:28" ht="15.6" customHeight="1" x14ac:dyDescent="0.3">
      <c r="Q315" s="13" t="str">
        <f t="shared" si="25"/>
        <v/>
      </c>
      <c r="R315" s="6" t="str">
        <f t="shared" si="26"/>
        <v/>
      </c>
      <c r="S315" s="6" t="str">
        <f t="shared" si="27"/>
        <v/>
      </c>
      <c r="T315" s="6" t="str">
        <f t="shared" si="28"/>
        <v/>
      </c>
      <c r="U315" s="6" t="str">
        <f t="shared" si="29"/>
        <v/>
      </c>
      <c r="AB315" s="13"/>
    </row>
    <row r="316" spans="17:28" ht="15.6" customHeight="1" x14ac:dyDescent="0.3">
      <c r="Q316" s="13" t="str">
        <f t="shared" si="25"/>
        <v/>
      </c>
      <c r="R316" s="6" t="str">
        <f t="shared" si="26"/>
        <v/>
      </c>
      <c r="S316" s="6" t="str">
        <f t="shared" si="27"/>
        <v/>
      </c>
      <c r="T316" s="6" t="str">
        <f t="shared" si="28"/>
        <v/>
      </c>
      <c r="U316" s="6" t="str">
        <f t="shared" si="29"/>
        <v/>
      </c>
      <c r="AB316" s="13"/>
    </row>
    <row r="317" spans="17:28" ht="15.6" customHeight="1" x14ac:dyDescent="0.3">
      <c r="Q317" s="13" t="str">
        <f t="shared" si="25"/>
        <v/>
      </c>
      <c r="R317" s="6" t="str">
        <f t="shared" si="26"/>
        <v/>
      </c>
      <c r="S317" s="6" t="str">
        <f t="shared" si="27"/>
        <v/>
      </c>
      <c r="T317" s="6" t="str">
        <f t="shared" si="28"/>
        <v/>
      </c>
      <c r="U317" s="6" t="str">
        <f t="shared" si="29"/>
        <v/>
      </c>
      <c r="AB317" s="13"/>
    </row>
    <row r="318" spans="17:28" ht="15.6" customHeight="1" x14ac:dyDescent="0.3">
      <c r="Q318" s="13" t="str">
        <f t="shared" si="25"/>
        <v/>
      </c>
      <c r="R318" s="6" t="str">
        <f t="shared" si="26"/>
        <v/>
      </c>
      <c r="S318" s="6" t="str">
        <f t="shared" si="27"/>
        <v/>
      </c>
      <c r="T318" s="6" t="str">
        <f t="shared" si="28"/>
        <v/>
      </c>
      <c r="U318" s="6" t="str">
        <f t="shared" si="29"/>
        <v/>
      </c>
      <c r="AB318" s="13"/>
    </row>
    <row r="319" spans="17:28" ht="15.6" customHeight="1" x14ac:dyDescent="0.3">
      <c r="Q319" s="13" t="str">
        <f t="shared" si="25"/>
        <v/>
      </c>
      <c r="R319" s="6" t="str">
        <f t="shared" si="26"/>
        <v/>
      </c>
      <c r="S319" s="6" t="str">
        <f t="shared" si="27"/>
        <v/>
      </c>
      <c r="T319" s="6" t="str">
        <f t="shared" si="28"/>
        <v/>
      </c>
      <c r="U319" s="6" t="str">
        <f t="shared" si="29"/>
        <v/>
      </c>
      <c r="AB319" s="13"/>
    </row>
    <row r="320" spans="17:28" ht="15.6" customHeight="1" x14ac:dyDescent="0.3">
      <c r="Q320" s="13" t="str">
        <f t="shared" si="25"/>
        <v/>
      </c>
      <c r="R320" s="6" t="str">
        <f t="shared" si="26"/>
        <v/>
      </c>
      <c r="S320" s="6" t="str">
        <f t="shared" si="27"/>
        <v/>
      </c>
      <c r="T320" s="6" t="str">
        <f t="shared" si="28"/>
        <v/>
      </c>
      <c r="U320" s="6" t="str">
        <f t="shared" si="29"/>
        <v/>
      </c>
      <c r="AB320" s="13"/>
    </row>
    <row r="321" spans="17:28" ht="15.6" customHeight="1" x14ac:dyDescent="0.3">
      <c r="Q321" s="13" t="str">
        <f t="shared" si="25"/>
        <v/>
      </c>
      <c r="R321" s="6" t="str">
        <f t="shared" si="26"/>
        <v/>
      </c>
      <c r="S321" s="6" t="str">
        <f t="shared" si="27"/>
        <v/>
      </c>
      <c r="T321" s="6" t="str">
        <f t="shared" si="28"/>
        <v/>
      </c>
      <c r="U321" s="6" t="str">
        <f t="shared" si="29"/>
        <v/>
      </c>
      <c r="AB321" s="13"/>
    </row>
    <row r="322" spans="17:28" ht="15.6" customHeight="1" x14ac:dyDescent="0.3">
      <c r="Q322" s="13" t="str">
        <f t="shared" si="25"/>
        <v/>
      </c>
      <c r="R322" s="6" t="str">
        <f t="shared" si="26"/>
        <v/>
      </c>
      <c r="S322" s="6" t="str">
        <f t="shared" si="27"/>
        <v/>
      </c>
      <c r="T322" s="6" t="str">
        <f t="shared" si="28"/>
        <v/>
      </c>
      <c r="U322" s="6" t="str">
        <f t="shared" si="29"/>
        <v/>
      </c>
      <c r="AB322" s="13"/>
    </row>
    <row r="323" spans="17:28" ht="15.6" customHeight="1" x14ac:dyDescent="0.3">
      <c r="Q323" s="13" t="str">
        <f t="shared" si="25"/>
        <v/>
      </c>
      <c r="R323" s="6" t="str">
        <f t="shared" si="26"/>
        <v/>
      </c>
      <c r="S323" s="6" t="str">
        <f t="shared" si="27"/>
        <v/>
      </c>
      <c r="T323" s="6" t="str">
        <f t="shared" si="28"/>
        <v/>
      </c>
      <c r="U323" s="6" t="str">
        <f t="shared" si="29"/>
        <v/>
      </c>
      <c r="AB323" s="13"/>
    </row>
    <row r="324" spans="17:28" ht="15.6" customHeight="1" x14ac:dyDescent="0.3">
      <c r="Q324" s="13" t="str">
        <f t="shared" ref="Q324:Q387" si="30">IF(K324="","",VLOOKUP(K324,$A$4:$H$22,8,FALSE))</f>
        <v/>
      </c>
      <c r="R324" s="6" t="str">
        <f t="shared" ref="R324:R387" si="31">IF(L324="","",VLOOKUP(L324,$A$4:$H$22,8,FALSE))</f>
        <v/>
      </c>
      <c r="S324" s="6" t="str">
        <f t="shared" ref="S324:S387" si="32">IF(M324="","",VLOOKUP(M324,$A$4:$H$22,8,FALSE))</f>
        <v/>
      </c>
      <c r="T324" s="6" t="str">
        <f t="shared" ref="T324:T387" si="33">IF(N324="","",VLOOKUP(N324,$A$4:$H$22,8,FALSE))</f>
        <v/>
      </c>
      <c r="U324" s="6" t="str">
        <f t="shared" ref="U324:U387" si="34">IF(O324="","",VLOOKUP(O324,$A$4:$H$22,8,FALSE))</f>
        <v/>
      </c>
      <c r="AB324" s="13"/>
    </row>
    <row r="325" spans="17:28" ht="15.6" customHeight="1" x14ac:dyDescent="0.3">
      <c r="Q325" s="13" t="str">
        <f t="shared" si="30"/>
        <v/>
      </c>
      <c r="R325" s="6" t="str">
        <f t="shared" si="31"/>
        <v/>
      </c>
      <c r="S325" s="6" t="str">
        <f t="shared" si="32"/>
        <v/>
      </c>
      <c r="T325" s="6" t="str">
        <f t="shared" si="33"/>
        <v/>
      </c>
      <c r="U325" s="6" t="str">
        <f t="shared" si="34"/>
        <v/>
      </c>
      <c r="AB325" s="13"/>
    </row>
    <row r="326" spans="17:28" ht="15.6" customHeight="1" x14ac:dyDescent="0.3">
      <c r="Q326" s="13" t="str">
        <f t="shared" si="30"/>
        <v/>
      </c>
      <c r="R326" s="6" t="str">
        <f t="shared" si="31"/>
        <v/>
      </c>
      <c r="S326" s="6" t="str">
        <f t="shared" si="32"/>
        <v/>
      </c>
      <c r="T326" s="6" t="str">
        <f t="shared" si="33"/>
        <v/>
      </c>
      <c r="U326" s="6" t="str">
        <f t="shared" si="34"/>
        <v/>
      </c>
      <c r="AB326" s="13"/>
    </row>
    <row r="327" spans="17:28" ht="15.6" customHeight="1" x14ac:dyDescent="0.3">
      <c r="Q327" s="13" t="str">
        <f t="shared" si="30"/>
        <v/>
      </c>
      <c r="R327" s="6" t="str">
        <f t="shared" si="31"/>
        <v/>
      </c>
      <c r="S327" s="6" t="str">
        <f t="shared" si="32"/>
        <v/>
      </c>
      <c r="T327" s="6" t="str">
        <f t="shared" si="33"/>
        <v/>
      </c>
      <c r="U327" s="6" t="str">
        <f t="shared" si="34"/>
        <v/>
      </c>
      <c r="AB327" s="13"/>
    </row>
    <row r="328" spans="17:28" ht="15.6" customHeight="1" x14ac:dyDescent="0.3">
      <c r="Q328" s="13" t="str">
        <f t="shared" si="30"/>
        <v/>
      </c>
      <c r="R328" s="6" t="str">
        <f t="shared" si="31"/>
        <v/>
      </c>
      <c r="S328" s="6" t="str">
        <f t="shared" si="32"/>
        <v/>
      </c>
      <c r="T328" s="6" t="str">
        <f t="shared" si="33"/>
        <v/>
      </c>
      <c r="U328" s="6" t="str">
        <f t="shared" si="34"/>
        <v/>
      </c>
      <c r="AB328" s="13"/>
    </row>
    <row r="329" spans="17:28" ht="15.6" customHeight="1" x14ac:dyDescent="0.3">
      <c r="Q329" s="13" t="str">
        <f t="shared" si="30"/>
        <v/>
      </c>
      <c r="R329" s="6" t="str">
        <f t="shared" si="31"/>
        <v/>
      </c>
      <c r="S329" s="6" t="str">
        <f t="shared" si="32"/>
        <v/>
      </c>
      <c r="T329" s="6" t="str">
        <f t="shared" si="33"/>
        <v/>
      </c>
      <c r="U329" s="6" t="str">
        <f t="shared" si="34"/>
        <v/>
      </c>
      <c r="AB329" s="13"/>
    </row>
    <row r="330" spans="17:28" ht="15.6" customHeight="1" x14ac:dyDescent="0.3">
      <c r="Q330" s="13" t="str">
        <f t="shared" si="30"/>
        <v/>
      </c>
      <c r="R330" s="6" t="str">
        <f t="shared" si="31"/>
        <v/>
      </c>
      <c r="S330" s="6" t="str">
        <f t="shared" si="32"/>
        <v/>
      </c>
      <c r="T330" s="6" t="str">
        <f t="shared" si="33"/>
        <v/>
      </c>
      <c r="U330" s="6" t="str">
        <f t="shared" si="34"/>
        <v/>
      </c>
      <c r="AB330" s="13"/>
    </row>
    <row r="331" spans="17:28" ht="15.6" customHeight="1" x14ac:dyDescent="0.3">
      <c r="Q331" s="13" t="str">
        <f t="shared" si="30"/>
        <v/>
      </c>
      <c r="R331" s="6" t="str">
        <f t="shared" si="31"/>
        <v/>
      </c>
      <c r="S331" s="6" t="str">
        <f t="shared" si="32"/>
        <v/>
      </c>
      <c r="T331" s="6" t="str">
        <f t="shared" si="33"/>
        <v/>
      </c>
      <c r="U331" s="6" t="str">
        <f t="shared" si="34"/>
        <v/>
      </c>
      <c r="AB331" s="13"/>
    </row>
    <row r="332" spans="17:28" ht="15.6" customHeight="1" x14ac:dyDescent="0.3">
      <c r="Q332" s="13" t="str">
        <f t="shared" si="30"/>
        <v/>
      </c>
      <c r="R332" s="6" t="str">
        <f t="shared" si="31"/>
        <v/>
      </c>
      <c r="S332" s="6" t="str">
        <f t="shared" si="32"/>
        <v/>
      </c>
      <c r="T332" s="6" t="str">
        <f t="shared" si="33"/>
        <v/>
      </c>
      <c r="U332" s="6" t="str">
        <f t="shared" si="34"/>
        <v/>
      </c>
      <c r="AB332" s="13"/>
    </row>
    <row r="333" spans="17:28" ht="15.6" customHeight="1" x14ac:dyDescent="0.3">
      <c r="Q333" s="13" t="str">
        <f t="shared" si="30"/>
        <v/>
      </c>
      <c r="R333" s="6" t="str">
        <f t="shared" si="31"/>
        <v/>
      </c>
      <c r="S333" s="6" t="str">
        <f t="shared" si="32"/>
        <v/>
      </c>
      <c r="T333" s="6" t="str">
        <f t="shared" si="33"/>
        <v/>
      </c>
      <c r="U333" s="6" t="str">
        <f t="shared" si="34"/>
        <v/>
      </c>
      <c r="AB333" s="13"/>
    </row>
    <row r="334" spans="17:28" ht="15.6" customHeight="1" x14ac:dyDescent="0.3">
      <c r="Q334" s="13" t="str">
        <f t="shared" si="30"/>
        <v/>
      </c>
      <c r="R334" s="6" t="str">
        <f t="shared" si="31"/>
        <v/>
      </c>
      <c r="S334" s="6" t="str">
        <f t="shared" si="32"/>
        <v/>
      </c>
      <c r="T334" s="6" t="str">
        <f t="shared" si="33"/>
        <v/>
      </c>
      <c r="U334" s="6" t="str">
        <f t="shared" si="34"/>
        <v/>
      </c>
      <c r="AB334" s="13"/>
    </row>
    <row r="335" spans="17:28" ht="15.6" customHeight="1" x14ac:dyDescent="0.3">
      <c r="Q335" s="13" t="str">
        <f t="shared" si="30"/>
        <v/>
      </c>
      <c r="R335" s="6" t="str">
        <f t="shared" si="31"/>
        <v/>
      </c>
      <c r="S335" s="6" t="str">
        <f t="shared" si="32"/>
        <v/>
      </c>
      <c r="T335" s="6" t="str">
        <f t="shared" si="33"/>
        <v/>
      </c>
      <c r="U335" s="6" t="str">
        <f t="shared" si="34"/>
        <v/>
      </c>
      <c r="AB335" s="13"/>
    </row>
    <row r="336" spans="17:28" ht="15.6" customHeight="1" x14ac:dyDescent="0.3">
      <c r="Q336" s="13" t="str">
        <f t="shared" si="30"/>
        <v/>
      </c>
      <c r="R336" s="6" t="str">
        <f t="shared" si="31"/>
        <v/>
      </c>
      <c r="S336" s="6" t="str">
        <f t="shared" si="32"/>
        <v/>
      </c>
      <c r="T336" s="6" t="str">
        <f t="shared" si="33"/>
        <v/>
      </c>
      <c r="U336" s="6" t="str">
        <f t="shared" si="34"/>
        <v/>
      </c>
      <c r="AB336" s="13"/>
    </row>
    <row r="337" spans="17:28" ht="15.6" customHeight="1" x14ac:dyDescent="0.3">
      <c r="Q337" s="13" t="str">
        <f t="shared" si="30"/>
        <v/>
      </c>
      <c r="R337" s="6" t="str">
        <f t="shared" si="31"/>
        <v/>
      </c>
      <c r="S337" s="6" t="str">
        <f t="shared" si="32"/>
        <v/>
      </c>
      <c r="T337" s="6" t="str">
        <f t="shared" si="33"/>
        <v/>
      </c>
      <c r="U337" s="6" t="str">
        <f t="shared" si="34"/>
        <v/>
      </c>
      <c r="AB337" s="13"/>
    </row>
    <row r="338" spans="17:28" ht="15.6" customHeight="1" x14ac:dyDescent="0.3">
      <c r="Q338" s="13" t="str">
        <f t="shared" si="30"/>
        <v/>
      </c>
      <c r="R338" s="6" t="str">
        <f t="shared" si="31"/>
        <v/>
      </c>
      <c r="S338" s="6" t="str">
        <f t="shared" si="32"/>
        <v/>
      </c>
      <c r="T338" s="6" t="str">
        <f t="shared" si="33"/>
        <v/>
      </c>
      <c r="U338" s="6" t="str">
        <f t="shared" si="34"/>
        <v/>
      </c>
      <c r="AB338" s="13"/>
    </row>
    <row r="339" spans="17:28" ht="15.6" customHeight="1" x14ac:dyDescent="0.3">
      <c r="Q339" s="13" t="str">
        <f t="shared" si="30"/>
        <v/>
      </c>
      <c r="R339" s="6" t="str">
        <f t="shared" si="31"/>
        <v/>
      </c>
      <c r="S339" s="6" t="str">
        <f t="shared" si="32"/>
        <v/>
      </c>
      <c r="T339" s="6" t="str">
        <f t="shared" si="33"/>
        <v/>
      </c>
      <c r="U339" s="6" t="str">
        <f t="shared" si="34"/>
        <v/>
      </c>
      <c r="AB339" s="13"/>
    </row>
    <row r="340" spans="17:28" ht="15.6" customHeight="1" x14ac:dyDescent="0.3">
      <c r="Q340" s="13" t="str">
        <f t="shared" si="30"/>
        <v/>
      </c>
      <c r="R340" s="6" t="str">
        <f t="shared" si="31"/>
        <v/>
      </c>
      <c r="S340" s="6" t="str">
        <f t="shared" si="32"/>
        <v/>
      </c>
      <c r="T340" s="6" t="str">
        <f t="shared" si="33"/>
        <v/>
      </c>
      <c r="U340" s="6" t="str">
        <f t="shared" si="34"/>
        <v/>
      </c>
      <c r="AB340" s="13"/>
    </row>
    <row r="341" spans="17:28" ht="15.6" customHeight="1" x14ac:dyDescent="0.3">
      <c r="Q341" s="13" t="str">
        <f t="shared" si="30"/>
        <v/>
      </c>
      <c r="R341" s="6" t="str">
        <f t="shared" si="31"/>
        <v/>
      </c>
      <c r="S341" s="6" t="str">
        <f t="shared" si="32"/>
        <v/>
      </c>
      <c r="T341" s="6" t="str">
        <f t="shared" si="33"/>
        <v/>
      </c>
      <c r="U341" s="6" t="str">
        <f t="shared" si="34"/>
        <v/>
      </c>
      <c r="AB341" s="13"/>
    </row>
    <row r="342" spans="17:28" ht="15.6" customHeight="1" x14ac:dyDescent="0.3">
      <c r="Q342" s="13" t="str">
        <f t="shared" si="30"/>
        <v/>
      </c>
      <c r="R342" s="6" t="str">
        <f t="shared" si="31"/>
        <v/>
      </c>
      <c r="S342" s="6" t="str">
        <f t="shared" si="32"/>
        <v/>
      </c>
      <c r="T342" s="6" t="str">
        <f t="shared" si="33"/>
        <v/>
      </c>
      <c r="U342" s="6" t="str">
        <f t="shared" si="34"/>
        <v/>
      </c>
      <c r="AB342" s="13"/>
    </row>
    <row r="343" spans="17:28" ht="15.6" customHeight="1" x14ac:dyDescent="0.3">
      <c r="Q343" s="13" t="str">
        <f t="shared" si="30"/>
        <v/>
      </c>
      <c r="R343" s="6" t="str">
        <f t="shared" si="31"/>
        <v/>
      </c>
      <c r="S343" s="6" t="str">
        <f t="shared" si="32"/>
        <v/>
      </c>
      <c r="T343" s="6" t="str">
        <f t="shared" si="33"/>
        <v/>
      </c>
      <c r="U343" s="6" t="str">
        <f t="shared" si="34"/>
        <v/>
      </c>
      <c r="AB343" s="13"/>
    </row>
    <row r="344" spans="17:28" ht="15.6" customHeight="1" x14ac:dyDescent="0.3">
      <c r="Q344" s="13" t="str">
        <f t="shared" si="30"/>
        <v/>
      </c>
      <c r="R344" s="6" t="str">
        <f t="shared" si="31"/>
        <v/>
      </c>
      <c r="S344" s="6" t="str">
        <f t="shared" si="32"/>
        <v/>
      </c>
      <c r="T344" s="6" t="str">
        <f t="shared" si="33"/>
        <v/>
      </c>
      <c r="U344" s="6" t="str">
        <f t="shared" si="34"/>
        <v/>
      </c>
      <c r="AB344" s="13"/>
    </row>
    <row r="345" spans="17:28" ht="15.6" customHeight="1" x14ac:dyDescent="0.3">
      <c r="Q345" s="13" t="str">
        <f t="shared" si="30"/>
        <v/>
      </c>
      <c r="R345" s="6" t="str">
        <f t="shared" si="31"/>
        <v/>
      </c>
      <c r="S345" s="6" t="str">
        <f t="shared" si="32"/>
        <v/>
      </c>
      <c r="T345" s="6" t="str">
        <f t="shared" si="33"/>
        <v/>
      </c>
      <c r="U345" s="6" t="str">
        <f t="shared" si="34"/>
        <v/>
      </c>
      <c r="AB345" s="13"/>
    </row>
    <row r="346" spans="17:28" ht="15.6" customHeight="1" x14ac:dyDescent="0.3">
      <c r="Q346" s="13" t="str">
        <f t="shared" si="30"/>
        <v/>
      </c>
      <c r="R346" s="6" t="str">
        <f t="shared" si="31"/>
        <v/>
      </c>
      <c r="S346" s="6" t="str">
        <f t="shared" si="32"/>
        <v/>
      </c>
      <c r="T346" s="6" t="str">
        <f t="shared" si="33"/>
        <v/>
      </c>
      <c r="U346" s="6" t="str">
        <f t="shared" si="34"/>
        <v/>
      </c>
      <c r="AB346" s="13"/>
    </row>
    <row r="347" spans="17:28" ht="15.6" customHeight="1" x14ac:dyDescent="0.3">
      <c r="Q347" s="13" t="str">
        <f t="shared" si="30"/>
        <v/>
      </c>
      <c r="R347" s="6" t="str">
        <f t="shared" si="31"/>
        <v/>
      </c>
      <c r="S347" s="6" t="str">
        <f t="shared" si="32"/>
        <v/>
      </c>
      <c r="T347" s="6" t="str">
        <f t="shared" si="33"/>
        <v/>
      </c>
      <c r="U347" s="6" t="str">
        <f t="shared" si="34"/>
        <v/>
      </c>
      <c r="AB347" s="13"/>
    </row>
    <row r="348" spans="17:28" ht="15.6" customHeight="1" x14ac:dyDescent="0.3">
      <c r="Q348" s="13" t="str">
        <f t="shared" si="30"/>
        <v/>
      </c>
      <c r="R348" s="6" t="str">
        <f t="shared" si="31"/>
        <v/>
      </c>
      <c r="S348" s="6" t="str">
        <f t="shared" si="32"/>
        <v/>
      </c>
      <c r="T348" s="6" t="str">
        <f t="shared" si="33"/>
        <v/>
      </c>
      <c r="U348" s="6" t="str">
        <f t="shared" si="34"/>
        <v/>
      </c>
      <c r="AB348" s="13"/>
    </row>
    <row r="349" spans="17:28" ht="15.6" customHeight="1" x14ac:dyDescent="0.3">
      <c r="Q349" s="13" t="str">
        <f t="shared" si="30"/>
        <v/>
      </c>
      <c r="R349" s="6" t="str">
        <f t="shared" si="31"/>
        <v/>
      </c>
      <c r="S349" s="6" t="str">
        <f t="shared" si="32"/>
        <v/>
      </c>
      <c r="T349" s="6" t="str">
        <f t="shared" si="33"/>
        <v/>
      </c>
      <c r="U349" s="6" t="str">
        <f t="shared" si="34"/>
        <v/>
      </c>
      <c r="AB349" s="13"/>
    </row>
    <row r="350" spans="17:28" ht="15.6" customHeight="1" x14ac:dyDescent="0.3">
      <c r="Q350" s="13" t="str">
        <f t="shared" si="30"/>
        <v/>
      </c>
      <c r="R350" s="6" t="str">
        <f t="shared" si="31"/>
        <v/>
      </c>
      <c r="S350" s="6" t="str">
        <f t="shared" si="32"/>
        <v/>
      </c>
      <c r="T350" s="6" t="str">
        <f t="shared" si="33"/>
        <v/>
      </c>
      <c r="U350" s="6" t="str">
        <f t="shared" si="34"/>
        <v/>
      </c>
      <c r="AB350" s="13"/>
    </row>
    <row r="351" spans="17:28" ht="15.6" customHeight="1" x14ac:dyDescent="0.3">
      <c r="Q351" s="13" t="str">
        <f t="shared" si="30"/>
        <v/>
      </c>
      <c r="R351" s="6" t="str">
        <f t="shared" si="31"/>
        <v/>
      </c>
      <c r="S351" s="6" t="str">
        <f t="shared" si="32"/>
        <v/>
      </c>
      <c r="T351" s="6" t="str">
        <f t="shared" si="33"/>
        <v/>
      </c>
      <c r="U351" s="6" t="str">
        <f t="shared" si="34"/>
        <v/>
      </c>
      <c r="AB351" s="13"/>
    </row>
    <row r="352" spans="17:28" ht="15.6" customHeight="1" x14ac:dyDescent="0.3">
      <c r="Q352" s="13" t="str">
        <f t="shared" si="30"/>
        <v/>
      </c>
      <c r="R352" s="6" t="str">
        <f t="shared" si="31"/>
        <v/>
      </c>
      <c r="S352" s="6" t="str">
        <f t="shared" si="32"/>
        <v/>
      </c>
      <c r="T352" s="6" t="str">
        <f t="shared" si="33"/>
        <v/>
      </c>
      <c r="U352" s="6" t="str">
        <f t="shared" si="34"/>
        <v/>
      </c>
      <c r="AB352" s="13"/>
    </row>
    <row r="353" spans="17:28" ht="15.6" customHeight="1" x14ac:dyDescent="0.3">
      <c r="Q353" s="13" t="str">
        <f t="shared" si="30"/>
        <v/>
      </c>
      <c r="R353" s="6" t="str">
        <f t="shared" si="31"/>
        <v/>
      </c>
      <c r="S353" s="6" t="str">
        <f t="shared" si="32"/>
        <v/>
      </c>
      <c r="T353" s="6" t="str">
        <f t="shared" si="33"/>
        <v/>
      </c>
      <c r="U353" s="6" t="str">
        <f t="shared" si="34"/>
        <v/>
      </c>
      <c r="AB353" s="13"/>
    </row>
    <row r="354" spans="17:28" ht="15.6" customHeight="1" x14ac:dyDescent="0.3">
      <c r="Q354" s="13" t="str">
        <f t="shared" si="30"/>
        <v/>
      </c>
      <c r="R354" s="6" t="str">
        <f t="shared" si="31"/>
        <v/>
      </c>
      <c r="S354" s="6" t="str">
        <f t="shared" si="32"/>
        <v/>
      </c>
      <c r="T354" s="6" t="str">
        <f t="shared" si="33"/>
        <v/>
      </c>
      <c r="U354" s="6" t="str">
        <f t="shared" si="34"/>
        <v/>
      </c>
      <c r="AB354" s="13"/>
    </row>
    <row r="355" spans="17:28" ht="15.6" customHeight="1" x14ac:dyDescent="0.3">
      <c r="Q355" s="13" t="str">
        <f t="shared" si="30"/>
        <v/>
      </c>
      <c r="R355" s="6" t="str">
        <f t="shared" si="31"/>
        <v/>
      </c>
      <c r="S355" s="6" t="str">
        <f t="shared" si="32"/>
        <v/>
      </c>
      <c r="T355" s="6" t="str">
        <f t="shared" si="33"/>
        <v/>
      </c>
      <c r="U355" s="6" t="str">
        <f t="shared" si="34"/>
        <v/>
      </c>
      <c r="AB355" s="13"/>
    </row>
    <row r="356" spans="17:28" ht="15.6" customHeight="1" x14ac:dyDescent="0.3">
      <c r="Q356" s="13" t="str">
        <f t="shared" si="30"/>
        <v/>
      </c>
      <c r="R356" s="6" t="str">
        <f t="shared" si="31"/>
        <v/>
      </c>
      <c r="S356" s="6" t="str">
        <f t="shared" si="32"/>
        <v/>
      </c>
      <c r="T356" s="6" t="str">
        <f t="shared" si="33"/>
        <v/>
      </c>
      <c r="U356" s="6" t="str">
        <f t="shared" si="34"/>
        <v/>
      </c>
      <c r="AB356" s="13"/>
    </row>
    <row r="357" spans="17:28" ht="15.6" customHeight="1" x14ac:dyDescent="0.3">
      <c r="Q357" s="13" t="str">
        <f t="shared" si="30"/>
        <v/>
      </c>
      <c r="R357" s="6" t="str">
        <f t="shared" si="31"/>
        <v/>
      </c>
      <c r="S357" s="6" t="str">
        <f t="shared" si="32"/>
        <v/>
      </c>
      <c r="T357" s="6" t="str">
        <f t="shared" si="33"/>
        <v/>
      </c>
      <c r="U357" s="6" t="str">
        <f t="shared" si="34"/>
        <v/>
      </c>
      <c r="AB357" s="13"/>
    </row>
    <row r="358" spans="17:28" ht="15.6" customHeight="1" x14ac:dyDescent="0.3">
      <c r="Q358" s="13" t="str">
        <f t="shared" si="30"/>
        <v/>
      </c>
      <c r="R358" s="6" t="str">
        <f t="shared" si="31"/>
        <v/>
      </c>
      <c r="S358" s="6" t="str">
        <f t="shared" si="32"/>
        <v/>
      </c>
      <c r="T358" s="6" t="str">
        <f t="shared" si="33"/>
        <v/>
      </c>
      <c r="U358" s="6" t="str">
        <f t="shared" si="34"/>
        <v/>
      </c>
      <c r="AB358" s="13"/>
    </row>
    <row r="359" spans="17:28" ht="15.6" customHeight="1" x14ac:dyDescent="0.3">
      <c r="Q359" s="13" t="str">
        <f t="shared" si="30"/>
        <v/>
      </c>
      <c r="R359" s="6" t="str">
        <f t="shared" si="31"/>
        <v/>
      </c>
      <c r="S359" s="6" t="str">
        <f t="shared" si="32"/>
        <v/>
      </c>
      <c r="T359" s="6" t="str">
        <f t="shared" si="33"/>
        <v/>
      </c>
      <c r="U359" s="6" t="str">
        <f t="shared" si="34"/>
        <v/>
      </c>
      <c r="AB359" s="13"/>
    </row>
    <row r="360" spans="17:28" ht="15.6" customHeight="1" x14ac:dyDescent="0.3">
      <c r="Q360" s="13" t="str">
        <f t="shared" si="30"/>
        <v/>
      </c>
      <c r="R360" s="6" t="str">
        <f t="shared" si="31"/>
        <v/>
      </c>
      <c r="S360" s="6" t="str">
        <f t="shared" si="32"/>
        <v/>
      </c>
      <c r="T360" s="6" t="str">
        <f t="shared" si="33"/>
        <v/>
      </c>
      <c r="U360" s="6" t="str">
        <f t="shared" si="34"/>
        <v/>
      </c>
      <c r="AB360" s="13"/>
    </row>
    <row r="361" spans="17:28" ht="15.6" customHeight="1" x14ac:dyDescent="0.3">
      <c r="Q361" s="13" t="str">
        <f t="shared" si="30"/>
        <v/>
      </c>
      <c r="R361" s="6" t="str">
        <f t="shared" si="31"/>
        <v/>
      </c>
      <c r="S361" s="6" t="str">
        <f t="shared" si="32"/>
        <v/>
      </c>
      <c r="T361" s="6" t="str">
        <f t="shared" si="33"/>
        <v/>
      </c>
      <c r="U361" s="6" t="str">
        <f t="shared" si="34"/>
        <v/>
      </c>
      <c r="AB361" s="13"/>
    </row>
    <row r="362" spans="17:28" ht="15.6" customHeight="1" x14ac:dyDescent="0.3">
      <c r="Q362" s="13" t="str">
        <f t="shared" si="30"/>
        <v/>
      </c>
      <c r="R362" s="6" t="str">
        <f t="shared" si="31"/>
        <v/>
      </c>
      <c r="S362" s="6" t="str">
        <f t="shared" si="32"/>
        <v/>
      </c>
      <c r="T362" s="6" t="str">
        <f t="shared" si="33"/>
        <v/>
      </c>
      <c r="U362" s="6" t="str">
        <f t="shared" si="34"/>
        <v/>
      </c>
      <c r="AB362" s="13"/>
    </row>
    <row r="363" spans="17:28" ht="15.6" customHeight="1" x14ac:dyDescent="0.3">
      <c r="Q363" s="13" t="str">
        <f t="shared" si="30"/>
        <v/>
      </c>
      <c r="R363" s="6" t="str">
        <f t="shared" si="31"/>
        <v/>
      </c>
      <c r="S363" s="6" t="str">
        <f t="shared" si="32"/>
        <v/>
      </c>
      <c r="T363" s="6" t="str">
        <f t="shared" si="33"/>
        <v/>
      </c>
      <c r="U363" s="6" t="str">
        <f t="shared" si="34"/>
        <v/>
      </c>
      <c r="AB363" s="13"/>
    </row>
    <row r="364" spans="17:28" ht="15.6" customHeight="1" x14ac:dyDescent="0.3">
      <c r="Q364" s="13" t="str">
        <f t="shared" si="30"/>
        <v/>
      </c>
      <c r="R364" s="6" t="str">
        <f t="shared" si="31"/>
        <v/>
      </c>
      <c r="S364" s="6" t="str">
        <f t="shared" si="32"/>
        <v/>
      </c>
      <c r="T364" s="6" t="str">
        <f t="shared" si="33"/>
        <v/>
      </c>
      <c r="U364" s="6" t="str">
        <f t="shared" si="34"/>
        <v/>
      </c>
      <c r="AB364" s="13"/>
    </row>
    <row r="365" spans="17:28" ht="15.6" customHeight="1" x14ac:dyDescent="0.3">
      <c r="Q365" s="13" t="str">
        <f t="shared" si="30"/>
        <v/>
      </c>
      <c r="R365" s="6" t="str">
        <f t="shared" si="31"/>
        <v/>
      </c>
      <c r="S365" s="6" t="str">
        <f t="shared" si="32"/>
        <v/>
      </c>
      <c r="T365" s="6" t="str">
        <f t="shared" si="33"/>
        <v/>
      </c>
      <c r="U365" s="6" t="str">
        <f t="shared" si="34"/>
        <v/>
      </c>
      <c r="AB365" s="13"/>
    </row>
    <row r="366" spans="17:28" ht="15.6" customHeight="1" x14ac:dyDescent="0.3">
      <c r="Q366" s="13" t="str">
        <f t="shared" si="30"/>
        <v/>
      </c>
      <c r="R366" s="6" t="str">
        <f t="shared" si="31"/>
        <v/>
      </c>
      <c r="S366" s="6" t="str">
        <f t="shared" si="32"/>
        <v/>
      </c>
      <c r="T366" s="6" t="str">
        <f t="shared" si="33"/>
        <v/>
      </c>
      <c r="U366" s="6" t="str">
        <f t="shared" si="34"/>
        <v/>
      </c>
      <c r="AB366" s="13"/>
    </row>
    <row r="367" spans="17:28" ht="15.6" customHeight="1" x14ac:dyDescent="0.3">
      <c r="Q367" s="13" t="str">
        <f t="shared" si="30"/>
        <v/>
      </c>
      <c r="R367" s="6" t="str">
        <f t="shared" si="31"/>
        <v/>
      </c>
      <c r="S367" s="6" t="str">
        <f t="shared" si="32"/>
        <v/>
      </c>
      <c r="T367" s="6" t="str">
        <f t="shared" si="33"/>
        <v/>
      </c>
      <c r="U367" s="6" t="str">
        <f t="shared" si="34"/>
        <v/>
      </c>
      <c r="AB367" s="13"/>
    </row>
    <row r="368" spans="17:28" ht="15.6" customHeight="1" x14ac:dyDescent="0.3">
      <c r="Q368" s="13" t="str">
        <f t="shared" si="30"/>
        <v/>
      </c>
      <c r="R368" s="6" t="str">
        <f t="shared" si="31"/>
        <v/>
      </c>
      <c r="S368" s="6" t="str">
        <f t="shared" si="32"/>
        <v/>
      </c>
      <c r="T368" s="6" t="str">
        <f t="shared" si="33"/>
        <v/>
      </c>
      <c r="U368" s="6" t="str">
        <f t="shared" si="34"/>
        <v/>
      </c>
      <c r="AB368" s="13"/>
    </row>
    <row r="369" spans="17:28" ht="15.6" customHeight="1" x14ac:dyDescent="0.3">
      <c r="Q369" s="13" t="str">
        <f t="shared" si="30"/>
        <v/>
      </c>
      <c r="R369" s="6" t="str">
        <f t="shared" si="31"/>
        <v/>
      </c>
      <c r="S369" s="6" t="str">
        <f t="shared" si="32"/>
        <v/>
      </c>
      <c r="T369" s="6" t="str">
        <f t="shared" si="33"/>
        <v/>
      </c>
      <c r="U369" s="6" t="str">
        <f t="shared" si="34"/>
        <v/>
      </c>
      <c r="AB369" s="13"/>
    </row>
    <row r="370" spans="17:28" ht="15.6" customHeight="1" x14ac:dyDescent="0.3">
      <c r="Q370" s="13" t="str">
        <f t="shared" si="30"/>
        <v/>
      </c>
      <c r="R370" s="6" t="str">
        <f t="shared" si="31"/>
        <v/>
      </c>
      <c r="S370" s="6" t="str">
        <f t="shared" si="32"/>
        <v/>
      </c>
      <c r="T370" s="6" t="str">
        <f t="shared" si="33"/>
        <v/>
      </c>
      <c r="U370" s="6" t="str">
        <f t="shared" si="34"/>
        <v/>
      </c>
      <c r="AB370" s="13"/>
    </row>
    <row r="371" spans="17:28" ht="15.6" customHeight="1" x14ac:dyDescent="0.3">
      <c r="Q371" s="13" t="str">
        <f t="shared" si="30"/>
        <v/>
      </c>
      <c r="R371" s="6" t="str">
        <f t="shared" si="31"/>
        <v/>
      </c>
      <c r="S371" s="6" t="str">
        <f t="shared" si="32"/>
        <v/>
      </c>
      <c r="T371" s="6" t="str">
        <f t="shared" si="33"/>
        <v/>
      </c>
      <c r="U371" s="6" t="str">
        <f t="shared" si="34"/>
        <v/>
      </c>
      <c r="AB371" s="13"/>
    </row>
    <row r="372" spans="17:28" ht="15.6" customHeight="1" x14ac:dyDescent="0.3">
      <c r="Q372" s="13" t="str">
        <f t="shared" si="30"/>
        <v/>
      </c>
      <c r="R372" s="6" t="str">
        <f t="shared" si="31"/>
        <v/>
      </c>
      <c r="S372" s="6" t="str">
        <f t="shared" si="32"/>
        <v/>
      </c>
      <c r="T372" s="6" t="str">
        <f t="shared" si="33"/>
        <v/>
      </c>
      <c r="U372" s="6" t="str">
        <f t="shared" si="34"/>
        <v/>
      </c>
      <c r="AB372" s="13"/>
    </row>
    <row r="373" spans="17:28" ht="15.6" customHeight="1" x14ac:dyDescent="0.3">
      <c r="Q373" s="13" t="str">
        <f t="shared" si="30"/>
        <v/>
      </c>
      <c r="R373" s="6" t="str">
        <f t="shared" si="31"/>
        <v/>
      </c>
      <c r="S373" s="6" t="str">
        <f t="shared" si="32"/>
        <v/>
      </c>
      <c r="T373" s="6" t="str">
        <f t="shared" si="33"/>
        <v/>
      </c>
      <c r="U373" s="6" t="str">
        <f t="shared" si="34"/>
        <v/>
      </c>
      <c r="AB373" s="13"/>
    </row>
    <row r="374" spans="17:28" ht="15.6" customHeight="1" x14ac:dyDescent="0.3">
      <c r="Q374" s="13" t="str">
        <f t="shared" si="30"/>
        <v/>
      </c>
      <c r="R374" s="6" t="str">
        <f t="shared" si="31"/>
        <v/>
      </c>
      <c r="S374" s="6" t="str">
        <f t="shared" si="32"/>
        <v/>
      </c>
      <c r="T374" s="6" t="str">
        <f t="shared" si="33"/>
        <v/>
      </c>
      <c r="U374" s="6" t="str">
        <f t="shared" si="34"/>
        <v/>
      </c>
      <c r="AB374" s="13"/>
    </row>
    <row r="375" spans="17:28" ht="15.6" customHeight="1" x14ac:dyDescent="0.3">
      <c r="Q375" s="13" t="str">
        <f t="shared" si="30"/>
        <v/>
      </c>
      <c r="R375" s="6" t="str">
        <f t="shared" si="31"/>
        <v/>
      </c>
      <c r="S375" s="6" t="str">
        <f t="shared" si="32"/>
        <v/>
      </c>
      <c r="T375" s="6" t="str">
        <f t="shared" si="33"/>
        <v/>
      </c>
      <c r="U375" s="6" t="str">
        <f t="shared" si="34"/>
        <v/>
      </c>
      <c r="AB375" s="13"/>
    </row>
    <row r="376" spans="17:28" ht="15.6" customHeight="1" x14ac:dyDescent="0.3">
      <c r="Q376" s="13" t="str">
        <f t="shared" si="30"/>
        <v/>
      </c>
      <c r="R376" s="6" t="str">
        <f t="shared" si="31"/>
        <v/>
      </c>
      <c r="S376" s="6" t="str">
        <f t="shared" si="32"/>
        <v/>
      </c>
      <c r="T376" s="6" t="str">
        <f t="shared" si="33"/>
        <v/>
      </c>
      <c r="U376" s="6" t="str">
        <f t="shared" si="34"/>
        <v/>
      </c>
      <c r="AB376" s="13"/>
    </row>
    <row r="377" spans="17:28" ht="15.6" customHeight="1" x14ac:dyDescent="0.3">
      <c r="Q377" s="13" t="str">
        <f t="shared" si="30"/>
        <v/>
      </c>
      <c r="R377" s="6" t="str">
        <f t="shared" si="31"/>
        <v/>
      </c>
      <c r="S377" s="6" t="str">
        <f t="shared" si="32"/>
        <v/>
      </c>
      <c r="T377" s="6" t="str">
        <f t="shared" si="33"/>
        <v/>
      </c>
      <c r="U377" s="6" t="str">
        <f t="shared" si="34"/>
        <v/>
      </c>
      <c r="AB377" s="13"/>
    </row>
    <row r="378" spans="17:28" ht="15.6" customHeight="1" x14ac:dyDescent="0.3">
      <c r="Q378" s="13" t="str">
        <f t="shared" si="30"/>
        <v/>
      </c>
      <c r="R378" s="6" t="str">
        <f t="shared" si="31"/>
        <v/>
      </c>
      <c r="S378" s="6" t="str">
        <f t="shared" si="32"/>
        <v/>
      </c>
      <c r="T378" s="6" t="str">
        <f t="shared" si="33"/>
        <v/>
      </c>
      <c r="U378" s="6" t="str">
        <f t="shared" si="34"/>
        <v/>
      </c>
      <c r="AB378" s="13"/>
    </row>
    <row r="379" spans="17:28" ht="15.6" customHeight="1" x14ac:dyDescent="0.3">
      <c r="Q379" s="13" t="str">
        <f t="shared" si="30"/>
        <v/>
      </c>
      <c r="R379" s="6" t="str">
        <f t="shared" si="31"/>
        <v/>
      </c>
      <c r="S379" s="6" t="str">
        <f t="shared" si="32"/>
        <v/>
      </c>
      <c r="T379" s="6" t="str">
        <f t="shared" si="33"/>
        <v/>
      </c>
      <c r="U379" s="6" t="str">
        <f t="shared" si="34"/>
        <v/>
      </c>
      <c r="AB379" s="13"/>
    </row>
    <row r="380" spans="17:28" ht="15.6" customHeight="1" x14ac:dyDescent="0.3">
      <c r="Q380" s="13" t="str">
        <f t="shared" si="30"/>
        <v/>
      </c>
      <c r="R380" s="6" t="str">
        <f t="shared" si="31"/>
        <v/>
      </c>
      <c r="S380" s="6" t="str">
        <f t="shared" si="32"/>
        <v/>
      </c>
      <c r="T380" s="6" t="str">
        <f t="shared" si="33"/>
        <v/>
      </c>
      <c r="U380" s="6" t="str">
        <f t="shared" si="34"/>
        <v/>
      </c>
      <c r="AB380" s="13"/>
    </row>
    <row r="381" spans="17:28" ht="15.6" customHeight="1" x14ac:dyDescent="0.3">
      <c r="Q381" s="13" t="str">
        <f t="shared" si="30"/>
        <v/>
      </c>
      <c r="R381" s="6" t="str">
        <f t="shared" si="31"/>
        <v/>
      </c>
      <c r="S381" s="6" t="str">
        <f t="shared" si="32"/>
        <v/>
      </c>
      <c r="T381" s="6" t="str">
        <f t="shared" si="33"/>
        <v/>
      </c>
      <c r="U381" s="6" t="str">
        <f t="shared" si="34"/>
        <v/>
      </c>
      <c r="AB381" s="13"/>
    </row>
    <row r="382" spans="17:28" ht="15.6" customHeight="1" x14ac:dyDescent="0.3">
      <c r="Q382" s="13" t="str">
        <f t="shared" si="30"/>
        <v/>
      </c>
      <c r="R382" s="6" t="str">
        <f t="shared" si="31"/>
        <v/>
      </c>
      <c r="S382" s="6" t="str">
        <f t="shared" si="32"/>
        <v/>
      </c>
      <c r="T382" s="6" t="str">
        <f t="shared" si="33"/>
        <v/>
      </c>
      <c r="U382" s="6" t="str">
        <f t="shared" si="34"/>
        <v/>
      </c>
      <c r="AB382" s="13"/>
    </row>
    <row r="383" spans="17:28" ht="15.6" customHeight="1" x14ac:dyDescent="0.3">
      <c r="Q383" s="13" t="str">
        <f t="shared" si="30"/>
        <v/>
      </c>
      <c r="R383" s="6" t="str">
        <f t="shared" si="31"/>
        <v/>
      </c>
      <c r="S383" s="6" t="str">
        <f t="shared" si="32"/>
        <v/>
      </c>
      <c r="T383" s="6" t="str">
        <f t="shared" si="33"/>
        <v/>
      </c>
      <c r="U383" s="6" t="str">
        <f t="shared" si="34"/>
        <v/>
      </c>
      <c r="AB383" s="13"/>
    </row>
    <row r="384" spans="17:28" ht="15.6" customHeight="1" x14ac:dyDescent="0.3">
      <c r="Q384" s="13" t="str">
        <f t="shared" si="30"/>
        <v/>
      </c>
      <c r="R384" s="6" t="str">
        <f t="shared" si="31"/>
        <v/>
      </c>
      <c r="S384" s="6" t="str">
        <f t="shared" si="32"/>
        <v/>
      </c>
      <c r="T384" s="6" t="str">
        <f t="shared" si="33"/>
        <v/>
      </c>
      <c r="U384" s="6" t="str">
        <f t="shared" si="34"/>
        <v/>
      </c>
      <c r="AB384" s="13"/>
    </row>
    <row r="385" spans="17:28" ht="15.6" customHeight="1" x14ac:dyDescent="0.3">
      <c r="Q385" s="13" t="str">
        <f t="shared" si="30"/>
        <v/>
      </c>
      <c r="R385" s="6" t="str">
        <f t="shared" si="31"/>
        <v/>
      </c>
      <c r="S385" s="6" t="str">
        <f t="shared" si="32"/>
        <v/>
      </c>
      <c r="T385" s="6" t="str">
        <f t="shared" si="33"/>
        <v/>
      </c>
      <c r="U385" s="6" t="str">
        <f t="shared" si="34"/>
        <v/>
      </c>
      <c r="AB385" s="13"/>
    </row>
    <row r="386" spans="17:28" ht="15.6" customHeight="1" x14ac:dyDescent="0.3">
      <c r="Q386" s="13" t="str">
        <f t="shared" si="30"/>
        <v/>
      </c>
      <c r="R386" s="6" t="str">
        <f t="shared" si="31"/>
        <v/>
      </c>
      <c r="S386" s="6" t="str">
        <f t="shared" si="32"/>
        <v/>
      </c>
      <c r="T386" s="6" t="str">
        <f t="shared" si="33"/>
        <v/>
      </c>
      <c r="U386" s="6" t="str">
        <f t="shared" si="34"/>
        <v/>
      </c>
      <c r="AB386" s="13"/>
    </row>
    <row r="387" spans="17:28" ht="15.6" customHeight="1" x14ac:dyDescent="0.3">
      <c r="Q387" s="13" t="str">
        <f t="shared" si="30"/>
        <v/>
      </c>
      <c r="R387" s="6" t="str">
        <f t="shared" si="31"/>
        <v/>
      </c>
      <c r="S387" s="6" t="str">
        <f t="shared" si="32"/>
        <v/>
      </c>
      <c r="T387" s="6" t="str">
        <f t="shared" si="33"/>
        <v/>
      </c>
      <c r="U387" s="6" t="str">
        <f t="shared" si="34"/>
        <v/>
      </c>
      <c r="AB387" s="13"/>
    </row>
    <row r="388" spans="17:28" ht="15.6" customHeight="1" x14ac:dyDescent="0.3">
      <c r="Q388" s="13" t="str">
        <f t="shared" ref="Q388:Q403" si="35">IF(K388="","",VLOOKUP(K388,$A$4:$H$22,8,FALSE))</f>
        <v/>
      </c>
      <c r="R388" s="6" t="str">
        <f t="shared" ref="R388:R403" si="36">IF(L388="","",VLOOKUP(L388,$A$4:$H$22,8,FALSE))</f>
        <v/>
      </c>
      <c r="S388" s="6" t="str">
        <f t="shared" ref="S388:S403" si="37">IF(M388="","",VLOOKUP(M388,$A$4:$H$22,8,FALSE))</f>
        <v/>
      </c>
      <c r="T388" s="6" t="str">
        <f t="shared" ref="T388:T403" si="38">IF(N388="","",VLOOKUP(N388,$A$4:$H$22,8,FALSE))</f>
        <v/>
      </c>
      <c r="U388" s="6" t="str">
        <f t="shared" ref="U388:U403" si="39">IF(O388="","",VLOOKUP(O388,$A$4:$H$22,8,FALSE))</f>
        <v/>
      </c>
      <c r="AB388" s="13"/>
    </row>
    <row r="389" spans="17:28" ht="15.6" customHeight="1" x14ac:dyDescent="0.3">
      <c r="Q389" s="13" t="str">
        <f t="shared" si="35"/>
        <v/>
      </c>
      <c r="R389" s="6" t="str">
        <f t="shared" si="36"/>
        <v/>
      </c>
      <c r="S389" s="6" t="str">
        <f t="shared" si="37"/>
        <v/>
      </c>
      <c r="T389" s="6" t="str">
        <f t="shared" si="38"/>
        <v/>
      </c>
      <c r="U389" s="6" t="str">
        <f t="shared" si="39"/>
        <v/>
      </c>
      <c r="AB389" s="13"/>
    </row>
    <row r="390" spans="17:28" ht="15.6" customHeight="1" x14ac:dyDescent="0.3">
      <c r="Q390" s="13" t="str">
        <f t="shared" si="35"/>
        <v/>
      </c>
      <c r="R390" s="6" t="str">
        <f t="shared" si="36"/>
        <v/>
      </c>
      <c r="S390" s="6" t="str">
        <f t="shared" si="37"/>
        <v/>
      </c>
      <c r="T390" s="6" t="str">
        <f t="shared" si="38"/>
        <v/>
      </c>
      <c r="U390" s="6" t="str">
        <f t="shared" si="39"/>
        <v/>
      </c>
      <c r="AB390" s="13"/>
    </row>
    <row r="391" spans="17:28" ht="15.6" customHeight="1" x14ac:dyDescent="0.3">
      <c r="Q391" s="13" t="str">
        <f t="shared" si="35"/>
        <v/>
      </c>
      <c r="R391" s="6" t="str">
        <f t="shared" si="36"/>
        <v/>
      </c>
      <c r="S391" s="6" t="str">
        <f t="shared" si="37"/>
        <v/>
      </c>
      <c r="T391" s="6" t="str">
        <f t="shared" si="38"/>
        <v/>
      </c>
      <c r="U391" s="6" t="str">
        <f t="shared" si="39"/>
        <v/>
      </c>
      <c r="AB391" s="13"/>
    </row>
    <row r="392" spans="17:28" ht="15.6" customHeight="1" x14ac:dyDescent="0.3">
      <c r="Q392" s="13" t="str">
        <f t="shared" si="35"/>
        <v/>
      </c>
      <c r="R392" s="6" t="str">
        <f t="shared" si="36"/>
        <v/>
      </c>
      <c r="S392" s="6" t="str">
        <f t="shared" si="37"/>
        <v/>
      </c>
      <c r="T392" s="6" t="str">
        <f t="shared" si="38"/>
        <v/>
      </c>
      <c r="U392" s="6" t="str">
        <f t="shared" si="39"/>
        <v/>
      </c>
      <c r="AB392" s="13"/>
    </row>
    <row r="393" spans="17:28" ht="15.6" customHeight="1" x14ac:dyDescent="0.3">
      <c r="Q393" s="13" t="str">
        <f t="shared" si="35"/>
        <v/>
      </c>
      <c r="R393" s="6" t="str">
        <f t="shared" si="36"/>
        <v/>
      </c>
      <c r="S393" s="6" t="str">
        <f t="shared" si="37"/>
        <v/>
      </c>
      <c r="T393" s="6" t="str">
        <f t="shared" si="38"/>
        <v/>
      </c>
      <c r="U393" s="6" t="str">
        <f t="shared" si="39"/>
        <v/>
      </c>
      <c r="AB393" s="13"/>
    </row>
    <row r="394" spans="17:28" ht="15.6" customHeight="1" x14ac:dyDescent="0.3">
      <c r="Q394" s="13" t="str">
        <f t="shared" si="35"/>
        <v/>
      </c>
      <c r="R394" s="6" t="str">
        <f t="shared" si="36"/>
        <v/>
      </c>
      <c r="S394" s="6" t="str">
        <f t="shared" si="37"/>
        <v/>
      </c>
      <c r="T394" s="6" t="str">
        <f t="shared" si="38"/>
        <v/>
      </c>
      <c r="U394" s="6" t="str">
        <f t="shared" si="39"/>
        <v/>
      </c>
      <c r="AB394" s="13"/>
    </row>
    <row r="395" spans="17:28" ht="15.6" customHeight="1" x14ac:dyDescent="0.3">
      <c r="Q395" s="13" t="str">
        <f t="shared" si="35"/>
        <v/>
      </c>
      <c r="R395" s="6" t="str">
        <f t="shared" si="36"/>
        <v/>
      </c>
      <c r="S395" s="6" t="str">
        <f t="shared" si="37"/>
        <v/>
      </c>
      <c r="T395" s="6" t="str">
        <f t="shared" si="38"/>
        <v/>
      </c>
      <c r="U395" s="6" t="str">
        <f t="shared" si="39"/>
        <v/>
      </c>
      <c r="AB395" s="13"/>
    </row>
    <row r="396" spans="17:28" ht="15.6" customHeight="1" x14ac:dyDescent="0.3">
      <c r="Q396" s="13" t="str">
        <f t="shared" si="35"/>
        <v/>
      </c>
      <c r="R396" s="6" t="str">
        <f t="shared" si="36"/>
        <v/>
      </c>
      <c r="S396" s="6" t="str">
        <f t="shared" si="37"/>
        <v/>
      </c>
      <c r="T396" s="6" t="str">
        <f t="shared" si="38"/>
        <v/>
      </c>
      <c r="U396" s="6" t="str">
        <f t="shared" si="39"/>
        <v/>
      </c>
      <c r="AB396" s="13"/>
    </row>
    <row r="397" spans="17:28" ht="15.6" customHeight="1" x14ac:dyDescent="0.3">
      <c r="Q397" s="13" t="str">
        <f t="shared" si="35"/>
        <v/>
      </c>
      <c r="R397" s="6" t="str">
        <f t="shared" si="36"/>
        <v/>
      </c>
      <c r="S397" s="6" t="str">
        <f t="shared" si="37"/>
        <v/>
      </c>
      <c r="T397" s="6" t="str">
        <f t="shared" si="38"/>
        <v/>
      </c>
      <c r="U397" s="6" t="str">
        <f t="shared" si="39"/>
        <v/>
      </c>
      <c r="AB397" s="13"/>
    </row>
    <row r="398" spans="17:28" ht="15.6" customHeight="1" x14ac:dyDescent="0.3">
      <c r="Q398" s="13" t="str">
        <f t="shared" si="35"/>
        <v/>
      </c>
      <c r="R398" s="6" t="str">
        <f t="shared" si="36"/>
        <v/>
      </c>
      <c r="S398" s="6" t="str">
        <f t="shared" si="37"/>
        <v/>
      </c>
      <c r="T398" s="6" t="str">
        <f t="shared" si="38"/>
        <v/>
      </c>
      <c r="U398" s="6" t="str">
        <f t="shared" si="39"/>
        <v/>
      </c>
      <c r="AB398" s="13"/>
    </row>
    <row r="399" spans="17:28" ht="15.6" customHeight="1" x14ac:dyDescent="0.3">
      <c r="Q399" s="13" t="str">
        <f t="shared" si="35"/>
        <v/>
      </c>
      <c r="R399" s="6" t="str">
        <f t="shared" si="36"/>
        <v/>
      </c>
      <c r="S399" s="6" t="str">
        <f t="shared" si="37"/>
        <v/>
      </c>
      <c r="T399" s="6" t="str">
        <f t="shared" si="38"/>
        <v/>
      </c>
      <c r="U399" s="6" t="str">
        <f t="shared" si="39"/>
        <v/>
      </c>
      <c r="AB399" s="13"/>
    </row>
    <row r="400" spans="17:28" ht="15.6" customHeight="1" x14ac:dyDescent="0.3">
      <c r="Q400" s="13" t="str">
        <f t="shared" si="35"/>
        <v/>
      </c>
      <c r="R400" s="6" t="str">
        <f t="shared" si="36"/>
        <v/>
      </c>
      <c r="S400" s="6" t="str">
        <f t="shared" si="37"/>
        <v/>
      </c>
      <c r="T400" s="6" t="str">
        <f t="shared" si="38"/>
        <v/>
      </c>
      <c r="U400" s="6" t="str">
        <f t="shared" si="39"/>
        <v/>
      </c>
      <c r="AB400" s="13"/>
    </row>
    <row r="401" spans="17:28" ht="15.6" customHeight="1" x14ac:dyDescent="0.3">
      <c r="Q401" s="13" t="str">
        <f t="shared" si="35"/>
        <v/>
      </c>
      <c r="R401" s="6" t="str">
        <f t="shared" si="36"/>
        <v/>
      </c>
      <c r="S401" s="6" t="str">
        <f t="shared" si="37"/>
        <v/>
      </c>
      <c r="T401" s="6" t="str">
        <f t="shared" si="38"/>
        <v/>
      </c>
      <c r="U401" s="6" t="str">
        <f t="shared" si="39"/>
        <v/>
      </c>
      <c r="AB401" s="13"/>
    </row>
    <row r="402" spans="17:28" ht="15.6" customHeight="1" x14ac:dyDescent="0.3">
      <c r="Q402" s="13" t="str">
        <f t="shared" si="35"/>
        <v/>
      </c>
      <c r="R402" s="6" t="str">
        <f t="shared" si="36"/>
        <v/>
      </c>
      <c r="S402" s="6" t="str">
        <f t="shared" si="37"/>
        <v/>
      </c>
      <c r="T402" s="6" t="str">
        <f t="shared" si="38"/>
        <v/>
      </c>
      <c r="U402" s="6" t="str">
        <f t="shared" si="39"/>
        <v/>
      </c>
      <c r="AB402" s="13"/>
    </row>
    <row r="403" spans="17:28" ht="15.6" customHeight="1" x14ac:dyDescent="0.3">
      <c r="Q403" s="13" t="str">
        <f t="shared" si="35"/>
        <v/>
      </c>
      <c r="R403" s="6" t="str">
        <f t="shared" si="36"/>
        <v/>
      </c>
      <c r="S403" s="6" t="str">
        <f t="shared" si="37"/>
        <v/>
      </c>
      <c r="T403" s="6" t="str">
        <f t="shared" si="38"/>
        <v/>
      </c>
      <c r="U403" s="6" t="str">
        <f t="shared" si="39"/>
        <v/>
      </c>
      <c r="AB403" s="13"/>
    </row>
  </sheetData>
  <phoneticPr fontId="20" type="noConversion"/>
  <conditionalFormatting sqref="K1:O3 K198:O1048576">
    <cfRule type="cellIs" dxfId="153" priority="16" operator="equal">
      <formula>$A$10</formula>
    </cfRule>
    <cfRule type="cellIs" dxfId="152" priority="17" operator="equal">
      <formula>$A$9</formula>
    </cfRule>
    <cfRule type="cellIs" dxfId="151" priority="18" operator="equal">
      <formula>$A$8</formula>
    </cfRule>
    <cfRule type="cellIs" dxfId="150" priority="19" operator="equal">
      <formula>$A$7</formula>
    </cfRule>
    <cfRule type="cellIs" dxfId="149" priority="20" operator="equal">
      <formula>$A$6</formula>
    </cfRule>
    <cfRule type="cellIs" dxfId="148" priority="21" operator="equal">
      <formula>$A$5</formula>
    </cfRule>
    <cfRule type="cellIs" dxfId="147" priority="22" operator="equal">
      <formula>$A$4</formula>
    </cfRule>
  </conditionalFormatting>
  <conditionalFormatting sqref="K4:O197">
    <cfRule type="cellIs" dxfId="146" priority="9" operator="equal">
      <formula>$A$10</formula>
    </cfRule>
    <cfRule type="cellIs" dxfId="145" priority="10" operator="equal">
      <formula>$A$9</formula>
    </cfRule>
    <cfRule type="cellIs" dxfId="144" priority="11" operator="equal">
      <formula>$A$8</formula>
    </cfRule>
    <cfRule type="cellIs" dxfId="143" priority="12" operator="equal">
      <formula>$A$7</formula>
    </cfRule>
    <cfRule type="cellIs" dxfId="142" priority="13" operator="equal">
      <formula>$A$6</formula>
    </cfRule>
    <cfRule type="cellIs" dxfId="141" priority="14" operator="equal">
      <formula>$A$5</formula>
    </cfRule>
    <cfRule type="cellIs" dxfId="140" priority="15" operator="equal">
      <formula>$A$4</formula>
    </cfRule>
  </conditionalFormatting>
  <conditionalFormatting sqref="AA1">
    <cfRule type="cellIs" dxfId="139" priority="2" operator="equal">
      <formula>$A$10</formula>
    </cfRule>
    <cfRule type="cellIs" dxfId="138" priority="3" operator="equal">
      <formula>$A$9</formula>
    </cfRule>
    <cfRule type="cellIs" dxfId="137" priority="4" operator="equal">
      <formula>$A$8</formula>
    </cfRule>
    <cfRule type="cellIs" dxfId="136" priority="5" operator="equal">
      <formula>$A$7</formula>
    </cfRule>
    <cfRule type="cellIs" dxfId="135" priority="6" operator="equal">
      <formula>$A$6</formula>
    </cfRule>
    <cfRule type="cellIs" dxfId="134" priority="7" operator="equal">
      <formula>$A$5</formula>
    </cfRule>
    <cfRule type="cellIs" dxfId="133" priority="8" operator="equal">
      <formula>$A$4</formula>
    </cfRule>
  </conditionalFormatting>
  <conditionalFormatting sqref="W4:AA203">
    <cfRule type="expression" dxfId="132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403"/>
  <sheetViews>
    <sheetView workbookViewId="0">
      <selection activeCell="W1" sqref="W1:AA1048576"/>
    </sheetView>
  </sheetViews>
  <sheetFormatPr defaultColWidth="9" defaultRowHeight="15.6" x14ac:dyDescent="0.3"/>
  <cols>
    <col min="1" max="1" width="10.21875" style="13" bestFit="1" customWidth="1"/>
    <col min="2" max="2" width="17.88671875" style="13" bestFit="1" customWidth="1"/>
    <col min="3" max="7" width="6.109375" style="13" bestFit="1" customWidth="1"/>
    <col min="8" max="8" width="4.6640625" style="13" bestFit="1" customWidth="1"/>
    <col min="9" max="9" width="4.33203125" style="13" customWidth="1"/>
    <col min="10" max="10" width="10.21875" style="13" bestFit="1" customWidth="1"/>
    <col min="11" max="15" width="4.6640625" style="13" bestFit="1" customWidth="1"/>
    <col min="16" max="16" width="4.33203125" style="13" customWidth="1"/>
    <col min="17" max="17" width="14.6640625" style="13" bestFit="1" customWidth="1"/>
    <col min="18" max="21" width="4.6640625" style="6" bestFit="1" customWidth="1"/>
    <col min="22" max="22" width="4.33203125" style="13" customWidth="1"/>
    <col min="23" max="23" width="19.77734375" style="13" bestFit="1" customWidth="1"/>
    <col min="24" max="27" width="8.21875" style="6" bestFit="1" customWidth="1"/>
    <col min="28" max="28" width="9" style="11" customWidth="1"/>
    <col min="29" max="29" width="41" style="13" bestFit="1" customWidth="1"/>
    <col min="30" max="30" width="10.21875" style="13" bestFit="1" customWidth="1"/>
    <col min="31" max="31" width="9" style="13" customWidth="1"/>
    <col min="32" max="32" width="28.5546875" style="6" bestFit="1" customWidth="1"/>
    <col min="33" max="37" width="10.21875" style="13" bestFit="1" customWidth="1"/>
    <col min="38" max="49" width="9" style="13" customWidth="1"/>
    <col min="50" max="16384" width="9" style="13"/>
  </cols>
  <sheetData>
    <row r="1" spans="1:37" ht="15.6" customHeight="1" x14ac:dyDescent="0.3"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3"/>
    </row>
    <row r="2" spans="1:37" ht="15.9" customHeight="1" x14ac:dyDescent="0.3">
      <c r="I2" s="4"/>
      <c r="J2" s="16" t="s">
        <v>19</v>
      </c>
      <c r="K2" s="16"/>
      <c r="L2" s="16"/>
      <c r="M2" s="16"/>
      <c r="N2" s="16"/>
      <c r="O2" s="16"/>
      <c r="P2" s="16"/>
      <c r="Q2" s="16" t="s">
        <v>68</v>
      </c>
      <c r="R2" s="46"/>
      <c r="S2" s="46"/>
      <c r="T2" s="46"/>
      <c r="U2" s="46"/>
      <c r="V2" s="16"/>
      <c r="W2" s="16" t="s">
        <v>69</v>
      </c>
      <c r="X2" s="46"/>
      <c r="AB2" s="13"/>
      <c r="AC2" s="16" t="s">
        <v>70</v>
      </c>
      <c r="AF2" s="6" t="s">
        <v>71</v>
      </c>
    </row>
    <row r="3" spans="1:37" ht="15.9" customHeight="1" x14ac:dyDescent="0.3">
      <c r="A3" s="5" t="s">
        <v>19</v>
      </c>
      <c r="B3" s="5" t="s">
        <v>20</v>
      </c>
      <c r="C3" s="5" t="s">
        <v>72</v>
      </c>
      <c r="D3" s="5" t="s">
        <v>73</v>
      </c>
      <c r="E3" s="5" t="s">
        <v>74</v>
      </c>
      <c r="F3" s="5" t="s">
        <v>75</v>
      </c>
      <c r="G3" s="5" t="s">
        <v>76</v>
      </c>
      <c r="H3" s="5" t="s">
        <v>77</v>
      </c>
      <c r="I3" s="4"/>
      <c r="J3" s="5" t="s">
        <v>78</v>
      </c>
      <c r="K3" s="5" t="s">
        <v>72</v>
      </c>
      <c r="L3" s="5" t="s">
        <v>73</v>
      </c>
      <c r="M3" s="5" t="s">
        <v>74</v>
      </c>
      <c r="N3" s="5" t="s">
        <v>75</v>
      </c>
      <c r="O3" s="5" t="s">
        <v>76</v>
      </c>
      <c r="Q3" s="5" t="s">
        <v>72</v>
      </c>
      <c r="R3" s="5" t="s">
        <v>73</v>
      </c>
      <c r="S3" s="5" t="s">
        <v>74</v>
      </c>
      <c r="T3" s="5" t="s">
        <v>75</v>
      </c>
      <c r="U3" s="5" t="s">
        <v>76</v>
      </c>
      <c r="W3" s="5" t="s">
        <v>72</v>
      </c>
      <c r="X3" s="5" t="s">
        <v>73</v>
      </c>
      <c r="Y3" s="5" t="s">
        <v>74</v>
      </c>
      <c r="Z3" s="5" t="s">
        <v>75</v>
      </c>
      <c r="AA3" s="5" t="s">
        <v>76</v>
      </c>
      <c r="AB3" s="13"/>
      <c r="AC3" s="5" t="s">
        <v>79</v>
      </c>
      <c r="AD3" s="5" t="s">
        <v>54</v>
      </c>
      <c r="AF3" s="5" t="s">
        <v>19</v>
      </c>
      <c r="AG3" s="5" t="s">
        <v>72</v>
      </c>
      <c r="AH3" s="5" t="s">
        <v>73</v>
      </c>
      <c r="AI3" s="5" t="s">
        <v>74</v>
      </c>
      <c r="AJ3" s="5" t="s">
        <v>75</v>
      </c>
      <c r="AK3" s="5" t="s">
        <v>76</v>
      </c>
    </row>
    <row r="4" spans="1:37" ht="15.9" customHeight="1" x14ac:dyDescent="0.3">
      <c r="A4" s="9" t="str">
        <f t="array" ref="A4:A22">Overview!A30:A48</f>
        <v>WW</v>
      </c>
      <c r="B4" s="38" t="str">
        <f t="array" ref="B4:B22">Overview!B30:B48</f>
        <v>Wild</v>
      </c>
      <c r="C4" s="9">
        <f t="shared" ref="C4:C22" si="0">COUNTIF(K:K,$A4)</f>
        <v>0</v>
      </c>
      <c r="D4" s="9">
        <f t="shared" ref="D4:D22" si="1">COUNTIF(L:L,$A4)</f>
        <v>0</v>
      </c>
      <c r="E4" s="9">
        <f t="shared" ref="E4:E22" si="2">COUNTIF(M:M,$A4)</f>
        <v>0</v>
      </c>
      <c r="F4" s="9">
        <f t="shared" ref="F4:F22" si="3">COUNTIF(N:N,$A4)</f>
        <v>0</v>
      </c>
      <c r="G4" s="9">
        <f t="shared" ref="G4:G22" si="4">COUNTIF(O:O,$A4)</f>
        <v>0</v>
      </c>
      <c r="H4" s="38">
        <f t="array" ref="H4:H22">Overview!H30:H48</f>
        <v>0</v>
      </c>
      <c r="I4" s="52"/>
      <c r="J4" s="7">
        <v>0</v>
      </c>
      <c r="K4" s="41" t="s">
        <v>35</v>
      </c>
      <c r="L4" s="8" t="s">
        <v>38</v>
      </c>
      <c r="M4" s="8" t="s">
        <v>48</v>
      </c>
      <c r="N4" s="8" t="s">
        <v>48</v>
      </c>
      <c r="O4" s="8" t="s">
        <v>32</v>
      </c>
      <c r="Q4" s="17">
        <f t="shared" ref="Q4:Q35" si="5">IF(K4="","",VLOOKUP(K4,$A$4:$H$22,8,FALSE))</f>
        <v>10</v>
      </c>
      <c r="R4" s="17">
        <f t="shared" ref="R4:R35" si="6">IF(L4="","",VLOOKUP(L4,$A$4:$H$22,8,FALSE))</f>
        <v>12</v>
      </c>
      <c r="S4" s="17">
        <f t="shared" ref="S4:S35" si="7">IF(M4="","",VLOOKUP(M4,$A$4:$H$22,8,FALSE))</f>
        <v>17</v>
      </c>
      <c r="T4" s="17">
        <f t="shared" ref="T4:T35" si="8">IF(N4="","",VLOOKUP(N4,$A$4:$H$22,8,FALSE))</f>
        <v>17</v>
      </c>
      <c r="U4" s="17">
        <f t="shared" ref="U4:U35" si="9">IF(O4="","",VLOOKUP(O4,$A$4:$H$22,8,FALSE))</f>
        <v>7</v>
      </c>
      <c r="W4" s="7">
        <v>2161</v>
      </c>
      <c r="X4" s="7">
        <v>6812</v>
      </c>
      <c r="Y4" s="7">
        <v>2025</v>
      </c>
      <c r="Z4" s="7">
        <v>8927</v>
      </c>
      <c r="AA4" s="7">
        <v>25609</v>
      </c>
      <c r="AB4" s="13"/>
      <c r="AC4" s="38">
        <v>0</v>
      </c>
      <c r="AD4" s="10">
        <v>23656</v>
      </c>
      <c r="AF4" s="9" t="str">
        <f t="array" ref="AF4:AF22">A4:A22</f>
        <v>WW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</row>
    <row r="5" spans="1:37" ht="15.9" customHeight="1" x14ac:dyDescent="0.3">
      <c r="A5" s="2" t="str">
        <v>W2</v>
      </c>
      <c r="B5" s="38" t="str">
        <v>Super Wild</v>
      </c>
      <c r="C5" s="9">
        <f t="shared" si="0"/>
        <v>0</v>
      </c>
      <c r="D5" s="9">
        <f t="shared" si="1"/>
        <v>0</v>
      </c>
      <c r="E5" s="9">
        <f t="shared" si="2"/>
        <v>0</v>
      </c>
      <c r="F5" s="9">
        <f t="shared" si="3"/>
        <v>0</v>
      </c>
      <c r="G5" s="9">
        <f t="shared" si="4"/>
        <v>0</v>
      </c>
      <c r="H5" s="38">
        <v>1</v>
      </c>
      <c r="I5" s="52"/>
      <c r="J5" s="2">
        <v>1</v>
      </c>
      <c r="K5" s="41" t="s">
        <v>30</v>
      </c>
      <c r="L5" s="41" t="s">
        <v>44</v>
      </c>
      <c r="M5" s="41" t="s">
        <v>30</v>
      </c>
      <c r="N5" s="41" t="s">
        <v>31</v>
      </c>
      <c r="O5" s="41" t="s">
        <v>33</v>
      </c>
      <c r="Q5" s="17">
        <f t="shared" si="5"/>
        <v>5</v>
      </c>
      <c r="R5" s="17">
        <f t="shared" si="6"/>
        <v>15</v>
      </c>
      <c r="S5" s="17">
        <f t="shared" si="7"/>
        <v>5</v>
      </c>
      <c r="T5" s="17">
        <f t="shared" si="8"/>
        <v>6</v>
      </c>
      <c r="U5" s="17">
        <f t="shared" si="9"/>
        <v>8</v>
      </c>
      <c r="W5" s="7">
        <v>2161</v>
      </c>
      <c r="X5" s="7">
        <v>8223</v>
      </c>
      <c r="Y5" s="7">
        <v>2851</v>
      </c>
      <c r="Z5" s="7">
        <v>6243</v>
      </c>
      <c r="AA5" s="7">
        <v>9093</v>
      </c>
      <c r="AB5" s="13"/>
      <c r="AC5" s="38">
        <v>2</v>
      </c>
      <c r="AD5" s="10">
        <v>1401</v>
      </c>
      <c r="AF5" s="2" t="str">
        <v>W2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</row>
    <row r="6" spans="1:37" ht="15.9" customHeight="1" x14ac:dyDescent="0.3">
      <c r="A6" s="2" t="str">
        <v>C1</v>
      </c>
      <c r="B6" s="38" t="str">
        <v>Scatter</v>
      </c>
      <c r="C6" s="9">
        <f t="shared" si="0"/>
        <v>2</v>
      </c>
      <c r="D6" s="9">
        <f t="shared" si="1"/>
        <v>3</v>
      </c>
      <c r="E6" s="9">
        <f t="shared" si="2"/>
        <v>2</v>
      </c>
      <c r="F6" s="9">
        <f t="shared" si="3"/>
        <v>3</v>
      </c>
      <c r="G6" s="9">
        <f t="shared" si="4"/>
        <v>3</v>
      </c>
      <c r="H6" s="38">
        <v>2</v>
      </c>
      <c r="I6" s="52"/>
      <c r="J6" s="2">
        <v>2</v>
      </c>
      <c r="K6" s="41" t="s">
        <v>33</v>
      </c>
      <c r="L6" s="41" t="s">
        <v>29</v>
      </c>
      <c r="M6" s="41" t="s">
        <v>30</v>
      </c>
      <c r="N6" s="41" t="s">
        <v>31</v>
      </c>
      <c r="O6" s="41" t="s">
        <v>29</v>
      </c>
      <c r="Q6" s="17">
        <f t="shared" si="5"/>
        <v>8</v>
      </c>
      <c r="R6" s="17">
        <f t="shared" si="6"/>
        <v>4</v>
      </c>
      <c r="S6" s="17">
        <f t="shared" si="7"/>
        <v>5</v>
      </c>
      <c r="T6" s="17">
        <f t="shared" si="8"/>
        <v>6</v>
      </c>
      <c r="U6" s="17">
        <f t="shared" si="9"/>
        <v>4</v>
      </c>
      <c r="W6" s="7">
        <v>2161</v>
      </c>
      <c r="X6" s="7">
        <v>23081</v>
      </c>
      <c r="Y6" s="7">
        <v>58388</v>
      </c>
      <c r="Z6" s="7">
        <v>19039</v>
      </c>
      <c r="AA6" s="7">
        <v>7960</v>
      </c>
      <c r="AB6" s="13"/>
      <c r="AC6" s="38">
        <v>3</v>
      </c>
      <c r="AD6" s="10">
        <v>235</v>
      </c>
      <c r="AF6" s="2" t="str">
        <v>C1</v>
      </c>
      <c r="AG6" s="9">
        <v>4165</v>
      </c>
      <c r="AH6" s="9">
        <v>4403</v>
      </c>
      <c r="AI6" s="9">
        <v>5471</v>
      </c>
      <c r="AJ6" s="9">
        <v>4778</v>
      </c>
      <c r="AK6" s="9">
        <v>5578</v>
      </c>
    </row>
    <row r="7" spans="1:37" ht="15.9" customHeight="1" x14ac:dyDescent="0.3">
      <c r="A7" s="2" t="str">
        <v>M1</v>
      </c>
      <c r="B7" s="38" t="str">
        <v>M1</v>
      </c>
      <c r="C7" s="9">
        <f t="shared" si="0"/>
        <v>14</v>
      </c>
      <c r="D7" s="9">
        <f t="shared" si="1"/>
        <v>7</v>
      </c>
      <c r="E7" s="9">
        <f t="shared" si="2"/>
        <v>7</v>
      </c>
      <c r="F7" s="9">
        <f t="shared" si="3"/>
        <v>6</v>
      </c>
      <c r="G7" s="9">
        <f t="shared" si="4"/>
        <v>15</v>
      </c>
      <c r="H7" s="38">
        <v>3</v>
      </c>
      <c r="I7" s="52"/>
      <c r="J7" s="2">
        <v>3</v>
      </c>
      <c r="K7" s="41" t="s">
        <v>33</v>
      </c>
      <c r="L7" s="41" t="s">
        <v>42</v>
      </c>
      <c r="M7" s="41" t="s">
        <v>34</v>
      </c>
      <c r="N7" s="41" t="s">
        <v>34</v>
      </c>
      <c r="O7" s="41" t="s">
        <v>30</v>
      </c>
      <c r="Q7" s="17">
        <f t="shared" si="5"/>
        <v>8</v>
      </c>
      <c r="R7" s="17">
        <f t="shared" si="6"/>
        <v>14</v>
      </c>
      <c r="S7" s="17">
        <f t="shared" si="7"/>
        <v>9</v>
      </c>
      <c r="T7" s="17">
        <f t="shared" si="8"/>
        <v>9</v>
      </c>
      <c r="U7" s="17">
        <f t="shared" si="9"/>
        <v>5</v>
      </c>
      <c r="W7" s="7">
        <v>8651</v>
      </c>
      <c r="X7" s="7">
        <v>23532</v>
      </c>
      <c r="Y7" s="7">
        <v>18713</v>
      </c>
      <c r="Z7" s="7">
        <v>22158</v>
      </c>
      <c r="AA7" s="7">
        <v>8086</v>
      </c>
      <c r="AB7" s="13"/>
      <c r="AC7" s="38">
        <v>4</v>
      </c>
      <c r="AD7" s="10">
        <v>18</v>
      </c>
      <c r="AF7" s="2" t="str">
        <v>M1</v>
      </c>
      <c r="AG7" s="9">
        <v>22077</v>
      </c>
      <c r="AH7" s="9">
        <v>35839</v>
      </c>
      <c r="AI7" s="9">
        <v>19439</v>
      </c>
      <c r="AJ7" s="9">
        <v>39681</v>
      </c>
      <c r="AK7" s="9">
        <v>21243</v>
      </c>
    </row>
    <row r="8" spans="1:37" ht="15.9" customHeight="1" x14ac:dyDescent="0.3">
      <c r="A8" s="2" t="str">
        <v>M2</v>
      </c>
      <c r="B8" s="38" t="str">
        <v>M2</v>
      </c>
      <c r="C8" s="9">
        <f t="shared" si="0"/>
        <v>28</v>
      </c>
      <c r="D8" s="9">
        <f t="shared" si="1"/>
        <v>26</v>
      </c>
      <c r="E8" s="9">
        <f t="shared" si="2"/>
        <v>12</v>
      </c>
      <c r="F8" s="9">
        <f t="shared" si="3"/>
        <v>9</v>
      </c>
      <c r="G8" s="9">
        <f t="shared" si="4"/>
        <v>24</v>
      </c>
      <c r="H8" s="38">
        <v>4</v>
      </c>
      <c r="I8" s="52"/>
      <c r="J8" s="2">
        <v>4</v>
      </c>
      <c r="K8" s="41" t="s">
        <v>32</v>
      </c>
      <c r="L8" s="41" t="s">
        <v>48</v>
      </c>
      <c r="M8" s="41" t="s">
        <v>29</v>
      </c>
      <c r="N8" s="41" t="s">
        <v>32</v>
      </c>
      <c r="O8" s="41" t="s">
        <v>34</v>
      </c>
      <c r="Q8" s="17">
        <f t="shared" si="5"/>
        <v>7</v>
      </c>
      <c r="R8" s="17">
        <f t="shared" si="6"/>
        <v>17</v>
      </c>
      <c r="S8" s="17">
        <f t="shared" si="7"/>
        <v>4</v>
      </c>
      <c r="T8" s="17">
        <f t="shared" si="8"/>
        <v>7</v>
      </c>
      <c r="U8" s="17">
        <f t="shared" si="9"/>
        <v>9</v>
      </c>
      <c r="W8" s="7">
        <v>8651</v>
      </c>
      <c r="X8" s="7">
        <v>7299</v>
      </c>
      <c r="Y8" s="7">
        <v>8061</v>
      </c>
      <c r="Z8" s="7">
        <v>2398</v>
      </c>
      <c r="AA8" s="7">
        <v>7960</v>
      </c>
      <c r="AB8" s="13"/>
      <c r="AF8" s="2" t="str">
        <v>M2</v>
      </c>
      <c r="AG8" s="9">
        <v>45294</v>
      </c>
      <c r="AH8" s="9">
        <v>18187</v>
      </c>
      <c r="AI8" s="9">
        <v>38572</v>
      </c>
      <c r="AJ8" s="9">
        <v>20867</v>
      </c>
      <c r="AK8" s="9">
        <v>47231</v>
      </c>
    </row>
    <row r="9" spans="1:37" ht="15.9" customHeight="1" x14ac:dyDescent="0.3">
      <c r="A9" s="2" t="str">
        <v>M3</v>
      </c>
      <c r="B9" s="38" t="str">
        <v>M3</v>
      </c>
      <c r="C9" s="9">
        <f t="shared" si="0"/>
        <v>18</v>
      </c>
      <c r="D9" s="9">
        <f t="shared" si="1"/>
        <v>7</v>
      </c>
      <c r="E9" s="9">
        <f t="shared" si="2"/>
        <v>22</v>
      </c>
      <c r="F9" s="9">
        <f t="shared" si="3"/>
        <v>11</v>
      </c>
      <c r="G9" s="9">
        <f t="shared" si="4"/>
        <v>30</v>
      </c>
      <c r="H9" s="38">
        <v>5</v>
      </c>
      <c r="I9" s="52"/>
      <c r="J9" s="2">
        <v>5</v>
      </c>
      <c r="K9" s="41" t="s">
        <v>33</v>
      </c>
      <c r="L9" s="41" t="s">
        <v>32</v>
      </c>
      <c r="M9" s="41" t="s">
        <v>34</v>
      </c>
      <c r="N9" s="41" t="s">
        <v>42</v>
      </c>
      <c r="O9" s="41" t="s">
        <v>31</v>
      </c>
      <c r="Q9" s="17">
        <f t="shared" si="5"/>
        <v>8</v>
      </c>
      <c r="R9" s="17">
        <f t="shared" si="6"/>
        <v>7</v>
      </c>
      <c r="S9" s="17">
        <f t="shared" si="7"/>
        <v>9</v>
      </c>
      <c r="T9" s="17">
        <f t="shared" si="8"/>
        <v>14</v>
      </c>
      <c r="U9" s="17">
        <f t="shared" si="9"/>
        <v>6</v>
      </c>
      <c r="W9" s="7">
        <v>8651</v>
      </c>
      <c r="X9" s="7">
        <v>6762</v>
      </c>
      <c r="Y9" s="7">
        <v>8061</v>
      </c>
      <c r="Z9" s="7">
        <v>2383</v>
      </c>
      <c r="AA9" s="7">
        <v>9266</v>
      </c>
      <c r="AB9" s="13"/>
      <c r="AF9" s="2" t="str">
        <v>M3</v>
      </c>
      <c r="AG9" s="9">
        <v>48740</v>
      </c>
      <c r="AH9" s="9">
        <v>30021</v>
      </c>
      <c r="AI9" s="9">
        <v>30502</v>
      </c>
      <c r="AJ9" s="9">
        <v>31531</v>
      </c>
      <c r="AK9" s="9">
        <v>37797</v>
      </c>
    </row>
    <row r="10" spans="1:37" ht="15.9" customHeight="1" x14ac:dyDescent="0.3">
      <c r="A10" s="2" t="str">
        <v>M4</v>
      </c>
      <c r="B10" s="38" t="str">
        <v>M4</v>
      </c>
      <c r="C10" s="9">
        <f t="shared" si="0"/>
        <v>17</v>
      </c>
      <c r="D10" s="9">
        <f t="shared" si="1"/>
        <v>27</v>
      </c>
      <c r="E10" s="9">
        <f t="shared" si="2"/>
        <v>10</v>
      </c>
      <c r="F10" s="9">
        <f t="shared" si="3"/>
        <v>28</v>
      </c>
      <c r="G10" s="9">
        <f t="shared" si="4"/>
        <v>14</v>
      </c>
      <c r="H10" s="38">
        <v>6</v>
      </c>
      <c r="I10" s="52"/>
      <c r="J10" s="2">
        <v>6</v>
      </c>
      <c r="K10" s="41" t="s">
        <v>29</v>
      </c>
      <c r="L10" s="41" t="s">
        <v>33</v>
      </c>
      <c r="M10" s="41" t="s">
        <v>30</v>
      </c>
      <c r="N10" s="41" t="s">
        <v>34</v>
      </c>
      <c r="O10" s="41" t="s">
        <v>29</v>
      </c>
      <c r="Q10" s="17">
        <f t="shared" si="5"/>
        <v>4</v>
      </c>
      <c r="R10" s="17">
        <f t="shared" si="6"/>
        <v>8</v>
      </c>
      <c r="S10" s="17">
        <f t="shared" si="7"/>
        <v>5</v>
      </c>
      <c r="T10" s="17">
        <f t="shared" si="8"/>
        <v>9</v>
      </c>
      <c r="U10" s="17">
        <f t="shared" si="9"/>
        <v>4</v>
      </c>
      <c r="W10" s="7">
        <v>8651</v>
      </c>
      <c r="X10" s="7">
        <v>5433</v>
      </c>
      <c r="Y10" s="7">
        <v>8061</v>
      </c>
      <c r="Z10" s="7">
        <v>6906</v>
      </c>
      <c r="AA10" s="7">
        <v>8327</v>
      </c>
      <c r="AB10" s="13"/>
      <c r="AF10" s="2" t="str">
        <v>M4</v>
      </c>
      <c r="AG10" s="9">
        <v>137762</v>
      </c>
      <c r="AH10" s="9">
        <v>146500</v>
      </c>
      <c r="AI10" s="9">
        <v>90478</v>
      </c>
      <c r="AJ10" s="9">
        <v>157539</v>
      </c>
      <c r="AK10" s="9">
        <v>109647</v>
      </c>
    </row>
    <row r="11" spans="1:37" ht="15.9" customHeight="1" x14ac:dyDescent="0.3">
      <c r="A11" s="2" t="str">
        <v>A</v>
      </c>
      <c r="B11" s="38" t="str">
        <v>A</v>
      </c>
      <c r="C11" s="9">
        <f t="shared" si="0"/>
        <v>33</v>
      </c>
      <c r="D11" s="9">
        <f t="shared" si="1"/>
        <v>30</v>
      </c>
      <c r="E11" s="9">
        <f t="shared" si="2"/>
        <v>11</v>
      </c>
      <c r="F11" s="9">
        <f t="shared" si="3"/>
        <v>6</v>
      </c>
      <c r="G11" s="9">
        <f t="shared" si="4"/>
        <v>29</v>
      </c>
      <c r="H11" s="38">
        <v>7</v>
      </c>
      <c r="I11" s="52"/>
      <c r="J11" s="2">
        <v>7</v>
      </c>
      <c r="K11" s="41" t="s">
        <v>33</v>
      </c>
      <c r="L11" s="41" t="s">
        <v>31</v>
      </c>
      <c r="M11" s="41" t="s">
        <v>28</v>
      </c>
      <c r="N11" s="41" t="s">
        <v>34</v>
      </c>
      <c r="O11" s="41" t="s">
        <v>30</v>
      </c>
      <c r="Q11" s="17">
        <f t="shared" si="5"/>
        <v>8</v>
      </c>
      <c r="R11" s="17">
        <f t="shared" si="6"/>
        <v>6</v>
      </c>
      <c r="S11" s="17">
        <f t="shared" si="7"/>
        <v>3</v>
      </c>
      <c r="T11" s="17">
        <f t="shared" si="8"/>
        <v>9</v>
      </c>
      <c r="U11" s="17">
        <f t="shared" si="9"/>
        <v>5</v>
      </c>
      <c r="W11" s="7">
        <v>9345</v>
      </c>
      <c r="X11" s="7">
        <v>6448</v>
      </c>
      <c r="Y11" s="7">
        <v>8061</v>
      </c>
      <c r="Z11" s="7">
        <v>6640</v>
      </c>
      <c r="AA11" s="7">
        <v>7960</v>
      </c>
      <c r="AB11" s="13"/>
      <c r="AF11" s="2" t="str">
        <v>A</v>
      </c>
      <c r="AG11" s="9">
        <v>212033</v>
      </c>
      <c r="AH11" s="9">
        <v>209652</v>
      </c>
      <c r="AI11" s="9">
        <v>200600</v>
      </c>
      <c r="AJ11" s="9">
        <v>225917</v>
      </c>
      <c r="AK11" s="9">
        <v>213031</v>
      </c>
    </row>
    <row r="12" spans="1:37" ht="15.9" customHeight="1" x14ac:dyDescent="0.3">
      <c r="A12" s="2" t="str">
        <v>K</v>
      </c>
      <c r="B12" s="38" t="str">
        <v>K</v>
      </c>
      <c r="C12" s="9">
        <f t="shared" si="0"/>
        <v>37</v>
      </c>
      <c r="D12" s="9">
        <f t="shared" si="1"/>
        <v>8</v>
      </c>
      <c r="E12" s="9">
        <f t="shared" si="2"/>
        <v>8</v>
      </c>
      <c r="F12" s="9">
        <f t="shared" si="3"/>
        <v>30</v>
      </c>
      <c r="G12" s="9">
        <f t="shared" si="4"/>
        <v>24</v>
      </c>
      <c r="H12" s="38">
        <v>8</v>
      </c>
      <c r="I12" s="52"/>
      <c r="J12" s="2">
        <v>8</v>
      </c>
      <c r="K12" s="41" t="s">
        <v>30</v>
      </c>
      <c r="L12" s="41" t="s">
        <v>30</v>
      </c>
      <c r="M12" s="41" t="s">
        <v>38</v>
      </c>
      <c r="N12" s="41" t="s">
        <v>31</v>
      </c>
      <c r="O12" s="41" t="s">
        <v>29</v>
      </c>
      <c r="Q12" s="17">
        <f t="shared" si="5"/>
        <v>5</v>
      </c>
      <c r="R12" s="17">
        <f t="shared" si="6"/>
        <v>5</v>
      </c>
      <c r="S12" s="17">
        <f t="shared" si="7"/>
        <v>12</v>
      </c>
      <c r="T12" s="17">
        <f t="shared" si="8"/>
        <v>6</v>
      </c>
      <c r="U12" s="17">
        <f t="shared" si="9"/>
        <v>4</v>
      </c>
      <c r="W12" s="7">
        <v>8861</v>
      </c>
      <c r="X12" s="7">
        <v>6448</v>
      </c>
      <c r="Y12" s="7">
        <v>8061</v>
      </c>
      <c r="Z12" s="7">
        <v>15265</v>
      </c>
      <c r="AA12" s="7">
        <v>6713</v>
      </c>
      <c r="AB12" s="13"/>
      <c r="AF12" s="2" t="str">
        <v>K</v>
      </c>
      <c r="AG12" s="9">
        <v>54943</v>
      </c>
      <c r="AH12" s="9">
        <v>53686</v>
      </c>
      <c r="AI12" s="9">
        <v>47497</v>
      </c>
      <c r="AJ12" s="9">
        <v>55349</v>
      </c>
      <c r="AK12" s="9">
        <v>51545</v>
      </c>
    </row>
    <row r="13" spans="1:37" ht="15.9" customHeight="1" x14ac:dyDescent="0.3">
      <c r="A13" s="2" t="str">
        <v>Q</v>
      </c>
      <c r="B13" s="38" t="str">
        <v>Q</v>
      </c>
      <c r="C13" s="9">
        <f t="shared" si="0"/>
        <v>18</v>
      </c>
      <c r="D13" s="9">
        <f t="shared" si="1"/>
        <v>8</v>
      </c>
      <c r="E13" s="9">
        <f t="shared" si="2"/>
        <v>34</v>
      </c>
      <c r="F13" s="9">
        <f t="shared" si="3"/>
        <v>25</v>
      </c>
      <c r="G13" s="9">
        <f t="shared" si="4"/>
        <v>31</v>
      </c>
      <c r="H13" s="38">
        <v>9</v>
      </c>
      <c r="I13" s="52"/>
      <c r="J13" s="2">
        <v>9</v>
      </c>
      <c r="K13" s="41" t="s">
        <v>33</v>
      </c>
      <c r="L13" s="41" t="s">
        <v>31</v>
      </c>
      <c r="M13" s="41" t="s">
        <v>26</v>
      </c>
      <c r="N13" s="41" t="s">
        <v>31</v>
      </c>
      <c r="O13" s="41" t="s">
        <v>33</v>
      </c>
      <c r="Q13" s="17">
        <f t="shared" si="5"/>
        <v>8</v>
      </c>
      <c r="R13" s="17">
        <f t="shared" si="6"/>
        <v>6</v>
      </c>
      <c r="S13" s="17">
        <f t="shared" si="7"/>
        <v>2</v>
      </c>
      <c r="T13" s="17">
        <f t="shared" si="8"/>
        <v>6</v>
      </c>
      <c r="U13" s="17">
        <f t="shared" si="9"/>
        <v>8</v>
      </c>
      <c r="W13" s="7">
        <v>8722</v>
      </c>
      <c r="X13" s="7">
        <v>1993</v>
      </c>
      <c r="Y13" s="7">
        <v>6717</v>
      </c>
      <c r="Z13" s="7">
        <v>3639</v>
      </c>
      <c r="AA13" s="7">
        <v>6634</v>
      </c>
      <c r="AB13" s="13"/>
      <c r="AF13" s="2" t="str">
        <v>Q</v>
      </c>
      <c r="AG13" s="9">
        <v>262278</v>
      </c>
      <c r="AH13" s="9">
        <v>186994</v>
      </c>
      <c r="AI13" s="9">
        <v>245360</v>
      </c>
      <c r="AJ13" s="9">
        <v>205177</v>
      </c>
      <c r="AK13" s="9">
        <v>283374</v>
      </c>
    </row>
    <row r="14" spans="1:37" ht="15.9" customHeight="1" x14ac:dyDescent="0.3">
      <c r="A14" s="2" t="str">
        <v>J</v>
      </c>
      <c r="B14" s="38" t="str">
        <v>J</v>
      </c>
      <c r="C14" s="9">
        <f t="shared" si="0"/>
        <v>33</v>
      </c>
      <c r="D14" s="9">
        <f t="shared" si="1"/>
        <v>6</v>
      </c>
      <c r="E14" s="9">
        <f t="shared" si="2"/>
        <v>28</v>
      </c>
      <c r="F14" s="9">
        <f t="shared" si="3"/>
        <v>10</v>
      </c>
      <c r="G14" s="9">
        <f t="shared" si="4"/>
        <v>30</v>
      </c>
      <c r="H14" s="38">
        <v>10</v>
      </c>
      <c r="I14" s="52"/>
      <c r="J14" s="2">
        <v>10</v>
      </c>
      <c r="K14" s="41" t="s">
        <v>29</v>
      </c>
      <c r="L14" s="41" t="s">
        <v>44</v>
      </c>
      <c r="M14" s="41" t="s">
        <v>30</v>
      </c>
      <c r="N14" s="41" t="s">
        <v>31</v>
      </c>
      <c r="O14" s="41" t="s">
        <v>30</v>
      </c>
      <c r="Q14" s="17">
        <f t="shared" si="5"/>
        <v>4</v>
      </c>
      <c r="R14" s="17">
        <f t="shared" si="6"/>
        <v>15</v>
      </c>
      <c r="S14" s="17">
        <f t="shared" si="7"/>
        <v>5</v>
      </c>
      <c r="T14" s="17">
        <f t="shared" si="8"/>
        <v>6</v>
      </c>
      <c r="U14" s="17">
        <f t="shared" si="9"/>
        <v>5</v>
      </c>
      <c r="W14" s="7">
        <v>8942</v>
      </c>
      <c r="X14" s="7">
        <v>2469</v>
      </c>
      <c r="Y14" s="7">
        <v>6717</v>
      </c>
      <c r="Z14" s="7">
        <v>8592</v>
      </c>
      <c r="AA14" s="7">
        <v>19172</v>
      </c>
      <c r="AB14" s="13"/>
      <c r="AF14" s="2" t="str">
        <v>J</v>
      </c>
      <c r="AG14" s="9">
        <v>212708</v>
      </c>
      <c r="AH14" s="9">
        <v>156675</v>
      </c>
      <c r="AI14" s="9">
        <v>195445</v>
      </c>
      <c r="AJ14" s="9">
        <v>161598</v>
      </c>
      <c r="AK14" s="9">
        <v>230554</v>
      </c>
    </row>
    <row r="15" spans="1:37" ht="15.9" customHeight="1" x14ac:dyDescent="0.3">
      <c r="A15" s="2" t="str">
        <v>G1</v>
      </c>
      <c r="B15" s="38" t="str">
        <v>Golden M1</v>
      </c>
      <c r="C15" s="9">
        <f t="shared" si="0"/>
        <v>0</v>
      </c>
      <c r="D15" s="9">
        <f t="shared" si="1"/>
        <v>4</v>
      </c>
      <c r="E15" s="9">
        <f t="shared" si="2"/>
        <v>4</v>
      </c>
      <c r="F15" s="9">
        <f t="shared" si="3"/>
        <v>4</v>
      </c>
      <c r="G15" s="9">
        <f t="shared" si="4"/>
        <v>0</v>
      </c>
      <c r="H15" s="38">
        <v>11</v>
      </c>
      <c r="I15" s="52"/>
      <c r="J15" s="2">
        <v>11</v>
      </c>
      <c r="K15" s="41" t="s">
        <v>28</v>
      </c>
      <c r="L15" s="41" t="s">
        <v>42</v>
      </c>
      <c r="M15" s="41" t="s">
        <v>38</v>
      </c>
      <c r="N15" s="41" t="s">
        <v>34</v>
      </c>
      <c r="O15" s="41" t="s">
        <v>31</v>
      </c>
      <c r="Q15" s="17">
        <f t="shared" si="5"/>
        <v>3</v>
      </c>
      <c r="R15" s="17">
        <f t="shared" si="6"/>
        <v>14</v>
      </c>
      <c r="S15" s="17">
        <f t="shared" si="7"/>
        <v>12</v>
      </c>
      <c r="T15" s="17">
        <f t="shared" si="8"/>
        <v>9</v>
      </c>
      <c r="U15" s="17">
        <f t="shared" si="9"/>
        <v>6</v>
      </c>
      <c r="W15" s="7">
        <v>8651</v>
      </c>
      <c r="X15" s="7">
        <v>6926</v>
      </c>
      <c r="Y15" s="7">
        <v>6717</v>
      </c>
      <c r="Z15" s="7">
        <v>6396</v>
      </c>
      <c r="AA15" s="7">
        <v>7960</v>
      </c>
      <c r="AB15" s="13"/>
      <c r="AF15" s="2" t="str">
        <v>G1</v>
      </c>
      <c r="AG15" s="9">
        <v>0</v>
      </c>
      <c r="AH15" s="9">
        <v>7180</v>
      </c>
      <c r="AI15" s="9">
        <v>3316</v>
      </c>
      <c r="AJ15" s="9">
        <v>4487</v>
      </c>
      <c r="AK15" s="9">
        <v>0</v>
      </c>
    </row>
    <row r="16" spans="1:37" ht="15.9" customHeight="1" x14ac:dyDescent="0.3">
      <c r="A16" s="2" t="str">
        <v>G2</v>
      </c>
      <c r="B16" s="38" t="str">
        <v>Golden M2</v>
      </c>
      <c r="C16" s="9">
        <f t="shared" si="0"/>
        <v>0</v>
      </c>
      <c r="D16" s="9">
        <f t="shared" si="1"/>
        <v>14</v>
      </c>
      <c r="E16" s="9">
        <f t="shared" si="2"/>
        <v>6</v>
      </c>
      <c r="F16" s="9">
        <f t="shared" si="3"/>
        <v>4</v>
      </c>
      <c r="G16" s="9">
        <f t="shared" si="4"/>
        <v>0</v>
      </c>
      <c r="H16" s="38">
        <v>12</v>
      </c>
      <c r="I16" s="52"/>
      <c r="J16" s="2">
        <v>12</v>
      </c>
      <c r="K16" s="41" t="s">
        <v>35</v>
      </c>
      <c r="L16" s="41" t="s">
        <v>31</v>
      </c>
      <c r="M16" s="41" t="s">
        <v>35</v>
      </c>
      <c r="N16" s="41" t="s">
        <v>31</v>
      </c>
      <c r="O16" s="41" t="s">
        <v>33</v>
      </c>
      <c r="Q16" s="17">
        <f t="shared" si="5"/>
        <v>10</v>
      </c>
      <c r="R16" s="17">
        <f t="shared" si="6"/>
        <v>6</v>
      </c>
      <c r="S16" s="17">
        <f t="shared" si="7"/>
        <v>10</v>
      </c>
      <c r="T16" s="17">
        <f t="shared" si="8"/>
        <v>6</v>
      </c>
      <c r="U16" s="17">
        <f t="shared" si="9"/>
        <v>8</v>
      </c>
      <c r="W16" s="7">
        <v>7915</v>
      </c>
      <c r="X16" s="7">
        <v>6957</v>
      </c>
      <c r="Y16" s="7">
        <v>8061</v>
      </c>
      <c r="Z16" s="7">
        <v>12130</v>
      </c>
      <c r="AA16" s="7">
        <v>8641</v>
      </c>
      <c r="AB16" s="13"/>
      <c r="AF16" s="2" t="str">
        <v>G2</v>
      </c>
      <c r="AG16" s="9">
        <v>0</v>
      </c>
      <c r="AH16" s="9">
        <v>3519</v>
      </c>
      <c r="AI16" s="9">
        <v>5939</v>
      </c>
      <c r="AJ16" s="9">
        <v>2254</v>
      </c>
      <c r="AK16" s="9">
        <v>0</v>
      </c>
    </row>
    <row r="17" spans="1:37" ht="15.9" customHeight="1" x14ac:dyDescent="0.3">
      <c r="A17" s="2" t="str">
        <v>G3</v>
      </c>
      <c r="B17" s="38" t="str">
        <v>Golden M3</v>
      </c>
      <c r="C17" s="9">
        <f t="shared" si="0"/>
        <v>0</v>
      </c>
      <c r="D17" s="9">
        <f t="shared" si="1"/>
        <v>6</v>
      </c>
      <c r="E17" s="9">
        <f t="shared" si="2"/>
        <v>12</v>
      </c>
      <c r="F17" s="9">
        <f t="shared" si="3"/>
        <v>4</v>
      </c>
      <c r="G17" s="9">
        <f t="shared" si="4"/>
        <v>0</v>
      </c>
      <c r="H17" s="38">
        <v>13</v>
      </c>
      <c r="I17" s="52"/>
      <c r="J17" s="2">
        <v>13</v>
      </c>
      <c r="K17" s="41" t="s">
        <v>29</v>
      </c>
      <c r="L17" s="41" t="s">
        <v>34</v>
      </c>
      <c r="M17" s="41" t="s">
        <v>29</v>
      </c>
      <c r="N17" s="41" t="s">
        <v>33</v>
      </c>
      <c r="O17" s="41" t="s">
        <v>28</v>
      </c>
      <c r="Q17" s="17">
        <f t="shared" si="5"/>
        <v>4</v>
      </c>
      <c r="R17" s="17">
        <f t="shared" si="6"/>
        <v>9</v>
      </c>
      <c r="S17" s="17">
        <f t="shared" si="7"/>
        <v>4</v>
      </c>
      <c r="T17" s="17">
        <f t="shared" si="8"/>
        <v>8</v>
      </c>
      <c r="U17" s="17">
        <f t="shared" si="9"/>
        <v>3</v>
      </c>
      <c r="W17" s="7">
        <v>19088</v>
      </c>
      <c r="X17" s="7">
        <v>1900</v>
      </c>
      <c r="Y17" s="7">
        <v>22539</v>
      </c>
      <c r="Z17" s="7">
        <v>3639</v>
      </c>
      <c r="AA17" s="7">
        <v>23080</v>
      </c>
      <c r="AB17" s="13"/>
      <c r="AF17" s="2" t="str">
        <v>G3</v>
      </c>
      <c r="AG17" s="9">
        <v>0</v>
      </c>
      <c r="AH17" s="9">
        <v>5872</v>
      </c>
      <c r="AI17" s="9">
        <v>4871</v>
      </c>
      <c r="AJ17" s="9">
        <v>4103</v>
      </c>
      <c r="AK17" s="9">
        <v>0</v>
      </c>
    </row>
    <row r="18" spans="1:37" ht="15.9" customHeight="1" x14ac:dyDescent="0.3">
      <c r="A18" s="2" t="str">
        <v>G4</v>
      </c>
      <c r="B18" s="38" t="str">
        <v>Golden M4</v>
      </c>
      <c r="C18" s="9">
        <f t="shared" si="0"/>
        <v>0</v>
      </c>
      <c r="D18" s="9">
        <f t="shared" si="1"/>
        <v>16</v>
      </c>
      <c r="E18" s="9">
        <f t="shared" si="2"/>
        <v>4</v>
      </c>
      <c r="F18" s="9">
        <f t="shared" si="3"/>
        <v>16</v>
      </c>
      <c r="G18" s="9">
        <f t="shared" si="4"/>
        <v>0</v>
      </c>
      <c r="H18" s="38">
        <v>14</v>
      </c>
      <c r="I18" s="52"/>
      <c r="J18" s="9">
        <v>14</v>
      </c>
      <c r="K18" s="41" t="s">
        <v>31</v>
      </c>
      <c r="L18" s="41" t="s">
        <v>29</v>
      </c>
      <c r="M18" s="41" t="s">
        <v>33</v>
      </c>
      <c r="N18" s="41" t="s">
        <v>31</v>
      </c>
      <c r="O18" s="41" t="s">
        <v>29</v>
      </c>
      <c r="Q18" s="17">
        <f t="shared" si="5"/>
        <v>6</v>
      </c>
      <c r="R18" s="17">
        <f t="shared" si="6"/>
        <v>4</v>
      </c>
      <c r="S18" s="17">
        <f t="shared" si="7"/>
        <v>8</v>
      </c>
      <c r="T18" s="17">
        <f t="shared" si="8"/>
        <v>6</v>
      </c>
      <c r="U18" s="17">
        <f t="shared" si="9"/>
        <v>4</v>
      </c>
      <c r="W18" s="7">
        <v>62321</v>
      </c>
      <c r="X18" s="7">
        <v>1610</v>
      </c>
      <c r="Y18" s="7">
        <v>20691</v>
      </c>
      <c r="Z18" s="7">
        <v>2579</v>
      </c>
      <c r="AA18" s="7">
        <v>7960</v>
      </c>
      <c r="AB18" s="13"/>
      <c r="AF18" s="2" t="str">
        <v>G4</v>
      </c>
      <c r="AG18" s="9">
        <v>0</v>
      </c>
      <c r="AH18" s="9">
        <v>28352</v>
      </c>
      <c r="AI18" s="9">
        <v>13496</v>
      </c>
      <c r="AJ18" s="9">
        <v>15079</v>
      </c>
      <c r="AK18" s="9">
        <v>0</v>
      </c>
    </row>
    <row r="19" spans="1:37" ht="15.9" customHeight="1" x14ac:dyDescent="0.3">
      <c r="A19" s="2" t="str">
        <v>GA</v>
      </c>
      <c r="B19" s="38" t="str">
        <v>Golden A</v>
      </c>
      <c r="C19" s="9">
        <f t="shared" si="0"/>
        <v>0</v>
      </c>
      <c r="D19" s="9">
        <f t="shared" si="1"/>
        <v>22</v>
      </c>
      <c r="E19" s="9">
        <f t="shared" si="2"/>
        <v>6</v>
      </c>
      <c r="F19" s="9">
        <f t="shared" si="3"/>
        <v>4</v>
      </c>
      <c r="G19" s="9">
        <f t="shared" si="4"/>
        <v>0</v>
      </c>
      <c r="H19" s="38">
        <v>15</v>
      </c>
      <c r="I19" s="52"/>
      <c r="J19" s="2">
        <v>15</v>
      </c>
      <c r="K19" s="41" t="s">
        <v>35</v>
      </c>
      <c r="L19" s="41" t="s">
        <v>29</v>
      </c>
      <c r="M19" s="41" t="s">
        <v>48</v>
      </c>
      <c r="N19" s="41" t="s">
        <v>46</v>
      </c>
      <c r="O19" s="41" t="s">
        <v>33</v>
      </c>
      <c r="Q19" s="17">
        <f t="shared" si="5"/>
        <v>10</v>
      </c>
      <c r="R19" s="17">
        <f t="shared" si="6"/>
        <v>4</v>
      </c>
      <c r="S19" s="17">
        <f t="shared" si="7"/>
        <v>17</v>
      </c>
      <c r="T19" s="17">
        <f t="shared" si="8"/>
        <v>16</v>
      </c>
      <c r="U19" s="17">
        <f t="shared" si="9"/>
        <v>8</v>
      </c>
      <c r="W19" s="7">
        <v>18626</v>
      </c>
      <c r="X19" s="7">
        <v>1610</v>
      </c>
      <c r="Y19" s="7">
        <v>55831</v>
      </c>
      <c r="Z19" s="7">
        <v>1920</v>
      </c>
      <c r="AA19" s="7">
        <v>13037</v>
      </c>
      <c r="AB19" s="13"/>
      <c r="AF19" s="2" t="str">
        <v>GA</v>
      </c>
      <c r="AG19" s="9">
        <v>0</v>
      </c>
      <c r="AH19" s="9">
        <v>38739</v>
      </c>
      <c r="AI19" s="9">
        <v>28424</v>
      </c>
      <c r="AJ19" s="9">
        <v>22154</v>
      </c>
      <c r="AK19" s="9">
        <v>0</v>
      </c>
    </row>
    <row r="20" spans="1:37" ht="15.9" customHeight="1" x14ac:dyDescent="0.3">
      <c r="A20" s="2" t="str">
        <v>GK</v>
      </c>
      <c r="B20" s="38" t="str">
        <v>Golden K</v>
      </c>
      <c r="C20" s="9">
        <f t="shared" si="0"/>
        <v>0</v>
      </c>
      <c r="D20" s="9">
        <f t="shared" si="1"/>
        <v>6</v>
      </c>
      <c r="E20" s="9">
        <f t="shared" si="2"/>
        <v>4</v>
      </c>
      <c r="F20" s="9">
        <f t="shared" si="3"/>
        <v>22</v>
      </c>
      <c r="G20" s="9">
        <f t="shared" si="4"/>
        <v>0</v>
      </c>
      <c r="H20" s="38">
        <v>16</v>
      </c>
      <c r="I20" s="52"/>
      <c r="J20" s="2">
        <v>16</v>
      </c>
      <c r="K20" s="41" t="s">
        <v>34</v>
      </c>
      <c r="L20" s="41" t="s">
        <v>31</v>
      </c>
      <c r="M20" s="41" t="s">
        <v>44</v>
      </c>
      <c r="N20" s="41" t="s">
        <v>46</v>
      </c>
      <c r="O20" s="41" t="s">
        <v>29</v>
      </c>
      <c r="Q20" s="17">
        <f t="shared" si="5"/>
        <v>9</v>
      </c>
      <c r="R20" s="17">
        <f t="shared" si="6"/>
        <v>6</v>
      </c>
      <c r="S20" s="17">
        <f t="shared" si="7"/>
        <v>15</v>
      </c>
      <c r="T20" s="17">
        <f t="shared" si="8"/>
        <v>16</v>
      </c>
      <c r="U20" s="17">
        <f t="shared" si="9"/>
        <v>4</v>
      </c>
      <c r="W20" s="7">
        <v>7208</v>
      </c>
      <c r="X20" s="7">
        <v>1610</v>
      </c>
      <c r="Y20" s="7">
        <v>67166</v>
      </c>
      <c r="Z20" s="7">
        <v>3639</v>
      </c>
      <c r="AA20" s="7">
        <v>22031</v>
      </c>
      <c r="AB20" s="13"/>
      <c r="AF20" s="2" t="str">
        <v>GK</v>
      </c>
      <c r="AG20" s="9">
        <v>0</v>
      </c>
      <c r="AH20" s="9">
        <v>9952</v>
      </c>
      <c r="AI20" s="9">
        <v>6962</v>
      </c>
      <c r="AJ20" s="9">
        <v>6081</v>
      </c>
      <c r="AK20" s="9">
        <v>0</v>
      </c>
    </row>
    <row r="21" spans="1:37" ht="15.9" customHeight="1" x14ac:dyDescent="0.3">
      <c r="A21" s="2" t="str">
        <v>GQ</v>
      </c>
      <c r="B21" s="38" t="str">
        <v>Golden Q</v>
      </c>
      <c r="C21" s="9">
        <f t="shared" si="0"/>
        <v>0</v>
      </c>
      <c r="D21" s="9">
        <f t="shared" si="1"/>
        <v>6</v>
      </c>
      <c r="E21" s="9">
        <f t="shared" si="2"/>
        <v>14</v>
      </c>
      <c r="F21" s="9">
        <f t="shared" si="3"/>
        <v>14</v>
      </c>
      <c r="G21" s="9">
        <f t="shared" si="4"/>
        <v>0</v>
      </c>
      <c r="H21" s="38">
        <v>17</v>
      </c>
      <c r="I21" s="52"/>
      <c r="J21" s="2">
        <v>17</v>
      </c>
      <c r="K21" s="41" t="s">
        <v>35</v>
      </c>
      <c r="L21" s="41" t="s">
        <v>36</v>
      </c>
      <c r="M21" s="41" t="s">
        <v>50</v>
      </c>
      <c r="N21" s="41" t="s">
        <v>33</v>
      </c>
      <c r="O21" s="41" t="s">
        <v>34</v>
      </c>
      <c r="Q21" s="17">
        <f t="shared" si="5"/>
        <v>10</v>
      </c>
      <c r="R21" s="17">
        <f t="shared" si="6"/>
        <v>11</v>
      </c>
      <c r="S21" s="17">
        <f t="shared" si="7"/>
        <v>18</v>
      </c>
      <c r="T21" s="17">
        <f t="shared" si="8"/>
        <v>8</v>
      </c>
      <c r="U21" s="17">
        <f t="shared" si="9"/>
        <v>9</v>
      </c>
      <c r="W21" s="7">
        <v>8651</v>
      </c>
      <c r="X21" s="7">
        <v>1786</v>
      </c>
      <c r="Y21" s="7">
        <v>63362</v>
      </c>
      <c r="Z21" s="7">
        <v>3639</v>
      </c>
      <c r="AA21" s="7">
        <v>22736</v>
      </c>
      <c r="AB21" s="13"/>
      <c r="AF21" s="2" t="str">
        <v>GQ</v>
      </c>
      <c r="AG21" s="9">
        <v>0</v>
      </c>
      <c r="AH21" s="9">
        <v>34501</v>
      </c>
      <c r="AI21" s="9">
        <v>36098</v>
      </c>
      <c r="AJ21" s="9">
        <v>22655</v>
      </c>
      <c r="AK21" s="9">
        <v>0</v>
      </c>
    </row>
    <row r="22" spans="1:37" ht="15.9" customHeight="1" x14ac:dyDescent="0.3">
      <c r="A22" s="2" t="str">
        <v>GJ</v>
      </c>
      <c r="B22" s="38" t="str">
        <v>Golden J</v>
      </c>
      <c r="C22" s="9">
        <f t="shared" si="0"/>
        <v>0</v>
      </c>
      <c r="D22" s="9">
        <f t="shared" si="1"/>
        <v>4</v>
      </c>
      <c r="E22" s="9">
        <f t="shared" si="2"/>
        <v>16</v>
      </c>
      <c r="F22" s="9">
        <f t="shared" si="3"/>
        <v>4</v>
      </c>
      <c r="G22" s="9">
        <f t="shared" si="4"/>
        <v>0</v>
      </c>
      <c r="H22" s="38">
        <v>18</v>
      </c>
      <c r="I22" s="52"/>
      <c r="J22" s="2">
        <v>18</v>
      </c>
      <c r="K22" s="41" t="s">
        <v>33</v>
      </c>
      <c r="L22" s="41" t="s">
        <v>28</v>
      </c>
      <c r="M22" s="41" t="s">
        <v>34</v>
      </c>
      <c r="N22" s="41" t="s">
        <v>33</v>
      </c>
      <c r="O22" s="41" t="s">
        <v>31</v>
      </c>
      <c r="Q22" s="17">
        <f t="shared" si="5"/>
        <v>8</v>
      </c>
      <c r="R22" s="17">
        <f t="shared" si="6"/>
        <v>3</v>
      </c>
      <c r="S22" s="17">
        <f t="shared" si="7"/>
        <v>9</v>
      </c>
      <c r="T22" s="17">
        <f t="shared" si="8"/>
        <v>8</v>
      </c>
      <c r="U22" s="17">
        <f t="shared" si="9"/>
        <v>6</v>
      </c>
      <c r="W22" s="7">
        <v>8650</v>
      </c>
      <c r="X22" s="7">
        <v>8635</v>
      </c>
      <c r="Y22" s="7">
        <v>16695</v>
      </c>
      <c r="Z22" s="7">
        <v>2579</v>
      </c>
      <c r="AA22" s="7">
        <v>77148</v>
      </c>
      <c r="AB22" s="13"/>
      <c r="AF22" s="2" t="str">
        <v>GJ</v>
      </c>
      <c r="AG22" s="9">
        <v>0</v>
      </c>
      <c r="AH22" s="9">
        <v>29928</v>
      </c>
      <c r="AI22" s="9">
        <v>27530</v>
      </c>
      <c r="AJ22" s="9">
        <v>20750</v>
      </c>
      <c r="AK22" s="9">
        <v>0</v>
      </c>
    </row>
    <row r="23" spans="1:37" ht="15.9" customHeight="1" x14ac:dyDescent="0.3">
      <c r="C23" s="19">
        <f>SUM(C4:C22)</f>
        <v>200</v>
      </c>
      <c r="D23" s="19">
        <f>SUM(D4:D22)</f>
        <v>200</v>
      </c>
      <c r="E23" s="19">
        <f>SUM(E4:E22)</f>
        <v>200</v>
      </c>
      <c r="F23" s="19">
        <f>SUM(F4:F22)</f>
        <v>200</v>
      </c>
      <c r="G23" s="19">
        <f>SUM(G4:G22)</f>
        <v>200</v>
      </c>
      <c r="I23" s="52"/>
      <c r="J23" s="2">
        <v>19</v>
      </c>
      <c r="K23" s="41" t="s">
        <v>28</v>
      </c>
      <c r="L23" s="41" t="s">
        <v>29</v>
      </c>
      <c r="M23" s="41" t="s">
        <v>32</v>
      </c>
      <c r="N23" s="41" t="s">
        <v>46</v>
      </c>
      <c r="O23" s="41" t="s">
        <v>32</v>
      </c>
      <c r="Q23" s="17">
        <f t="shared" si="5"/>
        <v>3</v>
      </c>
      <c r="R23" s="17">
        <f t="shared" si="6"/>
        <v>4</v>
      </c>
      <c r="S23" s="17">
        <f t="shared" si="7"/>
        <v>7</v>
      </c>
      <c r="T23" s="17">
        <f t="shared" si="8"/>
        <v>16</v>
      </c>
      <c r="U23" s="17">
        <f t="shared" si="9"/>
        <v>7</v>
      </c>
      <c r="W23" s="7">
        <v>9383</v>
      </c>
      <c r="X23" s="7">
        <v>8143</v>
      </c>
      <c r="Y23" s="7">
        <v>15323</v>
      </c>
      <c r="Z23" s="7">
        <v>1920</v>
      </c>
      <c r="AA23" s="7">
        <v>61717</v>
      </c>
      <c r="AB23" s="13"/>
    </row>
    <row r="24" spans="1:37" ht="15.9" customHeight="1" x14ac:dyDescent="0.3">
      <c r="I24" s="52"/>
      <c r="J24" s="2">
        <v>20</v>
      </c>
      <c r="K24" s="41" t="s">
        <v>29</v>
      </c>
      <c r="L24" s="41" t="s">
        <v>44</v>
      </c>
      <c r="M24" s="41" t="s">
        <v>42</v>
      </c>
      <c r="N24" s="41" t="s">
        <v>33</v>
      </c>
      <c r="O24" s="41" t="s">
        <v>35</v>
      </c>
      <c r="Q24" s="17">
        <f t="shared" si="5"/>
        <v>4</v>
      </c>
      <c r="R24" s="17">
        <f t="shared" si="6"/>
        <v>15</v>
      </c>
      <c r="S24" s="17">
        <f t="shared" si="7"/>
        <v>14</v>
      </c>
      <c r="T24" s="17">
        <f t="shared" si="8"/>
        <v>8</v>
      </c>
      <c r="U24" s="17">
        <f t="shared" si="9"/>
        <v>10</v>
      </c>
      <c r="W24" s="7">
        <v>8650</v>
      </c>
      <c r="X24" s="7">
        <v>6932</v>
      </c>
      <c r="Y24" s="7">
        <v>5072</v>
      </c>
      <c r="Z24" s="7">
        <v>12130</v>
      </c>
      <c r="AA24" s="7">
        <v>22736</v>
      </c>
    </row>
    <row r="25" spans="1:37" ht="16.5" customHeight="1" x14ac:dyDescent="0.3">
      <c r="I25" s="52"/>
      <c r="J25" s="2">
        <v>21</v>
      </c>
      <c r="K25" s="41" t="s">
        <v>31</v>
      </c>
      <c r="L25" s="41" t="s">
        <v>42</v>
      </c>
      <c r="M25" s="41" t="s">
        <v>42</v>
      </c>
      <c r="N25" s="41" t="s">
        <v>42</v>
      </c>
      <c r="O25" s="41" t="s">
        <v>34</v>
      </c>
      <c r="Q25" s="17">
        <f t="shared" si="5"/>
        <v>6</v>
      </c>
      <c r="R25" s="17">
        <f t="shared" si="6"/>
        <v>14</v>
      </c>
      <c r="S25" s="17">
        <f t="shared" si="7"/>
        <v>14</v>
      </c>
      <c r="T25" s="17">
        <f t="shared" si="8"/>
        <v>14</v>
      </c>
      <c r="U25" s="17">
        <f t="shared" si="9"/>
        <v>9</v>
      </c>
      <c r="W25" s="7">
        <v>8861</v>
      </c>
      <c r="X25" s="7">
        <v>2304</v>
      </c>
      <c r="Y25" s="7">
        <v>6168</v>
      </c>
      <c r="Z25" s="7">
        <v>18931</v>
      </c>
      <c r="AA25" s="7">
        <v>17955</v>
      </c>
      <c r="AB25" s="13"/>
    </row>
    <row r="26" spans="1:37" ht="16.5" customHeight="1" x14ac:dyDescent="0.3">
      <c r="I26" s="52"/>
      <c r="J26" s="2">
        <v>22</v>
      </c>
      <c r="K26" s="41" t="s">
        <v>30</v>
      </c>
      <c r="L26" s="41" t="s">
        <v>31</v>
      </c>
      <c r="M26" s="41" t="s">
        <v>35</v>
      </c>
      <c r="N26" s="41" t="s">
        <v>28</v>
      </c>
      <c r="O26" s="41" t="s">
        <v>35</v>
      </c>
      <c r="Q26" s="17">
        <f t="shared" si="5"/>
        <v>5</v>
      </c>
      <c r="R26" s="17">
        <f t="shared" si="6"/>
        <v>6</v>
      </c>
      <c r="S26" s="17">
        <f t="shared" si="7"/>
        <v>10</v>
      </c>
      <c r="T26" s="17">
        <f t="shared" si="8"/>
        <v>3</v>
      </c>
      <c r="U26" s="17">
        <f t="shared" si="9"/>
        <v>10</v>
      </c>
      <c r="W26" s="7">
        <v>8650</v>
      </c>
      <c r="X26" s="7">
        <v>7448</v>
      </c>
      <c r="Y26" s="7">
        <v>2417</v>
      </c>
      <c r="Z26" s="7">
        <v>7418</v>
      </c>
      <c r="AA26" s="7">
        <v>22279</v>
      </c>
      <c r="AB26" s="13"/>
    </row>
    <row r="27" spans="1:37" ht="16.5" customHeight="1" x14ac:dyDescent="0.3">
      <c r="I27" s="52"/>
      <c r="J27" s="2">
        <v>23</v>
      </c>
      <c r="K27" s="41" t="s">
        <v>33</v>
      </c>
      <c r="L27" s="41" t="s">
        <v>29</v>
      </c>
      <c r="M27" s="41" t="s">
        <v>50</v>
      </c>
      <c r="N27" s="41" t="s">
        <v>48</v>
      </c>
      <c r="O27" s="41" t="s">
        <v>31</v>
      </c>
      <c r="Q27" s="17">
        <f t="shared" si="5"/>
        <v>8</v>
      </c>
      <c r="R27" s="17">
        <f t="shared" si="6"/>
        <v>4</v>
      </c>
      <c r="S27" s="17">
        <f t="shared" si="7"/>
        <v>18</v>
      </c>
      <c r="T27" s="17">
        <f t="shared" si="8"/>
        <v>17</v>
      </c>
      <c r="U27" s="17">
        <f t="shared" si="9"/>
        <v>6</v>
      </c>
      <c r="W27" s="7">
        <v>8650</v>
      </c>
      <c r="X27" s="7">
        <v>7806</v>
      </c>
      <c r="Y27" s="7">
        <v>8061</v>
      </c>
      <c r="Z27" s="7">
        <v>7837</v>
      </c>
      <c r="AA27" s="7">
        <v>7960</v>
      </c>
      <c r="AB27" s="13"/>
    </row>
    <row r="28" spans="1:37" ht="16.5" customHeight="1" x14ac:dyDescent="0.3">
      <c r="I28" s="52"/>
      <c r="J28" s="2">
        <v>24</v>
      </c>
      <c r="K28" s="41" t="s">
        <v>29</v>
      </c>
      <c r="L28" s="41" t="s">
        <v>31</v>
      </c>
      <c r="M28" s="41" t="s">
        <v>40</v>
      </c>
      <c r="N28" s="41" t="s">
        <v>46</v>
      </c>
      <c r="O28" s="41" t="s">
        <v>32</v>
      </c>
      <c r="Q28" s="17">
        <f t="shared" si="5"/>
        <v>4</v>
      </c>
      <c r="R28" s="17">
        <f t="shared" si="6"/>
        <v>6</v>
      </c>
      <c r="S28" s="17">
        <f t="shared" si="7"/>
        <v>13</v>
      </c>
      <c r="T28" s="17">
        <f t="shared" si="8"/>
        <v>16</v>
      </c>
      <c r="U28" s="17">
        <f t="shared" si="9"/>
        <v>7</v>
      </c>
      <c r="W28" s="7">
        <v>18868</v>
      </c>
      <c r="X28" s="7">
        <v>6448</v>
      </c>
      <c r="Y28" s="7">
        <v>2538</v>
      </c>
      <c r="Z28" s="7">
        <v>7676</v>
      </c>
      <c r="AA28" s="7">
        <v>7960</v>
      </c>
      <c r="AB28" s="13"/>
    </row>
    <row r="29" spans="1:37" ht="16.5" customHeight="1" x14ac:dyDescent="0.3">
      <c r="I29" s="52"/>
      <c r="J29" s="2">
        <v>25</v>
      </c>
      <c r="K29" s="41" t="s">
        <v>32</v>
      </c>
      <c r="L29" s="41" t="s">
        <v>32</v>
      </c>
      <c r="M29" s="41" t="s">
        <v>50</v>
      </c>
      <c r="N29" s="41" t="s">
        <v>38</v>
      </c>
      <c r="O29" s="41" t="s">
        <v>30</v>
      </c>
      <c r="Q29" s="17">
        <f t="shared" si="5"/>
        <v>7</v>
      </c>
      <c r="R29" s="17">
        <f t="shared" si="6"/>
        <v>7</v>
      </c>
      <c r="S29" s="17">
        <f t="shared" si="7"/>
        <v>18</v>
      </c>
      <c r="T29" s="17">
        <f t="shared" si="8"/>
        <v>12</v>
      </c>
      <c r="U29" s="17">
        <f t="shared" si="9"/>
        <v>5</v>
      </c>
      <c r="W29" s="7">
        <v>23666</v>
      </c>
      <c r="X29" s="7">
        <v>6448</v>
      </c>
      <c r="Y29" s="7">
        <v>2417</v>
      </c>
      <c r="Z29" s="7">
        <v>8329</v>
      </c>
      <c r="AA29" s="7">
        <v>2390</v>
      </c>
      <c r="AB29" s="13"/>
    </row>
    <row r="30" spans="1:37" ht="16.5" customHeight="1" x14ac:dyDescent="0.3">
      <c r="I30" s="52"/>
      <c r="J30" s="2">
        <v>26</v>
      </c>
      <c r="K30" s="41" t="s">
        <v>30</v>
      </c>
      <c r="L30" s="41" t="s">
        <v>36</v>
      </c>
      <c r="M30" s="41" t="s">
        <v>30</v>
      </c>
      <c r="N30" s="41" t="s">
        <v>36</v>
      </c>
      <c r="O30" s="41" t="s">
        <v>32</v>
      </c>
      <c r="Q30" s="17">
        <f t="shared" si="5"/>
        <v>5</v>
      </c>
      <c r="R30" s="17">
        <f t="shared" si="6"/>
        <v>11</v>
      </c>
      <c r="S30" s="17">
        <f t="shared" si="7"/>
        <v>5</v>
      </c>
      <c r="T30" s="17">
        <f t="shared" si="8"/>
        <v>11</v>
      </c>
      <c r="U30" s="17">
        <f t="shared" si="9"/>
        <v>7</v>
      </c>
      <c r="W30" s="7">
        <v>2595</v>
      </c>
      <c r="X30" s="7">
        <v>10133</v>
      </c>
      <c r="Y30" s="7">
        <v>2459</v>
      </c>
      <c r="Z30" s="7">
        <v>23550</v>
      </c>
      <c r="AA30" s="7">
        <v>2390</v>
      </c>
      <c r="AB30" s="13"/>
    </row>
    <row r="31" spans="1:37" ht="16.5" customHeight="1" x14ac:dyDescent="0.3">
      <c r="I31" s="52"/>
      <c r="J31" s="2">
        <v>27</v>
      </c>
      <c r="K31" s="41" t="s">
        <v>33</v>
      </c>
      <c r="L31" s="41" t="s">
        <v>26</v>
      </c>
      <c r="M31" s="41" t="s">
        <v>40</v>
      </c>
      <c r="N31" s="41" t="s">
        <v>32</v>
      </c>
      <c r="O31" s="41" t="s">
        <v>30</v>
      </c>
      <c r="Q31" s="17">
        <f t="shared" si="5"/>
        <v>8</v>
      </c>
      <c r="R31" s="17">
        <f t="shared" si="6"/>
        <v>2</v>
      </c>
      <c r="S31" s="17">
        <f t="shared" si="7"/>
        <v>13</v>
      </c>
      <c r="T31" s="17">
        <f t="shared" si="8"/>
        <v>7</v>
      </c>
      <c r="U31" s="17">
        <f t="shared" si="9"/>
        <v>5</v>
      </c>
      <c r="W31" s="7">
        <v>2595</v>
      </c>
      <c r="X31" s="7">
        <v>9717</v>
      </c>
      <c r="Y31" s="7">
        <v>8061</v>
      </c>
      <c r="Z31" s="7">
        <v>19566</v>
      </c>
      <c r="AA31" s="7">
        <v>2390</v>
      </c>
      <c r="AB31" s="13"/>
    </row>
    <row r="32" spans="1:37" ht="16.5" customHeight="1" x14ac:dyDescent="0.3">
      <c r="J32" s="2">
        <v>28</v>
      </c>
      <c r="K32" s="41" t="s">
        <v>35</v>
      </c>
      <c r="L32" s="41" t="s">
        <v>34</v>
      </c>
      <c r="M32" s="41" t="s">
        <v>33</v>
      </c>
      <c r="N32" s="41" t="s">
        <v>34</v>
      </c>
      <c r="O32" s="41" t="s">
        <v>30</v>
      </c>
      <c r="Q32" s="17">
        <f t="shared" si="5"/>
        <v>10</v>
      </c>
      <c r="R32" s="17">
        <f t="shared" si="6"/>
        <v>9</v>
      </c>
      <c r="S32" s="17">
        <f t="shared" si="7"/>
        <v>8</v>
      </c>
      <c r="T32" s="17">
        <f t="shared" si="8"/>
        <v>9</v>
      </c>
      <c r="U32" s="17">
        <f t="shared" si="9"/>
        <v>5</v>
      </c>
      <c r="W32" s="7">
        <v>2161</v>
      </c>
      <c r="X32" s="7">
        <v>24197</v>
      </c>
      <c r="Y32" s="7">
        <v>7797</v>
      </c>
      <c r="Z32" s="7">
        <v>18353</v>
      </c>
      <c r="AA32" s="7">
        <v>7960</v>
      </c>
      <c r="AB32" s="13"/>
    </row>
    <row r="33" spans="10:28" ht="16.5" customHeight="1" x14ac:dyDescent="0.3">
      <c r="J33" s="2">
        <v>29</v>
      </c>
      <c r="K33" s="41" t="s">
        <v>35</v>
      </c>
      <c r="L33" s="41" t="s">
        <v>36</v>
      </c>
      <c r="M33" s="41" t="s">
        <v>29</v>
      </c>
      <c r="N33" s="41" t="s">
        <v>31</v>
      </c>
      <c r="O33" s="41" t="s">
        <v>32</v>
      </c>
      <c r="Q33" s="17">
        <f t="shared" si="5"/>
        <v>10</v>
      </c>
      <c r="R33" s="17">
        <f t="shared" si="6"/>
        <v>11</v>
      </c>
      <c r="S33" s="17">
        <f t="shared" si="7"/>
        <v>4</v>
      </c>
      <c r="T33" s="17">
        <f t="shared" si="8"/>
        <v>6</v>
      </c>
      <c r="U33" s="17">
        <f t="shared" si="9"/>
        <v>7</v>
      </c>
      <c r="W33" s="7">
        <v>7208</v>
      </c>
      <c r="X33" s="7">
        <v>49636</v>
      </c>
      <c r="Y33" s="7">
        <v>6717</v>
      </c>
      <c r="Z33" s="7">
        <v>7448</v>
      </c>
      <c r="AA33" s="7">
        <v>7960</v>
      </c>
      <c r="AB33" s="13"/>
    </row>
    <row r="34" spans="10:28" ht="16.5" customHeight="1" x14ac:dyDescent="0.3">
      <c r="J34" s="2">
        <v>30</v>
      </c>
      <c r="K34" s="41" t="s">
        <v>33</v>
      </c>
      <c r="L34" s="41" t="s">
        <v>31</v>
      </c>
      <c r="M34" s="41" t="s">
        <v>46</v>
      </c>
      <c r="N34" s="41" t="s">
        <v>33</v>
      </c>
      <c r="O34" s="41" t="s">
        <v>34</v>
      </c>
      <c r="Q34" s="17">
        <f t="shared" si="5"/>
        <v>8</v>
      </c>
      <c r="R34" s="17">
        <f t="shared" si="6"/>
        <v>6</v>
      </c>
      <c r="S34" s="17">
        <f t="shared" si="7"/>
        <v>16</v>
      </c>
      <c r="T34" s="17">
        <f t="shared" si="8"/>
        <v>8</v>
      </c>
      <c r="U34" s="17">
        <f t="shared" si="9"/>
        <v>9</v>
      </c>
      <c r="W34" s="7">
        <v>7208</v>
      </c>
      <c r="X34" s="7">
        <v>53721</v>
      </c>
      <c r="Y34" s="7">
        <v>17943</v>
      </c>
      <c r="Z34" s="7">
        <v>1920</v>
      </c>
      <c r="AA34" s="7">
        <v>21606</v>
      </c>
      <c r="AB34" s="13"/>
    </row>
    <row r="35" spans="10:28" ht="16.5" customHeight="1" x14ac:dyDescent="0.3">
      <c r="J35" s="2">
        <v>31</v>
      </c>
      <c r="K35" s="41" t="s">
        <v>35</v>
      </c>
      <c r="L35" s="41" t="s">
        <v>44</v>
      </c>
      <c r="M35" s="41" t="s">
        <v>31</v>
      </c>
      <c r="N35" s="41" t="s">
        <v>30</v>
      </c>
      <c r="O35" s="41" t="s">
        <v>33</v>
      </c>
      <c r="Q35" s="17">
        <f t="shared" si="5"/>
        <v>10</v>
      </c>
      <c r="R35" s="17">
        <f t="shared" si="6"/>
        <v>15</v>
      </c>
      <c r="S35" s="17">
        <f t="shared" si="7"/>
        <v>6</v>
      </c>
      <c r="T35" s="17">
        <f t="shared" si="8"/>
        <v>5</v>
      </c>
      <c r="U35" s="17">
        <f t="shared" si="9"/>
        <v>8</v>
      </c>
      <c r="W35" s="7">
        <v>8650</v>
      </c>
      <c r="X35" s="7">
        <v>44503</v>
      </c>
      <c r="Y35" s="7">
        <v>16278</v>
      </c>
      <c r="Z35" s="7">
        <v>1920</v>
      </c>
      <c r="AA35" s="7">
        <v>7986</v>
      </c>
      <c r="AB35" s="13"/>
    </row>
    <row r="36" spans="10:28" ht="16.5" customHeight="1" x14ac:dyDescent="0.3">
      <c r="J36" s="2">
        <v>32</v>
      </c>
      <c r="K36" s="41" t="s">
        <v>29</v>
      </c>
      <c r="L36" s="41" t="s">
        <v>35</v>
      </c>
      <c r="M36" s="41" t="s">
        <v>48</v>
      </c>
      <c r="N36" s="41" t="s">
        <v>29</v>
      </c>
      <c r="O36" s="41" t="s">
        <v>28</v>
      </c>
      <c r="Q36" s="17">
        <f t="shared" ref="Q36:Q67" si="10">IF(K36="","",VLOOKUP(K36,$A$4:$H$22,8,FALSE))</f>
        <v>4</v>
      </c>
      <c r="R36" s="17">
        <f t="shared" ref="R36:R67" si="11">IF(L36="","",VLOOKUP(L36,$A$4:$H$22,8,FALSE))</f>
        <v>10</v>
      </c>
      <c r="S36" s="17">
        <f t="shared" ref="S36:S67" si="12">IF(M36="","",VLOOKUP(M36,$A$4:$H$22,8,FALSE))</f>
        <v>17</v>
      </c>
      <c r="T36" s="17">
        <f t="shared" ref="T36:T67" si="13">IF(N36="","",VLOOKUP(N36,$A$4:$H$22,8,FALSE))</f>
        <v>4</v>
      </c>
      <c r="U36" s="17">
        <f t="shared" ref="U36:U67" si="14">IF(O36="","",VLOOKUP(O36,$A$4:$H$22,8,FALSE))</f>
        <v>3</v>
      </c>
      <c r="W36" s="7">
        <v>8650</v>
      </c>
      <c r="X36" s="7">
        <v>52873</v>
      </c>
      <c r="Y36" s="7">
        <v>8275</v>
      </c>
      <c r="Z36" s="7">
        <v>2302</v>
      </c>
      <c r="AA36" s="7">
        <v>7960</v>
      </c>
      <c r="AB36" s="13"/>
    </row>
    <row r="37" spans="10:28" ht="16.5" customHeight="1" x14ac:dyDescent="0.3">
      <c r="J37" s="2">
        <v>33</v>
      </c>
      <c r="K37" s="41" t="s">
        <v>28</v>
      </c>
      <c r="L37" s="41" t="s">
        <v>44</v>
      </c>
      <c r="M37" s="41" t="s">
        <v>29</v>
      </c>
      <c r="N37" s="41" t="s">
        <v>29</v>
      </c>
      <c r="O37" s="41" t="s">
        <v>29</v>
      </c>
      <c r="Q37" s="17">
        <f t="shared" si="10"/>
        <v>3</v>
      </c>
      <c r="R37" s="17">
        <f t="shared" si="11"/>
        <v>15</v>
      </c>
      <c r="S37" s="17">
        <f t="shared" si="12"/>
        <v>4</v>
      </c>
      <c r="T37" s="17">
        <f t="shared" si="13"/>
        <v>4</v>
      </c>
      <c r="U37" s="17">
        <f t="shared" si="14"/>
        <v>4</v>
      </c>
      <c r="W37" s="7">
        <v>8650</v>
      </c>
      <c r="X37" s="7">
        <v>16995</v>
      </c>
      <c r="Y37" s="7">
        <v>6755</v>
      </c>
      <c r="Z37" s="7">
        <v>7676</v>
      </c>
      <c r="AA37" s="7">
        <v>6634</v>
      </c>
      <c r="AB37" s="13"/>
    </row>
    <row r="38" spans="10:28" ht="16.5" customHeight="1" x14ac:dyDescent="0.3">
      <c r="J38" s="2">
        <v>34</v>
      </c>
      <c r="K38" s="41" t="s">
        <v>35</v>
      </c>
      <c r="L38" s="41" t="s">
        <v>31</v>
      </c>
      <c r="M38" s="41" t="s">
        <v>50</v>
      </c>
      <c r="N38" s="41" t="s">
        <v>36</v>
      </c>
      <c r="O38" s="41" t="s">
        <v>34</v>
      </c>
      <c r="Q38" s="17">
        <f t="shared" si="10"/>
        <v>10</v>
      </c>
      <c r="R38" s="17">
        <f t="shared" si="11"/>
        <v>6</v>
      </c>
      <c r="S38" s="17">
        <f t="shared" si="12"/>
        <v>18</v>
      </c>
      <c r="T38" s="17">
        <f t="shared" si="13"/>
        <v>11</v>
      </c>
      <c r="U38" s="17">
        <f t="shared" si="14"/>
        <v>9</v>
      </c>
      <c r="W38" s="7">
        <v>12794</v>
      </c>
      <c r="X38" s="7">
        <v>2273</v>
      </c>
      <c r="Y38" s="7">
        <v>6755</v>
      </c>
      <c r="Z38" s="7">
        <v>7676</v>
      </c>
      <c r="AA38" s="7">
        <v>6634</v>
      </c>
      <c r="AB38" s="13"/>
    </row>
    <row r="39" spans="10:28" ht="16.5" customHeight="1" x14ac:dyDescent="0.3">
      <c r="J39" s="2">
        <v>35</v>
      </c>
      <c r="K39" s="41" t="s">
        <v>26</v>
      </c>
      <c r="L39" s="41" t="s">
        <v>28</v>
      </c>
      <c r="M39" s="41" t="s">
        <v>40</v>
      </c>
      <c r="N39" s="41" t="s">
        <v>30</v>
      </c>
      <c r="O39" s="41" t="s">
        <v>28</v>
      </c>
      <c r="Q39" s="17">
        <f t="shared" si="10"/>
        <v>2</v>
      </c>
      <c r="R39" s="17">
        <f t="shared" si="11"/>
        <v>3</v>
      </c>
      <c r="S39" s="17">
        <f t="shared" si="12"/>
        <v>13</v>
      </c>
      <c r="T39" s="17">
        <f t="shared" si="13"/>
        <v>5</v>
      </c>
      <c r="U39" s="17">
        <f t="shared" si="14"/>
        <v>3</v>
      </c>
      <c r="W39" s="7">
        <v>8650</v>
      </c>
      <c r="X39" s="7">
        <v>1610</v>
      </c>
      <c r="Y39" s="7">
        <v>6717</v>
      </c>
      <c r="Z39" s="7">
        <v>7676</v>
      </c>
      <c r="AA39" s="7">
        <v>6634</v>
      </c>
      <c r="AB39" s="13"/>
    </row>
    <row r="40" spans="10:28" ht="16.5" customHeight="1" x14ac:dyDescent="0.3">
      <c r="J40" s="2">
        <v>36</v>
      </c>
      <c r="K40" s="41" t="s">
        <v>29</v>
      </c>
      <c r="L40" s="41" t="s">
        <v>46</v>
      </c>
      <c r="M40" s="41" t="s">
        <v>28</v>
      </c>
      <c r="N40" s="41" t="s">
        <v>33</v>
      </c>
      <c r="O40" s="41" t="s">
        <v>30</v>
      </c>
      <c r="Q40" s="17">
        <f t="shared" si="10"/>
        <v>4</v>
      </c>
      <c r="R40" s="17">
        <f t="shared" si="11"/>
        <v>16</v>
      </c>
      <c r="S40" s="17">
        <f t="shared" si="12"/>
        <v>3</v>
      </c>
      <c r="T40" s="17">
        <f t="shared" si="13"/>
        <v>8</v>
      </c>
      <c r="U40" s="17">
        <f t="shared" si="14"/>
        <v>5</v>
      </c>
      <c r="W40" s="7">
        <v>2161</v>
      </c>
      <c r="X40" s="7">
        <v>1610</v>
      </c>
      <c r="Y40" s="7">
        <v>6717</v>
      </c>
      <c r="Z40" s="7">
        <v>2342</v>
      </c>
      <c r="AA40" s="7">
        <v>8559</v>
      </c>
      <c r="AB40" s="13"/>
    </row>
    <row r="41" spans="10:28" ht="16.5" customHeight="1" x14ac:dyDescent="0.3">
      <c r="J41" s="2">
        <v>37</v>
      </c>
      <c r="K41" s="41" t="s">
        <v>33</v>
      </c>
      <c r="L41" s="41" t="s">
        <v>46</v>
      </c>
      <c r="M41" s="41" t="s">
        <v>30</v>
      </c>
      <c r="N41" s="41" t="s">
        <v>48</v>
      </c>
      <c r="O41" s="41" t="s">
        <v>28</v>
      </c>
      <c r="Q41" s="17">
        <f t="shared" si="10"/>
        <v>8</v>
      </c>
      <c r="R41" s="17">
        <f t="shared" si="11"/>
        <v>16</v>
      </c>
      <c r="S41" s="17">
        <f t="shared" si="12"/>
        <v>5</v>
      </c>
      <c r="T41" s="17">
        <f t="shared" si="13"/>
        <v>17</v>
      </c>
      <c r="U41" s="17">
        <f t="shared" si="14"/>
        <v>3</v>
      </c>
      <c r="W41" s="7">
        <v>2411</v>
      </c>
      <c r="X41" s="7">
        <v>1610</v>
      </c>
      <c r="Y41" s="7">
        <v>6717</v>
      </c>
      <c r="Z41" s="7">
        <v>5816</v>
      </c>
      <c r="AA41" s="7">
        <v>7960</v>
      </c>
      <c r="AB41" s="13"/>
    </row>
    <row r="42" spans="10:28" ht="16.5" customHeight="1" x14ac:dyDescent="0.3">
      <c r="J42" s="2">
        <v>38</v>
      </c>
      <c r="K42" s="41" t="s">
        <v>29</v>
      </c>
      <c r="L42" s="41" t="s">
        <v>40</v>
      </c>
      <c r="M42" s="41" t="s">
        <v>34</v>
      </c>
      <c r="N42" s="41" t="s">
        <v>31</v>
      </c>
      <c r="O42" s="41" t="s">
        <v>30</v>
      </c>
      <c r="Q42" s="17">
        <f t="shared" si="10"/>
        <v>4</v>
      </c>
      <c r="R42" s="17">
        <f t="shared" si="11"/>
        <v>13</v>
      </c>
      <c r="S42" s="17">
        <f t="shared" si="12"/>
        <v>9</v>
      </c>
      <c r="T42" s="17">
        <f t="shared" si="13"/>
        <v>6</v>
      </c>
      <c r="U42" s="17">
        <f t="shared" si="14"/>
        <v>5</v>
      </c>
      <c r="W42" s="7">
        <v>2621</v>
      </c>
      <c r="X42" s="7">
        <v>2040</v>
      </c>
      <c r="Y42" s="7">
        <v>6755</v>
      </c>
      <c r="Z42" s="7">
        <v>1920</v>
      </c>
      <c r="AA42" s="7">
        <v>7960</v>
      </c>
      <c r="AB42" s="13"/>
    </row>
    <row r="43" spans="10:28" ht="16.5" customHeight="1" x14ac:dyDescent="0.3">
      <c r="J43" s="2">
        <v>39</v>
      </c>
      <c r="K43" s="41" t="s">
        <v>29</v>
      </c>
      <c r="L43" s="41" t="s">
        <v>40</v>
      </c>
      <c r="M43" s="41" t="s">
        <v>44</v>
      </c>
      <c r="N43" s="41" t="s">
        <v>42</v>
      </c>
      <c r="O43" s="41" t="s">
        <v>35</v>
      </c>
      <c r="Q43" s="17">
        <f t="shared" si="10"/>
        <v>4</v>
      </c>
      <c r="R43" s="17">
        <f t="shared" si="11"/>
        <v>13</v>
      </c>
      <c r="S43" s="17">
        <f t="shared" si="12"/>
        <v>15</v>
      </c>
      <c r="T43" s="17">
        <f t="shared" si="13"/>
        <v>14</v>
      </c>
      <c r="U43" s="17">
        <f t="shared" si="14"/>
        <v>10</v>
      </c>
      <c r="W43" s="7">
        <v>7790</v>
      </c>
      <c r="X43" s="7">
        <v>6841</v>
      </c>
      <c r="Y43" s="7">
        <v>6755</v>
      </c>
      <c r="Z43" s="7">
        <v>6395</v>
      </c>
      <c r="AA43" s="7">
        <v>7960</v>
      </c>
      <c r="AB43" s="13"/>
    </row>
    <row r="44" spans="10:28" ht="16.5" customHeight="1" x14ac:dyDescent="0.3">
      <c r="J44" s="2">
        <v>40</v>
      </c>
      <c r="K44" s="41" t="s">
        <v>32</v>
      </c>
      <c r="L44" s="41" t="s">
        <v>38</v>
      </c>
      <c r="M44" s="41" t="s">
        <v>34</v>
      </c>
      <c r="N44" s="41" t="s">
        <v>33</v>
      </c>
      <c r="O44" s="41" t="s">
        <v>31</v>
      </c>
      <c r="Q44" s="17">
        <f t="shared" si="10"/>
        <v>7</v>
      </c>
      <c r="R44" s="17">
        <f t="shared" si="11"/>
        <v>12</v>
      </c>
      <c r="S44" s="17">
        <f t="shared" si="12"/>
        <v>9</v>
      </c>
      <c r="T44" s="17">
        <f t="shared" si="13"/>
        <v>8</v>
      </c>
      <c r="U44" s="17">
        <f t="shared" si="14"/>
        <v>6</v>
      </c>
      <c r="W44" s="7">
        <v>17604</v>
      </c>
      <c r="X44" s="7">
        <v>8136</v>
      </c>
      <c r="Y44" s="7">
        <v>2851</v>
      </c>
      <c r="Z44" s="7">
        <v>7676</v>
      </c>
      <c r="AA44" s="7">
        <v>7960</v>
      </c>
      <c r="AB44" s="13"/>
    </row>
    <row r="45" spans="10:28" ht="16.5" customHeight="1" x14ac:dyDescent="0.3">
      <c r="J45" s="2">
        <v>41</v>
      </c>
      <c r="K45" s="41" t="s">
        <v>32</v>
      </c>
      <c r="L45" s="41" t="s">
        <v>32</v>
      </c>
      <c r="M45" s="41" t="s">
        <v>35</v>
      </c>
      <c r="N45" s="41" t="s">
        <v>38</v>
      </c>
      <c r="O45" s="41" t="s">
        <v>28</v>
      </c>
      <c r="Q45" s="17">
        <f t="shared" si="10"/>
        <v>7</v>
      </c>
      <c r="R45" s="17">
        <f t="shared" si="11"/>
        <v>7</v>
      </c>
      <c r="S45" s="17">
        <f t="shared" si="12"/>
        <v>10</v>
      </c>
      <c r="T45" s="17">
        <f t="shared" si="13"/>
        <v>12</v>
      </c>
      <c r="U45" s="17">
        <f t="shared" si="14"/>
        <v>3</v>
      </c>
      <c r="W45" s="7">
        <v>5584</v>
      </c>
      <c r="X45" s="7">
        <v>24356</v>
      </c>
      <c r="Y45" s="7">
        <v>5604</v>
      </c>
      <c r="Z45" s="7">
        <v>7676</v>
      </c>
      <c r="AA45" s="7">
        <v>7960</v>
      </c>
      <c r="AB45" s="13"/>
    </row>
    <row r="46" spans="10:28" ht="16.5" customHeight="1" x14ac:dyDescent="0.3">
      <c r="J46" s="2">
        <v>42</v>
      </c>
      <c r="K46" s="41" t="s">
        <v>31</v>
      </c>
      <c r="L46" s="41" t="s">
        <v>29</v>
      </c>
      <c r="M46" s="41" t="s">
        <v>48</v>
      </c>
      <c r="N46" s="41" t="s">
        <v>46</v>
      </c>
      <c r="O46" s="41" t="s">
        <v>32</v>
      </c>
      <c r="Q46" s="17">
        <f t="shared" si="10"/>
        <v>6</v>
      </c>
      <c r="R46" s="17">
        <f t="shared" si="11"/>
        <v>4</v>
      </c>
      <c r="S46" s="17">
        <f t="shared" si="12"/>
        <v>17</v>
      </c>
      <c r="T46" s="17">
        <f t="shared" si="13"/>
        <v>16</v>
      </c>
      <c r="U46" s="17">
        <f t="shared" si="14"/>
        <v>7</v>
      </c>
      <c r="W46" s="7">
        <v>2161</v>
      </c>
      <c r="X46" s="7">
        <v>6416</v>
      </c>
      <c r="Y46" s="7">
        <v>4717</v>
      </c>
      <c r="Z46" s="7">
        <v>2302</v>
      </c>
      <c r="AA46" s="7">
        <v>7960</v>
      </c>
      <c r="AB46" s="13"/>
    </row>
    <row r="47" spans="10:28" ht="16.5" customHeight="1" x14ac:dyDescent="0.3">
      <c r="J47" s="2">
        <v>43</v>
      </c>
      <c r="K47" s="41" t="s">
        <v>31</v>
      </c>
      <c r="L47" s="41" t="s">
        <v>32</v>
      </c>
      <c r="M47" s="41" t="s">
        <v>48</v>
      </c>
      <c r="N47" s="41" t="s">
        <v>30</v>
      </c>
      <c r="O47" s="41" t="s">
        <v>34</v>
      </c>
      <c r="Q47" s="17">
        <f t="shared" si="10"/>
        <v>6</v>
      </c>
      <c r="R47" s="17">
        <f t="shared" si="11"/>
        <v>7</v>
      </c>
      <c r="S47" s="17">
        <f t="shared" si="12"/>
        <v>17</v>
      </c>
      <c r="T47" s="17">
        <f t="shared" si="13"/>
        <v>5</v>
      </c>
      <c r="U47" s="17">
        <f t="shared" si="14"/>
        <v>9</v>
      </c>
      <c r="W47" s="7">
        <v>8649</v>
      </c>
      <c r="X47" s="7">
        <v>9965</v>
      </c>
      <c r="Y47" s="7">
        <v>2417</v>
      </c>
      <c r="Z47" s="7">
        <v>1920</v>
      </c>
      <c r="AA47" s="7">
        <v>8247</v>
      </c>
      <c r="AB47" s="13"/>
    </row>
    <row r="48" spans="10:28" ht="16.5" customHeight="1" x14ac:dyDescent="0.3">
      <c r="J48" s="2">
        <v>44</v>
      </c>
      <c r="K48" s="41" t="s">
        <v>33</v>
      </c>
      <c r="L48" s="41" t="s">
        <v>29</v>
      </c>
      <c r="M48" s="41" t="s">
        <v>40</v>
      </c>
      <c r="N48" s="41" t="s">
        <v>33</v>
      </c>
      <c r="O48" s="41" t="s">
        <v>33</v>
      </c>
      <c r="Q48" s="17">
        <f t="shared" si="10"/>
        <v>8</v>
      </c>
      <c r="R48" s="17">
        <f t="shared" si="11"/>
        <v>4</v>
      </c>
      <c r="S48" s="17">
        <f t="shared" si="12"/>
        <v>13</v>
      </c>
      <c r="T48" s="17">
        <f t="shared" si="13"/>
        <v>8</v>
      </c>
      <c r="U48" s="17">
        <f t="shared" si="14"/>
        <v>8</v>
      </c>
      <c r="W48" s="7">
        <v>7757</v>
      </c>
      <c r="X48" s="7">
        <v>5614</v>
      </c>
      <c r="Y48" s="7">
        <v>2515</v>
      </c>
      <c r="Z48" s="7">
        <v>1920</v>
      </c>
      <c r="AA48" s="7">
        <v>7960</v>
      </c>
      <c r="AB48" s="13"/>
    </row>
    <row r="49" spans="10:28" ht="16.5" customHeight="1" x14ac:dyDescent="0.3">
      <c r="J49" s="2">
        <v>45</v>
      </c>
      <c r="K49" s="41" t="s">
        <v>28</v>
      </c>
      <c r="L49" s="41" t="s">
        <v>32</v>
      </c>
      <c r="M49" s="41" t="s">
        <v>42</v>
      </c>
      <c r="N49" s="41" t="s">
        <v>33</v>
      </c>
      <c r="O49" s="41" t="s">
        <v>31</v>
      </c>
      <c r="Q49" s="17">
        <f t="shared" si="10"/>
        <v>3</v>
      </c>
      <c r="R49" s="17">
        <f t="shared" si="11"/>
        <v>7</v>
      </c>
      <c r="S49" s="17">
        <f t="shared" si="12"/>
        <v>14</v>
      </c>
      <c r="T49" s="17">
        <f t="shared" si="13"/>
        <v>8</v>
      </c>
      <c r="U49" s="17">
        <f t="shared" si="14"/>
        <v>6</v>
      </c>
      <c r="W49" s="7">
        <v>23449</v>
      </c>
      <c r="X49" s="7">
        <v>5467</v>
      </c>
      <c r="Y49" s="7">
        <v>4885</v>
      </c>
      <c r="Z49" s="7">
        <v>1920</v>
      </c>
      <c r="AA49" s="7">
        <v>7960</v>
      </c>
      <c r="AB49" s="13"/>
    </row>
    <row r="50" spans="10:28" ht="16.5" customHeight="1" x14ac:dyDescent="0.3">
      <c r="J50" s="2">
        <v>46</v>
      </c>
      <c r="K50" s="41" t="s">
        <v>35</v>
      </c>
      <c r="L50" s="41" t="s">
        <v>31</v>
      </c>
      <c r="M50" s="41" t="s">
        <v>42</v>
      </c>
      <c r="N50" s="41" t="s">
        <v>33</v>
      </c>
      <c r="O50" s="41" t="s">
        <v>32</v>
      </c>
      <c r="Q50" s="17">
        <f t="shared" si="10"/>
        <v>10</v>
      </c>
      <c r="R50" s="17">
        <f t="shared" si="11"/>
        <v>6</v>
      </c>
      <c r="S50" s="17">
        <f t="shared" si="12"/>
        <v>14</v>
      </c>
      <c r="T50" s="17">
        <f t="shared" si="13"/>
        <v>8</v>
      </c>
      <c r="U50" s="17">
        <f t="shared" si="14"/>
        <v>7</v>
      </c>
      <c r="W50" s="7">
        <v>21619</v>
      </c>
      <c r="X50" s="7">
        <v>5476</v>
      </c>
      <c r="Y50" s="7">
        <v>3378</v>
      </c>
      <c r="Z50" s="7">
        <v>6395</v>
      </c>
      <c r="AA50" s="7">
        <v>7960</v>
      </c>
      <c r="AB50" s="13"/>
    </row>
    <row r="51" spans="10:28" ht="16.5" customHeight="1" x14ac:dyDescent="0.3">
      <c r="J51" s="2">
        <v>47</v>
      </c>
      <c r="K51" s="41" t="s">
        <v>29</v>
      </c>
      <c r="L51" s="41" t="s">
        <v>29</v>
      </c>
      <c r="M51" s="41" t="s">
        <v>31</v>
      </c>
      <c r="N51" s="41" t="s">
        <v>48</v>
      </c>
      <c r="O51" s="41" t="s">
        <v>35</v>
      </c>
      <c r="Q51" s="17">
        <f t="shared" si="10"/>
        <v>4</v>
      </c>
      <c r="R51" s="17">
        <f t="shared" si="11"/>
        <v>4</v>
      </c>
      <c r="S51" s="17">
        <f t="shared" si="12"/>
        <v>6</v>
      </c>
      <c r="T51" s="17">
        <f t="shared" si="13"/>
        <v>17</v>
      </c>
      <c r="U51" s="17">
        <f t="shared" si="14"/>
        <v>10</v>
      </c>
      <c r="W51" s="7">
        <v>6401</v>
      </c>
      <c r="X51" s="7">
        <v>5634</v>
      </c>
      <c r="Y51" s="7">
        <v>18225</v>
      </c>
      <c r="Z51" s="7">
        <v>6395</v>
      </c>
      <c r="AA51" s="7">
        <v>7960</v>
      </c>
      <c r="AB51" s="13"/>
    </row>
    <row r="52" spans="10:28" ht="16.5" customHeight="1" x14ac:dyDescent="0.3">
      <c r="J52" s="2">
        <v>48</v>
      </c>
      <c r="K52" s="41" t="s">
        <v>32</v>
      </c>
      <c r="L52" s="41" t="s">
        <v>32</v>
      </c>
      <c r="M52" s="41" t="s">
        <v>34</v>
      </c>
      <c r="N52" s="41" t="s">
        <v>42</v>
      </c>
      <c r="O52" s="41" t="s">
        <v>32</v>
      </c>
      <c r="Q52" s="17">
        <f t="shared" si="10"/>
        <v>7</v>
      </c>
      <c r="R52" s="17">
        <f t="shared" si="11"/>
        <v>7</v>
      </c>
      <c r="S52" s="17">
        <f t="shared" si="12"/>
        <v>9</v>
      </c>
      <c r="T52" s="17">
        <f t="shared" si="13"/>
        <v>14</v>
      </c>
      <c r="U52" s="17">
        <f t="shared" si="14"/>
        <v>7</v>
      </c>
      <c r="W52" s="7">
        <v>2595</v>
      </c>
      <c r="X52" s="7">
        <v>4524</v>
      </c>
      <c r="Y52" s="7">
        <v>16125</v>
      </c>
      <c r="Z52" s="7">
        <v>6395</v>
      </c>
      <c r="AA52" s="7">
        <v>8038</v>
      </c>
      <c r="AB52" s="13"/>
    </row>
    <row r="53" spans="10:28" ht="16.5" customHeight="1" x14ac:dyDescent="0.3">
      <c r="J53" s="2">
        <v>49</v>
      </c>
      <c r="K53" s="41" t="s">
        <v>32</v>
      </c>
      <c r="L53" s="41" t="s">
        <v>42</v>
      </c>
      <c r="M53" s="41" t="s">
        <v>34</v>
      </c>
      <c r="N53" s="41" t="s">
        <v>46</v>
      </c>
      <c r="O53" s="41" t="s">
        <v>30</v>
      </c>
      <c r="Q53" s="17">
        <f t="shared" si="10"/>
        <v>7</v>
      </c>
      <c r="R53" s="17">
        <f t="shared" si="11"/>
        <v>14</v>
      </c>
      <c r="S53" s="17">
        <f t="shared" si="12"/>
        <v>9</v>
      </c>
      <c r="T53" s="17">
        <f t="shared" si="13"/>
        <v>16</v>
      </c>
      <c r="U53" s="17">
        <f t="shared" si="14"/>
        <v>5</v>
      </c>
      <c r="W53" s="7">
        <v>8649</v>
      </c>
      <c r="X53" s="7">
        <v>5979</v>
      </c>
      <c r="Y53" s="7">
        <v>7871</v>
      </c>
      <c r="Z53" s="7">
        <v>1920</v>
      </c>
      <c r="AA53" s="7">
        <v>8825</v>
      </c>
      <c r="AB53" s="13"/>
    </row>
    <row r="54" spans="10:28" ht="16.5" customHeight="1" x14ac:dyDescent="0.3">
      <c r="J54" s="2">
        <v>50</v>
      </c>
      <c r="K54" s="41" t="s">
        <v>31</v>
      </c>
      <c r="L54" s="41" t="s">
        <v>32</v>
      </c>
      <c r="M54" s="41" t="s">
        <v>32</v>
      </c>
      <c r="N54" s="41" t="s">
        <v>30</v>
      </c>
      <c r="O54" s="41" t="s">
        <v>34</v>
      </c>
      <c r="Q54" s="17">
        <f t="shared" si="10"/>
        <v>6</v>
      </c>
      <c r="R54" s="17">
        <f t="shared" si="11"/>
        <v>7</v>
      </c>
      <c r="S54" s="17">
        <f t="shared" si="12"/>
        <v>7</v>
      </c>
      <c r="T54" s="17">
        <f t="shared" si="13"/>
        <v>5</v>
      </c>
      <c r="U54" s="17">
        <f t="shared" si="14"/>
        <v>9</v>
      </c>
      <c r="W54" s="7">
        <v>2595</v>
      </c>
      <c r="X54" s="7">
        <v>5979</v>
      </c>
      <c r="Y54" s="7">
        <v>2506</v>
      </c>
      <c r="Z54" s="7">
        <v>1920</v>
      </c>
      <c r="AA54" s="7">
        <v>1993</v>
      </c>
      <c r="AB54" s="13"/>
    </row>
    <row r="55" spans="10:28" ht="16.5" customHeight="1" x14ac:dyDescent="0.3">
      <c r="J55" s="2">
        <v>51</v>
      </c>
      <c r="K55" s="41" t="s">
        <v>32</v>
      </c>
      <c r="L55" s="41" t="s">
        <v>32</v>
      </c>
      <c r="M55" s="41" t="s">
        <v>32</v>
      </c>
      <c r="N55" s="41" t="s">
        <v>34</v>
      </c>
      <c r="O55" s="41" t="s">
        <v>30</v>
      </c>
      <c r="Q55" s="17">
        <f t="shared" si="10"/>
        <v>7</v>
      </c>
      <c r="R55" s="17">
        <f t="shared" si="11"/>
        <v>7</v>
      </c>
      <c r="S55" s="17">
        <f t="shared" si="12"/>
        <v>7</v>
      </c>
      <c r="T55" s="17">
        <f t="shared" si="13"/>
        <v>9</v>
      </c>
      <c r="U55" s="17">
        <f t="shared" si="14"/>
        <v>5</v>
      </c>
      <c r="W55" s="7">
        <v>3014</v>
      </c>
      <c r="X55" s="7">
        <v>5979</v>
      </c>
      <c r="Y55" s="7">
        <v>8061</v>
      </c>
      <c r="Z55" s="7">
        <v>1920</v>
      </c>
      <c r="AA55" s="7">
        <v>1993</v>
      </c>
      <c r="AB55" s="13"/>
    </row>
    <row r="56" spans="10:28" ht="16.5" customHeight="1" x14ac:dyDescent="0.3">
      <c r="J56" s="2">
        <v>52</v>
      </c>
      <c r="K56" s="41" t="s">
        <v>35</v>
      </c>
      <c r="L56" s="41" t="s">
        <v>31</v>
      </c>
      <c r="M56" s="41" t="s">
        <v>28</v>
      </c>
      <c r="N56" s="41" t="s">
        <v>34</v>
      </c>
      <c r="O56" s="41" t="s">
        <v>28</v>
      </c>
      <c r="Q56" s="17">
        <f t="shared" si="10"/>
        <v>10</v>
      </c>
      <c r="R56" s="17">
        <f t="shared" si="11"/>
        <v>6</v>
      </c>
      <c r="S56" s="17">
        <f t="shared" si="12"/>
        <v>3</v>
      </c>
      <c r="T56" s="17">
        <f t="shared" si="13"/>
        <v>9</v>
      </c>
      <c r="U56" s="17">
        <f t="shared" si="14"/>
        <v>3</v>
      </c>
      <c r="W56" s="7">
        <v>2595</v>
      </c>
      <c r="X56" s="7">
        <v>5979</v>
      </c>
      <c r="Y56" s="7">
        <v>2016</v>
      </c>
      <c r="Z56" s="7">
        <v>1920</v>
      </c>
      <c r="AA56" s="7">
        <v>1993</v>
      </c>
      <c r="AB56" s="13"/>
    </row>
    <row r="57" spans="10:28" ht="16.5" customHeight="1" x14ac:dyDescent="0.3">
      <c r="J57" s="2">
        <v>53</v>
      </c>
      <c r="K57" s="41" t="s">
        <v>35</v>
      </c>
      <c r="L57" s="41" t="s">
        <v>44</v>
      </c>
      <c r="M57" s="41" t="s">
        <v>46</v>
      </c>
      <c r="N57" s="41" t="s">
        <v>40</v>
      </c>
      <c r="O57" s="41" t="s">
        <v>28</v>
      </c>
      <c r="Q57" s="17">
        <f t="shared" si="10"/>
        <v>10</v>
      </c>
      <c r="R57" s="17">
        <f t="shared" si="11"/>
        <v>15</v>
      </c>
      <c r="S57" s="17">
        <f t="shared" si="12"/>
        <v>16</v>
      </c>
      <c r="T57" s="17">
        <f t="shared" si="13"/>
        <v>13</v>
      </c>
      <c r="U57" s="17">
        <f t="shared" si="14"/>
        <v>3</v>
      </c>
      <c r="W57" s="7">
        <v>25346</v>
      </c>
      <c r="X57" s="7">
        <v>5979</v>
      </c>
      <c r="Y57" s="7">
        <v>5506</v>
      </c>
      <c r="Z57" s="7">
        <v>1920</v>
      </c>
      <c r="AA57" s="7">
        <v>1993</v>
      </c>
      <c r="AB57" s="13"/>
    </row>
    <row r="58" spans="10:28" ht="16.5" customHeight="1" x14ac:dyDescent="0.3">
      <c r="J58" s="2">
        <v>54</v>
      </c>
      <c r="K58" s="41" t="s">
        <v>32</v>
      </c>
      <c r="L58" s="41" t="s">
        <v>32</v>
      </c>
      <c r="M58" s="41" t="s">
        <v>34</v>
      </c>
      <c r="N58" s="41" t="s">
        <v>46</v>
      </c>
      <c r="O58" s="41" t="s">
        <v>28</v>
      </c>
      <c r="Q58" s="17">
        <f t="shared" si="10"/>
        <v>7</v>
      </c>
      <c r="R58" s="17">
        <f t="shared" si="11"/>
        <v>7</v>
      </c>
      <c r="S58" s="17">
        <f t="shared" si="12"/>
        <v>9</v>
      </c>
      <c r="T58" s="17">
        <f t="shared" si="13"/>
        <v>16</v>
      </c>
      <c r="U58" s="17">
        <f t="shared" si="14"/>
        <v>3</v>
      </c>
      <c r="W58" s="7">
        <v>27550</v>
      </c>
      <c r="X58" s="7">
        <v>5979</v>
      </c>
      <c r="Y58" s="7">
        <v>17544</v>
      </c>
      <c r="Z58" s="7">
        <v>1920</v>
      </c>
      <c r="AA58" s="7">
        <v>7960</v>
      </c>
      <c r="AB58" s="13"/>
    </row>
    <row r="59" spans="10:28" ht="16.5" customHeight="1" x14ac:dyDescent="0.3">
      <c r="J59" s="2">
        <v>55</v>
      </c>
      <c r="K59" s="41" t="s">
        <v>28</v>
      </c>
      <c r="L59" s="41" t="s">
        <v>44</v>
      </c>
      <c r="M59" s="41" t="s">
        <v>34</v>
      </c>
      <c r="N59" s="41" t="s">
        <v>33</v>
      </c>
      <c r="O59" s="41" t="s">
        <v>34</v>
      </c>
      <c r="Q59" s="17">
        <f t="shared" si="10"/>
        <v>3</v>
      </c>
      <c r="R59" s="17">
        <f t="shared" si="11"/>
        <v>15</v>
      </c>
      <c r="S59" s="17">
        <f t="shared" si="12"/>
        <v>9</v>
      </c>
      <c r="T59" s="17">
        <f t="shared" si="13"/>
        <v>8</v>
      </c>
      <c r="U59" s="17">
        <f t="shared" si="14"/>
        <v>9</v>
      </c>
      <c r="W59" s="7">
        <v>8649</v>
      </c>
      <c r="X59" s="7">
        <v>5979</v>
      </c>
      <c r="Y59" s="7">
        <v>25096</v>
      </c>
      <c r="Z59" s="7">
        <v>6395</v>
      </c>
      <c r="AA59" s="7">
        <v>23728</v>
      </c>
      <c r="AB59" s="13"/>
    </row>
    <row r="60" spans="10:28" ht="16.5" customHeight="1" x14ac:dyDescent="0.3">
      <c r="J60" s="2">
        <v>56</v>
      </c>
      <c r="K60" s="41" t="s">
        <v>33</v>
      </c>
      <c r="L60" s="41" t="s">
        <v>32</v>
      </c>
      <c r="M60" s="41" t="s">
        <v>50</v>
      </c>
      <c r="N60" s="41" t="s">
        <v>48</v>
      </c>
      <c r="O60" s="41" t="s">
        <v>29</v>
      </c>
      <c r="Q60" s="17">
        <f t="shared" si="10"/>
        <v>8</v>
      </c>
      <c r="R60" s="17">
        <f t="shared" si="11"/>
        <v>7</v>
      </c>
      <c r="S60" s="17">
        <f t="shared" si="12"/>
        <v>18</v>
      </c>
      <c r="T60" s="17">
        <f t="shared" si="13"/>
        <v>17</v>
      </c>
      <c r="U60" s="17">
        <f t="shared" si="14"/>
        <v>4</v>
      </c>
      <c r="W60" s="7">
        <v>25886</v>
      </c>
      <c r="X60" s="7">
        <v>19932</v>
      </c>
      <c r="Y60" s="7">
        <v>28205</v>
      </c>
      <c r="Z60" s="7">
        <v>6395</v>
      </c>
      <c r="AA60" s="7">
        <v>8078</v>
      </c>
      <c r="AB60" s="13"/>
    </row>
    <row r="61" spans="10:28" ht="15.6" customHeight="1" x14ac:dyDescent="0.3">
      <c r="J61" s="2">
        <v>57</v>
      </c>
      <c r="K61" s="41" t="s">
        <v>31</v>
      </c>
      <c r="L61" s="41" t="s">
        <v>34</v>
      </c>
      <c r="M61" s="41" t="s">
        <v>33</v>
      </c>
      <c r="N61" s="41" t="s">
        <v>33</v>
      </c>
      <c r="O61" s="41" t="s">
        <v>32</v>
      </c>
      <c r="Q61" s="17">
        <f t="shared" si="10"/>
        <v>6</v>
      </c>
      <c r="R61" s="17">
        <f t="shared" si="11"/>
        <v>9</v>
      </c>
      <c r="S61" s="17">
        <f t="shared" si="12"/>
        <v>8</v>
      </c>
      <c r="T61" s="17">
        <f t="shared" si="13"/>
        <v>8</v>
      </c>
      <c r="U61" s="17">
        <f t="shared" si="14"/>
        <v>7</v>
      </c>
      <c r="W61" s="7">
        <v>8649</v>
      </c>
      <c r="X61" s="7">
        <v>19932</v>
      </c>
      <c r="Y61" s="7">
        <v>10816</v>
      </c>
      <c r="Z61" s="7">
        <v>7676</v>
      </c>
      <c r="AA61" s="7">
        <v>18835</v>
      </c>
      <c r="AB61" s="13"/>
    </row>
    <row r="62" spans="10:28" ht="15.6" customHeight="1" x14ac:dyDescent="0.3">
      <c r="J62" s="2">
        <v>58</v>
      </c>
      <c r="K62" s="41" t="s">
        <v>34</v>
      </c>
      <c r="L62" s="41" t="s">
        <v>31</v>
      </c>
      <c r="M62" s="41" t="s">
        <v>26</v>
      </c>
      <c r="N62" s="41" t="s">
        <v>35</v>
      </c>
      <c r="O62" s="41" t="s">
        <v>35</v>
      </c>
      <c r="Q62" s="17">
        <f t="shared" si="10"/>
        <v>9</v>
      </c>
      <c r="R62" s="17">
        <f t="shared" si="11"/>
        <v>6</v>
      </c>
      <c r="S62" s="17">
        <f t="shared" si="12"/>
        <v>2</v>
      </c>
      <c r="T62" s="17">
        <f t="shared" si="13"/>
        <v>10</v>
      </c>
      <c r="U62" s="17">
        <f t="shared" si="14"/>
        <v>10</v>
      </c>
      <c r="W62" s="7">
        <v>8649</v>
      </c>
      <c r="X62" s="7">
        <v>36549</v>
      </c>
      <c r="Y62" s="7">
        <v>8061</v>
      </c>
      <c r="Z62" s="7">
        <v>2302</v>
      </c>
      <c r="AA62" s="7">
        <v>15264</v>
      </c>
      <c r="AB62" s="13"/>
    </row>
    <row r="63" spans="10:28" ht="16.5" customHeight="1" x14ac:dyDescent="0.3">
      <c r="J63" s="2">
        <v>59</v>
      </c>
      <c r="K63" s="41" t="s">
        <v>29</v>
      </c>
      <c r="L63" s="41" t="s">
        <v>44</v>
      </c>
      <c r="M63" s="41" t="s">
        <v>34</v>
      </c>
      <c r="N63" s="41" t="s">
        <v>26</v>
      </c>
      <c r="O63" s="41" t="s">
        <v>35</v>
      </c>
      <c r="Q63" s="17">
        <f t="shared" si="10"/>
        <v>4</v>
      </c>
      <c r="R63" s="17">
        <f t="shared" si="11"/>
        <v>15</v>
      </c>
      <c r="S63" s="17">
        <f t="shared" si="12"/>
        <v>9</v>
      </c>
      <c r="T63" s="17">
        <f t="shared" si="13"/>
        <v>2</v>
      </c>
      <c r="U63" s="17">
        <f t="shared" si="14"/>
        <v>10</v>
      </c>
      <c r="W63" s="7">
        <v>11666</v>
      </c>
      <c r="X63" s="7">
        <v>6103</v>
      </c>
      <c r="Y63" s="7">
        <v>9231</v>
      </c>
      <c r="Z63" s="7">
        <v>2302</v>
      </c>
      <c r="AA63" s="7">
        <v>25869</v>
      </c>
      <c r="AB63" s="13"/>
    </row>
    <row r="64" spans="10:28" ht="16.5" customHeight="1" x14ac:dyDescent="0.3">
      <c r="J64" s="2">
        <v>60</v>
      </c>
      <c r="K64" s="41" t="s">
        <v>30</v>
      </c>
      <c r="L64" s="41" t="s">
        <v>28</v>
      </c>
      <c r="M64" s="41" t="s">
        <v>33</v>
      </c>
      <c r="N64" s="41" t="s">
        <v>46</v>
      </c>
      <c r="O64" s="41" t="s">
        <v>34</v>
      </c>
      <c r="Q64" s="17">
        <f t="shared" si="10"/>
        <v>5</v>
      </c>
      <c r="R64" s="17">
        <f t="shared" si="11"/>
        <v>3</v>
      </c>
      <c r="S64" s="17">
        <f t="shared" si="12"/>
        <v>8</v>
      </c>
      <c r="T64" s="17">
        <f t="shared" si="13"/>
        <v>16</v>
      </c>
      <c r="U64" s="17">
        <f t="shared" si="14"/>
        <v>9</v>
      </c>
      <c r="W64" s="7">
        <v>3928</v>
      </c>
      <c r="X64" s="7">
        <v>6414</v>
      </c>
      <c r="Y64" s="7">
        <v>8060</v>
      </c>
      <c r="Z64" s="7">
        <v>3931</v>
      </c>
      <c r="AA64" s="7">
        <v>23976</v>
      </c>
      <c r="AB64" s="13"/>
    </row>
    <row r="65" spans="10:28" ht="16.5" customHeight="1" x14ac:dyDescent="0.3">
      <c r="J65" s="2">
        <v>61</v>
      </c>
      <c r="K65" s="41" t="s">
        <v>26</v>
      </c>
      <c r="L65" s="41" t="s">
        <v>32</v>
      </c>
      <c r="M65" s="41" t="s">
        <v>31</v>
      </c>
      <c r="N65" s="41" t="s">
        <v>46</v>
      </c>
      <c r="O65" s="41" t="s">
        <v>32</v>
      </c>
      <c r="Q65" s="17">
        <f t="shared" si="10"/>
        <v>2</v>
      </c>
      <c r="R65" s="17">
        <f t="shared" si="11"/>
        <v>7</v>
      </c>
      <c r="S65" s="17">
        <f t="shared" si="12"/>
        <v>6</v>
      </c>
      <c r="T65" s="17">
        <f t="shared" si="13"/>
        <v>16</v>
      </c>
      <c r="U65" s="17">
        <f t="shared" si="14"/>
        <v>7</v>
      </c>
      <c r="W65" s="7">
        <v>2718</v>
      </c>
      <c r="X65" s="7">
        <v>2619</v>
      </c>
      <c r="Y65" s="7">
        <v>6717</v>
      </c>
      <c r="Z65" s="7">
        <v>6395</v>
      </c>
      <c r="AA65" s="7">
        <v>8032</v>
      </c>
      <c r="AB65" s="13"/>
    </row>
    <row r="66" spans="10:28" ht="16.5" customHeight="1" x14ac:dyDescent="0.3">
      <c r="J66" s="2">
        <v>62</v>
      </c>
      <c r="K66" s="41" t="s">
        <v>32</v>
      </c>
      <c r="L66" s="41" t="s">
        <v>32</v>
      </c>
      <c r="M66" s="41" t="s">
        <v>50</v>
      </c>
      <c r="N66" s="41" t="s">
        <v>31</v>
      </c>
      <c r="O66" s="41" t="s">
        <v>35</v>
      </c>
      <c r="Q66" s="17">
        <f t="shared" si="10"/>
        <v>7</v>
      </c>
      <c r="R66" s="17">
        <f t="shared" si="11"/>
        <v>7</v>
      </c>
      <c r="S66" s="17">
        <f t="shared" si="12"/>
        <v>18</v>
      </c>
      <c r="T66" s="17">
        <f t="shared" si="13"/>
        <v>6</v>
      </c>
      <c r="U66" s="17">
        <f t="shared" si="14"/>
        <v>10</v>
      </c>
      <c r="W66" s="7">
        <v>2161</v>
      </c>
      <c r="X66" s="7">
        <v>2547</v>
      </c>
      <c r="Y66" s="7">
        <v>6717</v>
      </c>
      <c r="Z66" s="7">
        <v>2579</v>
      </c>
      <c r="AA66" s="7">
        <v>7960</v>
      </c>
      <c r="AB66" s="13"/>
    </row>
    <row r="67" spans="10:28" ht="16.5" customHeight="1" x14ac:dyDescent="0.3">
      <c r="J67" s="2">
        <v>63</v>
      </c>
      <c r="K67" s="41" t="s">
        <v>32</v>
      </c>
      <c r="L67" s="41" t="s">
        <v>42</v>
      </c>
      <c r="M67" s="41" t="s">
        <v>40</v>
      </c>
      <c r="N67" s="41" t="s">
        <v>50</v>
      </c>
      <c r="O67" s="41" t="s">
        <v>33</v>
      </c>
      <c r="Q67" s="17">
        <f t="shared" si="10"/>
        <v>7</v>
      </c>
      <c r="R67" s="17">
        <f t="shared" si="11"/>
        <v>14</v>
      </c>
      <c r="S67" s="17">
        <f t="shared" si="12"/>
        <v>13</v>
      </c>
      <c r="T67" s="17">
        <f t="shared" si="13"/>
        <v>18</v>
      </c>
      <c r="U67" s="17">
        <f t="shared" si="14"/>
        <v>8</v>
      </c>
      <c r="W67" s="7">
        <v>7208</v>
      </c>
      <c r="X67" s="7">
        <v>5016</v>
      </c>
      <c r="Y67" s="7">
        <v>2016</v>
      </c>
      <c r="Z67" s="7">
        <v>6504</v>
      </c>
      <c r="AA67" s="7">
        <v>23879</v>
      </c>
      <c r="AB67" s="13"/>
    </row>
    <row r="68" spans="10:28" ht="16.5" customHeight="1" x14ac:dyDescent="0.3">
      <c r="J68" s="2">
        <v>64</v>
      </c>
      <c r="K68" s="41" t="s">
        <v>29</v>
      </c>
      <c r="L68" s="41" t="s">
        <v>32</v>
      </c>
      <c r="M68" s="41" t="s">
        <v>35</v>
      </c>
      <c r="N68" s="41" t="s">
        <v>31</v>
      </c>
      <c r="O68" s="41" t="s">
        <v>28</v>
      </c>
      <c r="Q68" s="17">
        <f t="shared" ref="Q68:Q99" si="15">IF(K68="","",VLOOKUP(K68,$A$4:$H$22,8,FALSE))</f>
        <v>4</v>
      </c>
      <c r="R68" s="17">
        <f t="shared" ref="R68:R99" si="16">IF(L68="","",VLOOKUP(L68,$A$4:$H$22,8,FALSE))</f>
        <v>7</v>
      </c>
      <c r="S68" s="17">
        <f t="shared" ref="S68:S99" si="17">IF(M68="","",VLOOKUP(M68,$A$4:$H$22,8,FALSE))</f>
        <v>10</v>
      </c>
      <c r="T68" s="17">
        <f t="shared" ref="T68:T99" si="18">IF(N68="","",VLOOKUP(N68,$A$4:$H$22,8,FALSE))</f>
        <v>6</v>
      </c>
      <c r="U68" s="17">
        <f t="shared" ref="U68:U99" si="19">IF(O68="","",VLOOKUP(O68,$A$4:$H$22,8,FALSE))</f>
        <v>3</v>
      </c>
      <c r="W68" s="7">
        <v>7208</v>
      </c>
      <c r="X68" s="7">
        <v>5762</v>
      </c>
      <c r="Y68" s="7">
        <v>2016</v>
      </c>
      <c r="Z68" s="7">
        <v>5042</v>
      </c>
      <c r="AA68" s="7">
        <v>8600</v>
      </c>
      <c r="AB68" s="13"/>
    </row>
    <row r="69" spans="10:28" ht="16.5" customHeight="1" x14ac:dyDescent="0.3">
      <c r="J69" s="2">
        <v>65</v>
      </c>
      <c r="K69" s="41" t="s">
        <v>33</v>
      </c>
      <c r="L69" s="41" t="s">
        <v>32</v>
      </c>
      <c r="M69" s="41" t="s">
        <v>30</v>
      </c>
      <c r="N69" s="41" t="s">
        <v>31</v>
      </c>
      <c r="O69" s="41" t="s">
        <v>34</v>
      </c>
      <c r="Q69" s="17">
        <f t="shared" si="15"/>
        <v>8</v>
      </c>
      <c r="R69" s="17">
        <f t="shared" si="16"/>
        <v>7</v>
      </c>
      <c r="S69" s="17">
        <f t="shared" si="17"/>
        <v>5</v>
      </c>
      <c r="T69" s="17">
        <f t="shared" si="18"/>
        <v>6</v>
      </c>
      <c r="U69" s="17">
        <f t="shared" si="19"/>
        <v>9</v>
      </c>
      <c r="W69" s="7">
        <v>2595</v>
      </c>
      <c r="X69" s="7">
        <v>5006</v>
      </c>
      <c r="Y69" s="7">
        <v>2417</v>
      </c>
      <c r="Z69" s="7">
        <v>8401</v>
      </c>
      <c r="AA69" s="7">
        <v>7562</v>
      </c>
      <c r="AB69" s="13"/>
    </row>
    <row r="70" spans="10:28" ht="16.5" customHeight="1" x14ac:dyDescent="0.3">
      <c r="J70" s="2">
        <v>66</v>
      </c>
      <c r="K70" s="41" t="s">
        <v>28</v>
      </c>
      <c r="L70" s="41" t="s">
        <v>34</v>
      </c>
      <c r="M70" s="41" t="s">
        <v>40</v>
      </c>
      <c r="N70" s="41" t="s">
        <v>29</v>
      </c>
      <c r="O70" s="41" t="s">
        <v>31</v>
      </c>
      <c r="Q70" s="17">
        <f t="shared" si="15"/>
        <v>3</v>
      </c>
      <c r="R70" s="17">
        <f t="shared" si="16"/>
        <v>9</v>
      </c>
      <c r="S70" s="17">
        <f t="shared" si="17"/>
        <v>13</v>
      </c>
      <c r="T70" s="17">
        <f t="shared" si="18"/>
        <v>4</v>
      </c>
      <c r="U70" s="17">
        <f t="shared" si="19"/>
        <v>6</v>
      </c>
      <c r="W70" s="7">
        <v>2595</v>
      </c>
      <c r="X70" s="7">
        <v>5798</v>
      </c>
      <c r="Y70" s="7">
        <v>2417</v>
      </c>
      <c r="Z70" s="7">
        <v>11625</v>
      </c>
      <c r="AA70" s="7">
        <v>2771</v>
      </c>
      <c r="AB70" s="13"/>
    </row>
    <row r="71" spans="10:28" ht="16.5" customHeight="1" x14ac:dyDescent="0.3">
      <c r="J71" s="2">
        <v>67</v>
      </c>
      <c r="K71" s="41" t="s">
        <v>33</v>
      </c>
      <c r="L71" s="41" t="s">
        <v>48</v>
      </c>
      <c r="M71" s="41" t="s">
        <v>30</v>
      </c>
      <c r="N71" s="41" t="s">
        <v>46</v>
      </c>
      <c r="O71" s="41" t="s">
        <v>32</v>
      </c>
      <c r="Q71" s="17">
        <f t="shared" si="15"/>
        <v>8</v>
      </c>
      <c r="R71" s="17">
        <f t="shared" si="16"/>
        <v>17</v>
      </c>
      <c r="S71" s="17">
        <f t="shared" si="17"/>
        <v>5</v>
      </c>
      <c r="T71" s="17">
        <f t="shared" si="18"/>
        <v>16</v>
      </c>
      <c r="U71" s="17">
        <f t="shared" si="19"/>
        <v>7</v>
      </c>
      <c r="W71" s="7">
        <v>2595</v>
      </c>
      <c r="X71" s="7">
        <v>7836</v>
      </c>
      <c r="Y71" s="7">
        <v>2417</v>
      </c>
      <c r="Z71" s="7">
        <v>13106</v>
      </c>
      <c r="AA71" s="7">
        <v>2390</v>
      </c>
      <c r="AB71" s="13"/>
    </row>
    <row r="72" spans="10:28" ht="16.5" customHeight="1" x14ac:dyDescent="0.3">
      <c r="J72" s="2">
        <v>68</v>
      </c>
      <c r="K72" s="41" t="s">
        <v>33</v>
      </c>
      <c r="L72" s="41" t="s">
        <v>42</v>
      </c>
      <c r="M72" s="41" t="s">
        <v>31</v>
      </c>
      <c r="N72" s="41" t="s">
        <v>31</v>
      </c>
      <c r="O72" s="41" t="s">
        <v>32</v>
      </c>
      <c r="Q72" s="17">
        <f t="shared" si="15"/>
        <v>8</v>
      </c>
      <c r="R72" s="17">
        <f t="shared" si="16"/>
        <v>14</v>
      </c>
      <c r="S72" s="17">
        <f t="shared" si="17"/>
        <v>6</v>
      </c>
      <c r="T72" s="17">
        <f t="shared" si="18"/>
        <v>6</v>
      </c>
      <c r="U72" s="17">
        <f t="shared" si="19"/>
        <v>7</v>
      </c>
      <c r="W72" s="7">
        <v>8649</v>
      </c>
      <c r="X72" s="7">
        <v>6448</v>
      </c>
      <c r="Y72" s="7">
        <v>7111</v>
      </c>
      <c r="Z72" s="7">
        <v>6395</v>
      </c>
      <c r="AA72" s="7">
        <v>2696</v>
      </c>
      <c r="AB72" s="13"/>
    </row>
    <row r="73" spans="10:28" ht="16.5" customHeight="1" x14ac:dyDescent="0.3">
      <c r="J73" s="2">
        <v>69</v>
      </c>
      <c r="K73" s="41" t="s">
        <v>29</v>
      </c>
      <c r="L73" s="41" t="s">
        <v>44</v>
      </c>
      <c r="M73" s="41" t="s">
        <v>35</v>
      </c>
      <c r="N73" s="41" t="s">
        <v>30</v>
      </c>
      <c r="O73" s="41" t="s">
        <v>32</v>
      </c>
      <c r="Q73" s="17">
        <f t="shared" si="15"/>
        <v>4</v>
      </c>
      <c r="R73" s="17">
        <f t="shared" si="16"/>
        <v>15</v>
      </c>
      <c r="S73" s="17">
        <f t="shared" si="17"/>
        <v>10</v>
      </c>
      <c r="T73" s="17">
        <f t="shared" si="18"/>
        <v>5</v>
      </c>
      <c r="U73" s="17">
        <f t="shared" si="19"/>
        <v>7</v>
      </c>
      <c r="W73" s="7">
        <v>7208</v>
      </c>
      <c r="X73" s="7">
        <v>10154</v>
      </c>
      <c r="Y73" s="7">
        <v>20138</v>
      </c>
      <c r="Z73" s="7">
        <v>23175</v>
      </c>
      <c r="AA73" s="7">
        <v>2138</v>
      </c>
      <c r="AB73" s="13"/>
    </row>
    <row r="74" spans="10:28" ht="16.5" customHeight="1" x14ac:dyDescent="0.3">
      <c r="J74" s="2">
        <v>70</v>
      </c>
      <c r="K74" s="41" t="s">
        <v>32</v>
      </c>
      <c r="L74" s="41" t="s">
        <v>33</v>
      </c>
      <c r="M74" s="41" t="s">
        <v>35</v>
      </c>
      <c r="N74" s="41" t="s">
        <v>33</v>
      </c>
      <c r="O74" s="41" t="s">
        <v>33</v>
      </c>
      <c r="Q74" s="17">
        <f t="shared" si="15"/>
        <v>7</v>
      </c>
      <c r="R74" s="17">
        <f t="shared" si="16"/>
        <v>8</v>
      </c>
      <c r="S74" s="17">
        <f t="shared" si="17"/>
        <v>10</v>
      </c>
      <c r="T74" s="17">
        <f t="shared" si="18"/>
        <v>8</v>
      </c>
      <c r="U74" s="17">
        <f t="shared" si="19"/>
        <v>8</v>
      </c>
      <c r="W74" s="7">
        <v>7208</v>
      </c>
      <c r="X74" s="7">
        <v>7863</v>
      </c>
      <c r="Y74" s="7">
        <v>19596</v>
      </c>
      <c r="Z74" s="7">
        <v>7676</v>
      </c>
      <c r="AA74" s="7">
        <v>2014</v>
      </c>
      <c r="AB74" s="13"/>
    </row>
    <row r="75" spans="10:28" ht="16.5" customHeight="1" x14ac:dyDescent="0.3">
      <c r="J75" s="2">
        <v>71</v>
      </c>
      <c r="K75" s="41" t="s">
        <v>34</v>
      </c>
      <c r="L75" s="41" t="s">
        <v>38</v>
      </c>
      <c r="M75" s="41" t="s">
        <v>31</v>
      </c>
      <c r="N75" s="41" t="s">
        <v>28</v>
      </c>
      <c r="O75" s="41" t="s">
        <v>33</v>
      </c>
      <c r="Q75" s="17">
        <f t="shared" si="15"/>
        <v>9</v>
      </c>
      <c r="R75" s="17">
        <f t="shared" si="16"/>
        <v>12</v>
      </c>
      <c r="S75" s="17">
        <f t="shared" si="17"/>
        <v>6</v>
      </c>
      <c r="T75" s="17">
        <f t="shared" si="18"/>
        <v>3</v>
      </c>
      <c r="U75" s="17">
        <f t="shared" si="19"/>
        <v>8</v>
      </c>
      <c r="W75" s="7">
        <v>7208</v>
      </c>
      <c r="X75" s="7">
        <v>23853</v>
      </c>
      <c r="Y75" s="7">
        <v>24441</v>
      </c>
      <c r="Z75" s="7">
        <v>7676</v>
      </c>
      <c r="AA75" s="7">
        <v>2304</v>
      </c>
      <c r="AB75" s="13"/>
    </row>
    <row r="76" spans="10:28" ht="16.5" customHeight="1" x14ac:dyDescent="0.3">
      <c r="J76" s="2">
        <v>72</v>
      </c>
      <c r="K76" s="41" t="s">
        <v>29</v>
      </c>
      <c r="L76" s="41" t="s">
        <v>32</v>
      </c>
      <c r="M76" s="41" t="s">
        <v>35</v>
      </c>
      <c r="N76" s="41" t="s">
        <v>34</v>
      </c>
      <c r="O76" s="41" t="s">
        <v>33</v>
      </c>
      <c r="Q76" s="17">
        <f t="shared" si="15"/>
        <v>4</v>
      </c>
      <c r="R76" s="17">
        <f t="shared" si="16"/>
        <v>7</v>
      </c>
      <c r="S76" s="17">
        <f t="shared" si="17"/>
        <v>10</v>
      </c>
      <c r="T76" s="17">
        <f t="shared" si="18"/>
        <v>9</v>
      </c>
      <c r="U76" s="17">
        <f t="shared" si="19"/>
        <v>8</v>
      </c>
      <c r="W76" s="7">
        <v>2595</v>
      </c>
      <c r="X76" s="7">
        <v>20958</v>
      </c>
      <c r="Y76" s="7">
        <v>6565</v>
      </c>
      <c r="Z76" s="7">
        <v>19799</v>
      </c>
      <c r="AA76" s="7">
        <v>2567</v>
      </c>
      <c r="AB76" s="13"/>
    </row>
    <row r="77" spans="10:28" ht="16.5" customHeight="1" x14ac:dyDescent="0.3">
      <c r="J77" s="2">
        <v>73</v>
      </c>
      <c r="K77" s="41" t="s">
        <v>32</v>
      </c>
      <c r="L77" s="41" t="s">
        <v>28</v>
      </c>
      <c r="M77" s="41" t="s">
        <v>36</v>
      </c>
      <c r="N77" s="41" t="s">
        <v>31</v>
      </c>
      <c r="O77" s="41" t="s">
        <v>30</v>
      </c>
      <c r="Q77" s="17">
        <f t="shared" si="15"/>
        <v>7</v>
      </c>
      <c r="R77" s="17">
        <f t="shared" si="16"/>
        <v>3</v>
      </c>
      <c r="S77" s="17">
        <f t="shared" si="17"/>
        <v>11</v>
      </c>
      <c r="T77" s="17">
        <f t="shared" si="18"/>
        <v>6</v>
      </c>
      <c r="U77" s="17">
        <f t="shared" si="19"/>
        <v>5</v>
      </c>
      <c r="W77" s="7">
        <v>2595</v>
      </c>
      <c r="X77" s="7">
        <v>26048</v>
      </c>
      <c r="Y77" s="7">
        <v>2016</v>
      </c>
      <c r="Z77" s="7">
        <v>5072</v>
      </c>
      <c r="AA77" s="7">
        <v>2395</v>
      </c>
      <c r="AB77" s="13"/>
    </row>
    <row r="78" spans="10:28" ht="16.5" customHeight="1" x14ac:dyDescent="0.3">
      <c r="J78" s="2">
        <v>74</v>
      </c>
      <c r="K78" s="41" t="s">
        <v>33</v>
      </c>
      <c r="L78" s="41" t="s">
        <v>31</v>
      </c>
      <c r="M78" s="41" t="s">
        <v>30</v>
      </c>
      <c r="N78" s="41" t="s">
        <v>35</v>
      </c>
      <c r="O78" s="41" t="s">
        <v>33</v>
      </c>
      <c r="Q78" s="17">
        <f t="shared" si="15"/>
        <v>8</v>
      </c>
      <c r="R78" s="17">
        <f t="shared" si="16"/>
        <v>6</v>
      </c>
      <c r="S78" s="17">
        <f t="shared" si="17"/>
        <v>5</v>
      </c>
      <c r="T78" s="17">
        <f t="shared" si="18"/>
        <v>10</v>
      </c>
      <c r="U78" s="17">
        <f t="shared" si="19"/>
        <v>8</v>
      </c>
      <c r="W78" s="7">
        <v>2595</v>
      </c>
      <c r="X78" s="7">
        <v>8951</v>
      </c>
      <c r="Y78" s="7">
        <v>2016</v>
      </c>
      <c r="Z78" s="7">
        <v>5982</v>
      </c>
      <c r="AA78" s="7">
        <v>2390</v>
      </c>
      <c r="AB78" s="13"/>
    </row>
    <row r="79" spans="10:28" ht="16.5" customHeight="1" x14ac:dyDescent="0.3">
      <c r="J79" s="2">
        <v>75</v>
      </c>
      <c r="K79" s="41" t="s">
        <v>33</v>
      </c>
      <c r="L79" s="41" t="s">
        <v>30</v>
      </c>
      <c r="M79" s="41" t="s">
        <v>30</v>
      </c>
      <c r="N79" s="41" t="s">
        <v>31</v>
      </c>
      <c r="O79" s="41" t="s">
        <v>33</v>
      </c>
      <c r="Q79" s="17">
        <f t="shared" si="15"/>
        <v>8</v>
      </c>
      <c r="R79" s="17">
        <f t="shared" si="16"/>
        <v>5</v>
      </c>
      <c r="S79" s="17">
        <f t="shared" si="17"/>
        <v>5</v>
      </c>
      <c r="T79" s="17">
        <f t="shared" si="18"/>
        <v>6</v>
      </c>
      <c r="U79" s="17">
        <f t="shared" si="19"/>
        <v>8</v>
      </c>
      <c r="W79" s="7">
        <v>8649</v>
      </c>
      <c r="X79" s="7">
        <v>9916</v>
      </c>
      <c r="Y79" s="7">
        <v>2025</v>
      </c>
      <c r="Z79" s="7">
        <v>3488</v>
      </c>
      <c r="AA79" s="7">
        <v>3910</v>
      </c>
      <c r="AB79" s="13"/>
    </row>
    <row r="80" spans="10:28" ht="15.6" customHeight="1" x14ac:dyDescent="0.3">
      <c r="J80" s="2">
        <v>76</v>
      </c>
      <c r="K80" s="41" t="s">
        <v>29</v>
      </c>
      <c r="L80" s="41" t="s">
        <v>50</v>
      </c>
      <c r="M80" s="41" t="s">
        <v>40</v>
      </c>
      <c r="N80" s="41" t="s">
        <v>31</v>
      </c>
      <c r="O80" s="41" t="s">
        <v>30</v>
      </c>
      <c r="Q80" s="17">
        <f t="shared" si="15"/>
        <v>4</v>
      </c>
      <c r="R80" s="17">
        <f t="shared" si="16"/>
        <v>18</v>
      </c>
      <c r="S80" s="17">
        <f t="shared" si="17"/>
        <v>13</v>
      </c>
      <c r="T80" s="17">
        <f t="shared" si="18"/>
        <v>6</v>
      </c>
      <c r="U80" s="17">
        <f t="shared" si="19"/>
        <v>5</v>
      </c>
      <c r="W80" s="7">
        <v>8649</v>
      </c>
      <c r="X80" s="7">
        <v>7517</v>
      </c>
      <c r="Y80" s="7">
        <v>6755</v>
      </c>
      <c r="Z80" s="7">
        <v>3931</v>
      </c>
      <c r="AA80" s="7">
        <v>6611</v>
      </c>
      <c r="AB80" s="13"/>
    </row>
    <row r="81" spans="10:28" ht="15.6" customHeight="1" x14ac:dyDescent="0.3">
      <c r="J81" s="2">
        <v>77</v>
      </c>
      <c r="K81" s="41" t="s">
        <v>28</v>
      </c>
      <c r="L81" s="41" t="s">
        <v>29</v>
      </c>
      <c r="M81" s="41" t="s">
        <v>50</v>
      </c>
      <c r="N81" s="41" t="s">
        <v>42</v>
      </c>
      <c r="O81" s="41" t="s">
        <v>34</v>
      </c>
      <c r="Q81" s="17">
        <f t="shared" si="15"/>
        <v>3</v>
      </c>
      <c r="R81" s="17">
        <f t="shared" si="16"/>
        <v>4</v>
      </c>
      <c r="S81" s="17">
        <f t="shared" si="17"/>
        <v>18</v>
      </c>
      <c r="T81" s="17">
        <f t="shared" si="18"/>
        <v>14</v>
      </c>
      <c r="U81" s="17">
        <f t="shared" si="19"/>
        <v>9</v>
      </c>
      <c r="W81" s="7">
        <v>8649</v>
      </c>
      <c r="X81" s="7">
        <v>2531</v>
      </c>
      <c r="Y81" s="7">
        <v>7330</v>
      </c>
      <c r="Z81" s="7">
        <v>2941</v>
      </c>
      <c r="AA81" s="7">
        <v>5274</v>
      </c>
      <c r="AB81" s="13"/>
    </row>
    <row r="82" spans="10:28" ht="15.6" customHeight="1" x14ac:dyDescent="0.3">
      <c r="J82" s="2">
        <v>78</v>
      </c>
      <c r="K82" s="41" t="s">
        <v>33</v>
      </c>
      <c r="L82" s="41" t="s">
        <v>44</v>
      </c>
      <c r="M82" s="41" t="s">
        <v>44</v>
      </c>
      <c r="N82" s="41" t="s">
        <v>46</v>
      </c>
      <c r="O82" s="41" t="s">
        <v>34</v>
      </c>
      <c r="Q82" s="17">
        <f t="shared" si="15"/>
        <v>8</v>
      </c>
      <c r="R82" s="17">
        <f t="shared" si="16"/>
        <v>15</v>
      </c>
      <c r="S82" s="17">
        <f t="shared" si="17"/>
        <v>15</v>
      </c>
      <c r="T82" s="17">
        <f t="shared" si="18"/>
        <v>16</v>
      </c>
      <c r="U82" s="17">
        <f t="shared" si="19"/>
        <v>9</v>
      </c>
      <c r="W82" s="7">
        <v>8649</v>
      </c>
      <c r="X82" s="7">
        <v>7118</v>
      </c>
      <c r="Y82" s="7">
        <v>20138</v>
      </c>
      <c r="Z82" s="7">
        <v>5328</v>
      </c>
      <c r="AA82" s="7">
        <v>16300</v>
      </c>
      <c r="AB82" s="13"/>
    </row>
    <row r="83" spans="10:28" ht="15.6" customHeight="1" x14ac:dyDescent="0.3">
      <c r="J83" s="2">
        <v>79</v>
      </c>
      <c r="K83" s="41" t="s">
        <v>29</v>
      </c>
      <c r="L83" s="41" t="s">
        <v>42</v>
      </c>
      <c r="M83" s="41" t="s">
        <v>35</v>
      </c>
      <c r="N83" s="41" t="s">
        <v>42</v>
      </c>
      <c r="O83" s="41" t="s">
        <v>34</v>
      </c>
      <c r="Q83" s="17">
        <f t="shared" si="15"/>
        <v>4</v>
      </c>
      <c r="R83" s="17">
        <f t="shared" si="16"/>
        <v>14</v>
      </c>
      <c r="S83" s="17">
        <f t="shared" si="17"/>
        <v>10</v>
      </c>
      <c r="T83" s="17">
        <f t="shared" si="18"/>
        <v>14</v>
      </c>
      <c r="U83" s="17">
        <f t="shared" si="19"/>
        <v>9</v>
      </c>
      <c r="W83" s="7">
        <v>8649</v>
      </c>
      <c r="X83" s="7">
        <v>5451</v>
      </c>
      <c r="Y83" s="7">
        <v>6859</v>
      </c>
      <c r="Z83" s="7">
        <v>8927</v>
      </c>
      <c r="AA83" s="7">
        <v>16115</v>
      </c>
      <c r="AB83" s="13"/>
    </row>
    <row r="84" spans="10:28" ht="15.6" customHeight="1" x14ac:dyDescent="0.3">
      <c r="J84" s="2">
        <v>80</v>
      </c>
      <c r="K84" s="41" t="s">
        <v>33</v>
      </c>
      <c r="L84" s="41" t="s">
        <v>42</v>
      </c>
      <c r="M84" s="41" t="s">
        <v>35</v>
      </c>
      <c r="N84" s="41" t="s">
        <v>31</v>
      </c>
      <c r="O84" s="41" t="s">
        <v>35</v>
      </c>
      <c r="Q84" s="17">
        <f t="shared" si="15"/>
        <v>8</v>
      </c>
      <c r="R84" s="17">
        <f t="shared" si="16"/>
        <v>14</v>
      </c>
      <c r="S84" s="17">
        <f t="shared" si="17"/>
        <v>10</v>
      </c>
      <c r="T84" s="17">
        <f t="shared" si="18"/>
        <v>6</v>
      </c>
      <c r="U84" s="17">
        <f t="shared" si="19"/>
        <v>10</v>
      </c>
      <c r="W84" s="7">
        <v>24429</v>
      </c>
      <c r="X84" s="7">
        <v>60063</v>
      </c>
      <c r="Y84" s="7">
        <v>8060</v>
      </c>
      <c r="Z84" s="7">
        <v>6243</v>
      </c>
      <c r="AA84" s="7">
        <v>11217</v>
      </c>
      <c r="AB84" s="13"/>
    </row>
    <row r="85" spans="10:28" ht="15.6" customHeight="1" x14ac:dyDescent="0.3">
      <c r="J85" s="2">
        <v>81</v>
      </c>
      <c r="K85" s="41" t="s">
        <v>31</v>
      </c>
      <c r="L85" s="41" t="s">
        <v>35</v>
      </c>
      <c r="M85" s="41" t="s">
        <v>40</v>
      </c>
      <c r="N85" s="41" t="s">
        <v>42</v>
      </c>
      <c r="O85" s="41" t="s">
        <v>32</v>
      </c>
      <c r="Q85" s="17">
        <f t="shared" si="15"/>
        <v>6</v>
      </c>
      <c r="R85" s="17">
        <f t="shared" si="16"/>
        <v>10</v>
      </c>
      <c r="S85" s="17">
        <f t="shared" si="17"/>
        <v>13</v>
      </c>
      <c r="T85" s="17">
        <f t="shared" si="18"/>
        <v>14</v>
      </c>
      <c r="U85" s="17">
        <f t="shared" si="19"/>
        <v>7</v>
      </c>
      <c r="W85" s="7">
        <v>20713</v>
      </c>
      <c r="X85" s="7">
        <v>35273</v>
      </c>
      <c r="Y85" s="7">
        <v>2422</v>
      </c>
      <c r="Z85" s="7">
        <v>5328</v>
      </c>
      <c r="AA85" s="7">
        <v>10988</v>
      </c>
      <c r="AB85" s="13"/>
    </row>
    <row r="86" spans="10:28" ht="15.6" customHeight="1" x14ac:dyDescent="0.3">
      <c r="J86" s="2">
        <v>82</v>
      </c>
      <c r="K86" s="41" t="s">
        <v>33</v>
      </c>
      <c r="L86" s="41" t="s">
        <v>33</v>
      </c>
      <c r="M86" s="41" t="s">
        <v>48</v>
      </c>
      <c r="N86" s="41" t="s">
        <v>34</v>
      </c>
      <c r="O86" s="41" t="s">
        <v>33</v>
      </c>
      <c r="Q86" s="17">
        <f t="shared" si="15"/>
        <v>8</v>
      </c>
      <c r="R86" s="17">
        <f t="shared" si="16"/>
        <v>8</v>
      </c>
      <c r="S86" s="17">
        <f t="shared" si="17"/>
        <v>17</v>
      </c>
      <c r="T86" s="17">
        <f t="shared" si="18"/>
        <v>9</v>
      </c>
      <c r="U86" s="17">
        <f t="shared" si="19"/>
        <v>8</v>
      </c>
      <c r="W86" s="7">
        <v>19419</v>
      </c>
      <c r="X86" s="7">
        <v>10784</v>
      </c>
      <c r="Y86" s="7">
        <v>2417</v>
      </c>
      <c r="Z86" s="7">
        <v>8927</v>
      </c>
      <c r="AA86" s="7">
        <v>7960</v>
      </c>
      <c r="AB86" s="13"/>
    </row>
    <row r="87" spans="10:28" ht="15.6" customHeight="1" x14ac:dyDescent="0.3">
      <c r="J87" s="2">
        <v>83</v>
      </c>
      <c r="K87" s="41" t="s">
        <v>34</v>
      </c>
      <c r="L87" s="41" t="s">
        <v>48</v>
      </c>
      <c r="M87" s="41" t="s">
        <v>30</v>
      </c>
      <c r="N87" s="41" t="s">
        <v>48</v>
      </c>
      <c r="O87" s="41" t="s">
        <v>26</v>
      </c>
      <c r="Q87" s="17">
        <f t="shared" si="15"/>
        <v>9</v>
      </c>
      <c r="R87" s="17">
        <f t="shared" si="16"/>
        <v>17</v>
      </c>
      <c r="S87" s="17">
        <f t="shared" si="17"/>
        <v>5</v>
      </c>
      <c r="T87" s="17">
        <f t="shared" si="18"/>
        <v>17</v>
      </c>
      <c r="U87" s="17">
        <f t="shared" si="19"/>
        <v>2</v>
      </c>
      <c r="W87" s="7">
        <v>58045</v>
      </c>
      <c r="X87" s="7">
        <v>9755</v>
      </c>
      <c r="Y87" s="7">
        <v>2417</v>
      </c>
      <c r="Z87" s="7">
        <v>20816</v>
      </c>
      <c r="AA87" s="7">
        <v>12421</v>
      </c>
      <c r="AB87" s="13"/>
    </row>
    <row r="88" spans="10:28" ht="15.6" customHeight="1" x14ac:dyDescent="0.3">
      <c r="J88" s="2">
        <v>84</v>
      </c>
      <c r="K88" s="41" t="s">
        <v>31</v>
      </c>
      <c r="L88" s="41" t="s">
        <v>26</v>
      </c>
      <c r="M88" s="41" t="s">
        <v>30</v>
      </c>
      <c r="N88" s="41" t="s">
        <v>31</v>
      </c>
      <c r="O88" s="41" t="s">
        <v>29</v>
      </c>
      <c r="Q88" s="17">
        <f t="shared" si="15"/>
        <v>6</v>
      </c>
      <c r="R88" s="17">
        <f t="shared" si="16"/>
        <v>2</v>
      </c>
      <c r="S88" s="17">
        <f t="shared" si="17"/>
        <v>5</v>
      </c>
      <c r="T88" s="17">
        <f t="shared" si="18"/>
        <v>6</v>
      </c>
      <c r="U88" s="17">
        <f t="shared" si="19"/>
        <v>4</v>
      </c>
      <c r="W88" s="7">
        <v>20948</v>
      </c>
      <c r="X88" s="7">
        <v>6448</v>
      </c>
      <c r="Y88" s="7">
        <v>21533</v>
      </c>
      <c r="Z88" s="7">
        <v>17758</v>
      </c>
      <c r="AA88" s="7">
        <v>7960</v>
      </c>
      <c r="AB88" s="13"/>
    </row>
    <row r="89" spans="10:28" ht="15.6" customHeight="1" x14ac:dyDescent="0.3">
      <c r="J89" s="2">
        <v>85</v>
      </c>
      <c r="K89" s="41" t="s">
        <v>34</v>
      </c>
      <c r="L89" s="41" t="s">
        <v>46</v>
      </c>
      <c r="M89" s="41" t="s">
        <v>36</v>
      </c>
      <c r="N89" s="41" t="s">
        <v>48</v>
      </c>
      <c r="O89" s="41" t="s">
        <v>28</v>
      </c>
      <c r="Q89" s="17">
        <f t="shared" si="15"/>
        <v>9</v>
      </c>
      <c r="R89" s="17">
        <f t="shared" si="16"/>
        <v>16</v>
      </c>
      <c r="S89" s="17">
        <f t="shared" si="17"/>
        <v>11</v>
      </c>
      <c r="T89" s="17">
        <f t="shared" si="18"/>
        <v>17</v>
      </c>
      <c r="U89" s="17">
        <f t="shared" si="19"/>
        <v>3</v>
      </c>
      <c r="W89" s="7">
        <v>7208</v>
      </c>
      <c r="X89" s="7">
        <v>8120</v>
      </c>
      <c r="Y89" s="7">
        <v>8060</v>
      </c>
      <c r="Z89" s="7">
        <v>29757</v>
      </c>
      <c r="AA89" s="7">
        <v>2030</v>
      </c>
      <c r="AB89" s="13"/>
    </row>
    <row r="90" spans="10:28" ht="15.6" customHeight="1" x14ac:dyDescent="0.3">
      <c r="J90" s="2">
        <v>86</v>
      </c>
      <c r="K90" s="41" t="s">
        <v>32</v>
      </c>
      <c r="L90" s="41" t="s">
        <v>31</v>
      </c>
      <c r="M90" s="41" t="s">
        <v>35</v>
      </c>
      <c r="N90" s="41" t="s">
        <v>32</v>
      </c>
      <c r="O90" s="41" t="s">
        <v>30</v>
      </c>
      <c r="Q90" s="17">
        <f t="shared" si="15"/>
        <v>7</v>
      </c>
      <c r="R90" s="17">
        <f t="shared" si="16"/>
        <v>6</v>
      </c>
      <c r="S90" s="17">
        <f t="shared" si="17"/>
        <v>10</v>
      </c>
      <c r="T90" s="17">
        <f t="shared" si="18"/>
        <v>7</v>
      </c>
      <c r="U90" s="17">
        <f t="shared" si="19"/>
        <v>5</v>
      </c>
      <c r="W90" s="7">
        <v>8649</v>
      </c>
      <c r="X90" s="7">
        <v>7149</v>
      </c>
      <c r="Y90" s="7">
        <v>8060</v>
      </c>
      <c r="Z90" s="7">
        <v>59292</v>
      </c>
      <c r="AA90" s="7">
        <v>2052</v>
      </c>
      <c r="AB90" s="13"/>
    </row>
    <row r="91" spans="10:28" ht="15.6" customHeight="1" x14ac:dyDescent="0.3">
      <c r="J91" s="2">
        <v>87</v>
      </c>
      <c r="K91" s="41" t="s">
        <v>33</v>
      </c>
      <c r="L91" s="41" t="s">
        <v>29</v>
      </c>
      <c r="M91" s="41" t="s">
        <v>31</v>
      </c>
      <c r="N91" s="41" t="s">
        <v>34</v>
      </c>
      <c r="O91" s="41" t="s">
        <v>29</v>
      </c>
      <c r="Q91" s="17">
        <f t="shared" si="15"/>
        <v>8</v>
      </c>
      <c r="R91" s="17">
        <f t="shared" si="16"/>
        <v>4</v>
      </c>
      <c r="S91" s="17">
        <f t="shared" si="17"/>
        <v>6</v>
      </c>
      <c r="T91" s="17">
        <f t="shared" si="18"/>
        <v>9</v>
      </c>
      <c r="U91" s="17">
        <f t="shared" si="19"/>
        <v>4</v>
      </c>
      <c r="W91" s="7">
        <v>8216</v>
      </c>
      <c r="X91" s="7">
        <v>5643</v>
      </c>
      <c r="Y91" s="7">
        <v>8060</v>
      </c>
      <c r="Z91" s="7">
        <v>50702</v>
      </c>
      <c r="AA91" s="7">
        <v>1993</v>
      </c>
      <c r="AB91" s="13"/>
    </row>
    <row r="92" spans="10:28" ht="15.6" customHeight="1" x14ac:dyDescent="0.3">
      <c r="J92" s="2">
        <v>88</v>
      </c>
      <c r="K92" s="41" t="s">
        <v>29</v>
      </c>
      <c r="L92" s="41" t="s">
        <v>35</v>
      </c>
      <c r="M92" s="41" t="s">
        <v>38</v>
      </c>
      <c r="N92" s="41" t="s">
        <v>31</v>
      </c>
      <c r="O92" s="41" t="s">
        <v>29</v>
      </c>
      <c r="Q92" s="17">
        <f t="shared" si="15"/>
        <v>4</v>
      </c>
      <c r="R92" s="17">
        <f t="shared" si="16"/>
        <v>10</v>
      </c>
      <c r="S92" s="17">
        <f t="shared" si="17"/>
        <v>12</v>
      </c>
      <c r="T92" s="17">
        <f t="shared" si="18"/>
        <v>6</v>
      </c>
      <c r="U92" s="17">
        <f t="shared" si="19"/>
        <v>4</v>
      </c>
      <c r="W92" s="7">
        <v>7535</v>
      </c>
      <c r="X92" s="7">
        <v>5855</v>
      </c>
      <c r="Y92" s="7">
        <v>8060</v>
      </c>
      <c r="Z92" s="7">
        <v>30346</v>
      </c>
      <c r="AA92" s="7">
        <v>1993</v>
      </c>
      <c r="AB92" s="13"/>
    </row>
    <row r="93" spans="10:28" ht="15.6" customHeight="1" x14ac:dyDescent="0.3">
      <c r="J93" s="2">
        <v>89</v>
      </c>
      <c r="K93" s="41" t="s">
        <v>35</v>
      </c>
      <c r="L93" s="41" t="s">
        <v>50</v>
      </c>
      <c r="M93" s="41" t="s">
        <v>40</v>
      </c>
      <c r="N93" s="41" t="s">
        <v>34</v>
      </c>
      <c r="O93" s="41" t="s">
        <v>29</v>
      </c>
      <c r="Q93" s="17">
        <f t="shared" si="15"/>
        <v>10</v>
      </c>
      <c r="R93" s="17">
        <f t="shared" si="16"/>
        <v>18</v>
      </c>
      <c r="S93" s="17">
        <f t="shared" si="17"/>
        <v>13</v>
      </c>
      <c r="T93" s="17">
        <f t="shared" si="18"/>
        <v>9</v>
      </c>
      <c r="U93" s="17">
        <f t="shared" si="19"/>
        <v>4</v>
      </c>
      <c r="W93" s="7">
        <v>6953</v>
      </c>
      <c r="X93" s="7">
        <v>5404</v>
      </c>
      <c r="Y93" s="7">
        <v>18249</v>
      </c>
      <c r="Z93" s="7">
        <v>8401</v>
      </c>
      <c r="AA93" s="7">
        <v>6634</v>
      </c>
      <c r="AB93" s="13"/>
    </row>
    <row r="94" spans="10:28" ht="15.6" customHeight="1" x14ac:dyDescent="0.3">
      <c r="J94" s="2">
        <v>90</v>
      </c>
      <c r="K94" s="41" t="s">
        <v>34</v>
      </c>
      <c r="L94" s="41" t="s">
        <v>50</v>
      </c>
      <c r="M94" s="41" t="s">
        <v>29</v>
      </c>
      <c r="N94" s="41" t="s">
        <v>42</v>
      </c>
      <c r="O94" s="41" t="s">
        <v>32</v>
      </c>
      <c r="Q94" s="17">
        <f t="shared" si="15"/>
        <v>9</v>
      </c>
      <c r="R94" s="17">
        <f t="shared" si="16"/>
        <v>18</v>
      </c>
      <c r="S94" s="17">
        <f t="shared" si="17"/>
        <v>4</v>
      </c>
      <c r="T94" s="17">
        <f t="shared" si="18"/>
        <v>14</v>
      </c>
      <c r="U94" s="17">
        <f t="shared" si="19"/>
        <v>7</v>
      </c>
      <c r="W94" s="7">
        <v>6442</v>
      </c>
      <c r="X94" s="7">
        <v>19175</v>
      </c>
      <c r="Y94" s="7">
        <v>6019</v>
      </c>
      <c r="Z94" s="7">
        <v>11625</v>
      </c>
      <c r="AA94" s="7">
        <v>6634</v>
      </c>
      <c r="AB94" s="13"/>
    </row>
    <row r="95" spans="10:28" ht="15.6" customHeight="1" x14ac:dyDescent="0.3">
      <c r="J95" s="2">
        <v>91</v>
      </c>
      <c r="K95" s="41" t="s">
        <v>34</v>
      </c>
      <c r="L95" s="41" t="s">
        <v>38</v>
      </c>
      <c r="M95" s="41" t="s">
        <v>44</v>
      </c>
      <c r="N95" s="41" t="s">
        <v>29</v>
      </c>
      <c r="O95" s="41" t="s">
        <v>29</v>
      </c>
      <c r="Q95" s="17">
        <f t="shared" si="15"/>
        <v>9</v>
      </c>
      <c r="R95" s="17">
        <f t="shared" si="16"/>
        <v>12</v>
      </c>
      <c r="S95" s="17">
        <f t="shared" si="17"/>
        <v>15</v>
      </c>
      <c r="T95" s="17">
        <f t="shared" si="18"/>
        <v>4</v>
      </c>
      <c r="U95" s="17">
        <f t="shared" si="19"/>
        <v>4</v>
      </c>
      <c r="W95" s="7">
        <v>8097</v>
      </c>
      <c r="X95" s="7">
        <v>23329</v>
      </c>
      <c r="Y95" s="7">
        <v>16536</v>
      </c>
      <c r="Z95" s="7">
        <v>2302</v>
      </c>
      <c r="AA95" s="7">
        <v>6634</v>
      </c>
      <c r="AB95" s="13"/>
    </row>
    <row r="96" spans="10:28" ht="15.6" customHeight="1" x14ac:dyDescent="0.3">
      <c r="J96" s="2">
        <v>92</v>
      </c>
      <c r="K96" s="41" t="s">
        <v>34</v>
      </c>
      <c r="L96" s="41" t="s">
        <v>48</v>
      </c>
      <c r="M96" s="41" t="s">
        <v>34</v>
      </c>
      <c r="N96" s="41" t="s">
        <v>42</v>
      </c>
      <c r="O96" s="41" t="s">
        <v>30</v>
      </c>
      <c r="Q96" s="17">
        <f t="shared" si="15"/>
        <v>9</v>
      </c>
      <c r="R96" s="17">
        <f t="shared" si="16"/>
        <v>17</v>
      </c>
      <c r="S96" s="17">
        <f t="shared" si="17"/>
        <v>9</v>
      </c>
      <c r="T96" s="17">
        <f t="shared" si="18"/>
        <v>14</v>
      </c>
      <c r="U96" s="17">
        <f t="shared" si="19"/>
        <v>5</v>
      </c>
      <c r="W96" s="7">
        <v>20574</v>
      </c>
      <c r="X96" s="7">
        <v>22701</v>
      </c>
      <c r="Y96" s="7">
        <v>6747</v>
      </c>
      <c r="Z96" s="7">
        <v>1920</v>
      </c>
      <c r="AA96" s="7">
        <v>7981</v>
      </c>
      <c r="AB96" s="13"/>
    </row>
    <row r="97" spans="10:28" ht="15.6" customHeight="1" x14ac:dyDescent="0.3">
      <c r="J97" s="2">
        <v>93</v>
      </c>
      <c r="K97" s="41" t="s">
        <v>32</v>
      </c>
      <c r="L97" s="41" t="s">
        <v>31</v>
      </c>
      <c r="M97" s="41" t="s">
        <v>34</v>
      </c>
      <c r="N97" s="41" t="s">
        <v>33</v>
      </c>
      <c r="O97" s="41" t="s">
        <v>33</v>
      </c>
      <c r="Q97" s="17">
        <f t="shared" si="15"/>
        <v>7</v>
      </c>
      <c r="R97" s="17">
        <f t="shared" si="16"/>
        <v>6</v>
      </c>
      <c r="S97" s="17">
        <f t="shared" si="17"/>
        <v>9</v>
      </c>
      <c r="T97" s="17">
        <f t="shared" si="18"/>
        <v>8</v>
      </c>
      <c r="U97" s="17">
        <f t="shared" si="19"/>
        <v>8</v>
      </c>
      <c r="W97" s="7">
        <v>57071</v>
      </c>
      <c r="X97" s="7">
        <v>22661</v>
      </c>
      <c r="Y97" s="7">
        <v>2235</v>
      </c>
      <c r="Z97" s="7">
        <v>1920</v>
      </c>
      <c r="AA97" s="7">
        <v>7960</v>
      </c>
      <c r="AB97" s="13"/>
    </row>
    <row r="98" spans="10:28" ht="15.6" customHeight="1" x14ac:dyDescent="0.3">
      <c r="J98" s="2">
        <v>94</v>
      </c>
      <c r="K98" s="41" t="s">
        <v>34</v>
      </c>
      <c r="L98" s="41" t="s">
        <v>32</v>
      </c>
      <c r="M98" s="41" t="s">
        <v>48</v>
      </c>
      <c r="N98" s="41" t="s">
        <v>33</v>
      </c>
      <c r="O98" s="41" t="s">
        <v>34</v>
      </c>
      <c r="Q98" s="17">
        <f t="shared" si="15"/>
        <v>9</v>
      </c>
      <c r="R98" s="17">
        <f t="shared" si="16"/>
        <v>7</v>
      </c>
      <c r="S98" s="17">
        <f t="shared" si="17"/>
        <v>17</v>
      </c>
      <c r="T98" s="17">
        <f t="shared" si="18"/>
        <v>8</v>
      </c>
      <c r="U98" s="17">
        <f t="shared" si="19"/>
        <v>9</v>
      </c>
      <c r="W98" s="7">
        <v>58045</v>
      </c>
      <c r="X98" s="7">
        <v>8923</v>
      </c>
      <c r="Y98" s="7">
        <v>2039</v>
      </c>
      <c r="Z98" s="7">
        <v>1920</v>
      </c>
      <c r="AA98" s="7">
        <v>24203</v>
      </c>
      <c r="AB98" s="13"/>
    </row>
    <row r="99" spans="10:28" ht="15.6" customHeight="1" x14ac:dyDescent="0.3">
      <c r="J99" s="2">
        <v>95</v>
      </c>
      <c r="K99" s="41" t="s">
        <v>35</v>
      </c>
      <c r="L99" s="41" t="s">
        <v>31</v>
      </c>
      <c r="M99" s="41" t="s">
        <v>29</v>
      </c>
      <c r="N99" s="41" t="s">
        <v>46</v>
      </c>
      <c r="O99" s="41" t="s">
        <v>35</v>
      </c>
      <c r="Q99" s="17">
        <f t="shared" si="15"/>
        <v>10</v>
      </c>
      <c r="R99" s="17">
        <f t="shared" si="16"/>
        <v>6</v>
      </c>
      <c r="S99" s="17">
        <f t="shared" si="17"/>
        <v>4</v>
      </c>
      <c r="T99" s="17">
        <f t="shared" si="18"/>
        <v>16</v>
      </c>
      <c r="U99" s="17">
        <f t="shared" si="19"/>
        <v>10</v>
      </c>
      <c r="W99" s="7">
        <v>5584</v>
      </c>
      <c r="X99" s="7">
        <v>1708</v>
      </c>
      <c r="Y99" s="7">
        <v>2016</v>
      </c>
      <c r="Z99" s="7">
        <v>2302</v>
      </c>
      <c r="AA99" s="7">
        <v>7960</v>
      </c>
      <c r="AB99" s="13"/>
    </row>
    <row r="100" spans="10:28" ht="15.6" customHeight="1" x14ac:dyDescent="0.3">
      <c r="J100" s="2">
        <v>96</v>
      </c>
      <c r="K100" s="41" t="s">
        <v>32</v>
      </c>
      <c r="L100" s="41" t="s">
        <v>30</v>
      </c>
      <c r="M100" s="41" t="s">
        <v>30</v>
      </c>
      <c r="N100" s="41" t="s">
        <v>33</v>
      </c>
      <c r="O100" s="41" t="s">
        <v>30</v>
      </c>
      <c r="Q100" s="17">
        <f t="shared" ref="Q100:Q131" si="20">IF(K100="","",VLOOKUP(K100,$A$4:$H$22,8,FALSE))</f>
        <v>7</v>
      </c>
      <c r="R100" s="17">
        <f t="shared" ref="R100:R131" si="21">IF(L100="","",VLOOKUP(L100,$A$4:$H$22,8,FALSE))</f>
        <v>5</v>
      </c>
      <c r="S100" s="17">
        <f t="shared" ref="S100:S131" si="22">IF(M100="","",VLOOKUP(M100,$A$4:$H$22,8,FALSE))</f>
        <v>5</v>
      </c>
      <c r="T100" s="17">
        <f t="shared" ref="T100:T131" si="23">IF(N100="","",VLOOKUP(N100,$A$4:$H$22,8,FALSE))</f>
        <v>8</v>
      </c>
      <c r="U100" s="17">
        <f t="shared" ref="U100:U131" si="24">IF(O100="","",VLOOKUP(O100,$A$4:$H$22,8,FALSE))</f>
        <v>5</v>
      </c>
      <c r="W100" s="7">
        <v>6524</v>
      </c>
      <c r="X100" s="7">
        <v>1610</v>
      </c>
      <c r="Y100" s="7">
        <v>2016</v>
      </c>
      <c r="Z100" s="7">
        <v>2302</v>
      </c>
      <c r="AA100" s="7">
        <v>8235</v>
      </c>
      <c r="AB100" s="13"/>
    </row>
    <row r="101" spans="10:28" ht="15.6" customHeight="1" x14ac:dyDescent="0.3">
      <c r="J101" s="2">
        <v>97</v>
      </c>
      <c r="K101" s="41" t="s">
        <v>31</v>
      </c>
      <c r="L101" s="41" t="s">
        <v>29</v>
      </c>
      <c r="M101" s="41" t="s">
        <v>40</v>
      </c>
      <c r="N101" s="41" t="s">
        <v>26</v>
      </c>
      <c r="O101" s="41" t="s">
        <v>32</v>
      </c>
      <c r="Q101" s="17">
        <f t="shared" si="20"/>
        <v>6</v>
      </c>
      <c r="R101" s="17">
        <f t="shared" si="21"/>
        <v>4</v>
      </c>
      <c r="S101" s="17">
        <f t="shared" si="22"/>
        <v>13</v>
      </c>
      <c r="T101" s="17">
        <f t="shared" si="23"/>
        <v>2</v>
      </c>
      <c r="U101" s="17">
        <f t="shared" si="24"/>
        <v>7</v>
      </c>
      <c r="W101" s="7">
        <v>7555</v>
      </c>
      <c r="X101" s="7">
        <v>1610</v>
      </c>
      <c r="Y101" s="7">
        <v>8060</v>
      </c>
      <c r="Z101" s="7">
        <v>2302</v>
      </c>
      <c r="AA101" s="7">
        <v>7960</v>
      </c>
      <c r="AB101" s="13"/>
    </row>
    <row r="102" spans="10:28" ht="15.6" customHeight="1" x14ac:dyDescent="0.3">
      <c r="J102" s="2">
        <v>98</v>
      </c>
      <c r="K102" s="41" t="s">
        <v>31</v>
      </c>
      <c r="L102" s="41" t="s">
        <v>38</v>
      </c>
      <c r="M102" s="41" t="s">
        <v>31</v>
      </c>
      <c r="N102" s="41" t="s">
        <v>46</v>
      </c>
      <c r="O102" s="41" t="s">
        <v>34</v>
      </c>
      <c r="Q102" s="17">
        <f t="shared" si="20"/>
        <v>6</v>
      </c>
      <c r="R102" s="17">
        <f t="shared" si="21"/>
        <v>12</v>
      </c>
      <c r="S102" s="17">
        <f t="shared" si="22"/>
        <v>6</v>
      </c>
      <c r="T102" s="17">
        <f t="shared" si="23"/>
        <v>16</v>
      </c>
      <c r="U102" s="17">
        <f t="shared" si="24"/>
        <v>9</v>
      </c>
      <c r="W102" s="7">
        <v>7673</v>
      </c>
      <c r="X102" s="7">
        <v>6448</v>
      </c>
      <c r="Y102" s="7">
        <v>2417</v>
      </c>
      <c r="Z102" s="7">
        <v>2302</v>
      </c>
      <c r="AA102" s="7">
        <v>7960</v>
      </c>
      <c r="AB102" s="13"/>
    </row>
    <row r="103" spans="10:28" ht="15.6" customHeight="1" x14ac:dyDescent="0.3">
      <c r="J103" s="2">
        <v>99</v>
      </c>
      <c r="K103" s="41" t="s">
        <v>31</v>
      </c>
      <c r="L103" s="41" t="s">
        <v>33</v>
      </c>
      <c r="M103" s="41" t="s">
        <v>38</v>
      </c>
      <c r="N103" s="41" t="s">
        <v>46</v>
      </c>
      <c r="O103" s="41" t="s">
        <v>30</v>
      </c>
      <c r="Q103" s="17">
        <f t="shared" si="20"/>
        <v>6</v>
      </c>
      <c r="R103" s="17">
        <f t="shared" si="21"/>
        <v>8</v>
      </c>
      <c r="S103" s="17">
        <f t="shared" si="22"/>
        <v>12</v>
      </c>
      <c r="T103" s="17">
        <f t="shared" si="23"/>
        <v>16</v>
      </c>
      <c r="U103" s="17">
        <f t="shared" si="24"/>
        <v>5</v>
      </c>
      <c r="W103" s="7">
        <v>19744</v>
      </c>
      <c r="X103" s="7">
        <v>6448</v>
      </c>
      <c r="Y103" s="7">
        <v>8137</v>
      </c>
      <c r="Z103" s="7">
        <v>1920</v>
      </c>
      <c r="AA103" s="7">
        <v>24019</v>
      </c>
      <c r="AB103" s="13"/>
    </row>
    <row r="104" spans="10:28" ht="15.6" customHeight="1" x14ac:dyDescent="0.3">
      <c r="J104" s="2">
        <v>100</v>
      </c>
      <c r="K104" s="41" t="s">
        <v>32</v>
      </c>
      <c r="L104" s="41" t="s">
        <v>38</v>
      </c>
      <c r="M104" s="41" t="s">
        <v>50</v>
      </c>
      <c r="N104" s="41" t="s">
        <v>46</v>
      </c>
      <c r="O104" s="41" t="s">
        <v>32</v>
      </c>
      <c r="Q104" s="17">
        <f t="shared" si="20"/>
        <v>7</v>
      </c>
      <c r="R104" s="17">
        <f t="shared" si="21"/>
        <v>12</v>
      </c>
      <c r="S104" s="17">
        <f t="shared" si="22"/>
        <v>18</v>
      </c>
      <c r="T104" s="17">
        <f t="shared" si="23"/>
        <v>16</v>
      </c>
      <c r="U104" s="17">
        <f t="shared" si="24"/>
        <v>7</v>
      </c>
      <c r="W104" s="7">
        <v>7085</v>
      </c>
      <c r="X104" s="7">
        <v>1993</v>
      </c>
      <c r="Y104" s="7">
        <v>7363</v>
      </c>
      <c r="Z104" s="7">
        <v>6395</v>
      </c>
      <c r="AA104" s="7">
        <v>7960</v>
      </c>
      <c r="AB104" s="13"/>
    </row>
    <row r="105" spans="10:28" ht="15.6" customHeight="1" x14ac:dyDescent="0.3">
      <c r="J105" s="2">
        <v>101</v>
      </c>
      <c r="K105" s="41" t="s">
        <v>32</v>
      </c>
      <c r="L105" s="41" t="s">
        <v>31</v>
      </c>
      <c r="M105" s="41" t="s">
        <v>35</v>
      </c>
      <c r="N105" s="41" t="s">
        <v>44</v>
      </c>
      <c r="O105" s="41" t="s">
        <v>31</v>
      </c>
      <c r="Q105" s="17">
        <f t="shared" si="20"/>
        <v>7</v>
      </c>
      <c r="R105" s="17">
        <f t="shared" si="21"/>
        <v>6</v>
      </c>
      <c r="S105" s="17">
        <f t="shared" si="22"/>
        <v>10</v>
      </c>
      <c r="T105" s="17">
        <f t="shared" si="23"/>
        <v>15</v>
      </c>
      <c r="U105" s="17">
        <f t="shared" si="24"/>
        <v>6</v>
      </c>
      <c r="W105" s="7">
        <v>2161</v>
      </c>
      <c r="X105" s="7">
        <v>1993</v>
      </c>
      <c r="Y105" s="7">
        <v>8473</v>
      </c>
      <c r="Z105" s="7">
        <v>6395</v>
      </c>
      <c r="AA105" s="7">
        <v>7353</v>
      </c>
      <c r="AB105" s="13"/>
    </row>
    <row r="106" spans="10:28" ht="15.6" customHeight="1" x14ac:dyDescent="0.3">
      <c r="J106" s="2">
        <v>102</v>
      </c>
      <c r="K106" s="41" t="s">
        <v>29</v>
      </c>
      <c r="L106" s="41" t="s">
        <v>29</v>
      </c>
      <c r="M106" s="41" t="s">
        <v>34</v>
      </c>
      <c r="N106" s="41" t="s">
        <v>42</v>
      </c>
      <c r="O106" s="41" t="s">
        <v>32</v>
      </c>
      <c r="Q106" s="17">
        <f t="shared" si="20"/>
        <v>4</v>
      </c>
      <c r="R106" s="17">
        <f t="shared" si="21"/>
        <v>4</v>
      </c>
      <c r="S106" s="17">
        <f t="shared" si="22"/>
        <v>9</v>
      </c>
      <c r="T106" s="17">
        <f t="shared" si="23"/>
        <v>14</v>
      </c>
      <c r="U106" s="17">
        <f t="shared" si="24"/>
        <v>7</v>
      </c>
      <c r="W106" s="7">
        <v>2595</v>
      </c>
      <c r="X106" s="7">
        <v>2583</v>
      </c>
      <c r="Y106" s="7">
        <v>7595</v>
      </c>
      <c r="Z106" s="7">
        <v>7676</v>
      </c>
      <c r="AA106" s="7">
        <v>6634</v>
      </c>
      <c r="AB106" s="13"/>
    </row>
    <row r="107" spans="10:28" ht="15.6" customHeight="1" x14ac:dyDescent="0.3">
      <c r="J107" s="2">
        <v>103</v>
      </c>
      <c r="K107" s="41" t="s">
        <v>30</v>
      </c>
      <c r="L107" s="41" t="s">
        <v>29</v>
      </c>
      <c r="M107" s="41" t="s">
        <v>29</v>
      </c>
      <c r="N107" s="41" t="s">
        <v>44</v>
      </c>
      <c r="O107" s="41" t="s">
        <v>31</v>
      </c>
      <c r="Q107" s="17">
        <f t="shared" si="20"/>
        <v>5</v>
      </c>
      <c r="R107" s="17">
        <f t="shared" si="21"/>
        <v>4</v>
      </c>
      <c r="S107" s="17">
        <f t="shared" si="22"/>
        <v>4</v>
      </c>
      <c r="T107" s="17">
        <f t="shared" si="23"/>
        <v>15</v>
      </c>
      <c r="U107" s="17">
        <f t="shared" si="24"/>
        <v>6</v>
      </c>
      <c r="W107" s="7">
        <v>2595</v>
      </c>
      <c r="X107" s="7">
        <v>2733</v>
      </c>
      <c r="Y107" s="7">
        <v>6755</v>
      </c>
      <c r="Z107" s="7">
        <v>7679</v>
      </c>
      <c r="AA107" s="7">
        <v>6634</v>
      </c>
      <c r="AB107" s="13"/>
    </row>
    <row r="108" spans="10:28" ht="15.6" customHeight="1" x14ac:dyDescent="0.3">
      <c r="J108" s="2">
        <v>104</v>
      </c>
      <c r="K108" s="41" t="s">
        <v>30</v>
      </c>
      <c r="L108" s="41" t="s">
        <v>29</v>
      </c>
      <c r="M108" s="41" t="s">
        <v>50</v>
      </c>
      <c r="N108" s="41" t="s">
        <v>33</v>
      </c>
      <c r="O108" s="41" t="s">
        <v>29</v>
      </c>
      <c r="Q108" s="17">
        <f t="shared" si="20"/>
        <v>5</v>
      </c>
      <c r="R108" s="17">
        <f t="shared" si="21"/>
        <v>4</v>
      </c>
      <c r="S108" s="17">
        <f t="shared" si="22"/>
        <v>18</v>
      </c>
      <c r="T108" s="17">
        <f t="shared" si="23"/>
        <v>8</v>
      </c>
      <c r="U108" s="17">
        <f t="shared" si="24"/>
        <v>4</v>
      </c>
      <c r="W108" s="7">
        <v>8649</v>
      </c>
      <c r="X108" s="7">
        <v>6414</v>
      </c>
      <c r="Y108" s="7">
        <v>2576</v>
      </c>
      <c r="Z108" s="7">
        <v>8221</v>
      </c>
      <c r="AA108" s="7">
        <v>6634</v>
      </c>
      <c r="AB108" s="13"/>
    </row>
    <row r="109" spans="10:28" ht="15.6" customHeight="1" x14ac:dyDescent="0.3">
      <c r="J109" s="2">
        <v>105</v>
      </c>
      <c r="K109" s="41" t="s">
        <v>32</v>
      </c>
      <c r="L109" s="41" t="s">
        <v>31</v>
      </c>
      <c r="M109" s="41" t="s">
        <v>33</v>
      </c>
      <c r="N109" s="41" t="s">
        <v>32</v>
      </c>
      <c r="O109" s="41" t="s">
        <v>30</v>
      </c>
      <c r="Q109" s="17">
        <f t="shared" si="20"/>
        <v>7</v>
      </c>
      <c r="R109" s="17">
        <f t="shared" si="21"/>
        <v>6</v>
      </c>
      <c r="S109" s="17">
        <f t="shared" si="22"/>
        <v>8</v>
      </c>
      <c r="T109" s="17">
        <f t="shared" si="23"/>
        <v>7</v>
      </c>
      <c r="U109" s="17">
        <f t="shared" si="24"/>
        <v>5</v>
      </c>
      <c r="W109" s="7">
        <v>8649</v>
      </c>
      <c r="X109" s="7">
        <v>6564</v>
      </c>
      <c r="Y109" s="7">
        <v>6877</v>
      </c>
      <c r="Z109" s="7">
        <v>9875</v>
      </c>
      <c r="AA109" s="7">
        <v>7960</v>
      </c>
      <c r="AB109" s="13"/>
    </row>
    <row r="110" spans="10:28" ht="15.6" customHeight="1" x14ac:dyDescent="0.3">
      <c r="J110" s="2">
        <v>106</v>
      </c>
      <c r="K110" s="41" t="s">
        <v>33</v>
      </c>
      <c r="L110" s="41" t="s">
        <v>42</v>
      </c>
      <c r="M110" s="41" t="s">
        <v>32</v>
      </c>
      <c r="N110" s="41" t="s">
        <v>28</v>
      </c>
      <c r="O110" s="41" t="s">
        <v>32</v>
      </c>
      <c r="Q110" s="17">
        <f t="shared" si="20"/>
        <v>8</v>
      </c>
      <c r="R110" s="17">
        <f t="shared" si="21"/>
        <v>14</v>
      </c>
      <c r="S110" s="17">
        <f t="shared" si="22"/>
        <v>7</v>
      </c>
      <c r="T110" s="17">
        <f t="shared" si="23"/>
        <v>3</v>
      </c>
      <c r="U110" s="17">
        <f t="shared" si="24"/>
        <v>7</v>
      </c>
      <c r="W110" s="7">
        <v>8649</v>
      </c>
      <c r="X110" s="7">
        <v>2687</v>
      </c>
      <c r="Y110" s="7">
        <v>4260</v>
      </c>
      <c r="Z110" s="7">
        <v>8398</v>
      </c>
      <c r="AA110" s="7">
        <v>7960</v>
      </c>
      <c r="AB110" s="13"/>
    </row>
    <row r="111" spans="10:28" ht="15.6" customHeight="1" x14ac:dyDescent="0.3">
      <c r="J111" s="2">
        <v>107</v>
      </c>
      <c r="K111" s="41" t="s">
        <v>35</v>
      </c>
      <c r="L111" s="41" t="s">
        <v>31</v>
      </c>
      <c r="M111" s="41" t="s">
        <v>32</v>
      </c>
      <c r="N111" s="41" t="s">
        <v>29</v>
      </c>
      <c r="O111" s="41" t="s">
        <v>35</v>
      </c>
      <c r="Q111" s="17">
        <f t="shared" si="20"/>
        <v>10</v>
      </c>
      <c r="R111" s="17">
        <f t="shared" si="21"/>
        <v>6</v>
      </c>
      <c r="S111" s="17">
        <f t="shared" si="22"/>
        <v>7</v>
      </c>
      <c r="T111" s="17">
        <f t="shared" si="23"/>
        <v>4</v>
      </c>
      <c r="U111" s="17">
        <f t="shared" si="24"/>
        <v>10</v>
      </c>
      <c r="W111" s="7">
        <v>10550</v>
      </c>
      <c r="X111" s="7">
        <v>8213</v>
      </c>
      <c r="Y111" s="7">
        <v>2114</v>
      </c>
      <c r="Z111" s="7">
        <v>6395</v>
      </c>
      <c r="AA111" s="7">
        <v>7960</v>
      </c>
      <c r="AB111" s="13"/>
    </row>
    <row r="112" spans="10:28" ht="15.6" customHeight="1" x14ac:dyDescent="0.3">
      <c r="J112" s="2">
        <v>108</v>
      </c>
      <c r="K112" s="41" t="s">
        <v>34</v>
      </c>
      <c r="L112" s="41" t="s">
        <v>28</v>
      </c>
      <c r="M112" s="41" t="s">
        <v>32</v>
      </c>
      <c r="N112" s="41" t="s">
        <v>42</v>
      </c>
      <c r="O112" s="41" t="s">
        <v>32</v>
      </c>
      <c r="Q112" s="17">
        <f t="shared" si="20"/>
        <v>9</v>
      </c>
      <c r="R112" s="17">
        <f t="shared" si="21"/>
        <v>3</v>
      </c>
      <c r="S112" s="17">
        <f t="shared" si="22"/>
        <v>7</v>
      </c>
      <c r="T112" s="17">
        <f t="shared" si="23"/>
        <v>14</v>
      </c>
      <c r="U112" s="17">
        <f t="shared" si="24"/>
        <v>7</v>
      </c>
      <c r="W112" s="7">
        <v>2871</v>
      </c>
      <c r="X112" s="7">
        <v>6448</v>
      </c>
      <c r="Y112" s="7">
        <v>8060</v>
      </c>
      <c r="Z112" s="7">
        <v>21926</v>
      </c>
      <c r="AA112" s="7">
        <v>7960</v>
      </c>
      <c r="AB112" s="13"/>
    </row>
    <row r="113" spans="10:28" ht="15.6" customHeight="1" x14ac:dyDescent="0.3">
      <c r="J113" s="2">
        <v>109</v>
      </c>
      <c r="K113" s="41" t="s">
        <v>32</v>
      </c>
      <c r="L113" s="41" t="s">
        <v>30</v>
      </c>
      <c r="M113" s="41" t="s">
        <v>50</v>
      </c>
      <c r="N113" s="41" t="s">
        <v>33</v>
      </c>
      <c r="O113" s="41" t="s">
        <v>29</v>
      </c>
      <c r="Q113" s="17">
        <f t="shared" si="20"/>
        <v>7</v>
      </c>
      <c r="R113" s="17">
        <f t="shared" si="21"/>
        <v>5</v>
      </c>
      <c r="S113" s="17">
        <f t="shared" si="22"/>
        <v>18</v>
      </c>
      <c r="T113" s="17">
        <f t="shared" si="23"/>
        <v>8</v>
      </c>
      <c r="U113" s="17">
        <f t="shared" si="24"/>
        <v>4</v>
      </c>
      <c r="W113" s="7">
        <v>8046</v>
      </c>
      <c r="X113" s="7">
        <v>6448</v>
      </c>
      <c r="Y113" s="7">
        <v>8060</v>
      </c>
      <c r="Z113" s="7">
        <v>20707</v>
      </c>
      <c r="AA113" s="7">
        <v>7960</v>
      </c>
      <c r="AB113" s="13"/>
    </row>
    <row r="114" spans="10:28" ht="15.6" customHeight="1" x14ac:dyDescent="0.3">
      <c r="J114" s="2">
        <v>110</v>
      </c>
      <c r="K114" s="41" t="s">
        <v>35</v>
      </c>
      <c r="L114" s="41" t="s">
        <v>34</v>
      </c>
      <c r="M114" s="41" t="s">
        <v>30</v>
      </c>
      <c r="N114" s="41" t="s">
        <v>29</v>
      </c>
      <c r="O114" s="41" t="s">
        <v>31</v>
      </c>
      <c r="Q114" s="17">
        <f t="shared" si="20"/>
        <v>10</v>
      </c>
      <c r="R114" s="17">
        <f t="shared" si="21"/>
        <v>9</v>
      </c>
      <c r="S114" s="17">
        <f t="shared" si="22"/>
        <v>5</v>
      </c>
      <c r="T114" s="17">
        <f t="shared" si="23"/>
        <v>4</v>
      </c>
      <c r="U114" s="17">
        <f t="shared" si="24"/>
        <v>6</v>
      </c>
      <c r="W114" s="7">
        <v>23116</v>
      </c>
      <c r="X114" s="7">
        <v>7415</v>
      </c>
      <c r="Y114" s="7">
        <v>8060</v>
      </c>
      <c r="Z114" s="7">
        <v>6514</v>
      </c>
      <c r="AA114" s="7">
        <v>21449</v>
      </c>
      <c r="AB114" s="13"/>
    </row>
    <row r="115" spans="10:28" ht="15.6" customHeight="1" x14ac:dyDescent="0.3">
      <c r="J115" s="2">
        <v>111</v>
      </c>
      <c r="K115" s="41" t="s">
        <v>35</v>
      </c>
      <c r="L115" s="41" t="s">
        <v>31</v>
      </c>
      <c r="M115" s="41" t="s">
        <v>50</v>
      </c>
      <c r="N115" s="41" t="s">
        <v>33</v>
      </c>
      <c r="O115" s="41" t="s">
        <v>33</v>
      </c>
      <c r="Q115" s="17">
        <f t="shared" si="20"/>
        <v>10</v>
      </c>
      <c r="R115" s="17">
        <f t="shared" si="21"/>
        <v>6</v>
      </c>
      <c r="S115" s="17">
        <f t="shared" si="22"/>
        <v>18</v>
      </c>
      <c r="T115" s="17">
        <f t="shared" si="23"/>
        <v>8</v>
      </c>
      <c r="U115" s="17">
        <f t="shared" si="24"/>
        <v>8</v>
      </c>
      <c r="W115" s="7">
        <v>29125</v>
      </c>
      <c r="X115" s="7">
        <v>7868</v>
      </c>
      <c r="Y115" s="7">
        <v>16278</v>
      </c>
      <c r="Z115" s="7">
        <v>1920</v>
      </c>
      <c r="AA115" s="7">
        <v>7960</v>
      </c>
      <c r="AB115" s="13"/>
    </row>
    <row r="116" spans="10:28" ht="15.6" customHeight="1" x14ac:dyDescent="0.3">
      <c r="J116" s="2">
        <v>112</v>
      </c>
      <c r="K116" s="41" t="s">
        <v>28</v>
      </c>
      <c r="L116" s="41" t="s">
        <v>38</v>
      </c>
      <c r="M116" s="41" t="s">
        <v>34</v>
      </c>
      <c r="N116" s="41" t="s">
        <v>30</v>
      </c>
      <c r="O116" s="41" t="s">
        <v>29</v>
      </c>
      <c r="Q116" s="17">
        <f t="shared" si="20"/>
        <v>3</v>
      </c>
      <c r="R116" s="17">
        <f t="shared" si="21"/>
        <v>12</v>
      </c>
      <c r="S116" s="17">
        <f t="shared" si="22"/>
        <v>9</v>
      </c>
      <c r="T116" s="17">
        <f t="shared" si="23"/>
        <v>5</v>
      </c>
      <c r="U116" s="17">
        <f t="shared" si="24"/>
        <v>4</v>
      </c>
      <c r="W116" s="7">
        <v>7262</v>
      </c>
      <c r="X116" s="7">
        <v>8660</v>
      </c>
      <c r="Y116" s="7">
        <v>11261</v>
      </c>
      <c r="Z116" s="7">
        <v>1920</v>
      </c>
      <c r="AA116" s="7">
        <v>1993</v>
      </c>
      <c r="AB116" s="13"/>
    </row>
    <row r="117" spans="10:28" ht="15.6" customHeight="1" x14ac:dyDescent="0.3">
      <c r="J117" s="2">
        <v>113</v>
      </c>
      <c r="K117" s="41" t="s">
        <v>35</v>
      </c>
      <c r="L117" s="41" t="s">
        <v>40</v>
      </c>
      <c r="M117" s="41" t="s">
        <v>44</v>
      </c>
      <c r="N117" s="41" t="s">
        <v>35</v>
      </c>
      <c r="O117" s="41" t="s">
        <v>30</v>
      </c>
      <c r="Q117" s="17">
        <f t="shared" si="20"/>
        <v>10</v>
      </c>
      <c r="R117" s="17">
        <f t="shared" si="21"/>
        <v>13</v>
      </c>
      <c r="S117" s="17">
        <f t="shared" si="22"/>
        <v>15</v>
      </c>
      <c r="T117" s="17">
        <f t="shared" si="23"/>
        <v>10</v>
      </c>
      <c r="U117" s="17">
        <f t="shared" si="24"/>
        <v>5</v>
      </c>
      <c r="W117" s="7">
        <v>7208</v>
      </c>
      <c r="X117" s="7">
        <v>6448</v>
      </c>
      <c r="Y117" s="7">
        <v>34379</v>
      </c>
      <c r="Z117" s="7">
        <v>2302</v>
      </c>
      <c r="AA117" s="7">
        <v>2052</v>
      </c>
      <c r="AB117" s="13"/>
    </row>
    <row r="118" spans="10:28" ht="15.6" customHeight="1" x14ac:dyDescent="0.3">
      <c r="J118" s="2">
        <v>114</v>
      </c>
      <c r="K118" s="41" t="s">
        <v>28</v>
      </c>
      <c r="L118" s="41" t="s">
        <v>34</v>
      </c>
      <c r="M118" s="41" t="s">
        <v>34</v>
      </c>
      <c r="N118" s="41" t="s">
        <v>35</v>
      </c>
      <c r="O118" s="41" t="s">
        <v>29</v>
      </c>
      <c r="Q118" s="17">
        <f t="shared" si="20"/>
        <v>3</v>
      </c>
      <c r="R118" s="17">
        <f t="shared" si="21"/>
        <v>9</v>
      </c>
      <c r="S118" s="17">
        <f t="shared" si="22"/>
        <v>9</v>
      </c>
      <c r="T118" s="17">
        <f t="shared" si="23"/>
        <v>10</v>
      </c>
      <c r="U118" s="17">
        <f t="shared" si="24"/>
        <v>4</v>
      </c>
      <c r="W118" s="7">
        <v>7208</v>
      </c>
      <c r="X118" s="7">
        <v>6448</v>
      </c>
      <c r="Y118" s="7">
        <v>14202</v>
      </c>
      <c r="Z118" s="7">
        <v>7676</v>
      </c>
      <c r="AA118" s="7">
        <v>1993</v>
      </c>
      <c r="AB118" s="13"/>
    </row>
    <row r="119" spans="10:28" ht="15.6" customHeight="1" x14ac:dyDescent="0.3">
      <c r="J119" s="2">
        <v>115</v>
      </c>
      <c r="K119" s="41" t="s">
        <v>33</v>
      </c>
      <c r="L119" s="41" t="s">
        <v>38</v>
      </c>
      <c r="M119" s="41" t="s">
        <v>38</v>
      </c>
      <c r="N119" s="41" t="s">
        <v>44</v>
      </c>
      <c r="O119" s="41" t="s">
        <v>29</v>
      </c>
      <c r="Q119" s="17">
        <f t="shared" si="20"/>
        <v>8</v>
      </c>
      <c r="R119" s="17">
        <f t="shared" si="21"/>
        <v>12</v>
      </c>
      <c r="S119" s="17">
        <f t="shared" si="22"/>
        <v>12</v>
      </c>
      <c r="T119" s="17">
        <f t="shared" si="23"/>
        <v>15</v>
      </c>
      <c r="U119" s="17">
        <f t="shared" si="24"/>
        <v>4</v>
      </c>
      <c r="W119" s="7">
        <v>7208</v>
      </c>
      <c r="X119" s="7">
        <v>6448</v>
      </c>
      <c r="Y119" s="7">
        <v>7049</v>
      </c>
      <c r="Z119" s="7">
        <v>7676</v>
      </c>
      <c r="AA119" s="7">
        <v>1987</v>
      </c>
      <c r="AB119" s="13"/>
    </row>
    <row r="120" spans="10:28" ht="15.6" customHeight="1" x14ac:dyDescent="0.3">
      <c r="J120" s="2">
        <v>116</v>
      </c>
      <c r="K120" s="41" t="s">
        <v>35</v>
      </c>
      <c r="L120" s="41" t="s">
        <v>46</v>
      </c>
      <c r="M120" s="41" t="s">
        <v>30</v>
      </c>
      <c r="N120" s="41" t="s">
        <v>46</v>
      </c>
      <c r="O120" s="41" t="s">
        <v>29</v>
      </c>
      <c r="Q120" s="17">
        <f t="shared" si="20"/>
        <v>10</v>
      </c>
      <c r="R120" s="17">
        <f t="shared" si="21"/>
        <v>16</v>
      </c>
      <c r="S120" s="17">
        <f t="shared" si="22"/>
        <v>5</v>
      </c>
      <c r="T120" s="17">
        <f t="shared" si="23"/>
        <v>16</v>
      </c>
      <c r="U120" s="17">
        <f t="shared" si="24"/>
        <v>4</v>
      </c>
      <c r="W120" s="7">
        <v>18701</v>
      </c>
      <c r="X120" s="7">
        <v>8431</v>
      </c>
      <c r="Y120" s="7">
        <v>8060</v>
      </c>
      <c r="Z120" s="7">
        <v>3353</v>
      </c>
      <c r="AA120" s="7">
        <v>6634</v>
      </c>
      <c r="AB120" s="13"/>
    </row>
    <row r="121" spans="10:28" ht="15.6" customHeight="1" x14ac:dyDescent="0.3">
      <c r="J121" s="2">
        <v>117</v>
      </c>
      <c r="K121" s="41" t="s">
        <v>33</v>
      </c>
      <c r="L121" s="41" t="s">
        <v>42</v>
      </c>
      <c r="M121" s="41" t="s">
        <v>33</v>
      </c>
      <c r="N121" s="41" t="s">
        <v>26</v>
      </c>
      <c r="O121" s="41" t="s">
        <v>33</v>
      </c>
      <c r="Q121" s="17">
        <f t="shared" si="20"/>
        <v>8</v>
      </c>
      <c r="R121" s="17">
        <f t="shared" si="21"/>
        <v>14</v>
      </c>
      <c r="S121" s="17">
        <f t="shared" si="22"/>
        <v>8</v>
      </c>
      <c r="T121" s="17">
        <f t="shared" si="23"/>
        <v>2</v>
      </c>
      <c r="U121" s="17">
        <f t="shared" si="24"/>
        <v>8</v>
      </c>
      <c r="W121" s="7">
        <v>2595</v>
      </c>
      <c r="X121" s="7">
        <v>24456</v>
      </c>
      <c r="Y121" s="7">
        <v>8060</v>
      </c>
      <c r="Z121" s="7">
        <v>3433</v>
      </c>
      <c r="AA121" s="7">
        <v>1987</v>
      </c>
      <c r="AB121" s="13"/>
    </row>
    <row r="122" spans="10:28" ht="15.6" customHeight="1" x14ac:dyDescent="0.3">
      <c r="J122" s="2">
        <v>118</v>
      </c>
      <c r="K122" s="41" t="s">
        <v>29</v>
      </c>
      <c r="L122" s="41" t="s">
        <v>50</v>
      </c>
      <c r="M122" s="41" t="s">
        <v>34</v>
      </c>
      <c r="N122" s="41" t="s">
        <v>42</v>
      </c>
      <c r="O122" s="41" t="s">
        <v>30</v>
      </c>
      <c r="Q122" s="17">
        <f t="shared" si="20"/>
        <v>4</v>
      </c>
      <c r="R122" s="17">
        <f t="shared" si="21"/>
        <v>18</v>
      </c>
      <c r="S122" s="17">
        <f t="shared" si="22"/>
        <v>9</v>
      </c>
      <c r="T122" s="17">
        <f t="shared" si="23"/>
        <v>14</v>
      </c>
      <c r="U122" s="17">
        <f t="shared" si="24"/>
        <v>5</v>
      </c>
      <c r="W122" s="7">
        <v>2595</v>
      </c>
      <c r="X122" s="7">
        <v>23216</v>
      </c>
      <c r="Y122" s="7">
        <v>8060</v>
      </c>
      <c r="Z122" s="7">
        <v>7384</v>
      </c>
      <c r="AA122" s="7">
        <v>1987</v>
      </c>
      <c r="AB122" s="13"/>
    </row>
    <row r="123" spans="10:28" ht="15.6" customHeight="1" x14ac:dyDescent="0.3">
      <c r="J123" s="2">
        <v>119</v>
      </c>
      <c r="K123" s="41" t="s">
        <v>33</v>
      </c>
      <c r="L123" s="41" t="s">
        <v>40</v>
      </c>
      <c r="M123" s="41" t="s">
        <v>29</v>
      </c>
      <c r="N123" s="41" t="s">
        <v>42</v>
      </c>
      <c r="O123" s="41" t="s">
        <v>32</v>
      </c>
      <c r="Q123" s="17">
        <f t="shared" si="20"/>
        <v>8</v>
      </c>
      <c r="R123" s="17">
        <f t="shared" si="21"/>
        <v>13</v>
      </c>
      <c r="S123" s="17">
        <f t="shared" si="22"/>
        <v>4</v>
      </c>
      <c r="T123" s="17">
        <f t="shared" si="23"/>
        <v>14</v>
      </c>
      <c r="U123" s="17">
        <f t="shared" si="24"/>
        <v>7</v>
      </c>
      <c r="W123" s="7">
        <v>2595</v>
      </c>
      <c r="X123" s="7">
        <v>18358</v>
      </c>
      <c r="Y123" s="7">
        <v>5226</v>
      </c>
      <c r="Z123" s="7">
        <v>19186</v>
      </c>
      <c r="AA123" s="7">
        <v>2390</v>
      </c>
      <c r="AB123" s="13"/>
    </row>
    <row r="124" spans="10:28" ht="15.6" customHeight="1" x14ac:dyDescent="0.3">
      <c r="J124" s="2">
        <v>120</v>
      </c>
      <c r="K124" s="41" t="s">
        <v>33</v>
      </c>
      <c r="L124" s="41" t="s">
        <v>34</v>
      </c>
      <c r="M124" s="41" t="s">
        <v>30</v>
      </c>
      <c r="N124" s="41" t="s">
        <v>31</v>
      </c>
      <c r="O124" s="41" t="s">
        <v>32</v>
      </c>
      <c r="Q124" s="17">
        <f t="shared" si="20"/>
        <v>8</v>
      </c>
      <c r="R124" s="17">
        <f t="shared" si="21"/>
        <v>9</v>
      </c>
      <c r="S124" s="17">
        <f t="shared" si="22"/>
        <v>5</v>
      </c>
      <c r="T124" s="17">
        <f t="shared" si="23"/>
        <v>6</v>
      </c>
      <c r="U124" s="17">
        <f t="shared" si="24"/>
        <v>7</v>
      </c>
      <c r="W124" s="7">
        <v>8649</v>
      </c>
      <c r="X124" s="7">
        <v>49773</v>
      </c>
      <c r="Y124" s="7">
        <v>4185</v>
      </c>
      <c r="Z124" s="7">
        <v>55917</v>
      </c>
      <c r="AA124" s="7">
        <v>7960</v>
      </c>
      <c r="AB124" s="13"/>
    </row>
    <row r="125" spans="10:28" ht="15.6" customHeight="1" x14ac:dyDescent="0.3">
      <c r="J125" s="2">
        <v>121</v>
      </c>
      <c r="K125" s="41" t="s">
        <v>32</v>
      </c>
      <c r="L125" s="41" t="s">
        <v>32</v>
      </c>
      <c r="M125" s="41" t="s">
        <v>34</v>
      </c>
      <c r="N125" s="41" t="s">
        <v>34</v>
      </c>
      <c r="O125" s="41" t="s">
        <v>34</v>
      </c>
      <c r="Q125" s="17">
        <f t="shared" si="20"/>
        <v>7</v>
      </c>
      <c r="R125" s="17">
        <f t="shared" si="21"/>
        <v>7</v>
      </c>
      <c r="S125" s="17">
        <f t="shared" si="22"/>
        <v>9</v>
      </c>
      <c r="T125" s="17">
        <f t="shared" si="23"/>
        <v>9</v>
      </c>
      <c r="U125" s="17">
        <f t="shared" si="24"/>
        <v>9</v>
      </c>
      <c r="W125" s="7">
        <v>8649</v>
      </c>
      <c r="X125" s="7">
        <v>17826</v>
      </c>
      <c r="Y125" s="7">
        <v>3103</v>
      </c>
      <c r="Z125" s="7">
        <v>61778</v>
      </c>
      <c r="AA125" s="7">
        <v>4560</v>
      </c>
      <c r="AB125" s="13"/>
    </row>
    <row r="126" spans="10:28" ht="15.6" customHeight="1" x14ac:dyDescent="0.3">
      <c r="J126" s="2">
        <v>122</v>
      </c>
      <c r="K126" s="41" t="s">
        <v>35</v>
      </c>
      <c r="L126" s="41" t="s">
        <v>42</v>
      </c>
      <c r="M126" s="41" t="s">
        <v>34</v>
      </c>
      <c r="N126" s="41" t="s">
        <v>50</v>
      </c>
      <c r="O126" s="41" t="s">
        <v>35</v>
      </c>
      <c r="Q126" s="17">
        <f t="shared" si="20"/>
        <v>10</v>
      </c>
      <c r="R126" s="17">
        <f t="shared" si="21"/>
        <v>14</v>
      </c>
      <c r="S126" s="17">
        <f t="shared" si="22"/>
        <v>9</v>
      </c>
      <c r="T126" s="17">
        <f t="shared" si="23"/>
        <v>18</v>
      </c>
      <c r="U126" s="17">
        <f t="shared" si="24"/>
        <v>10</v>
      </c>
      <c r="W126" s="7">
        <v>2595</v>
      </c>
      <c r="X126" s="7">
        <v>20344</v>
      </c>
      <c r="Y126" s="7">
        <v>3103</v>
      </c>
      <c r="Z126" s="7">
        <v>20707</v>
      </c>
      <c r="AA126" s="7">
        <v>5462</v>
      </c>
      <c r="AB126" s="13"/>
    </row>
    <row r="127" spans="10:28" ht="15.6" customHeight="1" x14ac:dyDescent="0.3">
      <c r="J127" s="2">
        <v>123</v>
      </c>
      <c r="K127" s="41" t="s">
        <v>32</v>
      </c>
      <c r="L127" s="41" t="s">
        <v>44</v>
      </c>
      <c r="M127" s="41" t="s">
        <v>35</v>
      </c>
      <c r="N127" s="41" t="s">
        <v>31</v>
      </c>
      <c r="O127" s="41" t="s">
        <v>32</v>
      </c>
      <c r="Q127" s="17">
        <f t="shared" si="20"/>
        <v>7</v>
      </c>
      <c r="R127" s="17">
        <f t="shared" si="21"/>
        <v>15</v>
      </c>
      <c r="S127" s="17">
        <f t="shared" si="22"/>
        <v>10</v>
      </c>
      <c r="T127" s="17">
        <f t="shared" si="23"/>
        <v>6</v>
      </c>
      <c r="U127" s="17">
        <f t="shared" si="24"/>
        <v>7</v>
      </c>
      <c r="W127" s="7">
        <v>2595</v>
      </c>
      <c r="X127" s="7">
        <v>7433</v>
      </c>
      <c r="Y127" s="7">
        <v>3103</v>
      </c>
      <c r="Z127" s="7">
        <v>23554</v>
      </c>
      <c r="AA127" s="7">
        <v>6090</v>
      </c>
      <c r="AB127" s="13"/>
    </row>
    <row r="128" spans="10:28" ht="15.6" customHeight="1" x14ac:dyDescent="0.3">
      <c r="J128" s="2">
        <v>124</v>
      </c>
      <c r="K128" s="41" t="s">
        <v>30</v>
      </c>
      <c r="L128" s="41" t="s">
        <v>38</v>
      </c>
      <c r="M128" s="41" t="s">
        <v>35</v>
      </c>
      <c r="N128" s="41" t="s">
        <v>34</v>
      </c>
      <c r="O128" s="41" t="s">
        <v>32</v>
      </c>
      <c r="Q128" s="17">
        <f t="shared" si="20"/>
        <v>5</v>
      </c>
      <c r="R128" s="17">
        <f t="shared" si="21"/>
        <v>12</v>
      </c>
      <c r="S128" s="17">
        <f t="shared" si="22"/>
        <v>10</v>
      </c>
      <c r="T128" s="17">
        <f t="shared" si="23"/>
        <v>9</v>
      </c>
      <c r="U128" s="17">
        <f t="shared" si="24"/>
        <v>7</v>
      </c>
      <c r="W128" s="7">
        <v>2595</v>
      </c>
      <c r="X128" s="7">
        <v>6448</v>
      </c>
      <c r="Y128" s="7">
        <v>3103</v>
      </c>
      <c r="Z128" s="7">
        <v>8071</v>
      </c>
      <c r="AA128" s="7">
        <v>21660</v>
      </c>
      <c r="AB128" s="13"/>
    </row>
    <row r="129" spans="10:28" ht="15.6" customHeight="1" x14ac:dyDescent="0.3">
      <c r="J129" s="2">
        <v>125</v>
      </c>
      <c r="K129" s="41" t="s">
        <v>30</v>
      </c>
      <c r="L129" s="41" t="s">
        <v>33</v>
      </c>
      <c r="M129" s="41" t="s">
        <v>35</v>
      </c>
      <c r="N129" s="41" t="s">
        <v>29</v>
      </c>
      <c r="O129" s="41" t="s">
        <v>35</v>
      </c>
      <c r="Q129" s="17">
        <f t="shared" si="20"/>
        <v>5</v>
      </c>
      <c r="R129" s="17">
        <f t="shared" si="21"/>
        <v>8</v>
      </c>
      <c r="S129" s="17">
        <f t="shared" si="22"/>
        <v>10</v>
      </c>
      <c r="T129" s="17">
        <f t="shared" si="23"/>
        <v>4</v>
      </c>
      <c r="U129" s="17">
        <f t="shared" si="24"/>
        <v>10</v>
      </c>
      <c r="W129" s="7">
        <v>8649</v>
      </c>
      <c r="X129" s="7">
        <v>2210</v>
      </c>
      <c r="Y129" s="7">
        <v>3103</v>
      </c>
      <c r="Z129" s="7">
        <v>6395</v>
      </c>
      <c r="AA129" s="7">
        <v>21442</v>
      </c>
      <c r="AB129" s="13"/>
    </row>
    <row r="130" spans="10:28" ht="15.6" customHeight="1" x14ac:dyDescent="0.3">
      <c r="J130" s="2">
        <v>126</v>
      </c>
      <c r="K130" s="41" t="s">
        <v>32</v>
      </c>
      <c r="L130" s="41" t="s">
        <v>28</v>
      </c>
      <c r="M130" s="41" t="s">
        <v>35</v>
      </c>
      <c r="N130" s="41" t="s">
        <v>28</v>
      </c>
      <c r="O130" s="41" t="s">
        <v>33</v>
      </c>
      <c r="Q130" s="17">
        <f t="shared" si="20"/>
        <v>7</v>
      </c>
      <c r="R130" s="17">
        <f t="shared" si="21"/>
        <v>3</v>
      </c>
      <c r="S130" s="17">
        <f t="shared" si="22"/>
        <v>10</v>
      </c>
      <c r="T130" s="17">
        <f t="shared" si="23"/>
        <v>3</v>
      </c>
      <c r="U130" s="17">
        <f t="shared" si="24"/>
        <v>8</v>
      </c>
      <c r="W130" s="7">
        <v>8649</v>
      </c>
      <c r="X130" s="7">
        <v>2366</v>
      </c>
      <c r="Y130" s="7">
        <v>49401</v>
      </c>
      <c r="Z130" s="7">
        <v>1920</v>
      </c>
      <c r="AA130" s="7">
        <v>8218</v>
      </c>
      <c r="AB130" s="13"/>
    </row>
    <row r="131" spans="10:28" ht="15.6" customHeight="1" x14ac:dyDescent="0.3">
      <c r="J131" s="2">
        <v>127</v>
      </c>
      <c r="K131" s="41" t="s">
        <v>29</v>
      </c>
      <c r="L131" s="41" t="s">
        <v>31</v>
      </c>
      <c r="M131" s="41" t="s">
        <v>33</v>
      </c>
      <c r="N131" s="41" t="s">
        <v>33</v>
      </c>
      <c r="O131" s="41" t="s">
        <v>34</v>
      </c>
      <c r="Q131" s="17">
        <f t="shared" si="20"/>
        <v>4</v>
      </c>
      <c r="R131" s="17">
        <f t="shared" si="21"/>
        <v>6</v>
      </c>
      <c r="S131" s="17">
        <f t="shared" si="22"/>
        <v>8</v>
      </c>
      <c r="T131" s="17">
        <f t="shared" si="23"/>
        <v>8</v>
      </c>
      <c r="U131" s="17">
        <f t="shared" si="24"/>
        <v>9</v>
      </c>
      <c r="W131" s="7">
        <v>8649</v>
      </c>
      <c r="X131" s="7">
        <v>5182</v>
      </c>
      <c r="Y131" s="7">
        <v>5137</v>
      </c>
      <c r="Z131" s="7">
        <v>1920</v>
      </c>
      <c r="AA131" s="7">
        <v>21075</v>
      </c>
      <c r="AB131" s="13"/>
    </row>
    <row r="132" spans="10:28" ht="15.6" customHeight="1" x14ac:dyDescent="0.3">
      <c r="J132" s="2">
        <v>128</v>
      </c>
      <c r="K132" s="41" t="s">
        <v>33</v>
      </c>
      <c r="L132" s="41" t="s">
        <v>31</v>
      </c>
      <c r="M132" s="41" t="s">
        <v>35</v>
      </c>
      <c r="N132" s="41" t="s">
        <v>31</v>
      </c>
      <c r="O132" s="41" t="s">
        <v>32</v>
      </c>
      <c r="Q132" s="17">
        <f t="shared" ref="Q132:Q163" si="25">IF(K132="","",VLOOKUP(K132,$A$4:$H$22,8,FALSE))</f>
        <v>8</v>
      </c>
      <c r="R132" s="17">
        <f t="shared" ref="R132:R163" si="26">IF(L132="","",VLOOKUP(L132,$A$4:$H$22,8,FALSE))</f>
        <v>6</v>
      </c>
      <c r="S132" s="17">
        <f t="shared" ref="S132:S163" si="27">IF(M132="","",VLOOKUP(M132,$A$4:$H$22,8,FALSE))</f>
        <v>10</v>
      </c>
      <c r="T132" s="17">
        <f t="shared" ref="T132:T163" si="28">IF(N132="","",VLOOKUP(N132,$A$4:$H$22,8,FALSE))</f>
        <v>6</v>
      </c>
      <c r="U132" s="17">
        <f t="shared" ref="U132:U163" si="29">IF(O132="","",VLOOKUP(O132,$A$4:$H$22,8,FALSE))</f>
        <v>7</v>
      </c>
      <c r="W132" s="7">
        <v>8649</v>
      </c>
      <c r="X132" s="7">
        <v>2987</v>
      </c>
      <c r="Y132" s="7">
        <v>2417</v>
      </c>
      <c r="Z132" s="7">
        <v>1920</v>
      </c>
      <c r="AA132" s="7">
        <v>21930</v>
      </c>
      <c r="AB132" s="13"/>
    </row>
    <row r="133" spans="10:28" ht="15.6" customHeight="1" x14ac:dyDescent="0.3">
      <c r="J133" s="2">
        <v>129</v>
      </c>
      <c r="K133" s="41" t="s">
        <v>30</v>
      </c>
      <c r="L133" s="41" t="s">
        <v>31</v>
      </c>
      <c r="M133" s="41" t="s">
        <v>48</v>
      </c>
      <c r="N133" s="41" t="s">
        <v>31</v>
      </c>
      <c r="O133" s="41" t="s">
        <v>33</v>
      </c>
      <c r="Q133" s="17">
        <f t="shared" si="25"/>
        <v>5</v>
      </c>
      <c r="R133" s="17">
        <f t="shared" si="26"/>
        <v>6</v>
      </c>
      <c r="S133" s="17">
        <f t="shared" si="27"/>
        <v>17</v>
      </c>
      <c r="T133" s="17">
        <f t="shared" si="28"/>
        <v>6</v>
      </c>
      <c r="U133" s="17">
        <f t="shared" si="29"/>
        <v>8</v>
      </c>
      <c r="W133" s="7">
        <v>8649</v>
      </c>
      <c r="X133" s="7">
        <v>1682</v>
      </c>
      <c r="Y133" s="7">
        <v>2659</v>
      </c>
      <c r="Z133" s="7">
        <v>19129</v>
      </c>
      <c r="AA133" s="7">
        <v>2390</v>
      </c>
      <c r="AB133" s="13"/>
    </row>
    <row r="134" spans="10:28" ht="15.6" customHeight="1" x14ac:dyDescent="0.3">
      <c r="J134" s="2">
        <v>130</v>
      </c>
      <c r="K134" s="41" t="s">
        <v>35</v>
      </c>
      <c r="L134" s="41" t="s">
        <v>44</v>
      </c>
      <c r="M134" s="41" t="s">
        <v>34</v>
      </c>
      <c r="N134" s="41" t="s">
        <v>30</v>
      </c>
      <c r="O134" s="41" t="s">
        <v>35</v>
      </c>
      <c r="Q134" s="17">
        <f t="shared" si="25"/>
        <v>10</v>
      </c>
      <c r="R134" s="17">
        <f t="shared" si="26"/>
        <v>15</v>
      </c>
      <c r="S134" s="17">
        <f t="shared" si="27"/>
        <v>9</v>
      </c>
      <c r="T134" s="17">
        <f t="shared" si="28"/>
        <v>5</v>
      </c>
      <c r="U134" s="17">
        <f t="shared" si="29"/>
        <v>10</v>
      </c>
      <c r="W134" s="7">
        <v>8649</v>
      </c>
      <c r="X134" s="7">
        <v>1641</v>
      </c>
      <c r="Y134" s="7">
        <v>7049</v>
      </c>
      <c r="Z134" s="7">
        <v>65049</v>
      </c>
      <c r="AA134" s="7">
        <v>1987</v>
      </c>
      <c r="AB134" s="13"/>
    </row>
    <row r="135" spans="10:28" ht="15.6" customHeight="1" x14ac:dyDescent="0.3">
      <c r="J135" s="2">
        <v>131</v>
      </c>
      <c r="K135" s="41" t="s">
        <v>32</v>
      </c>
      <c r="L135" s="41" t="s">
        <v>29</v>
      </c>
      <c r="M135" s="41" t="s">
        <v>32</v>
      </c>
      <c r="N135" s="41" t="s">
        <v>34</v>
      </c>
      <c r="O135" s="41" t="s">
        <v>29</v>
      </c>
      <c r="Q135" s="17">
        <f t="shared" si="25"/>
        <v>7</v>
      </c>
      <c r="R135" s="17">
        <f t="shared" si="26"/>
        <v>4</v>
      </c>
      <c r="S135" s="17">
        <f t="shared" si="27"/>
        <v>7</v>
      </c>
      <c r="T135" s="17">
        <f t="shared" si="28"/>
        <v>9</v>
      </c>
      <c r="U135" s="17">
        <f t="shared" si="29"/>
        <v>4</v>
      </c>
      <c r="W135" s="7">
        <v>8649</v>
      </c>
      <c r="X135" s="7">
        <v>1641</v>
      </c>
      <c r="Y135" s="7">
        <v>20045</v>
      </c>
      <c r="Z135" s="7">
        <v>23658</v>
      </c>
      <c r="AA135" s="7">
        <v>1987</v>
      </c>
      <c r="AB135" s="13"/>
    </row>
    <row r="136" spans="10:28" ht="15.6" customHeight="1" x14ac:dyDescent="0.3">
      <c r="J136" s="2">
        <v>132</v>
      </c>
      <c r="K136" s="41" t="s">
        <v>35</v>
      </c>
      <c r="L136" s="41" t="s">
        <v>29</v>
      </c>
      <c r="M136" s="41" t="s">
        <v>30</v>
      </c>
      <c r="N136" s="41" t="s">
        <v>35</v>
      </c>
      <c r="O136" s="41" t="s">
        <v>29</v>
      </c>
      <c r="Q136" s="17">
        <f t="shared" si="25"/>
        <v>10</v>
      </c>
      <c r="R136" s="17">
        <f t="shared" si="26"/>
        <v>4</v>
      </c>
      <c r="S136" s="17">
        <f t="shared" si="27"/>
        <v>5</v>
      </c>
      <c r="T136" s="17">
        <f t="shared" si="28"/>
        <v>10</v>
      </c>
      <c r="U136" s="17">
        <f t="shared" si="29"/>
        <v>4</v>
      </c>
      <c r="W136" s="7">
        <v>2595</v>
      </c>
      <c r="X136" s="7">
        <v>1693</v>
      </c>
      <c r="Y136" s="7">
        <v>3373</v>
      </c>
      <c r="Z136" s="7">
        <v>7855</v>
      </c>
      <c r="AA136" s="7">
        <v>1987</v>
      </c>
      <c r="AB136" s="13"/>
    </row>
    <row r="137" spans="10:28" ht="15.6" customHeight="1" x14ac:dyDescent="0.3">
      <c r="J137" s="2">
        <v>133</v>
      </c>
      <c r="K137" s="41" t="s">
        <v>33</v>
      </c>
      <c r="L137" s="41" t="s">
        <v>46</v>
      </c>
      <c r="M137" s="41" t="s">
        <v>48</v>
      </c>
      <c r="N137" s="41" t="s">
        <v>48</v>
      </c>
      <c r="O137" s="41" t="s">
        <v>29</v>
      </c>
      <c r="Q137" s="17">
        <f t="shared" si="25"/>
        <v>8</v>
      </c>
      <c r="R137" s="17">
        <f t="shared" si="26"/>
        <v>16</v>
      </c>
      <c r="S137" s="17">
        <f t="shared" si="27"/>
        <v>17</v>
      </c>
      <c r="T137" s="17">
        <f t="shared" si="28"/>
        <v>17</v>
      </c>
      <c r="U137" s="17">
        <f t="shared" si="29"/>
        <v>4</v>
      </c>
      <c r="W137" s="7">
        <v>2595</v>
      </c>
      <c r="X137" s="7">
        <v>4524</v>
      </c>
      <c r="Y137" s="7">
        <v>3551</v>
      </c>
      <c r="Z137" s="7">
        <v>8383</v>
      </c>
      <c r="AA137" s="7">
        <v>6634</v>
      </c>
      <c r="AB137" s="13"/>
    </row>
    <row r="138" spans="10:28" ht="15.6" customHeight="1" x14ac:dyDescent="0.3">
      <c r="J138" s="2">
        <v>134</v>
      </c>
      <c r="K138" s="41" t="s">
        <v>35</v>
      </c>
      <c r="L138" s="41" t="s">
        <v>42</v>
      </c>
      <c r="M138" s="41" t="s">
        <v>50</v>
      </c>
      <c r="N138" s="41" t="s">
        <v>32</v>
      </c>
      <c r="O138" s="41" t="s">
        <v>34</v>
      </c>
      <c r="Q138" s="17">
        <f t="shared" si="25"/>
        <v>10</v>
      </c>
      <c r="R138" s="17">
        <f t="shared" si="26"/>
        <v>14</v>
      </c>
      <c r="S138" s="17">
        <f t="shared" si="27"/>
        <v>18</v>
      </c>
      <c r="T138" s="17">
        <f t="shared" si="28"/>
        <v>7</v>
      </c>
      <c r="U138" s="17">
        <f t="shared" si="29"/>
        <v>9</v>
      </c>
      <c r="W138" s="7">
        <v>2595</v>
      </c>
      <c r="X138" s="7">
        <v>10964</v>
      </c>
      <c r="Y138" s="7">
        <v>4647</v>
      </c>
      <c r="Z138" s="7">
        <v>7676</v>
      </c>
      <c r="AA138" s="7">
        <v>7960</v>
      </c>
      <c r="AB138" s="13"/>
    </row>
    <row r="139" spans="10:28" ht="15.6" customHeight="1" x14ac:dyDescent="0.3">
      <c r="J139" s="2">
        <v>135</v>
      </c>
      <c r="K139" s="41" t="s">
        <v>35</v>
      </c>
      <c r="L139" s="41" t="s">
        <v>42</v>
      </c>
      <c r="M139" s="41" t="s">
        <v>35</v>
      </c>
      <c r="N139" s="41" t="s">
        <v>48</v>
      </c>
      <c r="O139" s="41" t="s">
        <v>28</v>
      </c>
      <c r="Q139" s="17">
        <f t="shared" si="25"/>
        <v>10</v>
      </c>
      <c r="R139" s="17">
        <f t="shared" si="26"/>
        <v>14</v>
      </c>
      <c r="S139" s="17">
        <f t="shared" si="27"/>
        <v>10</v>
      </c>
      <c r="T139" s="17">
        <f t="shared" si="28"/>
        <v>17</v>
      </c>
      <c r="U139" s="17">
        <f t="shared" si="29"/>
        <v>3</v>
      </c>
      <c r="W139" s="7">
        <v>24207</v>
      </c>
      <c r="X139" s="7">
        <v>8723</v>
      </c>
      <c r="Y139" s="7">
        <v>3793</v>
      </c>
      <c r="Z139" s="7">
        <v>7676</v>
      </c>
      <c r="AA139" s="7">
        <v>12232</v>
      </c>
      <c r="AB139" s="13"/>
    </row>
    <row r="140" spans="10:28" ht="15.6" customHeight="1" x14ac:dyDescent="0.3">
      <c r="J140" s="2">
        <v>136</v>
      </c>
      <c r="K140" s="41" t="s">
        <v>28</v>
      </c>
      <c r="L140" s="41" t="s">
        <v>32</v>
      </c>
      <c r="M140" s="41" t="s">
        <v>35</v>
      </c>
      <c r="N140" s="41" t="s">
        <v>46</v>
      </c>
      <c r="O140" s="41" t="s">
        <v>33</v>
      </c>
      <c r="Q140" s="17">
        <f t="shared" si="25"/>
        <v>3</v>
      </c>
      <c r="R140" s="17">
        <f t="shared" si="26"/>
        <v>7</v>
      </c>
      <c r="S140" s="17">
        <f t="shared" si="27"/>
        <v>10</v>
      </c>
      <c r="T140" s="17">
        <f t="shared" si="28"/>
        <v>16</v>
      </c>
      <c r="U140" s="17">
        <f t="shared" si="29"/>
        <v>8</v>
      </c>
      <c r="W140" s="7">
        <v>8649</v>
      </c>
      <c r="X140" s="7">
        <v>2987</v>
      </c>
      <c r="Y140" s="7">
        <v>10312</v>
      </c>
      <c r="Z140" s="7">
        <v>20252</v>
      </c>
      <c r="AA140" s="7">
        <v>11894</v>
      </c>
      <c r="AB140" s="13"/>
    </row>
    <row r="141" spans="10:28" ht="15.6" customHeight="1" x14ac:dyDescent="0.3">
      <c r="J141" s="2">
        <v>137</v>
      </c>
      <c r="K141" s="41" t="s">
        <v>33</v>
      </c>
      <c r="L141" s="41" t="s">
        <v>32</v>
      </c>
      <c r="M141" s="41" t="s">
        <v>50</v>
      </c>
      <c r="N141" s="41" t="s">
        <v>29</v>
      </c>
      <c r="O141" s="41" t="s">
        <v>26</v>
      </c>
      <c r="Q141" s="17">
        <f t="shared" si="25"/>
        <v>8</v>
      </c>
      <c r="R141" s="17">
        <f t="shared" si="26"/>
        <v>7</v>
      </c>
      <c r="S141" s="17">
        <f t="shared" si="27"/>
        <v>18</v>
      </c>
      <c r="T141" s="17">
        <f t="shared" si="28"/>
        <v>4</v>
      </c>
      <c r="U141" s="17">
        <f t="shared" si="29"/>
        <v>2</v>
      </c>
      <c r="W141" s="7">
        <v>7208</v>
      </c>
      <c r="X141" s="7">
        <v>1682</v>
      </c>
      <c r="Y141" s="7">
        <v>7804</v>
      </c>
      <c r="Z141" s="7">
        <v>2513</v>
      </c>
      <c r="AA141" s="7">
        <v>28838</v>
      </c>
      <c r="AB141" s="13"/>
    </row>
    <row r="142" spans="10:28" ht="15.6" customHeight="1" x14ac:dyDescent="0.3">
      <c r="J142" s="2">
        <v>138</v>
      </c>
      <c r="K142" s="41" t="s">
        <v>35</v>
      </c>
      <c r="L142" s="41" t="s">
        <v>32</v>
      </c>
      <c r="M142" s="41" t="s">
        <v>34</v>
      </c>
      <c r="N142" s="41" t="s">
        <v>46</v>
      </c>
      <c r="O142" s="41" t="s">
        <v>28</v>
      </c>
      <c r="Q142" s="17">
        <f t="shared" si="25"/>
        <v>10</v>
      </c>
      <c r="R142" s="17">
        <f t="shared" si="26"/>
        <v>7</v>
      </c>
      <c r="S142" s="17">
        <f t="shared" si="27"/>
        <v>9</v>
      </c>
      <c r="T142" s="17">
        <f t="shared" si="28"/>
        <v>16</v>
      </c>
      <c r="U142" s="17">
        <f t="shared" si="29"/>
        <v>3</v>
      </c>
      <c r="W142" s="7">
        <v>7208</v>
      </c>
      <c r="X142" s="7">
        <v>1983</v>
      </c>
      <c r="Y142" s="7">
        <v>7804</v>
      </c>
      <c r="Z142" s="7">
        <v>2342</v>
      </c>
      <c r="AA142" s="7">
        <v>5382</v>
      </c>
      <c r="AB142" s="13"/>
    </row>
    <row r="143" spans="10:28" ht="15.6" customHeight="1" x14ac:dyDescent="0.3">
      <c r="J143" s="2">
        <v>139</v>
      </c>
      <c r="K143" s="41" t="s">
        <v>28</v>
      </c>
      <c r="L143" s="41" t="s">
        <v>32</v>
      </c>
      <c r="M143" s="41" t="s">
        <v>28</v>
      </c>
      <c r="N143" s="41" t="s">
        <v>34</v>
      </c>
      <c r="O143" s="41" t="s">
        <v>35</v>
      </c>
      <c r="Q143" s="17">
        <f t="shared" si="25"/>
        <v>3</v>
      </c>
      <c r="R143" s="17">
        <f t="shared" si="26"/>
        <v>7</v>
      </c>
      <c r="S143" s="17">
        <f t="shared" si="27"/>
        <v>3</v>
      </c>
      <c r="T143" s="17">
        <f t="shared" si="28"/>
        <v>9</v>
      </c>
      <c r="U143" s="17">
        <f t="shared" si="29"/>
        <v>10</v>
      </c>
      <c r="W143" s="7">
        <v>7208</v>
      </c>
      <c r="X143" s="7">
        <v>5467</v>
      </c>
      <c r="Y143" s="7">
        <v>7804</v>
      </c>
      <c r="Z143" s="7">
        <v>2302</v>
      </c>
      <c r="AA143" s="7">
        <v>6010</v>
      </c>
      <c r="AB143" s="13"/>
    </row>
    <row r="144" spans="10:28" ht="15.6" customHeight="1" x14ac:dyDescent="0.3">
      <c r="J144" s="2">
        <v>140</v>
      </c>
      <c r="K144" s="41" t="s">
        <v>29</v>
      </c>
      <c r="L144" s="41" t="s">
        <v>38</v>
      </c>
      <c r="M144" s="41" t="s">
        <v>35</v>
      </c>
      <c r="N144" s="41" t="s">
        <v>34</v>
      </c>
      <c r="O144" s="41" t="s">
        <v>34</v>
      </c>
      <c r="Q144" s="17">
        <f t="shared" si="25"/>
        <v>4</v>
      </c>
      <c r="R144" s="17">
        <f t="shared" si="26"/>
        <v>12</v>
      </c>
      <c r="S144" s="17">
        <f t="shared" si="27"/>
        <v>10</v>
      </c>
      <c r="T144" s="17">
        <f t="shared" si="28"/>
        <v>9</v>
      </c>
      <c r="U144" s="17">
        <f t="shared" si="29"/>
        <v>9</v>
      </c>
      <c r="W144" s="7">
        <v>8649</v>
      </c>
      <c r="X144" s="7">
        <v>8070</v>
      </c>
      <c r="Y144" s="7">
        <v>7804</v>
      </c>
      <c r="Z144" s="7">
        <v>7676</v>
      </c>
      <c r="AA144" s="7">
        <v>5854</v>
      </c>
      <c r="AB144" s="13"/>
    </row>
    <row r="145" spans="10:28" ht="15.6" customHeight="1" x14ac:dyDescent="0.3">
      <c r="J145" s="2">
        <v>141</v>
      </c>
      <c r="K145" s="41" t="s">
        <v>30</v>
      </c>
      <c r="L145" s="41" t="s">
        <v>32</v>
      </c>
      <c r="M145" s="41" t="s">
        <v>34</v>
      </c>
      <c r="N145" s="41" t="s">
        <v>38</v>
      </c>
      <c r="O145" s="41" t="s">
        <v>34</v>
      </c>
      <c r="Q145" s="17">
        <f t="shared" si="25"/>
        <v>5</v>
      </c>
      <c r="R145" s="17">
        <f t="shared" si="26"/>
        <v>7</v>
      </c>
      <c r="S145" s="17">
        <f t="shared" si="27"/>
        <v>9</v>
      </c>
      <c r="T145" s="17">
        <f t="shared" si="28"/>
        <v>12</v>
      </c>
      <c r="U145" s="17">
        <f t="shared" si="29"/>
        <v>9</v>
      </c>
      <c r="W145" s="7">
        <v>8649</v>
      </c>
      <c r="X145" s="7">
        <v>8990</v>
      </c>
      <c r="Y145" s="7">
        <v>2342</v>
      </c>
      <c r="Z145" s="7">
        <v>7676</v>
      </c>
      <c r="AA145" s="7">
        <v>2390</v>
      </c>
      <c r="AB145" s="13"/>
    </row>
    <row r="146" spans="10:28" ht="15.6" customHeight="1" x14ac:dyDescent="0.3">
      <c r="J146" s="2">
        <v>142</v>
      </c>
      <c r="K146" s="41" t="s">
        <v>35</v>
      </c>
      <c r="L146" s="41" t="s">
        <v>28</v>
      </c>
      <c r="M146" s="41" t="s">
        <v>35</v>
      </c>
      <c r="N146" s="41" t="s">
        <v>50</v>
      </c>
      <c r="O146" s="41" t="s">
        <v>34</v>
      </c>
      <c r="Q146" s="17">
        <f t="shared" si="25"/>
        <v>10</v>
      </c>
      <c r="R146" s="17">
        <f t="shared" si="26"/>
        <v>3</v>
      </c>
      <c r="S146" s="17">
        <f t="shared" si="27"/>
        <v>10</v>
      </c>
      <c r="T146" s="17">
        <f t="shared" si="28"/>
        <v>18</v>
      </c>
      <c r="U146" s="17">
        <f t="shared" si="29"/>
        <v>9</v>
      </c>
      <c r="W146" s="7">
        <v>8649</v>
      </c>
      <c r="X146" s="7">
        <v>6414</v>
      </c>
      <c r="Y146" s="7">
        <v>2342</v>
      </c>
      <c r="Z146" s="7">
        <v>7806</v>
      </c>
      <c r="AA146" s="7">
        <v>7981</v>
      </c>
      <c r="AB146" s="13"/>
    </row>
    <row r="147" spans="10:28" ht="15.6" customHeight="1" x14ac:dyDescent="0.3">
      <c r="J147" s="2">
        <v>143</v>
      </c>
      <c r="K147" s="41" t="s">
        <v>29</v>
      </c>
      <c r="L147" s="41" t="s">
        <v>29</v>
      </c>
      <c r="M147" s="41" t="s">
        <v>34</v>
      </c>
      <c r="N147" s="41" t="s">
        <v>31</v>
      </c>
      <c r="O147" s="41" t="s">
        <v>33</v>
      </c>
      <c r="Q147" s="17">
        <f t="shared" si="25"/>
        <v>4</v>
      </c>
      <c r="R147" s="17">
        <f t="shared" si="26"/>
        <v>4</v>
      </c>
      <c r="S147" s="17">
        <f t="shared" si="27"/>
        <v>9</v>
      </c>
      <c r="T147" s="17">
        <f t="shared" si="28"/>
        <v>6</v>
      </c>
      <c r="U147" s="17">
        <f t="shared" si="29"/>
        <v>8</v>
      </c>
      <c r="W147" s="7">
        <v>8649</v>
      </c>
      <c r="X147" s="7">
        <v>9965</v>
      </c>
      <c r="Y147" s="7">
        <v>2342</v>
      </c>
      <c r="Z147" s="7">
        <v>6903</v>
      </c>
      <c r="AA147" s="7">
        <v>8038</v>
      </c>
      <c r="AB147" s="13"/>
    </row>
    <row r="148" spans="10:28" ht="15.6" customHeight="1" x14ac:dyDescent="0.3">
      <c r="J148" s="2">
        <v>144</v>
      </c>
      <c r="K148" s="41" t="s">
        <v>32</v>
      </c>
      <c r="L148" s="41" t="s">
        <v>44</v>
      </c>
      <c r="M148" s="41" t="s">
        <v>34</v>
      </c>
      <c r="N148" s="41" t="s">
        <v>46</v>
      </c>
      <c r="O148" s="41" t="s">
        <v>34</v>
      </c>
      <c r="Q148" s="17">
        <f t="shared" si="25"/>
        <v>7</v>
      </c>
      <c r="R148" s="17">
        <f t="shared" si="26"/>
        <v>15</v>
      </c>
      <c r="S148" s="17">
        <f t="shared" si="27"/>
        <v>9</v>
      </c>
      <c r="T148" s="17">
        <f t="shared" si="28"/>
        <v>16</v>
      </c>
      <c r="U148" s="17">
        <f t="shared" si="29"/>
        <v>9</v>
      </c>
      <c r="W148" s="7">
        <v>6396</v>
      </c>
      <c r="X148" s="7">
        <v>6807</v>
      </c>
      <c r="Y148" s="7">
        <v>2342</v>
      </c>
      <c r="Z148" s="7">
        <v>18167</v>
      </c>
      <c r="AA148" s="7">
        <v>7794</v>
      </c>
      <c r="AB148" s="13"/>
    </row>
    <row r="149" spans="10:28" ht="15.6" customHeight="1" x14ac:dyDescent="0.3">
      <c r="J149" s="2">
        <v>145</v>
      </c>
      <c r="K149" s="41" t="s">
        <v>31</v>
      </c>
      <c r="L149" s="41" t="s">
        <v>29</v>
      </c>
      <c r="M149" s="41" t="s">
        <v>34</v>
      </c>
      <c r="N149" s="41" t="s">
        <v>29</v>
      </c>
      <c r="O149" s="41" t="s">
        <v>32</v>
      </c>
      <c r="Q149" s="17">
        <f t="shared" si="25"/>
        <v>6</v>
      </c>
      <c r="R149" s="17">
        <f t="shared" si="26"/>
        <v>4</v>
      </c>
      <c r="S149" s="17">
        <f t="shared" si="27"/>
        <v>9</v>
      </c>
      <c r="T149" s="17">
        <f t="shared" si="28"/>
        <v>4</v>
      </c>
      <c r="U149" s="17">
        <f t="shared" si="29"/>
        <v>7</v>
      </c>
      <c r="W149" s="7">
        <v>2273</v>
      </c>
      <c r="X149" s="7">
        <v>8990</v>
      </c>
      <c r="Y149" s="7">
        <v>2342</v>
      </c>
      <c r="Z149" s="7">
        <v>22226</v>
      </c>
      <c r="AA149" s="7">
        <v>23391</v>
      </c>
      <c r="AB149" s="13"/>
    </row>
    <row r="150" spans="10:28" ht="15.6" customHeight="1" x14ac:dyDescent="0.3">
      <c r="J150" s="2">
        <v>146</v>
      </c>
      <c r="K150" s="41" t="s">
        <v>30</v>
      </c>
      <c r="L150" s="41" t="s">
        <v>31</v>
      </c>
      <c r="M150" s="41" t="s">
        <v>34</v>
      </c>
      <c r="N150" s="41" t="s">
        <v>32</v>
      </c>
      <c r="O150" s="41" t="s">
        <v>35</v>
      </c>
      <c r="Q150" s="17">
        <f t="shared" si="25"/>
        <v>5</v>
      </c>
      <c r="R150" s="17">
        <f t="shared" si="26"/>
        <v>6</v>
      </c>
      <c r="S150" s="17">
        <f t="shared" si="27"/>
        <v>9</v>
      </c>
      <c r="T150" s="17">
        <f t="shared" si="28"/>
        <v>7</v>
      </c>
      <c r="U150" s="17">
        <f t="shared" si="29"/>
        <v>10</v>
      </c>
      <c r="W150" s="7">
        <v>2437</v>
      </c>
      <c r="X150" s="7">
        <v>6414</v>
      </c>
      <c r="Y150" s="7">
        <v>4260</v>
      </c>
      <c r="Z150" s="7">
        <v>7676</v>
      </c>
      <c r="AA150" s="7">
        <v>9616</v>
      </c>
      <c r="AB150" s="13"/>
    </row>
    <row r="151" spans="10:28" ht="15.6" customHeight="1" x14ac:dyDescent="0.3">
      <c r="J151" s="2">
        <v>147</v>
      </c>
      <c r="K151" s="41" t="s">
        <v>30</v>
      </c>
      <c r="L151" s="41" t="s">
        <v>38</v>
      </c>
      <c r="M151" s="41" t="s">
        <v>50</v>
      </c>
      <c r="N151" s="41" t="s">
        <v>31</v>
      </c>
      <c r="O151" s="41" t="s">
        <v>30</v>
      </c>
      <c r="Q151" s="17">
        <f t="shared" si="25"/>
        <v>5</v>
      </c>
      <c r="R151" s="17">
        <f t="shared" si="26"/>
        <v>12</v>
      </c>
      <c r="S151" s="17">
        <f t="shared" si="27"/>
        <v>18</v>
      </c>
      <c r="T151" s="17">
        <f t="shared" si="28"/>
        <v>6</v>
      </c>
      <c r="U151" s="17">
        <f t="shared" si="29"/>
        <v>5</v>
      </c>
      <c r="W151" s="7">
        <v>2595</v>
      </c>
      <c r="X151" s="7">
        <v>9965</v>
      </c>
      <c r="Y151" s="7">
        <v>2114</v>
      </c>
      <c r="Z151" s="7">
        <v>7818</v>
      </c>
      <c r="AA151" s="7">
        <v>10747</v>
      </c>
      <c r="AB151" s="13"/>
    </row>
    <row r="152" spans="10:28" ht="15.6" customHeight="1" x14ac:dyDescent="0.3">
      <c r="J152" s="2">
        <v>148</v>
      </c>
      <c r="K152" s="41" t="s">
        <v>34</v>
      </c>
      <c r="L152" s="41" t="s">
        <v>32</v>
      </c>
      <c r="M152" s="41" t="s">
        <v>33</v>
      </c>
      <c r="N152" s="41" t="s">
        <v>40</v>
      </c>
      <c r="O152" s="41" t="s">
        <v>31</v>
      </c>
      <c r="Q152" s="17">
        <f t="shared" si="25"/>
        <v>9</v>
      </c>
      <c r="R152" s="17">
        <f t="shared" si="26"/>
        <v>7</v>
      </c>
      <c r="S152" s="17">
        <f t="shared" si="27"/>
        <v>8</v>
      </c>
      <c r="T152" s="17">
        <f t="shared" si="28"/>
        <v>13</v>
      </c>
      <c r="U152" s="17">
        <f t="shared" si="29"/>
        <v>6</v>
      </c>
      <c r="W152" s="7">
        <v>2401</v>
      </c>
      <c r="X152" s="7">
        <v>6807</v>
      </c>
      <c r="Y152" s="7">
        <v>2417</v>
      </c>
      <c r="Z152" s="7">
        <v>7676</v>
      </c>
      <c r="AA152" s="7">
        <v>9314</v>
      </c>
      <c r="AB152" s="13"/>
    </row>
    <row r="153" spans="10:28" ht="15.6" customHeight="1" x14ac:dyDescent="0.3">
      <c r="J153" s="2">
        <v>149</v>
      </c>
      <c r="K153" s="41" t="s">
        <v>34</v>
      </c>
      <c r="L153" s="41" t="s">
        <v>29</v>
      </c>
      <c r="M153" s="41" t="s">
        <v>46</v>
      </c>
      <c r="N153" s="41" t="s">
        <v>34</v>
      </c>
      <c r="O153" s="41" t="s">
        <v>30</v>
      </c>
      <c r="Q153" s="17">
        <f t="shared" si="25"/>
        <v>9</v>
      </c>
      <c r="R153" s="17">
        <f t="shared" si="26"/>
        <v>4</v>
      </c>
      <c r="S153" s="17">
        <f t="shared" si="27"/>
        <v>16</v>
      </c>
      <c r="T153" s="17">
        <f t="shared" si="28"/>
        <v>9</v>
      </c>
      <c r="U153" s="17">
        <f t="shared" si="29"/>
        <v>5</v>
      </c>
      <c r="W153" s="7">
        <v>20360</v>
      </c>
      <c r="X153" s="7">
        <v>2697</v>
      </c>
      <c r="Y153" s="7">
        <v>8060</v>
      </c>
      <c r="Z153" s="7">
        <v>2302</v>
      </c>
      <c r="AA153" s="7">
        <v>9445</v>
      </c>
      <c r="AB153" s="13"/>
    </row>
    <row r="154" spans="10:28" ht="15.6" customHeight="1" x14ac:dyDescent="0.3">
      <c r="J154" s="2">
        <v>150</v>
      </c>
      <c r="K154" s="41" t="s">
        <v>33</v>
      </c>
      <c r="L154" s="41" t="s">
        <v>31</v>
      </c>
      <c r="M154" s="41" t="s">
        <v>35</v>
      </c>
      <c r="N154" s="41" t="s">
        <v>31</v>
      </c>
      <c r="O154" s="41" t="s">
        <v>34</v>
      </c>
      <c r="Q154" s="17">
        <f t="shared" si="25"/>
        <v>8</v>
      </c>
      <c r="R154" s="17">
        <f t="shared" si="26"/>
        <v>6</v>
      </c>
      <c r="S154" s="17">
        <f t="shared" si="27"/>
        <v>10</v>
      </c>
      <c r="T154" s="17">
        <f t="shared" si="28"/>
        <v>6</v>
      </c>
      <c r="U154" s="17">
        <f t="shared" si="29"/>
        <v>9</v>
      </c>
      <c r="W154" s="7">
        <v>21631</v>
      </c>
      <c r="X154" s="7">
        <v>6621</v>
      </c>
      <c r="Y154" s="7">
        <v>9945</v>
      </c>
      <c r="Z154" s="7">
        <v>2302</v>
      </c>
      <c r="AA154" s="7">
        <v>27901</v>
      </c>
      <c r="AB154" s="13"/>
    </row>
    <row r="155" spans="10:28" ht="15.6" customHeight="1" x14ac:dyDescent="0.3">
      <c r="J155" s="2">
        <v>151</v>
      </c>
      <c r="K155" s="41" t="s">
        <v>32</v>
      </c>
      <c r="L155" s="41" t="s">
        <v>35</v>
      </c>
      <c r="M155" s="41" t="s">
        <v>28</v>
      </c>
      <c r="N155" s="41" t="s">
        <v>33</v>
      </c>
      <c r="O155" s="41" t="s">
        <v>35</v>
      </c>
      <c r="Q155" s="17">
        <f t="shared" si="25"/>
        <v>7</v>
      </c>
      <c r="R155" s="17">
        <f t="shared" si="26"/>
        <v>10</v>
      </c>
      <c r="S155" s="17">
        <f t="shared" si="27"/>
        <v>3</v>
      </c>
      <c r="T155" s="17">
        <f t="shared" si="28"/>
        <v>8</v>
      </c>
      <c r="U155" s="17">
        <f t="shared" si="29"/>
        <v>10</v>
      </c>
      <c r="W155" s="7">
        <v>9456</v>
      </c>
      <c r="X155" s="7">
        <v>7341</v>
      </c>
      <c r="Y155" s="7">
        <v>26581</v>
      </c>
      <c r="Z155" s="7">
        <v>2302</v>
      </c>
      <c r="AA155" s="7">
        <v>9499</v>
      </c>
      <c r="AB155" s="13"/>
    </row>
    <row r="156" spans="10:28" ht="15.6" customHeight="1" x14ac:dyDescent="0.3">
      <c r="J156" s="2">
        <v>152</v>
      </c>
      <c r="K156" s="41" t="s">
        <v>35</v>
      </c>
      <c r="L156" s="41" t="s">
        <v>35</v>
      </c>
      <c r="M156" s="41" t="s">
        <v>32</v>
      </c>
      <c r="N156" s="41" t="s">
        <v>33</v>
      </c>
      <c r="O156" s="41" t="s">
        <v>34</v>
      </c>
      <c r="Q156" s="17">
        <f t="shared" si="25"/>
        <v>10</v>
      </c>
      <c r="R156" s="17">
        <f t="shared" si="26"/>
        <v>10</v>
      </c>
      <c r="S156" s="17">
        <f t="shared" si="27"/>
        <v>7</v>
      </c>
      <c r="T156" s="17">
        <f t="shared" si="28"/>
        <v>8</v>
      </c>
      <c r="U156" s="17">
        <f t="shared" si="29"/>
        <v>9</v>
      </c>
      <c r="W156" s="7">
        <v>7208</v>
      </c>
      <c r="X156" s="7">
        <v>24473</v>
      </c>
      <c r="Y156" s="7">
        <v>20159</v>
      </c>
      <c r="Z156" s="7">
        <v>7675</v>
      </c>
      <c r="AA156" s="7">
        <v>7960</v>
      </c>
      <c r="AB156" s="13"/>
    </row>
    <row r="157" spans="10:28" ht="15.6" customHeight="1" x14ac:dyDescent="0.3">
      <c r="J157" s="2">
        <v>153</v>
      </c>
      <c r="K157" s="41" t="s">
        <v>33</v>
      </c>
      <c r="L157" s="41" t="s">
        <v>48</v>
      </c>
      <c r="M157" s="41" t="s">
        <v>34</v>
      </c>
      <c r="N157" s="41" t="s">
        <v>28</v>
      </c>
      <c r="O157" s="41" t="s">
        <v>30</v>
      </c>
      <c r="Q157" s="17">
        <f t="shared" si="25"/>
        <v>8</v>
      </c>
      <c r="R157" s="17">
        <f t="shared" si="26"/>
        <v>17</v>
      </c>
      <c r="S157" s="17">
        <f t="shared" si="27"/>
        <v>9</v>
      </c>
      <c r="T157" s="17">
        <f t="shared" si="28"/>
        <v>3</v>
      </c>
      <c r="U157" s="17">
        <f t="shared" si="29"/>
        <v>5</v>
      </c>
      <c r="W157" s="7">
        <v>7208</v>
      </c>
      <c r="X157" s="7">
        <v>18536</v>
      </c>
      <c r="Y157" s="7">
        <v>8059</v>
      </c>
      <c r="Z157" s="7">
        <v>7675</v>
      </c>
      <c r="AA157" s="7">
        <v>7960</v>
      </c>
      <c r="AB157" s="13"/>
    </row>
    <row r="158" spans="10:28" ht="15.6" customHeight="1" x14ac:dyDescent="0.3">
      <c r="J158" s="2">
        <v>154</v>
      </c>
      <c r="K158" s="41" t="s">
        <v>29</v>
      </c>
      <c r="L158" s="41" t="s">
        <v>46</v>
      </c>
      <c r="M158" s="41" t="s">
        <v>30</v>
      </c>
      <c r="N158" s="41" t="s">
        <v>35</v>
      </c>
      <c r="O158" s="41" t="s">
        <v>35</v>
      </c>
      <c r="Q158" s="17">
        <f t="shared" si="25"/>
        <v>4</v>
      </c>
      <c r="R158" s="17">
        <f t="shared" si="26"/>
        <v>16</v>
      </c>
      <c r="S158" s="17">
        <f t="shared" si="27"/>
        <v>5</v>
      </c>
      <c r="T158" s="17">
        <f t="shared" si="28"/>
        <v>10</v>
      </c>
      <c r="U158" s="17">
        <f t="shared" si="29"/>
        <v>10</v>
      </c>
      <c r="W158" s="7">
        <v>2161</v>
      </c>
      <c r="X158" s="7">
        <v>8781</v>
      </c>
      <c r="Y158" s="7">
        <v>8059</v>
      </c>
      <c r="Z158" s="7">
        <v>23052</v>
      </c>
      <c r="AA158" s="7">
        <v>7960</v>
      </c>
      <c r="AB158" s="13"/>
    </row>
    <row r="159" spans="10:28" ht="15.6" customHeight="1" x14ac:dyDescent="0.3">
      <c r="J159" s="2">
        <v>155</v>
      </c>
      <c r="K159" s="41" t="s">
        <v>33</v>
      </c>
      <c r="L159" s="41" t="s">
        <v>31</v>
      </c>
      <c r="M159" s="41" t="s">
        <v>35</v>
      </c>
      <c r="N159" s="41" t="s">
        <v>36</v>
      </c>
      <c r="O159" s="41" t="s">
        <v>29</v>
      </c>
      <c r="Q159" s="17">
        <f t="shared" si="25"/>
        <v>8</v>
      </c>
      <c r="R159" s="17">
        <f t="shared" si="26"/>
        <v>6</v>
      </c>
      <c r="S159" s="17">
        <f t="shared" si="27"/>
        <v>10</v>
      </c>
      <c r="T159" s="17">
        <f t="shared" si="28"/>
        <v>11</v>
      </c>
      <c r="U159" s="17">
        <f t="shared" si="29"/>
        <v>4</v>
      </c>
      <c r="W159" s="7">
        <v>6774</v>
      </c>
      <c r="X159" s="7">
        <v>9400</v>
      </c>
      <c r="Y159" s="7">
        <v>8059</v>
      </c>
      <c r="Z159" s="7">
        <v>19644</v>
      </c>
      <c r="AA159" s="7">
        <v>2009</v>
      </c>
      <c r="AB159" s="13"/>
    </row>
    <row r="160" spans="10:28" ht="15.6" customHeight="1" x14ac:dyDescent="0.3">
      <c r="J160" s="2">
        <v>156</v>
      </c>
      <c r="K160" s="41" t="s">
        <v>35</v>
      </c>
      <c r="L160" s="41" t="s">
        <v>48</v>
      </c>
      <c r="M160" s="41" t="s">
        <v>48</v>
      </c>
      <c r="N160" s="41" t="s">
        <v>44</v>
      </c>
      <c r="O160" s="41" t="s">
        <v>32</v>
      </c>
      <c r="Q160" s="17">
        <f t="shared" si="25"/>
        <v>10</v>
      </c>
      <c r="R160" s="17">
        <f t="shared" si="26"/>
        <v>17</v>
      </c>
      <c r="S160" s="17">
        <f t="shared" si="27"/>
        <v>17</v>
      </c>
      <c r="T160" s="17">
        <f t="shared" si="28"/>
        <v>15</v>
      </c>
      <c r="U160" s="17">
        <f t="shared" si="29"/>
        <v>7</v>
      </c>
      <c r="W160" s="7">
        <v>17124</v>
      </c>
      <c r="X160" s="7">
        <v>9215</v>
      </c>
      <c r="Y160" s="7">
        <v>8147</v>
      </c>
      <c r="Z160" s="7">
        <v>21363</v>
      </c>
      <c r="AA160" s="7">
        <v>3609</v>
      </c>
      <c r="AB160" s="13"/>
    </row>
    <row r="161" spans="10:28" ht="15.6" customHeight="1" x14ac:dyDescent="0.3">
      <c r="J161" s="2">
        <v>157</v>
      </c>
      <c r="K161" s="41" t="s">
        <v>35</v>
      </c>
      <c r="L161" s="41" t="s">
        <v>38</v>
      </c>
      <c r="M161" s="41" t="s">
        <v>30</v>
      </c>
      <c r="N161" s="41" t="s">
        <v>46</v>
      </c>
      <c r="O161" s="41" t="s">
        <v>35</v>
      </c>
      <c r="Q161" s="17">
        <f t="shared" si="25"/>
        <v>10</v>
      </c>
      <c r="R161" s="17">
        <f t="shared" si="26"/>
        <v>12</v>
      </c>
      <c r="S161" s="17">
        <f t="shared" si="27"/>
        <v>5</v>
      </c>
      <c r="T161" s="17">
        <f t="shared" si="28"/>
        <v>16</v>
      </c>
      <c r="U161" s="17">
        <f t="shared" si="29"/>
        <v>10</v>
      </c>
      <c r="W161" s="7">
        <v>21216</v>
      </c>
      <c r="X161" s="7">
        <v>6918</v>
      </c>
      <c r="Y161" s="7">
        <v>8059</v>
      </c>
      <c r="Z161" s="7">
        <v>25666</v>
      </c>
      <c r="AA161" s="7">
        <v>2884</v>
      </c>
      <c r="AB161" s="13"/>
    </row>
    <row r="162" spans="10:28" ht="15.6" customHeight="1" x14ac:dyDescent="0.3">
      <c r="J162" s="2">
        <v>158</v>
      </c>
      <c r="K162" s="41" t="s">
        <v>34</v>
      </c>
      <c r="L162" s="41" t="s">
        <v>40</v>
      </c>
      <c r="M162" s="41" t="s">
        <v>50</v>
      </c>
      <c r="N162" s="41" t="s">
        <v>48</v>
      </c>
      <c r="O162" s="41" t="s">
        <v>35</v>
      </c>
      <c r="Q162" s="17">
        <f t="shared" si="25"/>
        <v>9</v>
      </c>
      <c r="R162" s="17">
        <f t="shared" si="26"/>
        <v>13</v>
      </c>
      <c r="S162" s="17">
        <f t="shared" si="27"/>
        <v>18</v>
      </c>
      <c r="T162" s="17">
        <f t="shared" si="28"/>
        <v>17</v>
      </c>
      <c r="U162" s="17">
        <f t="shared" si="29"/>
        <v>10</v>
      </c>
      <c r="W162" s="7">
        <v>9738</v>
      </c>
      <c r="X162" s="7">
        <v>23022</v>
      </c>
      <c r="Y162" s="7">
        <v>8059</v>
      </c>
      <c r="Z162" s="7">
        <v>17248</v>
      </c>
      <c r="AA162" s="7">
        <v>3222</v>
      </c>
      <c r="AB162" s="13"/>
    </row>
    <row r="163" spans="10:28" ht="15.6" customHeight="1" x14ac:dyDescent="0.3">
      <c r="J163" s="2">
        <v>159</v>
      </c>
      <c r="K163" s="41" t="s">
        <v>32</v>
      </c>
      <c r="L163" s="41" t="s">
        <v>33</v>
      </c>
      <c r="M163" s="41" t="s">
        <v>30</v>
      </c>
      <c r="N163" s="41" t="s">
        <v>46</v>
      </c>
      <c r="O163" s="41" t="s">
        <v>35</v>
      </c>
      <c r="Q163" s="17">
        <f t="shared" si="25"/>
        <v>7</v>
      </c>
      <c r="R163" s="17">
        <f t="shared" si="26"/>
        <v>8</v>
      </c>
      <c r="S163" s="17">
        <f t="shared" si="27"/>
        <v>5</v>
      </c>
      <c r="T163" s="17">
        <f t="shared" si="28"/>
        <v>16</v>
      </c>
      <c r="U163" s="17">
        <f t="shared" si="29"/>
        <v>10</v>
      </c>
      <c r="W163" s="7">
        <v>2595</v>
      </c>
      <c r="X163" s="7">
        <v>49012</v>
      </c>
      <c r="Y163" s="7">
        <v>2016</v>
      </c>
      <c r="Z163" s="7">
        <v>7675</v>
      </c>
      <c r="AA163" s="7">
        <v>9314</v>
      </c>
      <c r="AB163" s="13"/>
    </row>
    <row r="164" spans="10:28" ht="15.6" customHeight="1" x14ac:dyDescent="0.3">
      <c r="J164" s="2">
        <v>160</v>
      </c>
      <c r="K164" s="41" t="s">
        <v>28</v>
      </c>
      <c r="L164" s="41" t="s">
        <v>29</v>
      </c>
      <c r="M164" s="41" t="s">
        <v>32</v>
      </c>
      <c r="N164" s="41" t="s">
        <v>35</v>
      </c>
      <c r="O164" s="41" t="s">
        <v>33</v>
      </c>
      <c r="Q164" s="17">
        <f t="shared" ref="Q164:Q195" si="30">IF(K164="","",VLOOKUP(K164,$A$4:$H$22,8,FALSE))</f>
        <v>3</v>
      </c>
      <c r="R164" s="17">
        <f t="shared" ref="R164:R195" si="31">IF(L164="","",VLOOKUP(L164,$A$4:$H$22,8,FALSE))</f>
        <v>4</v>
      </c>
      <c r="S164" s="17">
        <f t="shared" ref="S164:S195" si="32">IF(M164="","",VLOOKUP(M164,$A$4:$H$22,8,FALSE))</f>
        <v>7</v>
      </c>
      <c r="T164" s="17">
        <f t="shared" ref="T164:T195" si="33">IF(N164="","",VLOOKUP(N164,$A$4:$H$22,8,FALSE))</f>
        <v>10</v>
      </c>
      <c r="U164" s="17">
        <f t="shared" ref="U164:U195" si="34">IF(O164="","",VLOOKUP(O164,$A$4:$H$22,8,FALSE))</f>
        <v>8</v>
      </c>
      <c r="W164" s="7">
        <v>2595</v>
      </c>
      <c r="X164" s="7">
        <v>21709</v>
      </c>
      <c r="Y164" s="7">
        <v>2016</v>
      </c>
      <c r="Z164" s="7">
        <v>6395</v>
      </c>
      <c r="AA164" s="7">
        <v>9445</v>
      </c>
      <c r="AB164" s="13"/>
    </row>
    <row r="165" spans="10:28" ht="15.6" customHeight="1" x14ac:dyDescent="0.3">
      <c r="J165" s="2">
        <v>161</v>
      </c>
      <c r="K165" s="41" t="s">
        <v>34</v>
      </c>
      <c r="L165" s="41" t="s">
        <v>32</v>
      </c>
      <c r="M165" s="41" t="s">
        <v>38</v>
      </c>
      <c r="N165" s="41" t="s">
        <v>48</v>
      </c>
      <c r="O165" s="41" t="s">
        <v>28</v>
      </c>
      <c r="Q165" s="17">
        <f t="shared" si="30"/>
        <v>9</v>
      </c>
      <c r="R165" s="17">
        <f t="shared" si="31"/>
        <v>7</v>
      </c>
      <c r="S165" s="17">
        <f t="shared" si="32"/>
        <v>12</v>
      </c>
      <c r="T165" s="17">
        <f t="shared" si="33"/>
        <v>17</v>
      </c>
      <c r="U165" s="17">
        <f t="shared" si="34"/>
        <v>3</v>
      </c>
      <c r="W165" s="7">
        <v>8654</v>
      </c>
      <c r="X165" s="7">
        <v>24357</v>
      </c>
      <c r="Y165" s="7">
        <v>2016</v>
      </c>
      <c r="Z165" s="7">
        <v>1920</v>
      </c>
      <c r="AA165" s="7">
        <v>27901</v>
      </c>
      <c r="AB165" s="13"/>
    </row>
    <row r="166" spans="10:28" ht="15.6" customHeight="1" x14ac:dyDescent="0.3">
      <c r="J166" s="2">
        <v>162</v>
      </c>
      <c r="K166" s="41" t="s">
        <v>34</v>
      </c>
      <c r="L166" s="41" t="s">
        <v>31</v>
      </c>
      <c r="M166" s="41" t="s">
        <v>29</v>
      </c>
      <c r="N166" s="41" t="s">
        <v>42</v>
      </c>
      <c r="O166" s="41" t="s">
        <v>35</v>
      </c>
      <c r="Q166" s="17">
        <f t="shared" si="30"/>
        <v>9</v>
      </c>
      <c r="R166" s="17">
        <f t="shared" si="31"/>
        <v>6</v>
      </c>
      <c r="S166" s="17">
        <f t="shared" si="32"/>
        <v>4</v>
      </c>
      <c r="T166" s="17">
        <f t="shared" si="33"/>
        <v>14</v>
      </c>
      <c r="U166" s="17">
        <f t="shared" si="34"/>
        <v>10</v>
      </c>
      <c r="W166" s="7">
        <v>26461</v>
      </c>
      <c r="X166" s="7">
        <v>21212</v>
      </c>
      <c r="Y166" s="7">
        <v>2016</v>
      </c>
      <c r="Z166" s="7">
        <v>1920</v>
      </c>
      <c r="AA166" s="7">
        <v>2852</v>
      </c>
      <c r="AB166" s="13"/>
    </row>
    <row r="167" spans="10:28" ht="15.6" customHeight="1" x14ac:dyDescent="0.3">
      <c r="J167" s="2">
        <v>163</v>
      </c>
      <c r="K167" s="41" t="s">
        <v>30</v>
      </c>
      <c r="L167" s="41" t="s">
        <v>34</v>
      </c>
      <c r="M167" s="41" t="s">
        <v>29</v>
      </c>
      <c r="N167" s="41" t="s">
        <v>40</v>
      </c>
      <c r="O167" s="41" t="s">
        <v>31</v>
      </c>
      <c r="Q167" s="17">
        <f t="shared" si="30"/>
        <v>5</v>
      </c>
      <c r="R167" s="17">
        <f t="shared" si="31"/>
        <v>9</v>
      </c>
      <c r="S167" s="17">
        <f t="shared" si="32"/>
        <v>4</v>
      </c>
      <c r="T167" s="17">
        <f t="shared" si="33"/>
        <v>13</v>
      </c>
      <c r="U167" s="17">
        <f t="shared" si="34"/>
        <v>6</v>
      </c>
      <c r="W167" s="7">
        <v>7262</v>
      </c>
      <c r="X167" s="7">
        <v>7209</v>
      </c>
      <c r="Y167" s="7">
        <v>18872</v>
      </c>
      <c r="Z167" s="7">
        <v>2302</v>
      </c>
      <c r="AA167" s="7">
        <v>2390</v>
      </c>
      <c r="AB167" s="13"/>
    </row>
    <row r="168" spans="10:28" ht="15.6" customHeight="1" x14ac:dyDescent="0.3">
      <c r="J168" s="2">
        <v>164</v>
      </c>
      <c r="K168" s="41" t="s">
        <v>35</v>
      </c>
      <c r="L168" s="41" t="s">
        <v>33</v>
      </c>
      <c r="M168" s="41" t="s">
        <v>50</v>
      </c>
      <c r="N168" s="41" t="s">
        <v>30</v>
      </c>
      <c r="O168" s="41" t="s">
        <v>30</v>
      </c>
      <c r="Q168" s="17">
        <f t="shared" si="30"/>
        <v>10</v>
      </c>
      <c r="R168" s="17">
        <f t="shared" si="31"/>
        <v>8</v>
      </c>
      <c r="S168" s="17">
        <f t="shared" si="32"/>
        <v>18</v>
      </c>
      <c r="T168" s="17">
        <f t="shared" si="33"/>
        <v>5</v>
      </c>
      <c r="U168" s="17">
        <f t="shared" si="34"/>
        <v>5</v>
      </c>
      <c r="W168" s="7">
        <v>7721</v>
      </c>
      <c r="X168" s="7">
        <v>10820</v>
      </c>
      <c r="Y168" s="7">
        <v>24621</v>
      </c>
      <c r="Z168" s="7">
        <v>21864</v>
      </c>
      <c r="AA168" s="7">
        <v>2390</v>
      </c>
      <c r="AB168" s="13"/>
    </row>
    <row r="169" spans="10:28" ht="15.6" customHeight="1" x14ac:dyDescent="0.3">
      <c r="J169" s="2">
        <v>165</v>
      </c>
      <c r="K169" s="41" t="s">
        <v>29</v>
      </c>
      <c r="L169" s="41" t="s">
        <v>42</v>
      </c>
      <c r="M169" s="41" t="s">
        <v>29</v>
      </c>
      <c r="N169" s="41" t="s">
        <v>34</v>
      </c>
      <c r="O169" s="41" t="s">
        <v>30</v>
      </c>
      <c r="Q169" s="17">
        <f t="shared" si="30"/>
        <v>4</v>
      </c>
      <c r="R169" s="17">
        <f t="shared" si="31"/>
        <v>14</v>
      </c>
      <c r="S169" s="17">
        <f t="shared" si="32"/>
        <v>4</v>
      </c>
      <c r="T169" s="17">
        <f t="shared" si="33"/>
        <v>9</v>
      </c>
      <c r="U169" s="17">
        <f t="shared" si="34"/>
        <v>5</v>
      </c>
      <c r="W169" s="7">
        <v>7262</v>
      </c>
      <c r="X169" s="7">
        <v>11725</v>
      </c>
      <c r="Y169" s="7">
        <v>2417</v>
      </c>
      <c r="Z169" s="7">
        <v>20734</v>
      </c>
      <c r="AA169" s="7">
        <v>7960</v>
      </c>
      <c r="AB169" s="13"/>
    </row>
    <row r="170" spans="10:28" ht="15.6" customHeight="1" x14ac:dyDescent="0.3">
      <c r="J170" s="2">
        <v>166</v>
      </c>
      <c r="K170" s="41" t="s">
        <v>32</v>
      </c>
      <c r="L170" s="41" t="s">
        <v>30</v>
      </c>
      <c r="M170" s="41" t="s">
        <v>46</v>
      </c>
      <c r="N170" s="41" t="s">
        <v>42</v>
      </c>
      <c r="O170" s="41" t="s">
        <v>31</v>
      </c>
      <c r="Q170" s="17">
        <f t="shared" si="30"/>
        <v>7</v>
      </c>
      <c r="R170" s="17">
        <f t="shared" si="31"/>
        <v>5</v>
      </c>
      <c r="S170" s="17">
        <f t="shared" si="32"/>
        <v>16</v>
      </c>
      <c r="T170" s="17">
        <f t="shared" si="33"/>
        <v>14</v>
      </c>
      <c r="U170" s="17">
        <f t="shared" si="34"/>
        <v>6</v>
      </c>
      <c r="W170" s="7">
        <v>10271</v>
      </c>
      <c r="X170" s="7">
        <v>10158</v>
      </c>
      <c r="Y170" s="7">
        <v>2016</v>
      </c>
      <c r="Z170" s="7">
        <v>21192</v>
      </c>
      <c r="AA170" s="7">
        <v>6689</v>
      </c>
      <c r="AB170" s="13"/>
    </row>
    <row r="171" spans="10:28" ht="15.6" customHeight="1" x14ac:dyDescent="0.3">
      <c r="J171" s="2">
        <v>167</v>
      </c>
      <c r="K171" s="41" t="s">
        <v>34</v>
      </c>
      <c r="L171" s="41" t="s">
        <v>26</v>
      </c>
      <c r="M171" s="41" t="s">
        <v>28</v>
      </c>
      <c r="N171" s="41" t="s">
        <v>34</v>
      </c>
      <c r="O171" s="41" t="s">
        <v>33</v>
      </c>
      <c r="Q171" s="17">
        <f t="shared" si="30"/>
        <v>9</v>
      </c>
      <c r="R171" s="17">
        <f t="shared" si="31"/>
        <v>2</v>
      </c>
      <c r="S171" s="17">
        <f t="shared" si="32"/>
        <v>3</v>
      </c>
      <c r="T171" s="17">
        <f t="shared" si="33"/>
        <v>9</v>
      </c>
      <c r="U171" s="17">
        <f t="shared" si="34"/>
        <v>8</v>
      </c>
      <c r="W171" s="7">
        <v>8833</v>
      </c>
      <c r="X171" s="7">
        <v>7253</v>
      </c>
      <c r="Y171" s="7">
        <v>2016</v>
      </c>
      <c r="Z171" s="7">
        <v>17764</v>
      </c>
      <c r="AA171" s="7">
        <v>12025</v>
      </c>
      <c r="AB171" s="13"/>
    </row>
    <row r="172" spans="10:28" ht="15.6" customHeight="1" x14ac:dyDescent="0.3">
      <c r="J172" s="2">
        <v>168</v>
      </c>
      <c r="K172" s="41" t="s">
        <v>32</v>
      </c>
      <c r="L172" s="41" t="s">
        <v>30</v>
      </c>
      <c r="M172" s="41" t="s">
        <v>36</v>
      </c>
      <c r="N172" s="41" t="s">
        <v>34</v>
      </c>
      <c r="O172" s="41" t="s">
        <v>35</v>
      </c>
      <c r="Q172" s="17">
        <f t="shared" si="30"/>
        <v>7</v>
      </c>
      <c r="R172" s="17">
        <f t="shared" si="31"/>
        <v>5</v>
      </c>
      <c r="S172" s="17">
        <f t="shared" si="32"/>
        <v>11</v>
      </c>
      <c r="T172" s="17">
        <f t="shared" si="33"/>
        <v>9</v>
      </c>
      <c r="U172" s="17">
        <f t="shared" si="34"/>
        <v>10</v>
      </c>
      <c r="W172" s="7">
        <v>7208</v>
      </c>
      <c r="X172" s="7">
        <v>5653</v>
      </c>
      <c r="Y172" s="7">
        <v>2016</v>
      </c>
      <c r="Z172" s="7">
        <v>7691</v>
      </c>
      <c r="AA172" s="7">
        <v>66330</v>
      </c>
      <c r="AB172" s="13"/>
    </row>
    <row r="173" spans="10:28" ht="15.6" customHeight="1" x14ac:dyDescent="0.3">
      <c r="J173" s="2">
        <v>169</v>
      </c>
      <c r="K173" s="41" t="s">
        <v>29</v>
      </c>
      <c r="L173" s="41" t="s">
        <v>44</v>
      </c>
      <c r="M173" s="41" t="s">
        <v>28</v>
      </c>
      <c r="N173" s="41" t="s">
        <v>34</v>
      </c>
      <c r="O173" s="41" t="s">
        <v>34</v>
      </c>
      <c r="Q173" s="17">
        <f t="shared" si="30"/>
        <v>4</v>
      </c>
      <c r="R173" s="17">
        <f t="shared" si="31"/>
        <v>15</v>
      </c>
      <c r="S173" s="17">
        <f t="shared" si="32"/>
        <v>3</v>
      </c>
      <c r="T173" s="17">
        <f t="shared" si="33"/>
        <v>9</v>
      </c>
      <c r="U173" s="17">
        <f t="shared" si="34"/>
        <v>9</v>
      </c>
      <c r="W173" s="7">
        <v>7208</v>
      </c>
      <c r="X173" s="7">
        <v>1812</v>
      </c>
      <c r="Y173" s="7">
        <v>7330</v>
      </c>
      <c r="Z173" s="7">
        <v>8513</v>
      </c>
      <c r="AA173" s="7">
        <v>16596</v>
      </c>
      <c r="AB173" s="13"/>
    </row>
    <row r="174" spans="10:28" ht="15.6" customHeight="1" x14ac:dyDescent="0.3">
      <c r="J174" s="2">
        <v>170</v>
      </c>
      <c r="K174" s="41" t="s">
        <v>32</v>
      </c>
      <c r="L174" s="41" t="s">
        <v>44</v>
      </c>
      <c r="M174" s="41" t="s">
        <v>34</v>
      </c>
      <c r="N174" s="41" t="s">
        <v>38</v>
      </c>
      <c r="O174" s="41" t="s">
        <v>35</v>
      </c>
      <c r="Q174" s="17">
        <f t="shared" si="30"/>
        <v>7</v>
      </c>
      <c r="R174" s="17">
        <f t="shared" si="31"/>
        <v>15</v>
      </c>
      <c r="S174" s="17">
        <f t="shared" si="32"/>
        <v>9</v>
      </c>
      <c r="T174" s="17">
        <f t="shared" si="33"/>
        <v>12</v>
      </c>
      <c r="U174" s="17">
        <f t="shared" si="34"/>
        <v>10</v>
      </c>
      <c r="W174" s="7">
        <v>7208</v>
      </c>
      <c r="X174" s="7">
        <v>1962</v>
      </c>
      <c r="Y174" s="7">
        <v>14842</v>
      </c>
      <c r="Z174" s="7">
        <v>7675</v>
      </c>
      <c r="AA174" s="7">
        <v>25515</v>
      </c>
      <c r="AB174" s="13"/>
    </row>
    <row r="175" spans="10:28" ht="15.6" customHeight="1" x14ac:dyDescent="0.3">
      <c r="J175" s="2">
        <v>171</v>
      </c>
      <c r="K175" s="41" t="s">
        <v>29</v>
      </c>
      <c r="L175" s="41" t="s">
        <v>44</v>
      </c>
      <c r="M175" s="41" t="s">
        <v>48</v>
      </c>
      <c r="N175" s="41" t="s">
        <v>33</v>
      </c>
      <c r="O175" s="41" t="s">
        <v>33</v>
      </c>
      <c r="Q175" s="17">
        <f t="shared" si="30"/>
        <v>4</v>
      </c>
      <c r="R175" s="17">
        <f t="shared" si="31"/>
        <v>15</v>
      </c>
      <c r="S175" s="17">
        <f t="shared" si="32"/>
        <v>17</v>
      </c>
      <c r="T175" s="17">
        <f t="shared" si="33"/>
        <v>8</v>
      </c>
      <c r="U175" s="17">
        <f t="shared" si="34"/>
        <v>8</v>
      </c>
      <c r="W175" s="7">
        <v>7208</v>
      </c>
      <c r="X175" s="7">
        <v>15076</v>
      </c>
      <c r="Y175" s="7">
        <v>24154</v>
      </c>
      <c r="Z175" s="7">
        <v>7675</v>
      </c>
      <c r="AA175" s="7">
        <v>8701</v>
      </c>
      <c r="AB175" s="13"/>
    </row>
    <row r="176" spans="10:28" ht="15.6" customHeight="1" x14ac:dyDescent="0.3">
      <c r="J176" s="2">
        <v>172</v>
      </c>
      <c r="K176" s="41" t="s">
        <v>30</v>
      </c>
      <c r="L176" s="41" t="s">
        <v>30</v>
      </c>
      <c r="M176" s="41" t="s">
        <v>44</v>
      </c>
      <c r="N176" s="41" t="s">
        <v>34</v>
      </c>
      <c r="O176" s="41" t="s">
        <v>35</v>
      </c>
      <c r="Q176" s="17">
        <f t="shared" si="30"/>
        <v>5</v>
      </c>
      <c r="R176" s="17">
        <f t="shared" si="31"/>
        <v>5</v>
      </c>
      <c r="S176" s="17">
        <f t="shared" si="32"/>
        <v>15</v>
      </c>
      <c r="T176" s="17">
        <f t="shared" si="33"/>
        <v>9</v>
      </c>
      <c r="U176" s="17">
        <f t="shared" si="34"/>
        <v>10</v>
      </c>
      <c r="W176" s="7">
        <v>8722</v>
      </c>
      <c r="X176" s="7">
        <v>36549</v>
      </c>
      <c r="Y176" s="7">
        <v>7384</v>
      </c>
      <c r="Z176" s="7">
        <v>7675</v>
      </c>
      <c r="AA176" s="7">
        <v>6634</v>
      </c>
      <c r="AB176" s="13"/>
    </row>
    <row r="177" spans="10:28" ht="15.6" customHeight="1" x14ac:dyDescent="0.3">
      <c r="J177" s="2">
        <v>173</v>
      </c>
      <c r="K177" s="41" t="s">
        <v>33</v>
      </c>
      <c r="L177" s="41" t="s">
        <v>42</v>
      </c>
      <c r="M177" s="41" t="s">
        <v>34</v>
      </c>
      <c r="N177" s="41" t="s">
        <v>33</v>
      </c>
      <c r="O177" s="41" t="s">
        <v>28</v>
      </c>
      <c r="Q177" s="17">
        <f t="shared" si="30"/>
        <v>8</v>
      </c>
      <c r="R177" s="17">
        <f t="shared" si="31"/>
        <v>14</v>
      </c>
      <c r="S177" s="17">
        <f t="shared" si="32"/>
        <v>9</v>
      </c>
      <c r="T177" s="17">
        <f t="shared" si="33"/>
        <v>8</v>
      </c>
      <c r="U177" s="17">
        <f t="shared" si="34"/>
        <v>3</v>
      </c>
      <c r="W177" s="7">
        <v>29876</v>
      </c>
      <c r="X177" s="7">
        <v>29072</v>
      </c>
      <c r="Y177" s="7">
        <v>8415</v>
      </c>
      <c r="Z177" s="7">
        <v>7675</v>
      </c>
      <c r="AA177" s="7">
        <v>6634</v>
      </c>
      <c r="AB177" s="13"/>
    </row>
    <row r="178" spans="10:28" ht="15.6" customHeight="1" x14ac:dyDescent="0.3">
      <c r="J178" s="2">
        <v>174</v>
      </c>
      <c r="K178" s="41" t="s">
        <v>34</v>
      </c>
      <c r="L178" s="41" t="s">
        <v>44</v>
      </c>
      <c r="M178" s="41" t="s">
        <v>35</v>
      </c>
      <c r="N178" s="41" t="s">
        <v>28</v>
      </c>
      <c r="O178" s="41" t="s">
        <v>34</v>
      </c>
      <c r="Q178" s="17">
        <f t="shared" si="30"/>
        <v>9</v>
      </c>
      <c r="R178" s="17">
        <f t="shared" si="31"/>
        <v>15</v>
      </c>
      <c r="S178" s="17">
        <f t="shared" si="32"/>
        <v>10</v>
      </c>
      <c r="T178" s="17">
        <f t="shared" si="33"/>
        <v>3</v>
      </c>
      <c r="U178" s="17">
        <f t="shared" si="34"/>
        <v>9</v>
      </c>
      <c r="W178" s="7">
        <v>9440</v>
      </c>
      <c r="X178" s="7">
        <v>9965</v>
      </c>
      <c r="Y178" s="7">
        <v>8059</v>
      </c>
      <c r="Z178" s="7">
        <v>22953</v>
      </c>
      <c r="AA178" s="7">
        <v>1987</v>
      </c>
      <c r="AB178" s="13"/>
    </row>
    <row r="179" spans="10:28" ht="15.6" customHeight="1" x14ac:dyDescent="0.3">
      <c r="J179" s="2">
        <v>175</v>
      </c>
      <c r="K179" s="41" t="s">
        <v>33</v>
      </c>
      <c r="L179" s="41" t="s">
        <v>42</v>
      </c>
      <c r="M179" s="41" t="s">
        <v>40</v>
      </c>
      <c r="N179" s="41" t="s">
        <v>31</v>
      </c>
      <c r="O179" s="41" t="s">
        <v>29</v>
      </c>
      <c r="Q179" s="17">
        <f t="shared" si="30"/>
        <v>8</v>
      </c>
      <c r="R179" s="17">
        <f t="shared" si="31"/>
        <v>14</v>
      </c>
      <c r="S179" s="17">
        <f t="shared" si="32"/>
        <v>13</v>
      </c>
      <c r="T179" s="17">
        <f t="shared" si="33"/>
        <v>6</v>
      </c>
      <c r="U179" s="17">
        <f t="shared" si="34"/>
        <v>4</v>
      </c>
      <c r="W179" s="7">
        <v>8896</v>
      </c>
      <c r="X179" s="7">
        <v>6807</v>
      </c>
      <c r="Y179" s="7">
        <v>9015</v>
      </c>
      <c r="Z179" s="7">
        <v>8126</v>
      </c>
      <c r="AA179" s="7">
        <v>1987</v>
      </c>
      <c r="AB179" s="13"/>
    </row>
    <row r="180" spans="10:28" ht="15.6" customHeight="1" x14ac:dyDescent="0.3">
      <c r="J180" s="2">
        <v>176</v>
      </c>
      <c r="K180" s="41" t="s">
        <v>32</v>
      </c>
      <c r="L180" s="41" t="s">
        <v>38</v>
      </c>
      <c r="M180" s="41" t="s">
        <v>29</v>
      </c>
      <c r="N180" s="41" t="s">
        <v>50</v>
      </c>
      <c r="O180" s="41" t="s">
        <v>30</v>
      </c>
      <c r="Q180" s="17">
        <f t="shared" si="30"/>
        <v>7</v>
      </c>
      <c r="R180" s="17">
        <f t="shared" si="31"/>
        <v>12</v>
      </c>
      <c r="S180" s="17">
        <f t="shared" si="32"/>
        <v>4</v>
      </c>
      <c r="T180" s="17">
        <f t="shared" si="33"/>
        <v>18</v>
      </c>
      <c r="U180" s="17">
        <f t="shared" si="34"/>
        <v>5</v>
      </c>
      <c r="W180" s="7">
        <v>8649</v>
      </c>
      <c r="X180" s="7">
        <v>16631</v>
      </c>
      <c r="Y180" s="7">
        <v>24683</v>
      </c>
      <c r="Z180" s="7">
        <v>7675</v>
      </c>
      <c r="AA180" s="7">
        <v>2390</v>
      </c>
      <c r="AB180" s="13"/>
    </row>
    <row r="181" spans="10:28" ht="15.6" customHeight="1" x14ac:dyDescent="0.3">
      <c r="J181" s="2">
        <v>177</v>
      </c>
      <c r="K181" s="41" t="s">
        <v>30</v>
      </c>
      <c r="L181" s="41" t="s">
        <v>44</v>
      </c>
      <c r="M181" s="41" t="s">
        <v>36</v>
      </c>
      <c r="N181" s="41" t="s">
        <v>34</v>
      </c>
      <c r="O181" s="41" t="s">
        <v>30</v>
      </c>
      <c r="Q181" s="17">
        <f t="shared" si="30"/>
        <v>5</v>
      </c>
      <c r="R181" s="17">
        <f t="shared" si="31"/>
        <v>15</v>
      </c>
      <c r="S181" s="17">
        <f t="shared" si="32"/>
        <v>11</v>
      </c>
      <c r="T181" s="17">
        <f t="shared" si="33"/>
        <v>9</v>
      </c>
      <c r="U181" s="17">
        <f t="shared" si="34"/>
        <v>5</v>
      </c>
      <c r="W181" s="7">
        <v>2595</v>
      </c>
      <c r="X181" s="7">
        <v>15076</v>
      </c>
      <c r="Y181" s="7">
        <v>20045</v>
      </c>
      <c r="Z181" s="7">
        <v>8615</v>
      </c>
      <c r="AA181" s="7">
        <v>2390</v>
      </c>
      <c r="AB181" s="13"/>
    </row>
    <row r="182" spans="10:28" ht="15.6" customHeight="1" x14ac:dyDescent="0.3">
      <c r="J182" s="2">
        <v>178</v>
      </c>
      <c r="K182" s="41" t="s">
        <v>29</v>
      </c>
      <c r="L182" s="41" t="s">
        <v>35</v>
      </c>
      <c r="M182" s="41" t="s">
        <v>34</v>
      </c>
      <c r="N182" s="41" t="s">
        <v>36</v>
      </c>
      <c r="O182" s="41" t="s">
        <v>30</v>
      </c>
      <c r="Q182" s="17">
        <f t="shared" si="30"/>
        <v>4</v>
      </c>
      <c r="R182" s="17">
        <f t="shared" si="31"/>
        <v>10</v>
      </c>
      <c r="S182" s="17">
        <f t="shared" si="32"/>
        <v>9</v>
      </c>
      <c r="T182" s="17">
        <f t="shared" si="33"/>
        <v>11</v>
      </c>
      <c r="U182" s="17">
        <f t="shared" si="34"/>
        <v>5</v>
      </c>
      <c r="W182" s="7">
        <v>2161</v>
      </c>
      <c r="X182" s="7">
        <v>17103</v>
      </c>
      <c r="Y182" s="7">
        <v>3373</v>
      </c>
      <c r="Z182" s="7">
        <v>7675</v>
      </c>
      <c r="AA182" s="7">
        <v>11413</v>
      </c>
      <c r="AB182" s="13"/>
    </row>
    <row r="183" spans="10:28" ht="15.6" customHeight="1" x14ac:dyDescent="0.3">
      <c r="J183" s="2">
        <v>179</v>
      </c>
      <c r="K183" s="41" t="s">
        <v>31</v>
      </c>
      <c r="L183" s="41" t="s">
        <v>38</v>
      </c>
      <c r="M183" s="41" t="s">
        <v>32</v>
      </c>
      <c r="N183" s="41" t="s">
        <v>33</v>
      </c>
      <c r="O183" s="41" t="s">
        <v>26</v>
      </c>
      <c r="Q183" s="17">
        <f t="shared" si="30"/>
        <v>6</v>
      </c>
      <c r="R183" s="17">
        <f t="shared" si="31"/>
        <v>12</v>
      </c>
      <c r="S183" s="17">
        <f t="shared" si="32"/>
        <v>7</v>
      </c>
      <c r="T183" s="17">
        <f t="shared" si="33"/>
        <v>8</v>
      </c>
      <c r="U183" s="17">
        <f t="shared" si="34"/>
        <v>2</v>
      </c>
      <c r="W183" s="7">
        <v>5522</v>
      </c>
      <c r="X183" s="7">
        <v>6046</v>
      </c>
      <c r="Y183" s="7">
        <v>3551</v>
      </c>
      <c r="Z183" s="7">
        <v>7827</v>
      </c>
      <c r="AA183" s="7">
        <v>10483</v>
      </c>
      <c r="AB183" s="13"/>
    </row>
    <row r="184" spans="10:28" ht="15.6" customHeight="1" x14ac:dyDescent="0.3">
      <c r="J184" s="2">
        <v>180</v>
      </c>
      <c r="K184" s="41" t="s">
        <v>31</v>
      </c>
      <c r="L184" s="41" t="s">
        <v>36</v>
      </c>
      <c r="M184" s="41" t="s">
        <v>48</v>
      </c>
      <c r="N184" s="41" t="s">
        <v>48</v>
      </c>
      <c r="O184" s="41" t="s">
        <v>29</v>
      </c>
      <c r="Q184" s="17">
        <f t="shared" si="30"/>
        <v>6</v>
      </c>
      <c r="R184" s="17">
        <f t="shared" si="31"/>
        <v>11</v>
      </c>
      <c r="S184" s="17">
        <f t="shared" si="32"/>
        <v>17</v>
      </c>
      <c r="T184" s="17">
        <f t="shared" si="33"/>
        <v>17</v>
      </c>
      <c r="U184" s="17">
        <f t="shared" si="34"/>
        <v>4</v>
      </c>
      <c r="W184" s="7">
        <v>53823</v>
      </c>
      <c r="X184" s="7">
        <v>6536</v>
      </c>
      <c r="Y184" s="7">
        <v>4647</v>
      </c>
      <c r="Z184" s="7">
        <v>20508</v>
      </c>
      <c r="AA184" s="7">
        <v>6634</v>
      </c>
      <c r="AB184" s="13"/>
    </row>
    <row r="185" spans="10:28" ht="15.6" customHeight="1" x14ac:dyDescent="0.3">
      <c r="J185" s="2">
        <v>181</v>
      </c>
      <c r="K185" s="41" t="s">
        <v>35</v>
      </c>
      <c r="L185" s="41" t="s">
        <v>31</v>
      </c>
      <c r="M185" s="41" t="s">
        <v>34</v>
      </c>
      <c r="N185" s="41" t="s">
        <v>35</v>
      </c>
      <c r="O185" s="41" t="s">
        <v>34</v>
      </c>
      <c r="Q185" s="17">
        <f t="shared" si="30"/>
        <v>10</v>
      </c>
      <c r="R185" s="17">
        <f t="shared" si="31"/>
        <v>6</v>
      </c>
      <c r="S185" s="17">
        <f t="shared" si="32"/>
        <v>9</v>
      </c>
      <c r="T185" s="17">
        <f t="shared" si="33"/>
        <v>10</v>
      </c>
      <c r="U185" s="17">
        <f t="shared" si="34"/>
        <v>9</v>
      </c>
      <c r="W185" s="7">
        <v>5609</v>
      </c>
      <c r="X185" s="7">
        <v>5634</v>
      </c>
      <c r="Y185" s="7">
        <v>3793</v>
      </c>
      <c r="Z185" s="7">
        <v>9796</v>
      </c>
      <c r="AA185" s="7">
        <v>20037</v>
      </c>
      <c r="AB185" s="13"/>
    </row>
    <row r="186" spans="10:28" ht="15.6" customHeight="1" x14ac:dyDescent="0.3">
      <c r="J186" s="2">
        <v>182</v>
      </c>
      <c r="K186" s="41" t="s">
        <v>32</v>
      </c>
      <c r="L186" s="41" t="s">
        <v>40</v>
      </c>
      <c r="M186" s="41" t="s">
        <v>48</v>
      </c>
      <c r="N186" s="41" t="s">
        <v>30</v>
      </c>
      <c r="O186" s="41" t="s">
        <v>33</v>
      </c>
      <c r="Q186" s="17">
        <f t="shared" si="30"/>
        <v>7</v>
      </c>
      <c r="R186" s="17">
        <f t="shared" si="31"/>
        <v>13</v>
      </c>
      <c r="S186" s="17">
        <f t="shared" si="32"/>
        <v>17</v>
      </c>
      <c r="T186" s="17">
        <f t="shared" si="33"/>
        <v>5</v>
      </c>
      <c r="U186" s="17">
        <f t="shared" si="34"/>
        <v>8</v>
      </c>
      <c r="W186" s="7">
        <v>2161</v>
      </c>
      <c r="X186" s="7">
        <v>1812</v>
      </c>
      <c r="Y186" s="7">
        <v>8441</v>
      </c>
      <c r="Z186" s="7">
        <v>30346</v>
      </c>
      <c r="AA186" s="7">
        <v>7960</v>
      </c>
      <c r="AB186" s="13"/>
    </row>
    <row r="187" spans="10:28" ht="15.6" customHeight="1" x14ac:dyDescent="0.3">
      <c r="J187" s="2">
        <v>183</v>
      </c>
      <c r="K187" s="41" t="s">
        <v>35</v>
      </c>
      <c r="L187" s="41" t="s">
        <v>44</v>
      </c>
      <c r="M187" s="41" t="s">
        <v>48</v>
      </c>
      <c r="N187" s="41" t="s">
        <v>35</v>
      </c>
      <c r="O187" s="41" t="s">
        <v>35</v>
      </c>
      <c r="Q187" s="17">
        <f t="shared" si="30"/>
        <v>10</v>
      </c>
      <c r="R187" s="17">
        <f t="shared" si="31"/>
        <v>15</v>
      </c>
      <c r="S187" s="17">
        <f t="shared" si="32"/>
        <v>17</v>
      </c>
      <c r="T187" s="17">
        <f t="shared" si="33"/>
        <v>10</v>
      </c>
      <c r="U187" s="17">
        <f t="shared" si="34"/>
        <v>10</v>
      </c>
      <c r="W187" s="7">
        <v>2595</v>
      </c>
      <c r="X187" s="7">
        <v>1962</v>
      </c>
      <c r="Y187" s="7">
        <v>54607</v>
      </c>
      <c r="Z187" s="7">
        <v>59291</v>
      </c>
      <c r="AA187" s="7">
        <v>1987</v>
      </c>
      <c r="AB187" s="13"/>
    </row>
    <row r="188" spans="10:28" ht="15.6" customHeight="1" x14ac:dyDescent="0.3">
      <c r="J188" s="2">
        <v>184</v>
      </c>
      <c r="K188" s="41" t="s">
        <v>35</v>
      </c>
      <c r="L188" s="41" t="s">
        <v>29</v>
      </c>
      <c r="M188" s="41" t="s">
        <v>35</v>
      </c>
      <c r="N188" s="41" t="s">
        <v>31</v>
      </c>
      <c r="O188" s="41" t="s">
        <v>32</v>
      </c>
      <c r="Q188" s="17">
        <f t="shared" si="30"/>
        <v>10</v>
      </c>
      <c r="R188" s="17">
        <f t="shared" si="31"/>
        <v>4</v>
      </c>
      <c r="S188" s="17">
        <f t="shared" si="32"/>
        <v>10</v>
      </c>
      <c r="T188" s="17">
        <f t="shared" si="33"/>
        <v>6</v>
      </c>
      <c r="U188" s="17">
        <f t="shared" si="34"/>
        <v>7</v>
      </c>
      <c r="W188" s="7">
        <v>2595</v>
      </c>
      <c r="X188" s="7">
        <v>1693</v>
      </c>
      <c r="Y188" s="7">
        <v>9286</v>
      </c>
      <c r="Z188" s="7">
        <v>17268</v>
      </c>
      <c r="AA188" s="7">
        <v>1987</v>
      </c>
      <c r="AB188" s="13"/>
    </row>
    <row r="189" spans="10:28" ht="15.6" customHeight="1" x14ac:dyDescent="0.3">
      <c r="J189" s="2">
        <v>185</v>
      </c>
      <c r="K189" s="41" t="s">
        <v>31</v>
      </c>
      <c r="L189" s="41" t="s">
        <v>29</v>
      </c>
      <c r="M189" s="41" t="s">
        <v>34</v>
      </c>
      <c r="N189" s="41" t="s">
        <v>33</v>
      </c>
      <c r="O189" s="41" t="s">
        <v>30</v>
      </c>
      <c r="Q189" s="17">
        <f t="shared" si="30"/>
        <v>6</v>
      </c>
      <c r="R189" s="17">
        <f t="shared" si="31"/>
        <v>4</v>
      </c>
      <c r="S189" s="17">
        <f t="shared" si="32"/>
        <v>9</v>
      </c>
      <c r="T189" s="17">
        <f t="shared" si="33"/>
        <v>8</v>
      </c>
      <c r="U189" s="17">
        <f t="shared" si="34"/>
        <v>5</v>
      </c>
      <c r="W189" s="7">
        <v>2595</v>
      </c>
      <c r="X189" s="7">
        <v>1693</v>
      </c>
      <c r="Y189" s="7">
        <v>18285</v>
      </c>
      <c r="Z189" s="7">
        <v>5931</v>
      </c>
      <c r="AA189" s="7">
        <v>1987</v>
      </c>
      <c r="AB189" s="13"/>
    </row>
    <row r="190" spans="10:28" ht="15.6" customHeight="1" x14ac:dyDescent="0.3">
      <c r="J190" s="2">
        <v>186</v>
      </c>
      <c r="K190" s="41" t="s">
        <v>31</v>
      </c>
      <c r="L190" s="41" t="s">
        <v>29</v>
      </c>
      <c r="M190" s="41" t="s">
        <v>35</v>
      </c>
      <c r="N190" s="41" t="s">
        <v>42</v>
      </c>
      <c r="O190" s="41" t="s">
        <v>30</v>
      </c>
      <c r="Q190" s="17">
        <f t="shared" si="30"/>
        <v>6</v>
      </c>
      <c r="R190" s="17">
        <f t="shared" si="31"/>
        <v>4</v>
      </c>
      <c r="S190" s="17">
        <f t="shared" si="32"/>
        <v>10</v>
      </c>
      <c r="T190" s="17">
        <f t="shared" si="33"/>
        <v>14</v>
      </c>
      <c r="U190" s="17">
        <f t="shared" si="34"/>
        <v>5</v>
      </c>
      <c r="W190" s="7">
        <v>8649</v>
      </c>
      <c r="X190" s="7">
        <v>1641</v>
      </c>
      <c r="Y190" s="7">
        <v>15488</v>
      </c>
      <c r="Z190" s="7">
        <v>2302</v>
      </c>
      <c r="AA190" s="7">
        <v>3405</v>
      </c>
      <c r="AB190" s="13"/>
    </row>
    <row r="191" spans="10:28" ht="15.6" customHeight="1" x14ac:dyDescent="0.3">
      <c r="J191" s="2">
        <v>187</v>
      </c>
      <c r="K191" s="41" t="s">
        <v>32</v>
      </c>
      <c r="L191" s="41" t="s">
        <v>32</v>
      </c>
      <c r="M191" s="41" t="s">
        <v>34</v>
      </c>
      <c r="N191" s="41" t="s">
        <v>48</v>
      </c>
      <c r="O191" s="41" t="s">
        <v>32</v>
      </c>
      <c r="Q191" s="17">
        <f t="shared" si="30"/>
        <v>7</v>
      </c>
      <c r="R191" s="17">
        <f t="shared" si="31"/>
        <v>7</v>
      </c>
      <c r="S191" s="17">
        <f t="shared" si="32"/>
        <v>9</v>
      </c>
      <c r="T191" s="17">
        <f t="shared" si="33"/>
        <v>17</v>
      </c>
      <c r="U191" s="17">
        <f t="shared" si="34"/>
        <v>7</v>
      </c>
      <c r="W191" s="7">
        <v>7229</v>
      </c>
      <c r="X191" s="7">
        <v>1641</v>
      </c>
      <c r="Y191" s="7">
        <v>3793</v>
      </c>
      <c r="Z191" s="7">
        <v>2302</v>
      </c>
      <c r="AA191" s="7">
        <v>8599</v>
      </c>
      <c r="AB191" s="13"/>
    </row>
    <row r="192" spans="10:28" ht="15.6" customHeight="1" x14ac:dyDescent="0.3">
      <c r="J192" s="2">
        <v>188</v>
      </c>
      <c r="K192" s="41" t="s">
        <v>31</v>
      </c>
      <c r="L192" s="41" t="s">
        <v>44</v>
      </c>
      <c r="M192" s="41" t="s">
        <v>30</v>
      </c>
      <c r="N192" s="41" t="s">
        <v>34</v>
      </c>
      <c r="O192" s="41" t="s">
        <v>34</v>
      </c>
      <c r="Q192" s="17">
        <f t="shared" si="30"/>
        <v>6</v>
      </c>
      <c r="R192" s="17">
        <f t="shared" si="31"/>
        <v>15</v>
      </c>
      <c r="S192" s="17">
        <f t="shared" si="32"/>
        <v>5</v>
      </c>
      <c r="T192" s="17">
        <f t="shared" si="33"/>
        <v>9</v>
      </c>
      <c r="U192" s="17">
        <f t="shared" si="34"/>
        <v>9</v>
      </c>
      <c r="W192" s="7">
        <v>2171</v>
      </c>
      <c r="X192" s="7">
        <v>1693</v>
      </c>
      <c r="Y192" s="7">
        <v>8441</v>
      </c>
      <c r="Z192" s="7">
        <v>7675</v>
      </c>
      <c r="AA192" s="7">
        <v>11220</v>
      </c>
      <c r="AB192" s="13"/>
    </row>
    <row r="193" spans="10:28" ht="15.6" customHeight="1" x14ac:dyDescent="0.3">
      <c r="J193" s="2">
        <v>189</v>
      </c>
      <c r="K193" s="41" t="s">
        <v>32</v>
      </c>
      <c r="L193" s="41" t="s">
        <v>32</v>
      </c>
      <c r="M193" s="41" t="s">
        <v>31</v>
      </c>
      <c r="N193" s="41" t="s">
        <v>33</v>
      </c>
      <c r="O193" s="41" t="s">
        <v>34</v>
      </c>
      <c r="Q193" s="17">
        <f t="shared" si="30"/>
        <v>7</v>
      </c>
      <c r="R193" s="17">
        <f t="shared" si="31"/>
        <v>7</v>
      </c>
      <c r="S193" s="17">
        <f t="shared" si="32"/>
        <v>6</v>
      </c>
      <c r="T193" s="17">
        <f t="shared" si="33"/>
        <v>8</v>
      </c>
      <c r="U193" s="17">
        <f t="shared" si="34"/>
        <v>9</v>
      </c>
      <c r="W193" s="7">
        <v>2161</v>
      </c>
      <c r="X193" s="7">
        <v>1693</v>
      </c>
      <c r="Y193" s="7">
        <v>16475</v>
      </c>
      <c r="Z193" s="7">
        <v>6395</v>
      </c>
      <c r="AA193" s="7">
        <v>3308</v>
      </c>
      <c r="AB193" s="13"/>
    </row>
    <row r="194" spans="10:28" ht="15.6" customHeight="1" x14ac:dyDescent="0.3">
      <c r="J194" s="2">
        <v>190</v>
      </c>
      <c r="K194" s="41" t="s">
        <v>33</v>
      </c>
      <c r="L194" s="41" t="s">
        <v>44</v>
      </c>
      <c r="M194" s="41" t="s">
        <v>31</v>
      </c>
      <c r="N194" s="41" t="s">
        <v>35</v>
      </c>
      <c r="O194" s="41" t="s">
        <v>35</v>
      </c>
      <c r="Q194" s="17">
        <f t="shared" si="30"/>
        <v>8</v>
      </c>
      <c r="R194" s="17">
        <f t="shared" si="31"/>
        <v>15</v>
      </c>
      <c r="S194" s="17">
        <f t="shared" si="32"/>
        <v>6</v>
      </c>
      <c r="T194" s="17">
        <f t="shared" si="33"/>
        <v>10</v>
      </c>
      <c r="U194" s="17">
        <f t="shared" si="34"/>
        <v>10</v>
      </c>
      <c r="W194" s="7">
        <v>2595</v>
      </c>
      <c r="X194" s="7">
        <v>1693</v>
      </c>
      <c r="Y194" s="7">
        <v>72584</v>
      </c>
      <c r="Z194" s="7">
        <v>1920</v>
      </c>
      <c r="AA194" s="7">
        <v>3486</v>
      </c>
      <c r="AB194" s="13"/>
    </row>
    <row r="195" spans="10:28" ht="15.6" customHeight="1" x14ac:dyDescent="0.3">
      <c r="J195" s="2">
        <v>191</v>
      </c>
      <c r="K195" s="41" t="s">
        <v>33</v>
      </c>
      <c r="L195" s="41" t="s">
        <v>32</v>
      </c>
      <c r="M195" s="41" t="s">
        <v>35</v>
      </c>
      <c r="N195" s="41" t="s">
        <v>46</v>
      </c>
      <c r="O195" s="41" t="s">
        <v>35</v>
      </c>
      <c r="Q195" s="17">
        <f t="shared" si="30"/>
        <v>8</v>
      </c>
      <c r="R195" s="17">
        <f t="shared" si="31"/>
        <v>7</v>
      </c>
      <c r="S195" s="17">
        <f t="shared" si="32"/>
        <v>10</v>
      </c>
      <c r="T195" s="17">
        <f t="shared" si="33"/>
        <v>16</v>
      </c>
      <c r="U195" s="17">
        <f t="shared" si="34"/>
        <v>10</v>
      </c>
      <c r="W195" s="7">
        <v>2595</v>
      </c>
      <c r="X195" s="7">
        <v>1641</v>
      </c>
      <c r="Y195" s="7">
        <v>23494</v>
      </c>
      <c r="Z195" s="7">
        <v>1920</v>
      </c>
      <c r="AA195" s="7">
        <v>2390</v>
      </c>
      <c r="AB195" s="13"/>
    </row>
    <row r="196" spans="10:28" ht="15.6" customHeight="1" x14ac:dyDescent="0.3">
      <c r="J196" s="2">
        <v>192</v>
      </c>
      <c r="K196" s="41" t="s">
        <v>33</v>
      </c>
      <c r="L196" s="41" t="s">
        <v>29</v>
      </c>
      <c r="M196" s="41" t="s">
        <v>32</v>
      </c>
      <c r="N196" s="41" t="s">
        <v>30</v>
      </c>
      <c r="O196" s="41" t="s">
        <v>35</v>
      </c>
      <c r="Q196" s="17">
        <f t="shared" ref="Q196:Q203" si="35">IF(K196="","",VLOOKUP(K196,$A$4:$H$22,8,FALSE))</f>
        <v>8</v>
      </c>
      <c r="R196" s="17">
        <f t="shared" ref="R196:R203" si="36">IF(L196="","",VLOOKUP(L196,$A$4:$H$22,8,FALSE))</f>
        <v>4</v>
      </c>
      <c r="S196" s="17">
        <f t="shared" ref="S196:S203" si="37">IF(M196="","",VLOOKUP(M196,$A$4:$H$22,8,FALSE))</f>
        <v>7</v>
      </c>
      <c r="T196" s="17">
        <f t="shared" ref="T196:T203" si="38">IF(N196="","",VLOOKUP(N196,$A$4:$H$22,8,FALSE))</f>
        <v>5</v>
      </c>
      <c r="U196" s="17">
        <f t="shared" ref="U196:U203" si="39">IF(O196="","",VLOOKUP(O196,$A$4:$H$22,8,FALSE))</f>
        <v>10</v>
      </c>
      <c r="W196" s="7">
        <v>8649</v>
      </c>
      <c r="X196" s="7">
        <v>1641</v>
      </c>
      <c r="Y196" s="7">
        <v>7325</v>
      </c>
      <c r="Z196" s="7">
        <v>1920</v>
      </c>
      <c r="AA196" s="7">
        <v>6772</v>
      </c>
      <c r="AB196" s="13"/>
    </row>
    <row r="197" spans="10:28" ht="15.6" customHeight="1" x14ac:dyDescent="0.3">
      <c r="J197" s="2">
        <v>193</v>
      </c>
      <c r="K197" s="41" t="s">
        <v>29</v>
      </c>
      <c r="L197" s="41" t="s">
        <v>29</v>
      </c>
      <c r="M197" s="41" t="s">
        <v>31</v>
      </c>
      <c r="N197" s="41" t="s">
        <v>40</v>
      </c>
      <c r="O197" s="41" t="s">
        <v>28</v>
      </c>
      <c r="Q197" s="17">
        <f t="shared" si="35"/>
        <v>4</v>
      </c>
      <c r="R197" s="17">
        <f t="shared" si="36"/>
        <v>4</v>
      </c>
      <c r="S197" s="17">
        <f t="shared" si="37"/>
        <v>6</v>
      </c>
      <c r="T197" s="17">
        <f t="shared" si="38"/>
        <v>13</v>
      </c>
      <c r="U197" s="17">
        <f t="shared" si="39"/>
        <v>3</v>
      </c>
      <c r="W197" s="7">
        <v>8649</v>
      </c>
      <c r="X197" s="7">
        <v>1693</v>
      </c>
      <c r="Y197" s="7">
        <v>6336</v>
      </c>
      <c r="Z197" s="7">
        <v>6395</v>
      </c>
      <c r="AA197" s="7">
        <v>6634</v>
      </c>
      <c r="AB197" s="13"/>
    </row>
    <row r="198" spans="10:28" ht="15.6" customHeight="1" x14ac:dyDescent="0.3">
      <c r="J198" s="2">
        <v>194</v>
      </c>
      <c r="K198" s="41" t="s">
        <v>28</v>
      </c>
      <c r="L198" s="41" t="s">
        <v>29</v>
      </c>
      <c r="M198" s="41" t="s">
        <v>35</v>
      </c>
      <c r="N198" s="41" t="s">
        <v>33</v>
      </c>
      <c r="O198" s="41" t="s">
        <v>35</v>
      </c>
      <c r="Q198" s="17">
        <f t="shared" si="35"/>
        <v>3</v>
      </c>
      <c r="R198" s="17">
        <f t="shared" si="36"/>
        <v>4</v>
      </c>
      <c r="S198" s="17">
        <f t="shared" si="37"/>
        <v>10</v>
      </c>
      <c r="T198" s="17">
        <f t="shared" si="38"/>
        <v>8</v>
      </c>
      <c r="U198" s="17">
        <f t="shared" si="39"/>
        <v>10</v>
      </c>
      <c r="W198" s="7">
        <v>8679</v>
      </c>
      <c r="X198" s="7">
        <v>1693</v>
      </c>
      <c r="Y198" s="7">
        <v>5968</v>
      </c>
      <c r="Z198" s="7">
        <v>6395</v>
      </c>
      <c r="AA198" s="7">
        <v>6634</v>
      </c>
      <c r="AB198" s="13"/>
    </row>
    <row r="199" spans="10:28" ht="15.6" customHeight="1" x14ac:dyDescent="0.3">
      <c r="J199" s="2">
        <v>195</v>
      </c>
      <c r="K199" s="41" t="s">
        <v>35</v>
      </c>
      <c r="L199" s="41" t="s">
        <v>32</v>
      </c>
      <c r="M199" s="41" t="s">
        <v>35</v>
      </c>
      <c r="N199" s="41" t="s">
        <v>30</v>
      </c>
      <c r="O199" s="41" t="s">
        <v>30</v>
      </c>
      <c r="Q199" s="17">
        <f t="shared" si="35"/>
        <v>10</v>
      </c>
      <c r="R199" s="17">
        <f t="shared" si="36"/>
        <v>7</v>
      </c>
      <c r="S199" s="17">
        <f t="shared" si="37"/>
        <v>10</v>
      </c>
      <c r="T199" s="17">
        <f t="shared" si="38"/>
        <v>5</v>
      </c>
      <c r="U199" s="17">
        <f t="shared" si="39"/>
        <v>5</v>
      </c>
      <c r="W199" s="7">
        <v>25969</v>
      </c>
      <c r="X199" s="7">
        <v>6005</v>
      </c>
      <c r="Y199" s="7">
        <v>16382</v>
      </c>
      <c r="Z199" s="7">
        <v>6395</v>
      </c>
      <c r="AA199" s="7">
        <v>11348</v>
      </c>
      <c r="AB199" s="13"/>
    </row>
    <row r="200" spans="10:28" ht="15.6" customHeight="1" x14ac:dyDescent="0.3">
      <c r="J200" s="2">
        <v>196</v>
      </c>
      <c r="K200" s="41" t="s">
        <v>30</v>
      </c>
      <c r="L200" s="41" t="s">
        <v>44</v>
      </c>
      <c r="M200" s="41" t="s">
        <v>40</v>
      </c>
      <c r="N200" s="41" t="s">
        <v>33</v>
      </c>
      <c r="O200" s="41" t="s">
        <v>31</v>
      </c>
      <c r="Q200" s="17">
        <f t="shared" si="35"/>
        <v>5</v>
      </c>
      <c r="R200" s="17">
        <f t="shared" si="36"/>
        <v>15</v>
      </c>
      <c r="S200" s="17">
        <f t="shared" si="37"/>
        <v>13</v>
      </c>
      <c r="T200" s="17">
        <f t="shared" si="38"/>
        <v>8</v>
      </c>
      <c r="U200" s="17">
        <f t="shared" si="39"/>
        <v>6</v>
      </c>
      <c r="W200" s="7">
        <v>8649</v>
      </c>
      <c r="X200" s="7">
        <v>7045</v>
      </c>
      <c r="Y200" s="7">
        <v>2785</v>
      </c>
      <c r="Z200" s="7">
        <v>7675</v>
      </c>
      <c r="AA200" s="7">
        <v>28671</v>
      </c>
      <c r="AB200" s="13"/>
    </row>
    <row r="201" spans="10:28" ht="15.6" customHeight="1" x14ac:dyDescent="0.3">
      <c r="J201" s="2">
        <v>197</v>
      </c>
      <c r="K201" s="41" t="s">
        <v>28</v>
      </c>
      <c r="L201" s="41" t="s">
        <v>32</v>
      </c>
      <c r="M201" s="41" t="s">
        <v>34</v>
      </c>
      <c r="N201" s="41" t="s">
        <v>48</v>
      </c>
      <c r="O201" s="41" t="s">
        <v>34</v>
      </c>
      <c r="Q201" s="17">
        <f t="shared" si="35"/>
        <v>3</v>
      </c>
      <c r="R201" s="17">
        <f t="shared" si="36"/>
        <v>7</v>
      </c>
      <c r="S201" s="17">
        <f t="shared" si="37"/>
        <v>9</v>
      </c>
      <c r="T201" s="17">
        <f t="shared" si="38"/>
        <v>17</v>
      </c>
      <c r="U201" s="17">
        <f t="shared" si="39"/>
        <v>9</v>
      </c>
      <c r="W201" s="7">
        <v>22442</v>
      </c>
      <c r="X201" s="7">
        <v>2392</v>
      </c>
      <c r="Y201" s="7">
        <v>2016</v>
      </c>
      <c r="Z201" s="7">
        <v>6610</v>
      </c>
      <c r="AA201" s="7">
        <v>37395</v>
      </c>
      <c r="AB201" s="13"/>
    </row>
    <row r="202" spans="10:28" ht="15.6" customHeight="1" x14ac:dyDescent="0.3">
      <c r="J202" s="2">
        <v>198</v>
      </c>
      <c r="K202" s="41" t="s">
        <v>34</v>
      </c>
      <c r="L202" s="41" t="s">
        <v>32</v>
      </c>
      <c r="M202" s="41" t="s">
        <v>34</v>
      </c>
      <c r="N202" s="41" t="s">
        <v>33</v>
      </c>
      <c r="O202" s="41" t="s">
        <v>35</v>
      </c>
      <c r="Q202" s="17">
        <f t="shared" si="35"/>
        <v>9</v>
      </c>
      <c r="R202" s="17">
        <f t="shared" si="36"/>
        <v>7</v>
      </c>
      <c r="S202" s="17">
        <f t="shared" si="37"/>
        <v>9</v>
      </c>
      <c r="T202" s="17">
        <f t="shared" si="38"/>
        <v>8</v>
      </c>
      <c r="U202" s="17">
        <f t="shared" si="39"/>
        <v>10</v>
      </c>
      <c r="W202" s="7">
        <v>26617</v>
      </c>
      <c r="X202" s="7">
        <v>7667</v>
      </c>
      <c r="Y202" s="7">
        <v>6717</v>
      </c>
      <c r="Z202" s="7">
        <v>7268</v>
      </c>
      <c r="AA202" s="7">
        <v>11024</v>
      </c>
      <c r="AB202" s="13"/>
    </row>
    <row r="203" spans="10:28" ht="15.6" customHeight="1" x14ac:dyDescent="0.3">
      <c r="J203" s="2">
        <v>199</v>
      </c>
      <c r="K203" s="41" t="s">
        <v>30</v>
      </c>
      <c r="L203" s="41" t="s">
        <v>33</v>
      </c>
      <c r="M203" s="41" t="s">
        <v>30</v>
      </c>
      <c r="N203" s="41" t="s">
        <v>34</v>
      </c>
      <c r="O203" s="41" t="s">
        <v>34</v>
      </c>
      <c r="Q203" s="17">
        <f t="shared" si="35"/>
        <v>5</v>
      </c>
      <c r="R203" s="17">
        <f t="shared" si="36"/>
        <v>8</v>
      </c>
      <c r="S203" s="17">
        <f t="shared" si="37"/>
        <v>5</v>
      </c>
      <c r="T203" s="17">
        <f t="shared" si="38"/>
        <v>9</v>
      </c>
      <c r="U203" s="17">
        <f t="shared" si="39"/>
        <v>9</v>
      </c>
      <c r="W203" s="7">
        <v>8649</v>
      </c>
      <c r="X203" s="7">
        <v>6824</v>
      </c>
      <c r="Y203" s="7">
        <v>2086</v>
      </c>
      <c r="Z203" s="7">
        <v>20267</v>
      </c>
      <c r="AA203" s="7">
        <v>11627</v>
      </c>
      <c r="AB203" s="13"/>
    </row>
    <row r="204" spans="10:28" ht="15.6" customHeight="1" x14ac:dyDescent="0.3">
      <c r="AB204" s="13"/>
    </row>
    <row r="205" spans="10:28" ht="15.6" customHeight="1" x14ac:dyDescent="0.3">
      <c r="AB205" s="13"/>
    </row>
    <row r="206" spans="10:28" ht="15.6" customHeight="1" x14ac:dyDescent="0.3">
      <c r="AB206" s="13"/>
    </row>
    <row r="207" spans="10:28" ht="15.6" customHeight="1" x14ac:dyDescent="0.3">
      <c r="AB207" s="13"/>
    </row>
    <row r="208" spans="10:28" ht="15.6" customHeight="1" x14ac:dyDescent="0.3">
      <c r="AB208" s="13"/>
    </row>
    <row r="209" spans="28:28" ht="15.6" customHeight="1" x14ac:dyDescent="0.3">
      <c r="AB209" s="13"/>
    </row>
    <row r="210" spans="28:28" ht="15.6" customHeight="1" x14ac:dyDescent="0.3">
      <c r="AB210" s="13"/>
    </row>
    <row r="211" spans="28:28" ht="15.6" customHeight="1" x14ac:dyDescent="0.3">
      <c r="AB211" s="13"/>
    </row>
    <row r="212" spans="28:28" ht="15.6" customHeight="1" x14ac:dyDescent="0.3">
      <c r="AB212" s="13"/>
    </row>
    <row r="213" spans="28:28" ht="15.6" customHeight="1" x14ac:dyDescent="0.3">
      <c r="AB213" s="13"/>
    </row>
    <row r="214" spans="28:28" ht="15.6" customHeight="1" x14ac:dyDescent="0.3">
      <c r="AB214" s="13"/>
    </row>
    <row r="215" spans="28:28" ht="15.6" customHeight="1" x14ac:dyDescent="0.3">
      <c r="AB215" s="13"/>
    </row>
    <row r="216" spans="28:28" ht="15.6" customHeight="1" x14ac:dyDescent="0.3">
      <c r="AB216" s="13"/>
    </row>
    <row r="217" spans="28:28" ht="15.6" customHeight="1" x14ac:dyDescent="0.3">
      <c r="AB217" s="13"/>
    </row>
    <row r="218" spans="28:28" ht="15.6" customHeight="1" x14ac:dyDescent="0.3">
      <c r="AB218" s="13"/>
    </row>
    <row r="219" spans="28:28" ht="15.6" customHeight="1" x14ac:dyDescent="0.3">
      <c r="AB219" s="13"/>
    </row>
    <row r="220" spans="28:28" ht="15.6" customHeight="1" x14ac:dyDescent="0.3">
      <c r="AB220" s="13"/>
    </row>
    <row r="221" spans="28:28" ht="15.6" customHeight="1" x14ac:dyDescent="0.3">
      <c r="AB221" s="13"/>
    </row>
    <row r="222" spans="28:28" ht="15.6" customHeight="1" x14ac:dyDescent="0.3">
      <c r="AB222" s="13"/>
    </row>
    <row r="223" spans="28:28" ht="15.6" customHeight="1" x14ac:dyDescent="0.3">
      <c r="AB223" s="13"/>
    </row>
    <row r="224" spans="28:28" ht="15.6" customHeight="1" x14ac:dyDescent="0.3">
      <c r="AB224" s="13"/>
    </row>
    <row r="225" spans="28:28" ht="15.6" customHeight="1" x14ac:dyDescent="0.3">
      <c r="AB225" s="13"/>
    </row>
    <row r="226" spans="28:28" ht="15.6" customHeight="1" x14ac:dyDescent="0.3">
      <c r="AB226" s="13"/>
    </row>
    <row r="227" spans="28:28" ht="15.6" customHeight="1" x14ac:dyDescent="0.3">
      <c r="AB227" s="13"/>
    </row>
    <row r="228" spans="28:28" ht="15.6" customHeight="1" x14ac:dyDescent="0.3">
      <c r="AB228" s="13"/>
    </row>
    <row r="229" spans="28:28" ht="15.6" customHeight="1" x14ac:dyDescent="0.3">
      <c r="AB229" s="13"/>
    </row>
    <row r="230" spans="28:28" ht="15.6" customHeight="1" x14ac:dyDescent="0.3">
      <c r="AB230" s="13"/>
    </row>
    <row r="231" spans="28:28" ht="15.6" customHeight="1" x14ac:dyDescent="0.3">
      <c r="AB231" s="13"/>
    </row>
    <row r="232" spans="28:28" ht="15.6" customHeight="1" x14ac:dyDescent="0.3">
      <c r="AB232" s="13"/>
    </row>
    <row r="233" spans="28:28" ht="15.6" customHeight="1" x14ac:dyDescent="0.3">
      <c r="AB233" s="13"/>
    </row>
    <row r="234" spans="28:28" ht="15.6" customHeight="1" x14ac:dyDescent="0.3">
      <c r="AB234" s="13"/>
    </row>
    <row r="235" spans="28:28" ht="15.6" customHeight="1" x14ac:dyDescent="0.3">
      <c r="AB235" s="13"/>
    </row>
    <row r="236" spans="28:28" ht="15.6" customHeight="1" x14ac:dyDescent="0.3">
      <c r="AB236" s="13"/>
    </row>
    <row r="237" spans="28:28" ht="15.6" customHeight="1" x14ac:dyDescent="0.3">
      <c r="AB237" s="13"/>
    </row>
    <row r="238" spans="28:28" ht="15.6" customHeight="1" x14ac:dyDescent="0.3">
      <c r="AB238" s="13"/>
    </row>
    <row r="239" spans="28:28" ht="15.6" customHeight="1" x14ac:dyDescent="0.3">
      <c r="AB239" s="13"/>
    </row>
    <row r="240" spans="28:28" ht="15.6" customHeight="1" x14ac:dyDescent="0.3">
      <c r="AB240" s="13"/>
    </row>
    <row r="241" spans="28:28" ht="15.6" customHeight="1" x14ac:dyDescent="0.3">
      <c r="AB241" s="13"/>
    </row>
    <row r="242" spans="28:28" ht="15.6" customHeight="1" x14ac:dyDescent="0.3">
      <c r="AB242" s="13"/>
    </row>
    <row r="243" spans="28:28" ht="15.6" customHeight="1" x14ac:dyDescent="0.3">
      <c r="AB243" s="13"/>
    </row>
    <row r="244" spans="28:28" ht="15.6" customHeight="1" x14ac:dyDescent="0.3">
      <c r="AB244" s="13"/>
    </row>
    <row r="245" spans="28:28" ht="15.6" customHeight="1" x14ac:dyDescent="0.3">
      <c r="AB245" s="13"/>
    </row>
    <row r="246" spans="28:28" ht="15.6" customHeight="1" x14ac:dyDescent="0.3">
      <c r="AB246" s="13"/>
    </row>
    <row r="247" spans="28:28" ht="15.6" customHeight="1" x14ac:dyDescent="0.3">
      <c r="AB247" s="13"/>
    </row>
    <row r="248" spans="28:28" ht="15.6" customHeight="1" x14ac:dyDescent="0.3">
      <c r="AB248" s="13"/>
    </row>
    <row r="249" spans="28:28" ht="15.6" customHeight="1" x14ac:dyDescent="0.3">
      <c r="AB249" s="13"/>
    </row>
    <row r="250" spans="28:28" ht="15.6" customHeight="1" x14ac:dyDescent="0.3">
      <c r="AB250" s="13"/>
    </row>
    <row r="251" spans="28:28" ht="15.6" customHeight="1" x14ac:dyDescent="0.3">
      <c r="AB251" s="13"/>
    </row>
    <row r="252" spans="28:28" ht="15.6" customHeight="1" x14ac:dyDescent="0.3">
      <c r="AB252" s="13"/>
    </row>
    <row r="253" spans="28:28" ht="15.6" customHeight="1" x14ac:dyDescent="0.3">
      <c r="AB253" s="13"/>
    </row>
    <row r="254" spans="28:28" ht="15.6" customHeight="1" x14ac:dyDescent="0.3">
      <c r="AB254" s="13"/>
    </row>
    <row r="255" spans="28:28" ht="15.6" customHeight="1" x14ac:dyDescent="0.3">
      <c r="AB255" s="13"/>
    </row>
    <row r="256" spans="28:28" ht="15.6" customHeight="1" x14ac:dyDescent="0.3">
      <c r="AB256" s="13"/>
    </row>
    <row r="257" spans="28:28" ht="15.6" customHeight="1" x14ac:dyDescent="0.3">
      <c r="AB257" s="13"/>
    </row>
    <row r="258" spans="28:28" ht="15.6" customHeight="1" x14ac:dyDescent="0.3">
      <c r="AB258" s="13"/>
    </row>
    <row r="259" spans="28:28" ht="15.6" customHeight="1" x14ac:dyDescent="0.3">
      <c r="AB259" s="13"/>
    </row>
    <row r="260" spans="28:28" ht="15.6" customHeight="1" x14ac:dyDescent="0.3">
      <c r="AB260" s="13"/>
    </row>
    <row r="261" spans="28:28" ht="15.6" customHeight="1" x14ac:dyDescent="0.3">
      <c r="AB261" s="13"/>
    </row>
    <row r="262" spans="28:28" ht="15.6" customHeight="1" x14ac:dyDescent="0.3">
      <c r="AB262" s="13"/>
    </row>
    <row r="263" spans="28:28" ht="15.6" customHeight="1" x14ac:dyDescent="0.3">
      <c r="AB263" s="13"/>
    </row>
    <row r="264" spans="28:28" ht="15.6" customHeight="1" x14ac:dyDescent="0.3">
      <c r="AB264" s="13"/>
    </row>
    <row r="265" spans="28:28" ht="15.6" customHeight="1" x14ac:dyDescent="0.3">
      <c r="AB265" s="13"/>
    </row>
    <row r="266" spans="28:28" ht="15.6" customHeight="1" x14ac:dyDescent="0.3">
      <c r="AB266" s="13"/>
    </row>
    <row r="267" spans="28:28" ht="15.6" customHeight="1" x14ac:dyDescent="0.3">
      <c r="AB267" s="13"/>
    </row>
    <row r="268" spans="28:28" ht="15.6" customHeight="1" x14ac:dyDescent="0.3">
      <c r="AB268" s="13"/>
    </row>
    <row r="269" spans="28:28" ht="15.6" customHeight="1" x14ac:dyDescent="0.3">
      <c r="AB269" s="13"/>
    </row>
    <row r="270" spans="28:28" ht="15.6" customHeight="1" x14ac:dyDescent="0.3">
      <c r="AB270" s="13"/>
    </row>
    <row r="271" spans="28:28" ht="15.6" customHeight="1" x14ac:dyDescent="0.3">
      <c r="AB271" s="13"/>
    </row>
    <row r="272" spans="28:28" ht="15.6" customHeight="1" x14ac:dyDescent="0.3">
      <c r="AB272" s="13"/>
    </row>
    <row r="273" spans="28:28" ht="15.6" customHeight="1" x14ac:dyDescent="0.3">
      <c r="AB273" s="13"/>
    </row>
    <row r="274" spans="28:28" ht="15.6" customHeight="1" x14ac:dyDescent="0.3">
      <c r="AB274" s="13"/>
    </row>
    <row r="275" spans="28:28" ht="15.6" customHeight="1" x14ac:dyDescent="0.3">
      <c r="AB275" s="13"/>
    </row>
    <row r="276" spans="28:28" ht="15.6" customHeight="1" x14ac:dyDescent="0.3">
      <c r="AB276" s="13"/>
    </row>
    <row r="277" spans="28:28" ht="15.6" customHeight="1" x14ac:dyDescent="0.3">
      <c r="AB277" s="13"/>
    </row>
    <row r="278" spans="28:28" ht="15.6" customHeight="1" x14ac:dyDescent="0.3">
      <c r="AB278" s="13"/>
    </row>
    <row r="279" spans="28:28" ht="15.6" customHeight="1" x14ac:dyDescent="0.3">
      <c r="AB279" s="13"/>
    </row>
    <row r="280" spans="28:28" ht="15.6" customHeight="1" x14ac:dyDescent="0.3">
      <c r="AB280" s="13"/>
    </row>
    <row r="281" spans="28:28" ht="15.6" customHeight="1" x14ac:dyDescent="0.3">
      <c r="AB281" s="13"/>
    </row>
    <row r="282" spans="28:28" ht="15.6" customHeight="1" x14ac:dyDescent="0.3">
      <c r="AB282" s="13"/>
    </row>
    <row r="283" spans="28:28" ht="15.6" customHeight="1" x14ac:dyDescent="0.3">
      <c r="AB283" s="13"/>
    </row>
    <row r="284" spans="28:28" ht="15.6" customHeight="1" x14ac:dyDescent="0.3">
      <c r="AB284" s="13"/>
    </row>
    <row r="285" spans="28:28" ht="15.6" customHeight="1" x14ac:dyDescent="0.3">
      <c r="AB285" s="13"/>
    </row>
    <row r="286" spans="28:28" ht="15.6" customHeight="1" x14ac:dyDescent="0.3">
      <c r="AB286" s="13"/>
    </row>
    <row r="287" spans="28:28" ht="15.6" customHeight="1" x14ac:dyDescent="0.3">
      <c r="AB287" s="13"/>
    </row>
    <row r="288" spans="28:28" ht="15.6" customHeight="1" x14ac:dyDescent="0.3">
      <c r="AB288" s="13"/>
    </row>
    <row r="289" spans="28:28" ht="15.6" customHeight="1" x14ac:dyDescent="0.3">
      <c r="AB289" s="13"/>
    </row>
    <row r="290" spans="28:28" ht="15.6" customHeight="1" x14ac:dyDescent="0.3">
      <c r="AB290" s="13"/>
    </row>
    <row r="291" spans="28:28" ht="15.6" customHeight="1" x14ac:dyDescent="0.3">
      <c r="AB291" s="13"/>
    </row>
    <row r="292" spans="28:28" ht="15.6" customHeight="1" x14ac:dyDescent="0.3">
      <c r="AB292" s="13"/>
    </row>
    <row r="293" spans="28:28" ht="15.6" customHeight="1" x14ac:dyDescent="0.3">
      <c r="AB293" s="13"/>
    </row>
    <row r="294" spans="28:28" ht="15.6" customHeight="1" x14ac:dyDescent="0.3">
      <c r="AB294" s="13"/>
    </row>
    <row r="295" spans="28:28" ht="15.6" customHeight="1" x14ac:dyDescent="0.3">
      <c r="AB295" s="13"/>
    </row>
    <row r="296" spans="28:28" ht="15.6" customHeight="1" x14ac:dyDescent="0.3">
      <c r="AB296" s="13"/>
    </row>
    <row r="297" spans="28:28" ht="15.6" customHeight="1" x14ac:dyDescent="0.3">
      <c r="AB297" s="13"/>
    </row>
    <row r="298" spans="28:28" ht="15.6" customHeight="1" x14ac:dyDescent="0.3">
      <c r="AB298" s="13"/>
    </row>
    <row r="299" spans="28:28" ht="15.6" customHeight="1" x14ac:dyDescent="0.3">
      <c r="AB299" s="13"/>
    </row>
    <row r="300" spans="28:28" ht="15.6" customHeight="1" x14ac:dyDescent="0.3">
      <c r="AB300" s="13"/>
    </row>
    <row r="301" spans="28:28" ht="15.6" customHeight="1" x14ac:dyDescent="0.3">
      <c r="AB301" s="13"/>
    </row>
    <row r="302" spans="28:28" ht="15.6" customHeight="1" x14ac:dyDescent="0.3">
      <c r="AB302" s="13"/>
    </row>
    <row r="303" spans="28:28" ht="15.6" customHeight="1" x14ac:dyDescent="0.3">
      <c r="AB303" s="13"/>
    </row>
    <row r="304" spans="28:28" ht="15.6" customHeight="1" x14ac:dyDescent="0.3">
      <c r="AB304" s="13"/>
    </row>
    <row r="305" spans="28:28" ht="15.6" customHeight="1" x14ac:dyDescent="0.3">
      <c r="AB305" s="13"/>
    </row>
    <row r="306" spans="28:28" ht="15.6" customHeight="1" x14ac:dyDescent="0.3">
      <c r="AB306" s="13"/>
    </row>
    <row r="307" spans="28:28" ht="15.6" customHeight="1" x14ac:dyDescent="0.3">
      <c r="AB307" s="13"/>
    </row>
    <row r="308" spans="28:28" ht="15.6" customHeight="1" x14ac:dyDescent="0.3">
      <c r="AB308" s="13"/>
    </row>
    <row r="309" spans="28:28" ht="15.6" customHeight="1" x14ac:dyDescent="0.3">
      <c r="AB309" s="13"/>
    </row>
    <row r="310" spans="28:28" ht="15.6" customHeight="1" x14ac:dyDescent="0.3">
      <c r="AB310" s="13"/>
    </row>
    <row r="311" spans="28:28" ht="15.6" customHeight="1" x14ac:dyDescent="0.3">
      <c r="AB311" s="13"/>
    </row>
    <row r="312" spans="28:28" ht="15.6" customHeight="1" x14ac:dyDescent="0.3">
      <c r="AB312" s="13"/>
    </row>
    <row r="313" spans="28:28" ht="15.6" customHeight="1" x14ac:dyDescent="0.3">
      <c r="AB313" s="13"/>
    </row>
    <row r="314" spans="28:28" ht="15.6" customHeight="1" x14ac:dyDescent="0.3">
      <c r="AB314" s="13"/>
    </row>
    <row r="315" spans="28:28" ht="15.6" customHeight="1" x14ac:dyDescent="0.3">
      <c r="AB315" s="13"/>
    </row>
    <row r="316" spans="28:28" ht="15.6" customHeight="1" x14ac:dyDescent="0.3">
      <c r="AB316" s="13"/>
    </row>
    <row r="317" spans="28:28" ht="15.6" customHeight="1" x14ac:dyDescent="0.3">
      <c r="AB317" s="13"/>
    </row>
    <row r="318" spans="28:28" ht="15.6" customHeight="1" x14ac:dyDescent="0.3">
      <c r="AB318" s="13"/>
    </row>
    <row r="319" spans="28:28" ht="15.6" customHeight="1" x14ac:dyDescent="0.3">
      <c r="AB319" s="13"/>
    </row>
    <row r="320" spans="28:28" ht="15.6" customHeight="1" x14ac:dyDescent="0.3">
      <c r="AB320" s="13"/>
    </row>
    <row r="321" spans="28:28" ht="15.6" customHeight="1" x14ac:dyDescent="0.3">
      <c r="AB321" s="13"/>
    </row>
    <row r="322" spans="28:28" ht="15.6" customHeight="1" x14ac:dyDescent="0.3">
      <c r="AB322" s="13"/>
    </row>
    <row r="323" spans="28:28" ht="15.6" customHeight="1" x14ac:dyDescent="0.3">
      <c r="AB323" s="13"/>
    </row>
    <row r="324" spans="28:28" ht="15.6" customHeight="1" x14ac:dyDescent="0.3">
      <c r="AB324" s="13"/>
    </row>
    <row r="325" spans="28:28" ht="15.6" customHeight="1" x14ac:dyDescent="0.3">
      <c r="AB325" s="13"/>
    </row>
    <row r="326" spans="28:28" ht="15.6" customHeight="1" x14ac:dyDescent="0.3">
      <c r="AB326" s="13"/>
    </row>
    <row r="327" spans="28:28" ht="15.6" customHeight="1" x14ac:dyDescent="0.3">
      <c r="AB327" s="13"/>
    </row>
    <row r="328" spans="28:28" ht="15.6" customHeight="1" x14ac:dyDescent="0.3">
      <c r="AB328" s="13"/>
    </row>
    <row r="329" spans="28:28" ht="15.6" customHeight="1" x14ac:dyDescent="0.3">
      <c r="AB329" s="13"/>
    </row>
    <row r="330" spans="28:28" ht="15.6" customHeight="1" x14ac:dyDescent="0.3">
      <c r="AB330" s="13"/>
    </row>
    <row r="331" spans="28:28" ht="15.6" customHeight="1" x14ac:dyDescent="0.3">
      <c r="AB331" s="13"/>
    </row>
    <row r="332" spans="28:28" ht="15.6" customHeight="1" x14ac:dyDescent="0.3">
      <c r="AB332" s="13"/>
    </row>
    <row r="333" spans="28:28" ht="15.6" customHeight="1" x14ac:dyDescent="0.3">
      <c r="AB333" s="13"/>
    </row>
    <row r="334" spans="28:28" ht="15.6" customHeight="1" x14ac:dyDescent="0.3">
      <c r="AB334" s="13"/>
    </row>
    <row r="335" spans="28:28" ht="15.6" customHeight="1" x14ac:dyDescent="0.3">
      <c r="AB335" s="13"/>
    </row>
    <row r="336" spans="28:28" ht="15.6" customHeight="1" x14ac:dyDescent="0.3">
      <c r="AB336" s="13"/>
    </row>
    <row r="337" spans="28:28" ht="15.6" customHeight="1" x14ac:dyDescent="0.3">
      <c r="AB337" s="13"/>
    </row>
    <row r="338" spans="28:28" ht="15.6" customHeight="1" x14ac:dyDescent="0.3">
      <c r="AB338" s="13"/>
    </row>
    <row r="339" spans="28:28" ht="15.6" customHeight="1" x14ac:dyDescent="0.3">
      <c r="AB339" s="13"/>
    </row>
    <row r="340" spans="28:28" ht="15.6" customHeight="1" x14ac:dyDescent="0.3">
      <c r="AB340" s="13"/>
    </row>
    <row r="341" spans="28:28" ht="15.6" customHeight="1" x14ac:dyDescent="0.3">
      <c r="AB341" s="13"/>
    </row>
    <row r="342" spans="28:28" ht="15.6" customHeight="1" x14ac:dyDescent="0.3">
      <c r="AB342" s="13"/>
    </row>
    <row r="343" spans="28:28" ht="15.6" customHeight="1" x14ac:dyDescent="0.3">
      <c r="AB343" s="13"/>
    </row>
    <row r="344" spans="28:28" ht="15.6" customHeight="1" x14ac:dyDescent="0.3">
      <c r="AB344" s="13"/>
    </row>
    <row r="345" spans="28:28" ht="15.6" customHeight="1" x14ac:dyDescent="0.3">
      <c r="AB345" s="13"/>
    </row>
    <row r="346" spans="28:28" ht="15.6" customHeight="1" x14ac:dyDescent="0.3">
      <c r="AB346" s="13"/>
    </row>
    <row r="347" spans="28:28" ht="15.6" customHeight="1" x14ac:dyDescent="0.3">
      <c r="AB347" s="13"/>
    </row>
    <row r="348" spans="28:28" ht="15.6" customHeight="1" x14ac:dyDescent="0.3">
      <c r="AB348" s="13"/>
    </row>
    <row r="349" spans="28:28" ht="15.6" customHeight="1" x14ac:dyDescent="0.3">
      <c r="AB349" s="13"/>
    </row>
    <row r="350" spans="28:28" ht="15.6" customHeight="1" x14ac:dyDescent="0.3">
      <c r="AB350" s="13"/>
    </row>
    <row r="351" spans="28:28" ht="15.6" customHeight="1" x14ac:dyDescent="0.3">
      <c r="AB351" s="13"/>
    </row>
    <row r="352" spans="28:28" ht="15.6" customHeight="1" x14ac:dyDescent="0.3">
      <c r="AB352" s="13"/>
    </row>
    <row r="353" spans="28:28" ht="15.6" customHeight="1" x14ac:dyDescent="0.3">
      <c r="AB353" s="13"/>
    </row>
    <row r="354" spans="28:28" ht="15.6" customHeight="1" x14ac:dyDescent="0.3">
      <c r="AB354" s="13"/>
    </row>
    <row r="355" spans="28:28" ht="15.6" customHeight="1" x14ac:dyDescent="0.3">
      <c r="AB355" s="13"/>
    </row>
    <row r="356" spans="28:28" ht="15.6" customHeight="1" x14ac:dyDescent="0.3">
      <c r="AB356" s="13"/>
    </row>
    <row r="357" spans="28:28" ht="15.6" customHeight="1" x14ac:dyDescent="0.3">
      <c r="AB357" s="13"/>
    </row>
    <row r="358" spans="28:28" ht="15.6" customHeight="1" x14ac:dyDescent="0.3">
      <c r="AB358" s="13"/>
    </row>
    <row r="359" spans="28:28" ht="15.6" customHeight="1" x14ac:dyDescent="0.3">
      <c r="AB359" s="13"/>
    </row>
    <row r="360" spans="28:28" ht="15.6" customHeight="1" x14ac:dyDescent="0.3">
      <c r="AB360" s="13"/>
    </row>
    <row r="361" spans="28:28" ht="15.6" customHeight="1" x14ac:dyDescent="0.3">
      <c r="AB361" s="13"/>
    </row>
    <row r="362" spans="28:28" ht="15.6" customHeight="1" x14ac:dyDescent="0.3">
      <c r="AB362" s="13"/>
    </row>
    <row r="363" spans="28:28" ht="15.6" customHeight="1" x14ac:dyDescent="0.3">
      <c r="AB363" s="13"/>
    </row>
    <row r="364" spans="28:28" ht="15.6" customHeight="1" x14ac:dyDescent="0.3">
      <c r="AB364" s="13"/>
    </row>
    <row r="365" spans="28:28" ht="15.6" customHeight="1" x14ac:dyDescent="0.3">
      <c r="AB365" s="13"/>
    </row>
    <row r="366" spans="28:28" ht="15.6" customHeight="1" x14ac:dyDescent="0.3">
      <c r="AB366" s="13"/>
    </row>
    <row r="367" spans="28:28" ht="15.6" customHeight="1" x14ac:dyDescent="0.3">
      <c r="AB367" s="13"/>
    </row>
    <row r="368" spans="28:28" ht="15.6" customHeight="1" x14ac:dyDescent="0.3">
      <c r="AB368" s="13"/>
    </row>
    <row r="369" spans="28:28" ht="15.6" customHeight="1" x14ac:dyDescent="0.3">
      <c r="AB369" s="13"/>
    </row>
    <row r="370" spans="28:28" ht="15.6" customHeight="1" x14ac:dyDescent="0.3">
      <c r="AB370" s="13"/>
    </row>
    <row r="371" spans="28:28" ht="15.6" customHeight="1" x14ac:dyDescent="0.3">
      <c r="AB371" s="13"/>
    </row>
    <row r="372" spans="28:28" ht="15.6" customHeight="1" x14ac:dyDescent="0.3">
      <c r="AB372" s="13"/>
    </row>
    <row r="373" spans="28:28" ht="15.6" customHeight="1" x14ac:dyDescent="0.3">
      <c r="AB373" s="13"/>
    </row>
    <row r="374" spans="28:28" ht="15.6" customHeight="1" x14ac:dyDescent="0.3">
      <c r="AB374" s="13"/>
    </row>
    <row r="375" spans="28:28" ht="15.6" customHeight="1" x14ac:dyDescent="0.3">
      <c r="AB375" s="13"/>
    </row>
    <row r="376" spans="28:28" ht="15.6" customHeight="1" x14ac:dyDescent="0.3">
      <c r="AB376" s="13"/>
    </row>
    <row r="377" spans="28:28" ht="15.6" customHeight="1" x14ac:dyDescent="0.3">
      <c r="AB377" s="13"/>
    </row>
    <row r="378" spans="28:28" ht="15.6" customHeight="1" x14ac:dyDescent="0.3">
      <c r="AB378" s="13"/>
    </row>
    <row r="379" spans="28:28" ht="15.6" customHeight="1" x14ac:dyDescent="0.3">
      <c r="AB379" s="13"/>
    </row>
    <row r="380" spans="28:28" ht="15.6" customHeight="1" x14ac:dyDescent="0.3">
      <c r="AB380" s="13"/>
    </row>
    <row r="381" spans="28:28" ht="15.6" customHeight="1" x14ac:dyDescent="0.3">
      <c r="AB381" s="13"/>
    </row>
    <row r="382" spans="28:28" ht="15.6" customHeight="1" x14ac:dyDescent="0.3">
      <c r="AB382" s="13"/>
    </row>
    <row r="383" spans="28:28" ht="15.6" customHeight="1" x14ac:dyDescent="0.3">
      <c r="AB383" s="13"/>
    </row>
    <row r="384" spans="28:28" ht="15.6" customHeight="1" x14ac:dyDescent="0.3">
      <c r="AB384" s="13"/>
    </row>
    <row r="385" spans="28:28" ht="15.6" customHeight="1" x14ac:dyDescent="0.3">
      <c r="AB385" s="13"/>
    </row>
    <row r="386" spans="28:28" ht="15.6" customHeight="1" x14ac:dyDescent="0.3">
      <c r="AB386" s="13"/>
    </row>
    <row r="387" spans="28:28" ht="15.6" customHeight="1" x14ac:dyDescent="0.3">
      <c r="AB387" s="13"/>
    </row>
    <row r="388" spans="28:28" ht="15.6" customHeight="1" x14ac:dyDescent="0.3">
      <c r="AB388" s="13"/>
    </row>
    <row r="389" spans="28:28" ht="15.6" customHeight="1" x14ac:dyDescent="0.3">
      <c r="AB389" s="13"/>
    </row>
    <row r="390" spans="28:28" ht="15.6" customHeight="1" x14ac:dyDescent="0.3">
      <c r="AB390" s="13"/>
    </row>
    <row r="391" spans="28:28" ht="15.6" customHeight="1" x14ac:dyDescent="0.3">
      <c r="AB391" s="13"/>
    </row>
    <row r="392" spans="28:28" ht="15.6" customHeight="1" x14ac:dyDescent="0.3">
      <c r="AB392" s="13"/>
    </row>
    <row r="393" spans="28:28" ht="15.6" customHeight="1" x14ac:dyDescent="0.3">
      <c r="AB393" s="13"/>
    </row>
    <row r="394" spans="28:28" ht="15.6" customHeight="1" x14ac:dyDescent="0.3">
      <c r="AB394" s="13"/>
    </row>
    <row r="395" spans="28:28" ht="15.6" customHeight="1" x14ac:dyDescent="0.3">
      <c r="AB395" s="13"/>
    </row>
    <row r="396" spans="28:28" ht="15.6" customHeight="1" x14ac:dyDescent="0.3">
      <c r="AB396" s="13"/>
    </row>
    <row r="397" spans="28:28" ht="15.6" customHeight="1" x14ac:dyDescent="0.3">
      <c r="AB397" s="13"/>
    </row>
    <row r="398" spans="28:28" ht="15.6" customHeight="1" x14ac:dyDescent="0.3">
      <c r="AB398" s="13"/>
    </row>
    <row r="399" spans="28:28" ht="15.6" customHeight="1" x14ac:dyDescent="0.3">
      <c r="AB399" s="13"/>
    </row>
    <row r="400" spans="28:28" ht="15.6" customHeight="1" x14ac:dyDescent="0.3">
      <c r="AB400" s="13"/>
    </row>
    <row r="401" spans="28:28" ht="15.6" customHeight="1" x14ac:dyDescent="0.3">
      <c r="AB401" s="13"/>
    </row>
    <row r="402" spans="28:28" ht="15.6" customHeight="1" x14ac:dyDescent="0.3">
      <c r="AB402" s="13"/>
    </row>
    <row r="403" spans="28:28" ht="15.6" customHeight="1" x14ac:dyDescent="0.3">
      <c r="AB403" s="13"/>
    </row>
  </sheetData>
  <phoneticPr fontId="20" type="noConversion"/>
  <conditionalFormatting sqref="K1:O3 K198:O1048576">
    <cfRule type="cellIs" dxfId="131" priority="16" operator="equal">
      <formula>$A$10</formula>
    </cfRule>
    <cfRule type="cellIs" dxfId="130" priority="17" operator="equal">
      <formula>$A$9</formula>
    </cfRule>
    <cfRule type="cellIs" dxfId="129" priority="18" operator="equal">
      <formula>$A$8</formula>
    </cfRule>
    <cfRule type="cellIs" dxfId="128" priority="19" operator="equal">
      <formula>$A$7</formula>
    </cfRule>
    <cfRule type="cellIs" dxfId="127" priority="20" operator="equal">
      <formula>$A$6</formula>
    </cfRule>
    <cfRule type="cellIs" dxfId="126" priority="21" operator="equal">
      <formula>$A$5</formula>
    </cfRule>
    <cfRule type="cellIs" dxfId="125" priority="22" operator="equal">
      <formula>$A$4</formula>
    </cfRule>
  </conditionalFormatting>
  <conditionalFormatting sqref="K4:O197">
    <cfRule type="cellIs" dxfId="124" priority="9" operator="equal">
      <formula>$A$10</formula>
    </cfRule>
    <cfRule type="cellIs" dxfId="123" priority="10" operator="equal">
      <formula>$A$9</formula>
    </cfRule>
    <cfRule type="cellIs" dxfId="122" priority="11" operator="equal">
      <formula>$A$8</formula>
    </cfRule>
    <cfRule type="cellIs" dxfId="121" priority="12" operator="equal">
      <formula>$A$7</formula>
    </cfRule>
    <cfRule type="cellIs" dxfId="120" priority="13" operator="equal">
      <formula>$A$6</formula>
    </cfRule>
    <cfRule type="cellIs" dxfId="119" priority="14" operator="equal">
      <formula>$A$5</formula>
    </cfRule>
    <cfRule type="cellIs" dxfId="118" priority="15" operator="equal">
      <formula>$A$4</formula>
    </cfRule>
  </conditionalFormatting>
  <conditionalFormatting sqref="AA1">
    <cfRule type="cellIs" dxfId="117" priority="2" operator="equal">
      <formula>$A$10</formula>
    </cfRule>
    <cfRule type="cellIs" dxfId="116" priority="3" operator="equal">
      <formula>$A$9</formula>
    </cfRule>
    <cfRule type="cellIs" dxfId="115" priority="4" operator="equal">
      <formula>$A$8</formula>
    </cfRule>
    <cfRule type="cellIs" dxfId="114" priority="5" operator="equal">
      <formula>$A$7</formula>
    </cfRule>
    <cfRule type="cellIs" dxfId="113" priority="6" operator="equal">
      <formula>$A$6</formula>
    </cfRule>
    <cfRule type="cellIs" dxfId="112" priority="7" operator="equal">
      <formula>$A$5</formula>
    </cfRule>
    <cfRule type="cellIs" dxfId="111" priority="8" operator="equal">
      <formula>$A$4</formula>
    </cfRule>
  </conditionalFormatting>
  <conditionalFormatting sqref="W4:AA203">
    <cfRule type="expression" dxfId="110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403"/>
  <sheetViews>
    <sheetView workbookViewId="0">
      <selection activeCell="W1" sqref="W1:AA1048576"/>
    </sheetView>
  </sheetViews>
  <sheetFormatPr defaultColWidth="9" defaultRowHeight="15.6" x14ac:dyDescent="0.3"/>
  <cols>
    <col min="1" max="1" width="10.21875" style="13" bestFit="1" customWidth="1"/>
    <col min="2" max="2" width="17.88671875" style="13" bestFit="1" customWidth="1"/>
    <col min="3" max="7" width="6.109375" style="13" bestFit="1" customWidth="1"/>
    <col min="8" max="8" width="4.6640625" style="13" bestFit="1" customWidth="1"/>
    <col min="9" max="9" width="4.33203125" style="13" customWidth="1"/>
    <col min="10" max="10" width="10.21875" style="13" bestFit="1" customWidth="1"/>
    <col min="11" max="15" width="4.6640625" style="13" bestFit="1" customWidth="1"/>
    <col min="16" max="16" width="4.33203125" style="13" customWidth="1"/>
    <col min="17" max="17" width="14.6640625" style="13" bestFit="1" customWidth="1"/>
    <col min="18" max="21" width="4.6640625" style="6" bestFit="1" customWidth="1"/>
    <col min="22" max="22" width="4.33203125" style="13" customWidth="1"/>
    <col min="23" max="23" width="19.77734375" style="13" bestFit="1" customWidth="1"/>
    <col min="24" max="27" width="8.21875" style="6" bestFit="1" customWidth="1"/>
    <col min="28" max="28" width="9" style="11" customWidth="1"/>
    <col min="29" max="29" width="41" style="13" bestFit="1" customWidth="1"/>
    <col min="30" max="30" width="10.21875" style="13" bestFit="1" customWidth="1"/>
    <col min="31" max="31" width="9" style="13" customWidth="1"/>
    <col min="32" max="32" width="28.5546875" style="6" bestFit="1" customWidth="1"/>
    <col min="33" max="37" width="10.21875" style="13" bestFit="1" customWidth="1"/>
    <col min="38" max="49" width="9" style="13" customWidth="1"/>
    <col min="50" max="16384" width="9" style="13"/>
  </cols>
  <sheetData>
    <row r="1" spans="1:37" ht="15.6" customHeight="1" x14ac:dyDescent="0.3"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3"/>
    </row>
    <row r="2" spans="1:37" ht="15.9" customHeight="1" x14ac:dyDescent="0.3">
      <c r="I2" s="4"/>
      <c r="J2" s="16" t="s">
        <v>19</v>
      </c>
      <c r="K2" s="16"/>
      <c r="L2" s="16"/>
      <c r="M2" s="16"/>
      <c r="N2" s="16"/>
      <c r="O2" s="16"/>
      <c r="P2" s="16"/>
      <c r="Q2" s="16" t="s">
        <v>68</v>
      </c>
      <c r="R2" s="46"/>
      <c r="S2" s="46"/>
      <c r="T2" s="46"/>
      <c r="U2" s="46"/>
      <c r="V2" s="16"/>
      <c r="W2" s="16" t="s">
        <v>69</v>
      </c>
      <c r="X2" s="46"/>
      <c r="AB2" s="13"/>
      <c r="AC2" s="16" t="s">
        <v>70</v>
      </c>
      <c r="AF2" s="6" t="s">
        <v>71</v>
      </c>
    </row>
    <row r="3" spans="1:37" ht="15.9" customHeight="1" x14ac:dyDescent="0.3">
      <c r="A3" s="5" t="s">
        <v>19</v>
      </c>
      <c r="B3" s="5" t="s">
        <v>20</v>
      </c>
      <c r="C3" s="5" t="s">
        <v>72</v>
      </c>
      <c r="D3" s="5" t="s">
        <v>73</v>
      </c>
      <c r="E3" s="5" t="s">
        <v>74</v>
      </c>
      <c r="F3" s="5" t="s">
        <v>75</v>
      </c>
      <c r="G3" s="5" t="s">
        <v>76</v>
      </c>
      <c r="H3" s="5" t="s">
        <v>77</v>
      </c>
      <c r="I3" s="4"/>
      <c r="J3" s="5" t="s">
        <v>78</v>
      </c>
      <c r="K3" s="5" t="s">
        <v>72</v>
      </c>
      <c r="L3" s="5" t="s">
        <v>73</v>
      </c>
      <c r="M3" s="5" t="s">
        <v>74</v>
      </c>
      <c r="N3" s="5" t="s">
        <v>75</v>
      </c>
      <c r="O3" s="5" t="s">
        <v>76</v>
      </c>
      <c r="Q3" s="5" t="s">
        <v>72</v>
      </c>
      <c r="R3" s="5" t="s">
        <v>73</v>
      </c>
      <c r="S3" s="5" t="s">
        <v>74</v>
      </c>
      <c r="T3" s="5" t="s">
        <v>75</v>
      </c>
      <c r="U3" s="5" t="s">
        <v>76</v>
      </c>
      <c r="W3" s="5" t="s">
        <v>72</v>
      </c>
      <c r="X3" s="5" t="s">
        <v>73</v>
      </c>
      <c r="Y3" s="5" t="s">
        <v>74</v>
      </c>
      <c r="Z3" s="5" t="s">
        <v>75</v>
      </c>
      <c r="AA3" s="5" t="s">
        <v>76</v>
      </c>
      <c r="AB3" s="13"/>
      <c r="AC3" s="5" t="s">
        <v>79</v>
      </c>
      <c r="AD3" s="5" t="s">
        <v>54</v>
      </c>
      <c r="AF3" s="5" t="s">
        <v>19</v>
      </c>
      <c r="AG3" s="5" t="s">
        <v>72</v>
      </c>
      <c r="AH3" s="5" t="s">
        <v>73</v>
      </c>
      <c r="AI3" s="5" t="s">
        <v>74</v>
      </c>
      <c r="AJ3" s="5" t="s">
        <v>75</v>
      </c>
      <c r="AK3" s="5" t="s">
        <v>76</v>
      </c>
    </row>
    <row r="4" spans="1:37" ht="15.9" customHeight="1" x14ac:dyDescent="0.3">
      <c r="A4" s="9" t="str">
        <f t="array" ref="A4:A22">Overview!A30:A48</f>
        <v>WW</v>
      </c>
      <c r="B4" s="38" t="str">
        <f t="array" ref="B4:B22">Overview!B30:B48</f>
        <v>Wild</v>
      </c>
      <c r="C4" s="9">
        <f t="shared" ref="C4:C22" si="0">COUNTIF(K:K,$A4)</f>
        <v>0</v>
      </c>
      <c r="D4" s="9">
        <f t="shared" ref="D4:D22" si="1">COUNTIF(L:L,$A4)</f>
        <v>0</v>
      </c>
      <c r="E4" s="9">
        <f t="shared" ref="E4:E22" si="2">COUNTIF(M:M,$A4)</f>
        <v>0</v>
      </c>
      <c r="F4" s="9">
        <f t="shared" ref="F4:F22" si="3">COUNTIF(N:N,$A4)</f>
        <v>0</v>
      </c>
      <c r="G4" s="9">
        <f t="shared" ref="G4:G22" si="4">COUNTIF(O:O,$A4)</f>
        <v>0</v>
      </c>
      <c r="H4" s="38">
        <f t="array" ref="H4:H22">Overview!H30:H48</f>
        <v>0</v>
      </c>
      <c r="I4" s="52"/>
      <c r="J4" s="7">
        <v>0</v>
      </c>
      <c r="K4" s="41" t="s">
        <v>35</v>
      </c>
      <c r="L4" s="8" t="s">
        <v>29</v>
      </c>
      <c r="M4" s="8" t="s">
        <v>34</v>
      </c>
      <c r="N4" s="8" t="s">
        <v>48</v>
      </c>
      <c r="O4" s="8" t="s">
        <v>32</v>
      </c>
      <c r="Q4" s="17">
        <f t="shared" ref="Q4:Q35" si="5">IF(K4="","",VLOOKUP(K4,$A$4:$H$22,8,FALSE))</f>
        <v>10</v>
      </c>
      <c r="R4" s="17">
        <f t="shared" ref="R4:R35" si="6">IF(L4="","",VLOOKUP(L4,$A$4:$H$22,8,FALSE))</f>
        <v>4</v>
      </c>
      <c r="S4" s="17">
        <f t="shared" ref="S4:S35" si="7">IF(M4="","",VLOOKUP(M4,$A$4:$H$22,8,FALSE))</f>
        <v>9</v>
      </c>
      <c r="T4" s="17">
        <f t="shared" ref="T4:T35" si="8">IF(N4="","",VLOOKUP(N4,$A$4:$H$22,8,FALSE))</f>
        <v>17</v>
      </c>
      <c r="U4" s="17">
        <f t="shared" ref="U4:U35" si="9">IF(O4="","",VLOOKUP(O4,$A$4:$H$22,8,FALSE))</f>
        <v>7</v>
      </c>
      <c r="W4" s="7">
        <v>1846</v>
      </c>
      <c r="X4" s="7">
        <v>17151</v>
      </c>
      <c r="Y4" s="7">
        <v>4358</v>
      </c>
      <c r="Z4" s="7">
        <v>3072</v>
      </c>
      <c r="AA4" s="7">
        <v>15914</v>
      </c>
      <c r="AB4" s="13"/>
      <c r="AC4" s="38">
        <v>0</v>
      </c>
      <c r="AD4" s="10">
        <v>23656</v>
      </c>
      <c r="AF4" s="9" t="str">
        <f t="array" ref="AF4:AF22">A4:A22</f>
        <v>WW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</row>
    <row r="5" spans="1:37" ht="15.9" customHeight="1" x14ac:dyDescent="0.3">
      <c r="A5" s="2" t="str">
        <v>W2</v>
      </c>
      <c r="B5" s="38" t="str">
        <v>Super Wild</v>
      </c>
      <c r="C5" s="9">
        <f t="shared" si="0"/>
        <v>0</v>
      </c>
      <c r="D5" s="9">
        <f t="shared" si="1"/>
        <v>0</v>
      </c>
      <c r="E5" s="9">
        <f t="shared" si="2"/>
        <v>0</v>
      </c>
      <c r="F5" s="9">
        <f t="shared" si="3"/>
        <v>0</v>
      </c>
      <c r="G5" s="9">
        <f t="shared" si="4"/>
        <v>0</v>
      </c>
      <c r="H5" s="38">
        <v>1</v>
      </c>
      <c r="I5" s="52"/>
      <c r="J5" s="2">
        <v>1</v>
      </c>
      <c r="K5" s="41" t="s">
        <v>30</v>
      </c>
      <c r="L5" s="41" t="s">
        <v>44</v>
      </c>
      <c r="M5" s="41" t="s">
        <v>30</v>
      </c>
      <c r="N5" s="41" t="s">
        <v>31</v>
      </c>
      <c r="O5" s="41" t="s">
        <v>33</v>
      </c>
      <c r="Q5" s="17">
        <f t="shared" si="5"/>
        <v>5</v>
      </c>
      <c r="R5" s="17">
        <f t="shared" si="6"/>
        <v>15</v>
      </c>
      <c r="S5" s="17">
        <f t="shared" si="7"/>
        <v>5</v>
      </c>
      <c r="T5" s="17">
        <f t="shared" si="8"/>
        <v>6</v>
      </c>
      <c r="U5" s="17">
        <f t="shared" si="9"/>
        <v>8</v>
      </c>
      <c r="W5" s="7">
        <v>1901</v>
      </c>
      <c r="X5" s="7">
        <v>16411</v>
      </c>
      <c r="Y5" s="7">
        <v>3160</v>
      </c>
      <c r="Z5" s="7">
        <v>2100</v>
      </c>
      <c r="AA5" s="7">
        <v>15802</v>
      </c>
      <c r="AB5" s="13"/>
      <c r="AC5" s="38">
        <v>2</v>
      </c>
      <c r="AD5" s="10">
        <v>1401</v>
      </c>
      <c r="AF5" s="2" t="str">
        <v>W2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</row>
    <row r="6" spans="1:37" ht="15.9" customHeight="1" x14ac:dyDescent="0.3">
      <c r="A6" s="2" t="str">
        <v>C1</v>
      </c>
      <c r="B6" s="38" t="str">
        <v>Scatter</v>
      </c>
      <c r="C6" s="9">
        <f t="shared" si="0"/>
        <v>2</v>
      </c>
      <c r="D6" s="9">
        <f t="shared" si="1"/>
        <v>3</v>
      </c>
      <c r="E6" s="9">
        <f t="shared" si="2"/>
        <v>2</v>
      </c>
      <c r="F6" s="9">
        <f t="shared" si="3"/>
        <v>3</v>
      </c>
      <c r="G6" s="9">
        <f t="shared" si="4"/>
        <v>3</v>
      </c>
      <c r="H6" s="38">
        <v>2</v>
      </c>
      <c r="I6" s="52"/>
      <c r="J6" s="2">
        <v>2</v>
      </c>
      <c r="K6" s="41" t="s">
        <v>33</v>
      </c>
      <c r="L6" s="41" t="s">
        <v>29</v>
      </c>
      <c r="M6" s="41" t="s">
        <v>30</v>
      </c>
      <c r="N6" s="41" t="s">
        <v>31</v>
      </c>
      <c r="O6" s="41" t="s">
        <v>29</v>
      </c>
      <c r="Q6" s="17">
        <f t="shared" si="5"/>
        <v>8</v>
      </c>
      <c r="R6" s="17">
        <f t="shared" si="6"/>
        <v>4</v>
      </c>
      <c r="S6" s="17">
        <f t="shared" si="7"/>
        <v>5</v>
      </c>
      <c r="T6" s="17">
        <f t="shared" si="8"/>
        <v>6</v>
      </c>
      <c r="U6" s="17">
        <f t="shared" si="9"/>
        <v>4</v>
      </c>
      <c r="W6" s="7">
        <v>1861</v>
      </c>
      <c r="X6" s="7">
        <v>15855</v>
      </c>
      <c r="Y6" s="7">
        <v>15528</v>
      </c>
      <c r="Z6" s="7">
        <v>14282</v>
      </c>
      <c r="AA6" s="7">
        <v>13430</v>
      </c>
      <c r="AB6" s="13"/>
      <c r="AC6" s="38">
        <v>3</v>
      </c>
      <c r="AD6" s="10">
        <v>235</v>
      </c>
      <c r="AF6" s="2" t="str">
        <v>C1</v>
      </c>
      <c r="AG6" s="9">
        <v>7756</v>
      </c>
      <c r="AH6" s="9">
        <v>8994</v>
      </c>
      <c r="AI6" s="9">
        <v>11130</v>
      </c>
      <c r="AJ6" s="9">
        <v>9425</v>
      </c>
      <c r="AK6" s="9">
        <v>10577</v>
      </c>
    </row>
    <row r="7" spans="1:37" ht="15.9" customHeight="1" x14ac:dyDescent="0.3">
      <c r="A7" s="2" t="str">
        <v>M1</v>
      </c>
      <c r="B7" s="38" t="str">
        <v>M1</v>
      </c>
      <c r="C7" s="9">
        <f t="shared" si="0"/>
        <v>14</v>
      </c>
      <c r="D7" s="9">
        <f t="shared" si="1"/>
        <v>9</v>
      </c>
      <c r="E7" s="9">
        <f t="shared" si="2"/>
        <v>9</v>
      </c>
      <c r="F7" s="9">
        <f t="shared" si="3"/>
        <v>8</v>
      </c>
      <c r="G7" s="9">
        <f t="shared" si="4"/>
        <v>15</v>
      </c>
      <c r="H7" s="38">
        <v>3</v>
      </c>
      <c r="I7" s="52"/>
      <c r="J7" s="2">
        <v>3</v>
      </c>
      <c r="K7" s="41" t="s">
        <v>33</v>
      </c>
      <c r="L7" s="41" t="s">
        <v>31</v>
      </c>
      <c r="M7" s="41" t="s">
        <v>34</v>
      </c>
      <c r="N7" s="41" t="s">
        <v>34</v>
      </c>
      <c r="O7" s="41" t="s">
        <v>30</v>
      </c>
      <c r="Q7" s="17">
        <f t="shared" si="5"/>
        <v>8</v>
      </c>
      <c r="R7" s="17">
        <f t="shared" si="6"/>
        <v>6</v>
      </c>
      <c r="S7" s="17">
        <f t="shared" si="7"/>
        <v>9</v>
      </c>
      <c r="T7" s="17">
        <f t="shared" si="8"/>
        <v>9</v>
      </c>
      <c r="U7" s="17">
        <f t="shared" si="9"/>
        <v>5</v>
      </c>
      <c r="W7" s="7">
        <v>5928</v>
      </c>
      <c r="X7" s="7">
        <v>16164</v>
      </c>
      <c r="Y7" s="7">
        <v>15864</v>
      </c>
      <c r="Z7" s="7">
        <v>17263</v>
      </c>
      <c r="AA7" s="7">
        <v>15689</v>
      </c>
      <c r="AB7" s="13"/>
      <c r="AC7" s="38">
        <v>4</v>
      </c>
      <c r="AD7" s="10">
        <v>18</v>
      </c>
      <c r="AF7" s="2" t="str">
        <v>M1</v>
      </c>
      <c r="AG7" s="9">
        <v>49351</v>
      </c>
      <c r="AH7" s="9">
        <v>87894</v>
      </c>
      <c r="AI7" s="9">
        <v>47477</v>
      </c>
      <c r="AJ7" s="9">
        <v>93949</v>
      </c>
      <c r="AK7" s="9">
        <v>48353</v>
      </c>
    </row>
    <row r="8" spans="1:37" ht="15.9" customHeight="1" x14ac:dyDescent="0.3">
      <c r="A8" s="2" t="str">
        <v>M2</v>
      </c>
      <c r="B8" s="38" t="str">
        <v>M2</v>
      </c>
      <c r="C8" s="9">
        <f t="shared" si="0"/>
        <v>28</v>
      </c>
      <c r="D8" s="9">
        <f t="shared" si="1"/>
        <v>33</v>
      </c>
      <c r="E8" s="9">
        <f t="shared" si="2"/>
        <v>15</v>
      </c>
      <c r="F8" s="9">
        <f t="shared" si="3"/>
        <v>11</v>
      </c>
      <c r="G8" s="9">
        <f t="shared" si="4"/>
        <v>24</v>
      </c>
      <c r="H8" s="38">
        <v>4</v>
      </c>
      <c r="I8" s="52"/>
      <c r="J8" s="2">
        <v>4</v>
      </c>
      <c r="K8" s="41" t="s">
        <v>32</v>
      </c>
      <c r="L8" s="41" t="s">
        <v>34</v>
      </c>
      <c r="M8" s="41" t="s">
        <v>29</v>
      </c>
      <c r="N8" s="41" t="s">
        <v>32</v>
      </c>
      <c r="O8" s="41" t="s">
        <v>34</v>
      </c>
      <c r="Q8" s="17">
        <f t="shared" si="5"/>
        <v>7</v>
      </c>
      <c r="R8" s="17">
        <f t="shared" si="6"/>
        <v>9</v>
      </c>
      <c r="S8" s="17">
        <f t="shared" si="7"/>
        <v>4</v>
      </c>
      <c r="T8" s="17">
        <f t="shared" si="8"/>
        <v>7</v>
      </c>
      <c r="U8" s="17">
        <f t="shared" si="9"/>
        <v>9</v>
      </c>
      <c r="W8" s="7">
        <v>13935</v>
      </c>
      <c r="X8" s="7">
        <v>14293</v>
      </c>
      <c r="Y8" s="7">
        <v>17160</v>
      </c>
      <c r="Z8" s="7">
        <v>7612</v>
      </c>
      <c r="AA8" s="7">
        <v>13092</v>
      </c>
      <c r="AB8" s="13"/>
      <c r="AF8" s="2" t="str">
        <v>M2</v>
      </c>
      <c r="AG8" s="9">
        <v>99333</v>
      </c>
      <c r="AH8" s="9">
        <v>43758</v>
      </c>
      <c r="AI8" s="9">
        <v>92418</v>
      </c>
      <c r="AJ8" s="9">
        <v>48470</v>
      </c>
      <c r="AK8" s="9">
        <v>105470</v>
      </c>
    </row>
    <row r="9" spans="1:37" ht="15.9" customHeight="1" x14ac:dyDescent="0.3">
      <c r="A9" s="2" t="str">
        <v>M3</v>
      </c>
      <c r="B9" s="38" t="str">
        <v>M3</v>
      </c>
      <c r="C9" s="9">
        <f t="shared" si="0"/>
        <v>18</v>
      </c>
      <c r="D9" s="9">
        <f t="shared" si="1"/>
        <v>10</v>
      </c>
      <c r="E9" s="9">
        <f t="shared" si="2"/>
        <v>28</v>
      </c>
      <c r="F9" s="9">
        <f t="shared" si="3"/>
        <v>13</v>
      </c>
      <c r="G9" s="9">
        <f t="shared" si="4"/>
        <v>30</v>
      </c>
      <c r="H9" s="38">
        <v>5</v>
      </c>
      <c r="I9" s="52"/>
      <c r="J9" s="2">
        <v>5</v>
      </c>
      <c r="K9" s="41" t="s">
        <v>33</v>
      </c>
      <c r="L9" s="41" t="s">
        <v>32</v>
      </c>
      <c r="M9" s="41" t="s">
        <v>34</v>
      </c>
      <c r="N9" s="41" t="s">
        <v>31</v>
      </c>
      <c r="O9" s="41" t="s">
        <v>31</v>
      </c>
      <c r="Q9" s="17">
        <f t="shared" si="5"/>
        <v>8</v>
      </c>
      <c r="R9" s="17">
        <f t="shared" si="6"/>
        <v>7</v>
      </c>
      <c r="S9" s="17">
        <f t="shared" si="7"/>
        <v>9</v>
      </c>
      <c r="T9" s="17">
        <f t="shared" si="8"/>
        <v>6</v>
      </c>
      <c r="U9" s="17">
        <f t="shared" si="9"/>
        <v>6</v>
      </c>
      <c r="W9" s="7">
        <v>14296</v>
      </c>
      <c r="X9" s="7">
        <v>13778</v>
      </c>
      <c r="Y9" s="7">
        <v>17160</v>
      </c>
      <c r="Z9" s="7">
        <v>7720</v>
      </c>
      <c r="AA9" s="7">
        <v>17269</v>
      </c>
      <c r="AB9" s="13"/>
      <c r="AF9" s="2" t="str">
        <v>M3</v>
      </c>
      <c r="AG9" s="9">
        <v>100655</v>
      </c>
      <c r="AH9" s="9">
        <v>68017</v>
      </c>
      <c r="AI9" s="9">
        <v>68821</v>
      </c>
      <c r="AJ9" s="9">
        <v>68966</v>
      </c>
      <c r="AK9" s="9">
        <v>79480</v>
      </c>
    </row>
    <row r="10" spans="1:37" ht="15.9" customHeight="1" x14ac:dyDescent="0.3">
      <c r="A10" s="2" t="str">
        <v>M4</v>
      </c>
      <c r="B10" s="38" t="str">
        <v>M4</v>
      </c>
      <c r="C10" s="9">
        <f t="shared" si="0"/>
        <v>17</v>
      </c>
      <c r="D10" s="9">
        <f t="shared" si="1"/>
        <v>34</v>
      </c>
      <c r="E10" s="9">
        <f t="shared" si="2"/>
        <v>12</v>
      </c>
      <c r="F10" s="9">
        <f t="shared" si="3"/>
        <v>36</v>
      </c>
      <c r="G10" s="9">
        <f t="shared" si="4"/>
        <v>14</v>
      </c>
      <c r="H10" s="38">
        <v>6</v>
      </c>
      <c r="I10" s="52"/>
      <c r="J10" s="2">
        <v>6</v>
      </c>
      <c r="K10" s="41" t="s">
        <v>29</v>
      </c>
      <c r="L10" s="41" t="s">
        <v>33</v>
      </c>
      <c r="M10" s="41" t="s">
        <v>30</v>
      </c>
      <c r="N10" s="41" t="s">
        <v>34</v>
      </c>
      <c r="O10" s="41" t="s">
        <v>29</v>
      </c>
      <c r="Q10" s="17">
        <f t="shared" si="5"/>
        <v>4</v>
      </c>
      <c r="R10" s="17">
        <f t="shared" si="6"/>
        <v>8</v>
      </c>
      <c r="S10" s="17">
        <f t="shared" si="7"/>
        <v>5</v>
      </c>
      <c r="T10" s="17">
        <f t="shared" si="8"/>
        <v>9</v>
      </c>
      <c r="U10" s="17">
        <f t="shared" si="9"/>
        <v>4</v>
      </c>
      <c r="W10" s="7">
        <v>12374</v>
      </c>
      <c r="X10" s="7">
        <v>14293</v>
      </c>
      <c r="Y10" s="7">
        <v>19439</v>
      </c>
      <c r="Z10" s="7">
        <v>7185</v>
      </c>
      <c r="AA10" s="7">
        <v>14560</v>
      </c>
      <c r="AB10" s="13"/>
      <c r="AF10" s="2" t="str">
        <v>M4</v>
      </c>
      <c r="AG10" s="9">
        <v>98070</v>
      </c>
      <c r="AH10" s="9">
        <v>114421</v>
      </c>
      <c r="AI10" s="9">
        <v>70370</v>
      </c>
      <c r="AJ10" s="9">
        <v>118783</v>
      </c>
      <c r="AK10" s="9">
        <v>79480</v>
      </c>
    </row>
    <row r="11" spans="1:37" ht="15.9" customHeight="1" x14ac:dyDescent="0.3">
      <c r="A11" s="2" t="str">
        <v>A</v>
      </c>
      <c r="B11" s="38" t="str">
        <v>A</v>
      </c>
      <c r="C11" s="9">
        <f t="shared" si="0"/>
        <v>33</v>
      </c>
      <c r="D11" s="9">
        <f t="shared" si="1"/>
        <v>41</v>
      </c>
      <c r="E11" s="9">
        <f t="shared" si="2"/>
        <v>14</v>
      </c>
      <c r="F11" s="9">
        <f t="shared" si="3"/>
        <v>8</v>
      </c>
      <c r="G11" s="9">
        <f t="shared" si="4"/>
        <v>29</v>
      </c>
      <c r="H11" s="38">
        <v>7</v>
      </c>
      <c r="I11" s="52"/>
      <c r="J11" s="2">
        <v>7</v>
      </c>
      <c r="K11" s="41" t="s">
        <v>33</v>
      </c>
      <c r="L11" s="41" t="s">
        <v>31</v>
      </c>
      <c r="M11" s="41" t="s">
        <v>28</v>
      </c>
      <c r="N11" s="41" t="s">
        <v>34</v>
      </c>
      <c r="O11" s="41" t="s">
        <v>30</v>
      </c>
      <c r="Q11" s="17">
        <f t="shared" si="5"/>
        <v>8</v>
      </c>
      <c r="R11" s="17">
        <f t="shared" si="6"/>
        <v>6</v>
      </c>
      <c r="S11" s="17">
        <f t="shared" si="7"/>
        <v>3</v>
      </c>
      <c r="T11" s="17">
        <f t="shared" si="8"/>
        <v>9</v>
      </c>
      <c r="U11" s="17">
        <f t="shared" si="9"/>
        <v>5</v>
      </c>
      <c r="W11" s="7">
        <v>16339</v>
      </c>
      <c r="X11" s="7">
        <v>16905</v>
      </c>
      <c r="Y11" s="7">
        <v>17830</v>
      </c>
      <c r="Z11" s="7">
        <v>6655</v>
      </c>
      <c r="AA11" s="7">
        <v>12189</v>
      </c>
      <c r="AB11" s="13"/>
      <c r="AF11" s="2" t="str">
        <v>A</v>
      </c>
      <c r="AG11" s="9">
        <v>150063</v>
      </c>
      <c r="AH11" s="9">
        <v>162790</v>
      </c>
      <c r="AI11" s="9">
        <v>155110</v>
      </c>
      <c r="AJ11" s="9">
        <v>169347</v>
      </c>
      <c r="AK11" s="9">
        <v>153521</v>
      </c>
    </row>
    <row r="12" spans="1:37" ht="15.9" customHeight="1" x14ac:dyDescent="0.3">
      <c r="A12" s="2" t="str">
        <v>K</v>
      </c>
      <c r="B12" s="38" t="str">
        <v>K</v>
      </c>
      <c r="C12" s="9">
        <f t="shared" si="0"/>
        <v>37</v>
      </c>
      <c r="D12" s="9">
        <f t="shared" si="1"/>
        <v>11</v>
      </c>
      <c r="E12" s="9">
        <f t="shared" si="2"/>
        <v>10</v>
      </c>
      <c r="F12" s="9">
        <f t="shared" si="3"/>
        <v>42</v>
      </c>
      <c r="G12" s="9">
        <f t="shared" si="4"/>
        <v>24</v>
      </c>
      <c r="H12" s="38">
        <v>8</v>
      </c>
      <c r="I12" s="52"/>
      <c r="J12" s="2">
        <v>8</v>
      </c>
      <c r="K12" s="41" t="s">
        <v>30</v>
      </c>
      <c r="L12" s="41" t="s">
        <v>30</v>
      </c>
      <c r="M12" s="41" t="s">
        <v>38</v>
      </c>
      <c r="N12" s="41" t="s">
        <v>31</v>
      </c>
      <c r="O12" s="41" t="s">
        <v>29</v>
      </c>
      <c r="Q12" s="17">
        <f t="shared" si="5"/>
        <v>5</v>
      </c>
      <c r="R12" s="17">
        <f t="shared" si="6"/>
        <v>5</v>
      </c>
      <c r="S12" s="17">
        <f t="shared" si="7"/>
        <v>12</v>
      </c>
      <c r="T12" s="17">
        <f t="shared" si="8"/>
        <v>6</v>
      </c>
      <c r="U12" s="17">
        <f t="shared" si="9"/>
        <v>4</v>
      </c>
      <c r="W12" s="7">
        <v>15138</v>
      </c>
      <c r="X12" s="7">
        <v>17275</v>
      </c>
      <c r="Y12" s="7">
        <v>17025</v>
      </c>
      <c r="Z12" s="7">
        <v>5369</v>
      </c>
      <c r="AA12" s="7">
        <v>12979</v>
      </c>
      <c r="AB12" s="13"/>
      <c r="AF12" s="2" t="str">
        <v>K</v>
      </c>
      <c r="AG12" s="9">
        <v>150580</v>
      </c>
      <c r="AH12" s="9">
        <v>161429</v>
      </c>
      <c r="AI12" s="9">
        <v>142219</v>
      </c>
      <c r="AJ12" s="9">
        <v>160670</v>
      </c>
      <c r="AK12" s="9">
        <v>143850</v>
      </c>
    </row>
    <row r="13" spans="1:37" ht="15.9" customHeight="1" x14ac:dyDescent="0.3">
      <c r="A13" s="2" t="str">
        <v>Q</v>
      </c>
      <c r="B13" s="38" t="str">
        <v>Q</v>
      </c>
      <c r="C13" s="9">
        <f t="shared" si="0"/>
        <v>18</v>
      </c>
      <c r="D13" s="9">
        <f t="shared" si="1"/>
        <v>11</v>
      </c>
      <c r="E13" s="9">
        <f t="shared" si="2"/>
        <v>40</v>
      </c>
      <c r="F13" s="9">
        <f t="shared" si="3"/>
        <v>33</v>
      </c>
      <c r="G13" s="9">
        <f t="shared" si="4"/>
        <v>31</v>
      </c>
      <c r="H13" s="38">
        <v>9</v>
      </c>
      <c r="I13" s="52"/>
      <c r="J13" s="2">
        <v>9</v>
      </c>
      <c r="K13" s="41" t="s">
        <v>33</v>
      </c>
      <c r="L13" s="41" t="s">
        <v>31</v>
      </c>
      <c r="M13" s="41" t="s">
        <v>26</v>
      </c>
      <c r="N13" s="41" t="s">
        <v>31</v>
      </c>
      <c r="O13" s="41" t="s">
        <v>33</v>
      </c>
      <c r="Q13" s="17">
        <f t="shared" si="5"/>
        <v>8</v>
      </c>
      <c r="R13" s="17">
        <f t="shared" si="6"/>
        <v>6</v>
      </c>
      <c r="S13" s="17">
        <f t="shared" si="7"/>
        <v>2</v>
      </c>
      <c r="T13" s="17">
        <f t="shared" si="8"/>
        <v>6</v>
      </c>
      <c r="U13" s="17">
        <f t="shared" si="9"/>
        <v>8</v>
      </c>
      <c r="W13" s="7">
        <v>15978</v>
      </c>
      <c r="X13" s="7">
        <v>7666</v>
      </c>
      <c r="Y13" s="7">
        <v>17651</v>
      </c>
      <c r="Z13" s="7">
        <v>3990</v>
      </c>
      <c r="AA13" s="7">
        <v>12791</v>
      </c>
      <c r="AB13" s="13"/>
      <c r="AF13" s="2" t="str">
        <v>Q</v>
      </c>
      <c r="AG13" s="9">
        <v>173331</v>
      </c>
      <c r="AH13" s="9">
        <v>135582</v>
      </c>
      <c r="AI13" s="9">
        <v>177158</v>
      </c>
      <c r="AJ13" s="9">
        <v>143616</v>
      </c>
      <c r="AK13" s="9">
        <v>190692</v>
      </c>
    </row>
    <row r="14" spans="1:37" ht="15.9" customHeight="1" x14ac:dyDescent="0.3">
      <c r="A14" s="2" t="str">
        <v>J</v>
      </c>
      <c r="B14" s="38" t="str">
        <v>J</v>
      </c>
      <c r="C14" s="9">
        <f t="shared" si="0"/>
        <v>33</v>
      </c>
      <c r="D14" s="9">
        <f t="shared" si="1"/>
        <v>8</v>
      </c>
      <c r="E14" s="9">
        <f t="shared" si="2"/>
        <v>36</v>
      </c>
      <c r="F14" s="9">
        <f t="shared" si="3"/>
        <v>12</v>
      </c>
      <c r="G14" s="9">
        <f t="shared" si="4"/>
        <v>30</v>
      </c>
      <c r="H14" s="38">
        <v>10</v>
      </c>
      <c r="I14" s="52"/>
      <c r="J14" s="2">
        <v>10</v>
      </c>
      <c r="K14" s="41" t="s">
        <v>29</v>
      </c>
      <c r="L14" s="41" t="s">
        <v>44</v>
      </c>
      <c r="M14" s="41" t="s">
        <v>30</v>
      </c>
      <c r="N14" s="41" t="s">
        <v>31</v>
      </c>
      <c r="O14" s="41" t="s">
        <v>30</v>
      </c>
      <c r="Q14" s="17">
        <f t="shared" si="5"/>
        <v>4</v>
      </c>
      <c r="R14" s="17">
        <f t="shared" si="6"/>
        <v>15</v>
      </c>
      <c r="S14" s="17">
        <f t="shared" si="7"/>
        <v>5</v>
      </c>
      <c r="T14" s="17">
        <f t="shared" si="8"/>
        <v>6</v>
      </c>
      <c r="U14" s="17">
        <f t="shared" si="9"/>
        <v>5</v>
      </c>
      <c r="W14" s="7">
        <v>15978</v>
      </c>
      <c r="X14" s="7">
        <v>7034</v>
      </c>
      <c r="Y14" s="7">
        <v>14077</v>
      </c>
      <c r="Z14" s="7">
        <v>6597</v>
      </c>
      <c r="AA14" s="7">
        <v>12979</v>
      </c>
      <c r="AB14" s="13"/>
      <c r="AF14" s="2" t="str">
        <v>J</v>
      </c>
      <c r="AG14" s="9">
        <v>170861</v>
      </c>
      <c r="AH14" s="9">
        <v>138076</v>
      </c>
      <c r="AI14" s="9">
        <v>171523</v>
      </c>
      <c r="AJ14" s="9">
        <v>137483</v>
      </c>
      <c r="AK14" s="9">
        <v>188577</v>
      </c>
    </row>
    <row r="15" spans="1:37" ht="15.9" customHeight="1" x14ac:dyDescent="0.3">
      <c r="A15" s="2" t="str">
        <v>G1</v>
      </c>
      <c r="B15" s="38" t="str">
        <v>Golden M1</v>
      </c>
      <c r="C15" s="9">
        <f t="shared" si="0"/>
        <v>0</v>
      </c>
      <c r="D15" s="9">
        <f t="shared" si="1"/>
        <v>2</v>
      </c>
      <c r="E15" s="9">
        <f t="shared" si="2"/>
        <v>2</v>
      </c>
      <c r="F15" s="9">
        <f t="shared" si="3"/>
        <v>2</v>
      </c>
      <c r="G15" s="9">
        <f t="shared" si="4"/>
        <v>0</v>
      </c>
      <c r="H15" s="38">
        <v>11</v>
      </c>
      <c r="I15" s="52"/>
      <c r="J15" s="2">
        <v>11</v>
      </c>
      <c r="K15" s="41" t="s">
        <v>28</v>
      </c>
      <c r="L15" s="41" t="s">
        <v>42</v>
      </c>
      <c r="M15" s="41" t="s">
        <v>38</v>
      </c>
      <c r="N15" s="41" t="s">
        <v>34</v>
      </c>
      <c r="O15" s="41" t="s">
        <v>31</v>
      </c>
      <c r="Q15" s="17">
        <f t="shared" si="5"/>
        <v>3</v>
      </c>
      <c r="R15" s="17">
        <f t="shared" si="6"/>
        <v>14</v>
      </c>
      <c r="S15" s="17">
        <f t="shared" si="7"/>
        <v>12</v>
      </c>
      <c r="T15" s="17">
        <f t="shared" si="8"/>
        <v>9</v>
      </c>
      <c r="U15" s="17">
        <f t="shared" si="9"/>
        <v>6</v>
      </c>
      <c r="W15" s="7">
        <v>14656</v>
      </c>
      <c r="X15" s="7">
        <v>6794</v>
      </c>
      <c r="Y15" s="7">
        <v>15193</v>
      </c>
      <c r="Z15" s="7">
        <v>4554</v>
      </c>
      <c r="AA15" s="7">
        <v>12754</v>
      </c>
      <c r="AB15" s="13"/>
      <c r="AF15" s="2" t="str">
        <v>G1</v>
      </c>
      <c r="AG15" s="9">
        <v>0</v>
      </c>
      <c r="AH15" s="9">
        <v>8049</v>
      </c>
      <c r="AI15" s="9">
        <v>3775</v>
      </c>
      <c r="AJ15" s="9">
        <v>5036</v>
      </c>
      <c r="AK15" s="9">
        <v>0</v>
      </c>
    </row>
    <row r="16" spans="1:37" ht="15.9" customHeight="1" x14ac:dyDescent="0.3">
      <c r="A16" s="2" t="str">
        <v>G2</v>
      </c>
      <c r="B16" s="38" t="str">
        <v>Golden M2</v>
      </c>
      <c r="C16" s="9">
        <f t="shared" si="0"/>
        <v>0</v>
      </c>
      <c r="D16" s="9">
        <f t="shared" si="1"/>
        <v>7</v>
      </c>
      <c r="E16" s="9">
        <f t="shared" si="2"/>
        <v>3</v>
      </c>
      <c r="F16" s="9">
        <f t="shared" si="3"/>
        <v>2</v>
      </c>
      <c r="G16" s="9">
        <f t="shared" si="4"/>
        <v>0</v>
      </c>
      <c r="H16" s="38">
        <v>12</v>
      </c>
      <c r="I16" s="52"/>
      <c r="J16" s="2">
        <v>12</v>
      </c>
      <c r="K16" s="41" t="s">
        <v>35</v>
      </c>
      <c r="L16" s="41" t="s">
        <v>31</v>
      </c>
      <c r="M16" s="41" t="s">
        <v>35</v>
      </c>
      <c r="N16" s="41" t="s">
        <v>31</v>
      </c>
      <c r="O16" s="41" t="s">
        <v>33</v>
      </c>
      <c r="Q16" s="17">
        <f t="shared" si="5"/>
        <v>10</v>
      </c>
      <c r="R16" s="17">
        <f t="shared" si="6"/>
        <v>6</v>
      </c>
      <c r="S16" s="17">
        <f t="shared" si="7"/>
        <v>10</v>
      </c>
      <c r="T16" s="17">
        <f t="shared" si="8"/>
        <v>6</v>
      </c>
      <c r="U16" s="17">
        <f t="shared" si="9"/>
        <v>8</v>
      </c>
      <c r="W16" s="7">
        <v>13815</v>
      </c>
      <c r="X16" s="7">
        <v>7455</v>
      </c>
      <c r="Y16" s="7">
        <v>15150</v>
      </c>
      <c r="Z16" s="7">
        <v>9314</v>
      </c>
      <c r="AA16" s="7">
        <v>15464</v>
      </c>
      <c r="AB16" s="13"/>
      <c r="AF16" s="2" t="str">
        <v>G2</v>
      </c>
      <c r="AG16" s="9">
        <v>0</v>
      </c>
      <c r="AH16" s="9">
        <v>3869</v>
      </c>
      <c r="AI16" s="9">
        <v>6630</v>
      </c>
      <c r="AJ16" s="9">
        <v>2483</v>
      </c>
      <c r="AK16" s="9">
        <v>0</v>
      </c>
    </row>
    <row r="17" spans="1:37" ht="15.9" customHeight="1" x14ac:dyDescent="0.3">
      <c r="A17" s="2" t="str">
        <v>G3</v>
      </c>
      <c r="B17" s="38" t="str">
        <v>Golden M3</v>
      </c>
      <c r="C17" s="9">
        <f t="shared" si="0"/>
        <v>0</v>
      </c>
      <c r="D17" s="9">
        <f t="shared" si="1"/>
        <v>3</v>
      </c>
      <c r="E17" s="9">
        <f t="shared" si="2"/>
        <v>6</v>
      </c>
      <c r="F17" s="9">
        <f t="shared" si="3"/>
        <v>2</v>
      </c>
      <c r="G17" s="9">
        <f t="shared" si="4"/>
        <v>0</v>
      </c>
      <c r="H17" s="38">
        <v>13</v>
      </c>
      <c r="I17" s="52"/>
      <c r="J17" s="2">
        <v>13</v>
      </c>
      <c r="K17" s="41" t="s">
        <v>29</v>
      </c>
      <c r="L17" s="41" t="s">
        <v>34</v>
      </c>
      <c r="M17" s="41" t="s">
        <v>29</v>
      </c>
      <c r="N17" s="41" t="s">
        <v>33</v>
      </c>
      <c r="O17" s="41" t="s">
        <v>28</v>
      </c>
      <c r="Q17" s="17">
        <f t="shared" si="5"/>
        <v>4</v>
      </c>
      <c r="R17" s="17">
        <f t="shared" si="6"/>
        <v>9</v>
      </c>
      <c r="S17" s="17">
        <f t="shared" si="7"/>
        <v>4</v>
      </c>
      <c r="T17" s="17">
        <f t="shared" si="8"/>
        <v>8</v>
      </c>
      <c r="U17" s="17">
        <f t="shared" si="9"/>
        <v>3</v>
      </c>
      <c r="W17" s="7">
        <v>11112</v>
      </c>
      <c r="X17" s="7">
        <v>6347</v>
      </c>
      <c r="Y17" s="7">
        <v>18367</v>
      </c>
      <c r="Z17" s="7">
        <v>3990</v>
      </c>
      <c r="AA17" s="7">
        <v>14108</v>
      </c>
      <c r="AB17" s="13"/>
      <c r="AF17" s="2" t="str">
        <v>G3</v>
      </c>
      <c r="AG17" s="9">
        <v>0</v>
      </c>
      <c r="AH17" s="9">
        <v>6080</v>
      </c>
      <c r="AI17" s="9">
        <v>5120</v>
      </c>
      <c r="AJ17" s="9">
        <v>4255</v>
      </c>
      <c r="AK17" s="9">
        <v>0</v>
      </c>
    </row>
    <row r="18" spans="1:37" ht="15.9" customHeight="1" x14ac:dyDescent="0.3">
      <c r="A18" s="2" t="str">
        <v>G4</v>
      </c>
      <c r="B18" s="38" t="str">
        <v>Golden M4</v>
      </c>
      <c r="C18" s="9">
        <f t="shared" si="0"/>
        <v>0</v>
      </c>
      <c r="D18" s="9">
        <f t="shared" si="1"/>
        <v>9</v>
      </c>
      <c r="E18" s="9">
        <f t="shared" si="2"/>
        <v>2</v>
      </c>
      <c r="F18" s="9">
        <f t="shared" si="3"/>
        <v>8</v>
      </c>
      <c r="G18" s="9">
        <f t="shared" si="4"/>
        <v>0</v>
      </c>
      <c r="H18" s="38">
        <v>14</v>
      </c>
      <c r="I18" s="52"/>
      <c r="J18" s="9">
        <v>14</v>
      </c>
      <c r="K18" s="41" t="s">
        <v>31</v>
      </c>
      <c r="L18" s="41" t="s">
        <v>29</v>
      </c>
      <c r="M18" s="41" t="s">
        <v>33</v>
      </c>
      <c r="N18" s="41" t="s">
        <v>31</v>
      </c>
      <c r="O18" s="41" t="s">
        <v>29</v>
      </c>
      <c r="Q18" s="17">
        <f t="shared" si="5"/>
        <v>6</v>
      </c>
      <c r="R18" s="17">
        <f t="shared" si="6"/>
        <v>4</v>
      </c>
      <c r="S18" s="17">
        <f t="shared" si="7"/>
        <v>8</v>
      </c>
      <c r="T18" s="17">
        <f t="shared" si="8"/>
        <v>6</v>
      </c>
      <c r="U18" s="17">
        <f t="shared" si="9"/>
        <v>4</v>
      </c>
      <c r="W18" s="7">
        <v>13216</v>
      </c>
      <c r="X18" s="7">
        <v>6436</v>
      </c>
      <c r="Y18" s="7">
        <v>16892</v>
      </c>
      <c r="Z18" s="7">
        <v>2827</v>
      </c>
      <c r="AA18" s="7">
        <v>10270</v>
      </c>
      <c r="AB18" s="13"/>
      <c r="AF18" s="2" t="str">
        <v>G4</v>
      </c>
      <c r="AG18" s="9">
        <v>0</v>
      </c>
      <c r="AH18" s="9">
        <v>10122</v>
      </c>
      <c r="AI18" s="9">
        <v>4891</v>
      </c>
      <c r="AJ18" s="9">
        <v>5390</v>
      </c>
      <c r="AK18" s="9">
        <v>0</v>
      </c>
    </row>
    <row r="19" spans="1:37" ht="15.9" customHeight="1" x14ac:dyDescent="0.3">
      <c r="A19" s="2" t="str">
        <v>GA</v>
      </c>
      <c r="B19" s="38" t="str">
        <v>Golden A</v>
      </c>
      <c r="C19" s="9">
        <f t="shared" si="0"/>
        <v>0</v>
      </c>
      <c r="D19" s="9">
        <f t="shared" si="1"/>
        <v>11</v>
      </c>
      <c r="E19" s="9">
        <f t="shared" si="2"/>
        <v>3</v>
      </c>
      <c r="F19" s="9">
        <f t="shared" si="3"/>
        <v>2</v>
      </c>
      <c r="G19" s="9">
        <f t="shared" si="4"/>
        <v>0</v>
      </c>
      <c r="H19" s="38">
        <v>15</v>
      </c>
      <c r="I19" s="52"/>
      <c r="J19" s="2">
        <v>15</v>
      </c>
      <c r="K19" s="41" t="s">
        <v>35</v>
      </c>
      <c r="L19" s="41" t="s">
        <v>29</v>
      </c>
      <c r="M19" s="41" t="s">
        <v>34</v>
      </c>
      <c r="N19" s="41" t="s">
        <v>33</v>
      </c>
      <c r="O19" s="41" t="s">
        <v>33</v>
      </c>
      <c r="Q19" s="17">
        <f t="shared" si="5"/>
        <v>10</v>
      </c>
      <c r="R19" s="17">
        <f t="shared" si="6"/>
        <v>4</v>
      </c>
      <c r="S19" s="17">
        <f t="shared" si="7"/>
        <v>9</v>
      </c>
      <c r="T19" s="17">
        <f t="shared" si="8"/>
        <v>8</v>
      </c>
      <c r="U19" s="17">
        <f t="shared" si="9"/>
        <v>8</v>
      </c>
      <c r="W19" s="7">
        <v>11814</v>
      </c>
      <c r="X19" s="7">
        <v>5598</v>
      </c>
      <c r="Y19" s="7">
        <v>14635</v>
      </c>
      <c r="Z19" s="7">
        <v>1953</v>
      </c>
      <c r="AA19" s="7">
        <v>8522</v>
      </c>
      <c r="AB19" s="13"/>
      <c r="AF19" s="2" t="str">
        <v>GA</v>
      </c>
      <c r="AG19" s="9">
        <v>0</v>
      </c>
      <c r="AH19" s="9">
        <v>13749</v>
      </c>
      <c r="AI19" s="9">
        <v>10241</v>
      </c>
      <c r="AJ19" s="9">
        <v>7872</v>
      </c>
      <c r="AK19" s="9">
        <v>0</v>
      </c>
    </row>
    <row r="20" spans="1:37" ht="15.9" customHeight="1" x14ac:dyDescent="0.3">
      <c r="A20" s="2" t="str">
        <v>GK</v>
      </c>
      <c r="B20" s="38" t="str">
        <v>Golden K</v>
      </c>
      <c r="C20" s="9">
        <f t="shared" si="0"/>
        <v>0</v>
      </c>
      <c r="D20" s="9">
        <f t="shared" si="1"/>
        <v>3</v>
      </c>
      <c r="E20" s="9">
        <f t="shared" si="2"/>
        <v>2</v>
      </c>
      <c r="F20" s="9">
        <f t="shared" si="3"/>
        <v>10</v>
      </c>
      <c r="G20" s="9">
        <f t="shared" si="4"/>
        <v>0</v>
      </c>
      <c r="H20" s="38">
        <v>16</v>
      </c>
      <c r="I20" s="52"/>
      <c r="J20" s="2">
        <v>16</v>
      </c>
      <c r="K20" s="41" t="s">
        <v>34</v>
      </c>
      <c r="L20" s="41" t="s">
        <v>31</v>
      </c>
      <c r="M20" s="41" t="s">
        <v>32</v>
      </c>
      <c r="N20" s="41" t="s">
        <v>33</v>
      </c>
      <c r="O20" s="41" t="s">
        <v>29</v>
      </c>
      <c r="Q20" s="17">
        <f t="shared" si="5"/>
        <v>9</v>
      </c>
      <c r="R20" s="17">
        <f t="shared" si="6"/>
        <v>6</v>
      </c>
      <c r="S20" s="17">
        <f t="shared" si="7"/>
        <v>7</v>
      </c>
      <c r="T20" s="17">
        <f t="shared" si="8"/>
        <v>8</v>
      </c>
      <c r="U20" s="17">
        <f t="shared" si="9"/>
        <v>4</v>
      </c>
      <c r="W20" s="7">
        <v>12115</v>
      </c>
      <c r="X20" s="7">
        <v>6039</v>
      </c>
      <c r="Y20" s="7">
        <v>17986</v>
      </c>
      <c r="Z20" s="7">
        <v>3990</v>
      </c>
      <c r="AA20" s="7">
        <v>14954</v>
      </c>
      <c r="AB20" s="13"/>
      <c r="AF20" s="2" t="str">
        <v>GK</v>
      </c>
      <c r="AG20" s="9">
        <v>0</v>
      </c>
      <c r="AH20" s="9">
        <v>13680</v>
      </c>
      <c r="AI20" s="9">
        <v>9715</v>
      </c>
      <c r="AJ20" s="9">
        <v>8369</v>
      </c>
      <c r="AK20" s="9">
        <v>0</v>
      </c>
    </row>
    <row r="21" spans="1:37" ht="15.9" customHeight="1" x14ac:dyDescent="0.3">
      <c r="A21" s="2" t="str">
        <v>GQ</v>
      </c>
      <c r="B21" s="38" t="str">
        <v>Golden Q</v>
      </c>
      <c r="C21" s="9">
        <f t="shared" si="0"/>
        <v>0</v>
      </c>
      <c r="D21" s="9">
        <f t="shared" si="1"/>
        <v>3</v>
      </c>
      <c r="E21" s="9">
        <f t="shared" si="2"/>
        <v>8</v>
      </c>
      <c r="F21" s="9">
        <f t="shared" si="3"/>
        <v>6</v>
      </c>
      <c r="G21" s="9">
        <f t="shared" si="4"/>
        <v>0</v>
      </c>
      <c r="H21" s="38">
        <v>17</v>
      </c>
      <c r="I21" s="52"/>
      <c r="J21" s="2">
        <v>17</v>
      </c>
      <c r="K21" s="41" t="s">
        <v>35</v>
      </c>
      <c r="L21" s="41" t="s">
        <v>36</v>
      </c>
      <c r="M21" s="41" t="s">
        <v>35</v>
      </c>
      <c r="N21" s="41" t="s">
        <v>33</v>
      </c>
      <c r="O21" s="41" t="s">
        <v>34</v>
      </c>
      <c r="Q21" s="17">
        <f t="shared" si="5"/>
        <v>10</v>
      </c>
      <c r="R21" s="17">
        <f t="shared" si="6"/>
        <v>11</v>
      </c>
      <c r="S21" s="17">
        <f t="shared" si="7"/>
        <v>10</v>
      </c>
      <c r="T21" s="17">
        <f t="shared" si="8"/>
        <v>8</v>
      </c>
      <c r="U21" s="17">
        <f t="shared" si="9"/>
        <v>9</v>
      </c>
      <c r="W21" s="7">
        <v>15017</v>
      </c>
      <c r="X21" s="7">
        <v>5068</v>
      </c>
      <c r="Y21" s="7">
        <v>16309</v>
      </c>
      <c r="Z21" s="7">
        <v>3990</v>
      </c>
      <c r="AA21" s="7">
        <v>15464</v>
      </c>
      <c r="AB21" s="13"/>
      <c r="AF21" s="2" t="str">
        <v>GQ</v>
      </c>
      <c r="AG21" s="9">
        <v>0</v>
      </c>
      <c r="AH21" s="9">
        <v>11434</v>
      </c>
      <c r="AI21" s="9">
        <v>12144</v>
      </c>
      <c r="AJ21" s="9">
        <v>7517</v>
      </c>
      <c r="AK21" s="9">
        <v>0</v>
      </c>
    </row>
    <row r="22" spans="1:37" ht="15.9" customHeight="1" x14ac:dyDescent="0.3">
      <c r="A22" s="2" t="str">
        <v>GJ</v>
      </c>
      <c r="B22" s="38" t="str">
        <v>Golden J</v>
      </c>
      <c r="C22" s="9">
        <f t="shared" si="0"/>
        <v>0</v>
      </c>
      <c r="D22" s="9">
        <f t="shared" si="1"/>
        <v>2</v>
      </c>
      <c r="E22" s="9">
        <f t="shared" si="2"/>
        <v>8</v>
      </c>
      <c r="F22" s="9">
        <f t="shared" si="3"/>
        <v>2</v>
      </c>
      <c r="G22" s="9">
        <f t="shared" si="4"/>
        <v>0</v>
      </c>
      <c r="H22" s="38">
        <v>18</v>
      </c>
      <c r="I22" s="52"/>
      <c r="J22" s="2">
        <v>18</v>
      </c>
      <c r="K22" s="41" t="s">
        <v>33</v>
      </c>
      <c r="L22" s="41" t="s">
        <v>28</v>
      </c>
      <c r="M22" s="41" t="s">
        <v>34</v>
      </c>
      <c r="N22" s="41" t="s">
        <v>33</v>
      </c>
      <c r="O22" s="41" t="s">
        <v>31</v>
      </c>
      <c r="Q22" s="17">
        <f t="shared" si="5"/>
        <v>8</v>
      </c>
      <c r="R22" s="17">
        <f t="shared" si="6"/>
        <v>3</v>
      </c>
      <c r="S22" s="17">
        <f t="shared" si="7"/>
        <v>9</v>
      </c>
      <c r="T22" s="17">
        <f t="shared" si="8"/>
        <v>8</v>
      </c>
      <c r="U22" s="17">
        <f t="shared" si="9"/>
        <v>6</v>
      </c>
      <c r="W22" s="7">
        <v>14896</v>
      </c>
      <c r="X22" s="7">
        <v>17151</v>
      </c>
      <c r="Y22" s="7">
        <v>6127</v>
      </c>
      <c r="Z22" s="7">
        <v>2827</v>
      </c>
      <c r="AA22" s="7">
        <v>17494</v>
      </c>
      <c r="AB22" s="13"/>
      <c r="AF22" s="2" t="str">
        <v>GJ</v>
      </c>
      <c r="AG22" s="9">
        <v>0</v>
      </c>
      <c r="AH22" s="9">
        <v>12056</v>
      </c>
      <c r="AI22" s="9">
        <v>11258</v>
      </c>
      <c r="AJ22" s="9">
        <v>8369</v>
      </c>
      <c r="AK22" s="9">
        <v>0</v>
      </c>
    </row>
    <row r="23" spans="1:37" ht="15.9" customHeight="1" x14ac:dyDescent="0.3">
      <c r="C23" s="19">
        <f>SUM(C4:C22)</f>
        <v>200</v>
      </c>
      <c r="D23" s="19">
        <f>SUM(D4:D22)</f>
        <v>200</v>
      </c>
      <c r="E23" s="19">
        <f>SUM(E4:E22)</f>
        <v>200</v>
      </c>
      <c r="F23" s="19">
        <f>SUM(F4:F22)</f>
        <v>200</v>
      </c>
      <c r="G23" s="19">
        <f>SUM(G4:G22)</f>
        <v>200</v>
      </c>
      <c r="I23" s="52"/>
      <c r="J23" s="2">
        <v>19</v>
      </c>
      <c r="K23" s="41" t="s">
        <v>28</v>
      </c>
      <c r="L23" s="41" t="s">
        <v>29</v>
      </c>
      <c r="M23" s="41" t="s">
        <v>32</v>
      </c>
      <c r="N23" s="41" t="s">
        <v>33</v>
      </c>
      <c r="O23" s="41" t="s">
        <v>32</v>
      </c>
      <c r="Q23" s="17">
        <f t="shared" si="5"/>
        <v>3</v>
      </c>
      <c r="R23" s="17">
        <f t="shared" si="6"/>
        <v>4</v>
      </c>
      <c r="S23" s="17">
        <f t="shared" si="7"/>
        <v>7</v>
      </c>
      <c r="T23" s="17">
        <f t="shared" si="8"/>
        <v>8</v>
      </c>
      <c r="U23" s="17">
        <f t="shared" si="9"/>
        <v>7</v>
      </c>
      <c r="W23" s="7">
        <v>15978</v>
      </c>
      <c r="X23" s="7">
        <v>7774</v>
      </c>
      <c r="Y23" s="7">
        <v>5839</v>
      </c>
      <c r="Z23" s="7">
        <v>1953</v>
      </c>
      <c r="AA23" s="7">
        <v>13995</v>
      </c>
      <c r="AB23" s="13"/>
    </row>
    <row r="24" spans="1:37" ht="15.9" customHeight="1" x14ac:dyDescent="0.3">
      <c r="I24" s="52"/>
      <c r="J24" s="2">
        <v>20</v>
      </c>
      <c r="K24" s="41" t="s">
        <v>29</v>
      </c>
      <c r="L24" s="41" t="s">
        <v>44</v>
      </c>
      <c r="M24" s="41" t="s">
        <v>42</v>
      </c>
      <c r="N24" s="41" t="s">
        <v>33</v>
      </c>
      <c r="O24" s="41" t="s">
        <v>35</v>
      </c>
      <c r="Q24" s="17">
        <f t="shared" si="5"/>
        <v>4</v>
      </c>
      <c r="R24" s="17">
        <f t="shared" si="6"/>
        <v>15</v>
      </c>
      <c r="S24" s="17">
        <f t="shared" si="7"/>
        <v>14</v>
      </c>
      <c r="T24" s="17">
        <f t="shared" si="8"/>
        <v>8</v>
      </c>
      <c r="U24" s="17">
        <f t="shared" si="9"/>
        <v>10</v>
      </c>
      <c r="W24" s="7">
        <v>14296</v>
      </c>
      <c r="X24" s="7">
        <v>6480</v>
      </c>
      <c r="Y24" s="7">
        <v>6031</v>
      </c>
      <c r="Z24" s="7">
        <v>9314</v>
      </c>
      <c r="AA24" s="7">
        <v>15464</v>
      </c>
    </row>
    <row r="25" spans="1:37" ht="16.5" customHeight="1" x14ac:dyDescent="0.3">
      <c r="I25" s="52"/>
      <c r="J25" s="2">
        <v>21</v>
      </c>
      <c r="K25" s="41" t="s">
        <v>31</v>
      </c>
      <c r="L25" s="41" t="s">
        <v>42</v>
      </c>
      <c r="M25" s="41" t="s">
        <v>31</v>
      </c>
      <c r="N25" s="41" t="s">
        <v>31</v>
      </c>
      <c r="O25" s="41" t="s">
        <v>34</v>
      </c>
      <c r="Q25" s="17">
        <f t="shared" si="5"/>
        <v>6</v>
      </c>
      <c r="R25" s="17">
        <f t="shared" si="6"/>
        <v>14</v>
      </c>
      <c r="S25" s="17">
        <f t="shared" si="7"/>
        <v>6</v>
      </c>
      <c r="T25" s="17">
        <f t="shared" si="8"/>
        <v>6</v>
      </c>
      <c r="U25" s="17">
        <f t="shared" si="9"/>
        <v>9</v>
      </c>
      <c r="W25" s="7">
        <v>16579</v>
      </c>
      <c r="X25" s="7">
        <v>6392</v>
      </c>
      <c r="Y25" s="7">
        <v>7183</v>
      </c>
      <c r="Z25" s="7">
        <v>13557</v>
      </c>
      <c r="AA25" s="7">
        <v>12189</v>
      </c>
      <c r="AB25" s="13"/>
    </row>
    <row r="26" spans="1:37" ht="16.5" customHeight="1" x14ac:dyDescent="0.3">
      <c r="I26" s="52"/>
      <c r="J26" s="2">
        <v>22</v>
      </c>
      <c r="K26" s="41" t="s">
        <v>30</v>
      </c>
      <c r="L26" s="41" t="s">
        <v>31</v>
      </c>
      <c r="M26" s="41" t="s">
        <v>35</v>
      </c>
      <c r="N26" s="41" t="s">
        <v>28</v>
      </c>
      <c r="O26" s="41" t="s">
        <v>35</v>
      </c>
      <c r="Q26" s="17">
        <f t="shared" si="5"/>
        <v>5</v>
      </c>
      <c r="R26" s="17">
        <f t="shared" si="6"/>
        <v>6</v>
      </c>
      <c r="S26" s="17">
        <f t="shared" si="7"/>
        <v>10</v>
      </c>
      <c r="T26" s="17">
        <f t="shared" si="8"/>
        <v>3</v>
      </c>
      <c r="U26" s="17">
        <f t="shared" si="9"/>
        <v>10</v>
      </c>
      <c r="W26" s="7">
        <v>15138</v>
      </c>
      <c r="X26" s="7">
        <v>15526</v>
      </c>
      <c r="Y26" s="7">
        <v>8103</v>
      </c>
      <c r="Z26" s="7">
        <v>15523</v>
      </c>
      <c r="AA26" s="7">
        <v>15124</v>
      </c>
      <c r="AB26" s="13"/>
    </row>
    <row r="27" spans="1:37" ht="16.5" customHeight="1" x14ac:dyDescent="0.3">
      <c r="I27" s="52"/>
      <c r="J27" s="2">
        <v>23</v>
      </c>
      <c r="K27" s="41" t="s">
        <v>33</v>
      </c>
      <c r="L27" s="41" t="s">
        <v>29</v>
      </c>
      <c r="M27" s="41" t="s">
        <v>35</v>
      </c>
      <c r="N27" s="41" t="s">
        <v>34</v>
      </c>
      <c r="O27" s="41" t="s">
        <v>31</v>
      </c>
      <c r="Q27" s="17">
        <f t="shared" si="5"/>
        <v>8</v>
      </c>
      <c r="R27" s="17">
        <f t="shared" si="6"/>
        <v>4</v>
      </c>
      <c r="S27" s="17">
        <f t="shared" si="7"/>
        <v>10</v>
      </c>
      <c r="T27" s="17">
        <f t="shared" si="8"/>
        <v>9</v>
      </c>
      <c r="U27" s="17">
        <f t="shared" si="9"/>
        <v>6</v>
      </c>
      <c r="W27" s="7">
        <v>15738</v>
      </c>
      <c r="X27" s="7">
        <v>16656</v>
      </c>
      <c r="Y27" s="7">
        <v>19706</v>
      </c>
      <c r="Z27" s="7">
        <v>16021</v>
      </c>
      <c r="AA27" s="7">
        <v>15236</v>
      </c>
      <c r="AB27" s="13"/>
    </row>
    <row r="28" spans="1:37" ht="16.5" customHeight="1" x14ac:dyDescent="0.3">
      <c r="I28" s="52"/>
      <c r="J28" s="2">
        <v>24</v>
      </c>
      <c r="K28" s="41" t="s">
        <v>29</v>
      </c>
      <c r="L28" s="41" t="s">
        <v>31</v>
      </c>
      <c r="M28" s="41" t="s">
        <v>40</v>
      </c>
      <c r="N28" s="41" t="s">
        <v>46</v>
      </c>
      <c r="O28" s="41" t="s">
        <v>32</v>
      </c>
      <c r="Q28" s="17">
        <f t="shared" si="5"/>
        <v>4</v>
      </c>
      <c r="R28" s="17">
        <f t="shared" si="6"/>
        <v>6</v>
      </c>
      <c r="S28" s="17">
        <f t="shared" si="7"/>
        <v>13</v>
      </c>
      <c r="T28" s="17">
        <f t="shared" si="8"/>
        <v>16</v>
      </c>
      <c r="U28" s="17">
        <f t="shared" si="9"/>
        <v>7</v>
      </c>
      <c r="W28" s="7">
        <v>11774</v>
      </c>
      <c r="X28" s="7">
        <v>17768</v>
      </c>
      <c r="Y28" s="7">
        <v>7238</v>
      </c>
      <c r="Z28" s="7">
        <v>18504</v>
      </c>
      <c r="AA28" s="7">
        <v>14785</v>
      </c>
      <c r="AB28" s="13"/>
    </row>
    <row r="29" spans="1:37" ht="16.5" customHeight="1" x14ac:dyDescent="0.3">
      <c r="I29" s="52"/>
      <c r="J29" s="2">
        <v>25</v>
      </c>
      <c r="K29" s="41" t="s">
        <v>32</v>
      </c>
      <c r="L29" s="41" t="s">
        <v>32</v>
      </c>
      <c r="M29" s="41" t="s">
        <v>50</v>
      </c>
      <c r="N29" s="41" t="s">
        <v>29</v>
      </c>
      <c r="O29" s="41" t="s">
        <v>30</v>
      </c>
      <c r="Q29" s="17">
        <f t="shared" si="5"/>
        <v>7</v>
      </c>
      <c r="R29" s="17">
        <f t="shared" si="6"/>
        <v>7</v>
      </c>
      <c r="S29" s="17">
        <f t="shared" si="7"/>
        <v>18</v>
      </c>
      <c r="T29" s="17">
        <f t="shared" si="8"/>
        <v>4</v>
      </c>
      <c r="U29" s="17">
        <f t="shared" si="9"/>
        <v>5</v>
      </c>
      <c r="W29" s="7">
        <v>15738</v>
      </c>
      <c r="X29" s="7">
        <v>16039</v>
      </c>
      <c r="Y29" s="7">
        <v>8272</v>
      </c>
      <c r="Z29" s="7">
        <v>16642</v>
      </c>
      <c r="AA29" s="7">
        <v>6919</v>
      </c>
      <c r="AB29" s="13"/>
    </row>
    <row r="30" spans="1:37" ht="16.5" customHeight="1" x14ac:dyDescent="0.3">
      <c r="I30" s="52"/>
      <c r="J30" s="2">
        <v>26</v>
      </c>
      <c r="K30" s="41" t="s">
        <v>30</v>
      </c>
      <c r="L30" s="41" t="s">
        <v>36</v>
      </c>
      <c r="M30" s="41" t="s">
        <v>30</v>
      </c>
      <c r="N30" s="41" t="s">
        <v>28</v>
      </c>
      <c r="O30" s="41" t="s">
        <v>32</v>
      </c>
      <c r="Q30" s="17">
        <f t="shared" si="5"/>
        <v>5</v>
      </c>
      <c r="R30" s="17">
        <f t="shared" si="6"/>
        <v>11</v>
      </c>
      <c r="S30" s="17">
        <f t="shared" si="7"/>
        <v>5</v>
      </c>
      <c r="T30" s="17">
        <f t="shared" si="8"/>
        <v>3</v>
      </c>
      <c r="U30" s="17">
        <f t="shared" si="9"/>
        <v>7</v>
      </c>
      <c r="W30" s="7">
        <v>6435</v>
      </c>
      <c r="X30" s="7">
        <v>15547</v>
      </c>
      <c r="Y30" s="7">
        <v>7641</v>
      </c>
      <c r="Z30" s="7">
        <v>15730</v>
      </c>
      <c r="AA30" s="7">
        <v>6047</v>
      </c>
      <c r="AB30" s="13"/>
    </row>
    <row r="31" spans="1:37" ht="16.5" customHeight="1" x14ac:dyDescent="0.3">
      <c r="I31" s="52"/>
      <c r="J31" s="2">
        <v>27</v>
      </c>
      <c r="K31" s="41" t="s">
        <v>33</v>
      </c>
      <c r="L31" s="41" t="s">
        <v>26</v>
      </c>
      <c r="M31" s="41" t="s">
        <v>30</v>
      </c>
      <c r="N31" s="41" t="s">
        <v>32</v>
      </c>
      <c r="O31" s="41" t="s">
        <v>30</v>
      </c>
      <c r="Q31" s="17">
        <f t="shared" si="5"/>
        <v>8</v>
      </c>
      <c r="R31" s="17">
        <f t="shared" si="6"/>
        <v>2</v>
      </c>
      <c r="S31" s="17">
        <f t="shared" si="7"/>
        <v>5</v>
      </c>
      <c r="T31" s="17">
        <f t="shared" si="8"/>
        <v>7</v>
      </c>
      <c r="U31" s="17">
        <f t="shared" si="9"/>
        <v>5</v>
      </c>
      <c r="W31" s="7">
        <v>6074</v>
      </c>
      <c r="X31" s="7">
        <v>14910</v>
      </c>
      <c r="Y31" s="7">
        <v>12110</v>
      </c>
      <c r="Z31" s="7">
        <v>13350</v>
      </c>
      <c r="AA31" s="7">
        <v>6094</v>
      </c>
      <c r="AB31" s="13"/>
    </row>
    <row r="32" spans="1:37" ht="16.5" customHeight="1" x14ac:dyDescent="0.3">
      <c r="J32" s="2">
        <v>28</v>
      </c>
      <c r="K32" s="41" t="s">
        <v>35</v>
      </c>
      <c r="L32" s="41" t="s">
        <v>34</v>
      </c>
      <c r="M32" s="41" t="s">
        <v>33</v>
      </c>
      <c r="N32" s="41" t="s">
        <v>34</v>
      </c>
      <c r="O32" s="41" t="s">
        <v>30</v>
      </c>
      <c r="Q32" s="17">
        <f t="shared" si="5"/>
        <v>10</v>
      </c>
      <c r="R32" s="17">
        <f t="shared" si="6"/>
        <v>9</v>
      </c>
      <c r="S32" s="17">
        <f t="shared" si="7"/>
        <v>8</v>
      </c>
      <c r="T32" s="17">
        <f t="shared" si="8"/>
        <v>9</v>
      </c>
      <c r="U32" s="17">
        <f t="shared" si="9"/>
        <v>5</v>
      </c>
      <c r="W32" s="7">
        <v>6009</v>
      </c>
      <c r="X32" s="7">
        <v>17069</v>
      </c>
      <c r="Y32" s="7">
        <v>17986</v>
      </c>
      <c r="Z32" s="7">
        <v>12523</v>
      </c>
      <c r="AA32" s="7">
        <v>13770</v>
      </c>
      <c r="AB32" s="13"/>
    </row>
    <row r="33" spans="10:28" ht="16.5" customHeight="1" x14ac:dyDescent="0.3">
      <c r="J33" s="2">
        <v>29</v>
      </c>
      <c r="K33" s="41" t="s">
        <v>35</v>
      </c>
      <c r="L33" s="41" t="s">
        <v>28</v>
      </c>
      <c r="M33" s="41" t="s">
        <v>29</v>
      </c>
      <c r="N33" s="41" t="s">
        <v>31</v>
      </c>
      <c r="O33" s="41" t="s">
        <v>32</v>
      </c>
      <c r="Q33" s="17">
        <f t="shared" si="5"/>
        <v>10</v>
      </c>
      <c r="R33" s="17">
        <f t="shared" si="6"/>
        <v>3</v>
      </c>
      <c r="S33" s="17">
        <f t="shared" si="7"/>
        <v>4</v>
      </c>
      <c r="T33" s="17">
        <f t="shared" si="8"/>
        <v>6</v>
      </c>
      <c r="U33" s="17">
        <f t="shared" si="9"/>
        <v>7</v>
      </c>
      <c r="W33" s="7">
        <v>12314</v>
      </c>
      <c r="X33" s="7">
        <v>12442</v>
      </c>
      <c r="Y33" s="7">
        <v>14747</v>
      </c>
      <c r="Z33" s="7">
        <v>15110</v>
      </c>
      <c r="AA33" s="7">
        <v>15011</v>
      </c>
      <c r="AB33" s="13"/>
    </row>
    <row r="34" spans="10:28" ht="16.5" customHeight="1" x14ac:dyDescent="0.3">
      <c r="J34" s="2">
        <v>30</v>
      </c>
      <c r="K34" s="41" t="s">
        <v>33</v>
      </c>
      <c r="L34" s="41" t="s">
        <v>31</v>
      </c>
      <c r="M34" s="41" t="s">
        <v>46</v>
      </c>
      <c r="N34" s="41" t="s">
        <v>33</v>
      </c>
      <c r="O34" s="41" t="s">
        <v>34</v>
      </c>
      <c r="Q34" s="17">
        <f t="shared" si="5"/>
        <v>8</v>
      </c>
      <c r="R34" s="17">
        <f t="shared" si="6"/>
        <v>6</v>
      </c>
      <c r="S34" s="17">
        <f t="shared" si="7"/>
        <v>16</v>
      </c>
      <c r="T34" s="17">
        <f t="shared" si="8"/>
        <v>8</v>
      </c>
      <c r="U34" s="17">
        <f t="shared" si="9"/>
        <v>9</v>
      </c>
      <c r="W34" s="7">
        <v>11914</v>
      </c>
      <c r="X34" s="7">
        <v>13984</v>
      </c>
      <c r="Y34" s="7">
        <v>15081</v>
      </c>
      <c r="Z34" s="7">
        <v>5811</v>
      </c>
      <c r="AA34" s="7">
        <v>15011</v>
      </c>
      <c r="AB34" s="13"/>
    </row>
    <row r="35" spans="10:28" ht="16.5" customHeight="1" x14ac:dyDescent="0.3">
      <c r="J35" s="2">
        <v>31</v>
      </c>
      <c r="K35" s="41" t="s">
        <v>35</v>
      </c>
      <c r="L35" s="41" t="s">
        <v>32</v>
      </c>
      <c r="M35" s="41" t="s">
        <v>31</v>
      </c>
      <c r="N35" s="41" t="s">
        <v>30</v>
      </c>
      <c r="O35" s="41" t="s">
        <v>33</v>
      </c>
      <c r="Q35" s="17">
        <f t="shared" si="5"/>
        <v>10</v>
      </c>
      <c r="R35" s="17">
        <f t="shared" si="6"/>
        <v>7</v>
      </c>
      <c r="S35" s="17">
        <f t="shared" si="7"/>
        <v>6</v>
      </c>
      <c r="T35" s="17">
        <f t="shared" si="8"/>
        <v>5</v>
      </c>
      <c r="U35" s="17">
        <f t="shared" si="9"/>
        <v>8</v>
      </c>
      <c r="W35" s="7">
        <v>13577</v>
      </c>
      <c r="X35" s="7">
        <v>12031</v>
      </c>
      <c r="Y35" s="7">
        <v>12871</v>
      </c>
      <c r="Z35" s="7">
        <v>6611</v>
      </c>
      <c r="AA35" s="7">
        <v>15236</v>
      </c>
      <c r="AB35" s="13"/>
    </row>
    <row r="36" spans="10:28" ht="16.5" customHeight="1" x14ac:dyDescent="0.3">
      <c r="J36" s="2">
        <v>32</v>
      </c>
      <c r="K36" s="41" t="s">
        <v>29</v>
      </c>
      <c r="L36" s="41" t="s">
        <v>35</v>
      </c>
      <c r="M36" s="41" t="s">
        <v>48</v>
      </c>
      <c r="N36" s="41" t="s">
        <v>29</v>
      </c>
      <c r="O36" s="41" t="s">
        <v>28</v>
      </c>
      <c r="Q36" s="17">
        <f t="shared" ref="Q36:Q67" si="10">IF(K36="","",VLOOKUP(K36,$A$4:$H$22,8,FALSE))</f>
        <v>4</v>
      </c>
      <c r="R36" s="17">
        <f t="shared" ref="R36:R67" si="11">IF(L36="","",VLOOKUP(L36,$A$4:$H$22,8,FALSE))</f>
        <v>10</v>
      </c>
      <c r="S36" s="17">
        <f t="shared" ref="S36:S67" si="12">IF(M36="","",VLOOKUP(M36,$A$4:$H$22,8,FALSE))</f>
        <v>17</v>
      </c>
      <c r="T36" s="17">
        <f t="shared" ref="T36:T67" si="13">IF(N36="","",VLOOKUP(N36,$A$4:$H$22,8,FALSE))</f>
        <v>4</v>
      </c>
      <c r="U36" s="17">
        <f t="shared" ref="U36:U67" si="14">IF(O36="","",VLOOKUP(O36,$A$4:$H$22,8,FALSE))</f>
        <v>3</v>
      </c>
      <c r="W36" s="7">
        <v>18382</v>
      </c>
      <c r="X36" s="7">
        <v>14293</v>
      </c>
      <c r="Y36" s="7">
        <v>17964</v>
      </c>
      <c r="Z36" s="7">
        <v>6336</v>
      </c>
      <c r="AA36" s="7">
        <v>14447</v>
      </c>
      <c r="AB36" s="13"/>
    </row>
    <row r="37" spans="10:28" ht="16.5" customHeight="1" x14ac:dyDescent="0.3">
      <c r="J37" s="2">
        <v>33</v>
      </c>
      <c r="K37" s="41" t="s">
        <v>28</v>
      </c>
      <c r="L37" s="41" t="s">
        <v>44</v>
      </c>
      <c r="M37" s="41" t="s">
        <v>29</v>
      </c>
      <c r="N37" s="41" t="s">
        <v>29</v>
      </c>
      <c r="O37" s="41" t="s">
        <v>29</v>
      </c>
      <c r="Q37" s="17">
        <f t="shared" si="10"/>
        <v>3</v>
      </c>
      <c r="R37" s="17">
        <f t="shared" si="11"/>
        <v>15</v>
      </c>
      <c r="S37" s="17">
        <f t="shared" si="12"/>
        <v>4</v>
      </c>
      <c r="T37" s="17">
        <f t="shared" si="13"/>
        <v>4</v>
      </c>
      <c r="U37" s="17">
        <f t="shared" si="14"/>
        <v>4</v>
      </c>
      <c r="W37" s="7">
        <v>14656</v>
      </c>
      <c r="X37" s="7">
        <v>13778</v>
      </c>
      <c r="Y37" s="7">
        <v>13964</v>
      </c>
      <c r="Z37" s="7">
        <v>17015</v>
      </c>
      <c r="AA37" s="7">
        <v>13168</v>
      </c>
      <c r="AB37" s="13"/>
    </row>
    <row r="38" spans="10:28" ht="16.5" customHeight="1" x14ac:dyDescent="0.3">
      <c r="J38" s="2">
        <v>34</v>
      </c>
      <c r="K38" s="41" t="s">
        <v>35</v>
      </c>
      <c r="L38" s="41" t="s">
        <v>31</v>
      </c>
      <c r="M38" s="41" t="s">
        <v>50</v>
      </c>
      <c r="N38" s="41" t="s">
        <v>36</v>
      </c>
      <c r="O38" s="41" t="s">
        <v>34</v>
      </c>
      <c r="Q38" s="17">
        <f t="shared" si="10"/>
        <v>10</v>
      </c>
      <c r="R38" s="17">
        <f t="shared" si="11"/>
        <v>6</v>
      </c>
      <c r="S38" s="17">
        <f t="shared" si="12"/>
        <v>18</v>
      </c>
      <c r="T38" s="17">
        <f t="shared" si="13"/>
        <v>11</v>
      </c>
      <c r="U38" s="17">
        <f t="shared" si="14"/>
        <v>9</v>
      </c>
      <c r="W38" s="7">
        <v>16339</v>
      </c>
      <c r="X38" s="7">
        <v>7401</v>
      </c>
      <c r="Y38" s="7">
        <v>14300</v>
      </c>
      <c r="Z38" s="7">
        <v>16145</v>
      </c>
      <c r="AA38" s="7">
        <v>12509</v>
      </c>
      <c r="AB38" s="13"/>
    </row>
    <row r="39" spans="10:28" ht="16.5" customHeight="1" x14ac:dyDescent="0.3">
      <c r="J39" s="2">
        <v>35</v>
      </c>
      <c r="K39" s="41" t="s">
        <v>26</v>
      </c>
      <c r="L39" s="41" t="s">
        <v>28</v>
      </c>
      <c r="M39" s="41" t="s">
        <v>40</v>
      </c>
      <c r="N39" s="41" t="s">
        <v>30</v>
      </c>
      <c r="O39" s="41" t="s">
        <v>28</v>
      </c>
      <c r="Q39" s="17">
        <f t="shared" si="10"/>
        <v>2</v>
      </c>
      <c r="R39" s="17">
        <f t="shared" si="11"/>
        <v>3</v>
      </c>
      <c r="S39" s="17">
        <f t="shared" si="12"/>
        <v>13</v>
      </c>
      <c r="T39" s="17">
        <f t="shared" si="13"/>
        <v>5</v>
      </c>
      <c r="U39" s="17">
        <f t="shared" si="14"/>
        <v>3</v>
      </c>
      <c r="W39" s="7">
        <v>15860</v>
      </c>
      <c r="X39" s="7">
        <v>5686</v>
      </c>
      <c r="Y39" s="7">
        <v>11954</v>
      </c>
      <c r="Z39" s="7">
        <v>16642</v>
      </c>
      <c r="AA39" s="7">
        <v>12979</v>
      </c>
      <c r="AB39" s="13"/>
    </row>
    <row r="40" spans="10:28" ht="16.5" customHeight="1" x14ac:dyDescent="0.3">
      <c r="J40" s="2">
        <v>36</v>
      </c>
      <c r="K40" s="41" t="s">
        <v>29</v>
      </c>
      <c r="L40" s="41" t="s">
        <v>46</v>
      </c>
      <c r="M40" s="41" t="s">
        <v>28</v>
      </c>
      <c r="N40" s="41" t="s">
        <v>33</v>
      </c>
      <c r="O40" s="41" t="s">
        <v>30</v>
      </c>
      <c r="Q40" s="17">
        <f t="shared" si="10"/>
        <v>4</v>
      </c>
      <c r="R40" s="17">
        <f t="shared" si="11"/>
        <v>16</v>
      </c>
      <c r="S40" s="17">
        <f t="shared" si="12"/>
        <v>3</v>
      </c>
      <c r="T40" s="17">
        <f t="shared" si="13"/>
        <v>8</v>
      </c>
      <c r="U40" s="17">
        <f t="shared" si="14"/>
        <v>5</v>
      </c>
      <c r="W40" s="7">
        <v>4549</v>
      </c>
      <c r="X40" s="7">
        <v>5333</v>
      </c>
      <c r="Y40" s="7">
        <v>13964</v>
      </c>
      <c r="Z40" s="7">
        <v>7131</v>
      </c>
      <c r="AA40" s="7">
        <v>16253</v>
      </c>
      <c r="AB40" s="13"/>
    </row>
    <row r="41" spans="10:28" ht="16.5" customHeight="1" x14ac:dyDescent="0.3">
      <c r="J41" s="2">
        <v>37</v>
      </c>
      <c r="K41" s="41" t="s">
        <v>33</v>
      </c>
      <c r="L41" s="41" t="s">
        <v>33</v>
      </c>
      <c r="M41" s="41" t="s">
        <v>30</v>
      </c>
      <c r="N41" s="41" t="s">
        <v>48</v>
      </c>
      <c r="O41" s="41" t="s">
        <v>28</v>
      </c>
      <c r="Q41" s="17">
        <f t="shared" si="10"/>
        <v>8</v>
      </c>
      <c r="R41" s="17">
        <f t="shared" si="11"/>
        <v>8</v>
      </c>
      <c r="S41" s="17">
        <f t="shared" si="12"/>
        <v>5</v>
      </c>
      <c r="T41" s="17">
        <f t="shared" si="13"/>
        <v>17</v>
      </c>
      <c r="U41" s="17">
        <f t="shared" si="14"/>
        <v>3</v>
      </c>
      <c r="W41" s="7">
        <v>5833</v>
      </c>
      <c r="X41" s="7">
        <v>6171</v>
      </c>
      <c r="Y41" s="7">
        <v>9198</v>
      </c>
      <c r="Z41" s="7">
        <v>6296</v>
      </c>
      <c r="AA41" s="7">
        <v>13883</v>
      </c>
      <c r="AB41" s="13"/>
    </row>
    <row r="42" spans="10:28" ht="16.5" customHeight="1" x14ac:dyDescent="0.3">
      <c r="J42" s="2">
        <v>38</v>
      </c>
      <c r="K42" s="41" t="s">
        <v>29</v>
      </c>
      <c r="L42" s="41" t="s">
        <v>40</v>
      </c>
      <c r="M42" s="41" t="s">
        <v>34</v>
      </c>
      <c r="N42" s="41" t="s">
        <v>31</v>
      </c>
      <c r="O42" s="41" t="s">
        <v>30</v>
      </c>
      <c r="Q42" s="17">
        <f t="shared" si="10"/>
        <v>4</v>
      </c>
      <c r="R42" s="17">
        <f t="shared" si="11"/>
        <v>13</v>
      </c>
      <c r="S42" s="17">
        <f t="shared" si="12"/>
        <v>9</v>
      </c>
      <c r="T42" s="17">
        <f t="shared" si="13"/>
        <v>6</v>
      </c>
      <c r="U42" s="17">
        <f t="shared" si="14"/>
        <v>5</v>
      </c>
      <c r="W42" s="7">
        <v>6350</v>
      </c>
      <c r="X42" s="7">
        <v>7455</v>
      </c>
      <c r="Y42" s="7">
        <v>10017</v>
      </c>
      <c r="Z42" s="7">
        <v>5143</v>
      </c>
      <c r="AA42" s="7">
        <v>16817</v>
      </c>
      <c r="AB42" s="13"/>
    </row>
    <row r="43" spans="10:28" ht="16.5" customHeight="1" x14ac:dyDescent="0.3">
      <c r="J43" s="2">
        <v>39</v>
      </c>
      <c r="K43" s="41" t="s">
        <v>29</v>
      </c>
      <c r="L43" s="41" t="s">
        <v>30</v>
      </c>
      <c r="M43" s="41" t="s">
        <v>44</v>
      </c>
      <c r="N43" s="41" t="s">
        <v>42</v>
      </c>
      <c r="O43" s="41" t="s">
        <v>35</v>
      </c>
      <c r="Q43" s="17">
        <f t="shared" si="10"/>
        <v>4</v>
      </c>
      <c r="R43" s="17">
        <f t="shared" si="11"/>
        <v>5</v>
      </c>
      <c r="S43" s="17">
        <f t="shared" si="12"/>
        <v>15</v>
      </c>
      <c r="T43" s="17">
        <f t="shared" si="13"/>
        <v>14</v>
      </c>
      <c r="U43" s="17">
        <f t="shared" si="14"/>
        <v>10</v>
      </c>
      <c r="W43" s="7">
        <v>6746</v>
      </c>
      <c r="X43" s="7">
        <v>15547</v>
      </c>
      <c r="Y43" s="7">
        <v>10167</v>
      </c>
      <c r="Z43" s="7">
        <v>13350</v>
      </c>
      <c r="AA43" s="7">
        <v>14447</v>
      </c>
      <c r="AB43" s="13"/>
    </row>
    <row r="44" spans="10:28" ht="16.5" customHeight="1" x14ac:dyDescent="0.3">
      <c r="J44" s="2">
        <v>40</v>
      </c>
      <c r="K44" s="41" t="s">
        <v>32</v>
      </c>
      <c r="L44" s="41" t="s">
        <v>29</v>
      </c>
      <c r="M44" s="41" t="s">
        <v>34</v>
      </c>
      <c r="N44" s="41" t="s">
        <v>33</v>
      </c>
      <c r="O44" s="41" t="s">
        <v>31</v>
      </c>
      <c r="Q44" s="17">
        <f t="shared" si="10"/>
        <v>7</v>
      </c>
      <c r="R44" s="17">
        <f t="shared" si="11"/>
        <v>4</v>
      </c>
      <c r="S44" s="17">
        <f t="shared" si="12"/>
        <v>9</v>
      </c>
      <c r="T44" s="17">
        <f t="shared" si="13"/>
        <v>8</v>
      </c>
      <c r="U44" s="17">
        <f t="shared" si="14"/>
        <v>6</v>
      </c>
      <c r="W44" s="7">
        <v>5447</v>
      </c>
      <c r="X44" s="7">
        <v>16164</v>
      </c>
      <c r="Y44" s="7">
        <v>3160</v>
      </c>
      <c r="Z44" s="7">
        <v>16394</v>
      </c>
      <c r="AA44" s="7">
        <v>16591</v>
      </c>
      <c r="AB44" s="13"/>
    </row>
    <row r="45" spans="10:28" ht="16.5" customHeight="1" x14ac:dyDescent="0.3">
      <c r="J45" s="2">
        <v>41</v>
      </c>
      <c r="K45" s="41" t="s">
        <v>32</v>
      </c>
      <c r="L45" s="41" t="s">
        <v>32</v>
      </c>
      <c r="M45" s="41" t="s">
        <v>35</v>
      </c>
      <c r="N45" s="41" t="s">
        <v>29</v>
      </c>
      <c r="O45" s="41" t="s">
        <v>28</v>
      </c>
      <c r="Q45" s="17">
        <f t="shared" si="10"/>
        <v>7</v>
      </c>
      <c r="R45" s="17">
        <f t="shared" si="11"/>
        <v>7</v>
      </c>
      <c r="S45" s="17">
        <f t="shared" si="12"/>
        <v>10</v>
      </c>
      <c r="T45" s="17">
        <f t="shared" si="13"/>
        <v>4</v>
      </c>
      <c r="U45" s="17">
        <f t="shared" si="14"/>
        <v>3</v>
      </c>
      <c r="W45" s="7">
        <v>4935</v>
      </c>
      <c r="X45" s="7">
        <v>16656</v>
      </c>
      <c r="Y45" s="7">
        <v>6370</v>
      </c>
      <c r="Z45" s="7">
        <v>14778</v>
      </c>
      <c r="AA45" s="7">
        <v>15464</v>
      </c>
      <c r="AB45" s="13"/>
    </row>
    <row r="46" spans="10:28" ht="16.5" customHeight="1" x14ac:dyDescent="0.3">
      <c r="J46" s="2">
        <v>42</v>
      </c>
      <c r="K46" s="41" t="s">
        <v>31</v>
      </c>
      <c r="L46" s="41" t="s">
        <v>29</v>
      </c>
      <c r="M46" s="41" t="s">
        <v>48</v>
      </c>
      <c r="N46" s="41" t="s">
        <v>46</v>
      </c>
      <c r="O46" s="41" t="s">
        <v>32</v>
      </c>
      <c r="Q46" s="17">
        <f t="shared" si="10"/>
        <v>6</v>
      </c>
      <c r="R46" s="17">
        <f t="shared" si="11"/>
        <v>4</v>
      </c>
      <c r="S46" s="17">
        <f t="shared" si="12"/>
        <v>17</v>
      </c>
      <c r="T46" s="17">
        <f t="shared" si="13"/>
        <v>16</v>
      </c>
      <c r="U46" s="17">
        <f t="shared" si="14"/>
        <v>7</v>
      </c>
      <c r="W46" s="7">
        <v>4976</v>
      </c>
      <c r="X46" s="7">
        <v>4491</v>
      </c>
      <c r="Y46" s="7">
        <v>5697</v>
      </c>
      <c r="Z46" s="7">
        <v>7239</v>
      </c>
      <c r="AA46" s="7">
        <v>14899</v>
      </c>
      <c r="AB46" s="13"/>
    </row>
    <row r="47" spans="10:28" ht="16.5" customHeight="1" x14ac:dyDescent="0.3">
      <c r="J47" s="2">
        <v>43</v>
      </c>
      <c r="K47" s="41" t="s">
        <v>31</v>
      </c>
      <c r="L47" s="41" t="s">
        <v>32</v>
      </c>
      <c r="M47" s="41" t="s">
        <v>34</v>
      </c>
      <c r="N47" s="41" t="s">
        <v>30</v>
      </c>
      <c r="O47" s="41" t="s">
        <v>34</v>
      </c>
      <c r="Q47" s="17">
        <f t="shared" si="10"/>
        <v>6</v>
      </c>
      <c r="R47" s="17">
        <f t="shared" si="11"/>
        <v>7</v>
      </c>
      <c r="S47" s="17">
        <f t="shared" si="12"/>
        <v>9</v>
      </c>
      <c r="T47" s="17">
        <f t="shared" si="13"/>
        <v>5</v>
      </c>
      <c r="U47" s="17">
        <f t="shared" si="14"/>
        <v>9</v>
      </c>
      <c r="W47" s="7">
        <v>15138</v>
      </c>
      <c r="X47" s="7">
        <v>6975</v>
      </c>
      <c r="Y47" s="7">
        <v>7929</v>
      </c>
      <c r="Z47" s="7">
        <v>6522</v>
      </c>
      <c r="AA47" s="7">
        <v>15236</v>
      </c>
      <c r="AB47" s="13"/>
    </row>
    <row r="48" spans="10:28" ht="16.5" customHeight="1" x14ac:dyDescent="0.3">
      <c r="J48" s="2">
        <v>44</v>
      </c>
      <c r="K48" s="41" t="s">
        <v>33</v>
      </c>
      <c r="L48" s="41" t="s">
        <v>29</v>
      </c>
      <c r="M48" s="41" t="s">
        <v>30</v>
      </c>
      <c r="N48" s="41" t="s">
        <v>33</v>
      </c>
      <c r="O48" s="41" t="s">
        <v>33</v>
      </c>
      <c r="Q48" s="17">
        <f t="shared" si="10"/>
        <v>8</v>
      </c>
      <c r="R48" s="17">
        <f t="shared" si="11"/>
        <v>4</v>
      </c>
      <c r="S48" s="17">
        <f t="shared" si="12"/>
        <v>5</v>
      </c>
      <c r="T48" s="17">
        <f t="shared" si="13"/>
        <v>8</v>
      </c>
      <c r="U48" s="17">
        <f t="shared" si="14"/>
        <v>8</v>
      </c>
      <c r="W48" s="7">
        <v>13315</v>
      </c>
      <c r="X48" s="7">
        <v>9288</v>
      </c>
      <c r="Y48" s="7">
        <v>8505</v>
      </c>
      <c r="Z48" s="7">
        <v>5899</v>
      </c>
      <c r="AA48" s="7">
        <v>14729</v>
      </c>
      <c r="AB48" s="13"/>
    </row>
    <row r="49" spans="10:28" ht="16.5" customHeight="1" x14ac:dyDescent="0.3">
      <c r="J49" s="2">
        <v>45</v>
      </c>
      <c r="K49" s="41" t="s">
        <v>28</v>
      </c>
      <c r="L49" s="41" t="s">
        <v>32</v>
      </c>
      <c r="M49" s="41" t="s">
        <v>31</v>
      </c>
      <c r="N49" s="41" t="s">
        <v>33</v>
      </c>
      <c r="O49" s="41" t="s">
        <v>31</v>
      </c>
      <c r="Q49" s="17">
        <f t="shared" si="10"/>
        <v>3</v>
      </c>
      <c r="R49" s="17">
        <f t="shared" si="11"/>
        <v>7</v>
      </c>
      <c r="S49" s="17">
        <f t="shared" si="12"/>
        <v>6</v>
      </c>
      <c r="T49" s="17">
        <f t="shared" si="13"/>
        <v>8</v>
      </c>
      <c r="U49" s="17">
        <f t="shared" si="14"/>
        <v>6</v>
      </c>
      <c r="W49" s="7">
        <v>14116</v>
      </c>
      <c r="X49" s="7">
        <v>7198</v>
      </c>
      <c r="Y49" s="7">
        <v>5514</v>
      </c>
      <c r="Z49" s="7">
        <v>1266</v>
      </c>
      <c r="AA49" s="7">
        <v>15124</v>
      </c>
      <c r="AB49" s="13"/>
    </row>
    <row r="50" spans="10:28" ht="16.5" customHeight="1" x14ac:dyDescent="0.3">
      <c r="J50" s="2">
        <v>46</v>
      </c>
      <c r="K50" s="41" t="s">
        <v>35</v>
      </c>
      <c r="L50" s="41" t="s">
        <v>31</v>
      </c>
      <c r="M50" s="41" t="s">
        <v>42</v>
      </c>
      <c r="N50" s="41" t="s">
        <v>33</v>
      </c>
      <c r="O50" s="41" t="s">
        <v>32</v>
      </c>
      <c r="Q50" s="17">
        <f t="shared" si="10"/>
        <v>10</v>
      </c>
      <c r="R50" s="17">
        <f t="shared" si="11"/>
        <v>6</v>
      </c>
      <c r="S50" s="17">
        <f t="shared" si="12"/>
        <v>14</v>
      </c>
      <c r="T50" s="17">
        <f t="shared" si="13"/>
        <v>8</v>
      </c>
      <c r="U50" s="17">
        <f t="shared" si="14"/>
        <v>7</v>
      </c>
      <c r="W50" s="7">
        <v>6606</v>
      </c>
      <c r="X50" s="7">
        <v>6888</v>
      </c>
      <c r="Y50" s="7">
        <v>3589</v>
      </c>
      <c r="Z50" s="7">
        <v>2949</v>
      </c>
      <c r="AA50" s="7">
        <v>15350</v>
      </c>
      <c r="AB50" s="13"/>
    </row>
    <row r="51" spans="10:28" ht="16.5" customHeight="1" x14ac:dyDescent="0.3">
      <c r="J51" s="2">
        <v>47</v>
      </c>
      <c r="K51" s="41" t="s">
        <v>29</v>
      </c>
      <c r="L51" s="41" t="s">
        <v>29</v>
      </c>
      <c r="M51" s="41" t="s">
        <v>31</v>
      </c>
      <c r="N51" s="41" t="s">
        <v>34</v>
      </c>
      <c r="O51" s="41" t="s">
        <v>35</v>
      </c>
      <c r="Q51" s="17">
        <f t="shared" si="10"/>
        <v>4</v>
      </c>
      <c r="R51" s="17">
        <f t="shared" si="11"/>
        <v>4</v>
      </c>
      <c r="S51" s="17">
        <f t="shared" si="12"/>
        <v>6</v>
      </c>
      <c r="T51" s="17">
        <f t="shared" si="13"/>
        <v>9</v>
      </c>
      <c r="U51" s="17">
        <f t="shared" si="14"/>
        <v>10</v>
      </c>
      <c r="W51" s="7">
        <v>6094</v>
      </c>
      <c r="X51" s="7">
        <v>7198</v>
      </c>
      <c r="Y51" s="7">
        <v>6653</v>
      </c>
      <c r="Z51" s="7">
        <v>2949</v>
      </c>
      <c r="AA51" s="7">
        <v>15124</v>
      </c>
      <c r="AB51" s="13"/>
    </row>
    <row r="52" spans="10:28" ht="16.5" customHeight="1" x14ac:dyDescent="0.3">
      <c r="J52" s="2">
        <v>48</v>
      </c>
      <c r="K52" s="41" t="s">
        <v>32</v>
      </c>
      <c r="L52" s="41" t="s">
        <v>32</v>
      </c>
      <c r="M52" s="41" t="s">
        <v>34</v>
      </c>
      <c r="N52" s="41" t="s">
        <v>42</v>
      </c>
      <c r="O52" s="41" t="s">
        <v>32</v>
      </c>
      <c r="Q52" s="17">
        <f t="shared" si="10"/>
        <v>7</v>
      </c>
      <c r="R52" s="17">
        <f t="shared" si="11"/>
        <v>7</v>
      </c>
      <c r="S52" s="17">
        <f t="shared" si="12"/>
        <v>9</v>
      </c>
      <c r="T52" s="17">
        <f t="shared" si="13"/>
        <v>14</v>
      </c>
      <c r="U52" s="17">
        <f t="shared" si="14"/>
        <v>7</v>
      </c>
      <c r="W52" s="7">
        <v>6902</v>
      </c>
      <c r="X52" s="7">
        <v>4505</v>
      </c>
      <c r="Y52" s="7">
        <v>5889</v>
      </c>
      <c r="Z52" s="7">
        <v>2949</v>
      </c>
      <c r="AA52" s="7">
        <v>13430</v>
      </c>
      <c r="AB52" s="13"/>
    </row>
    <row r="53" spans="10:28" ht="16.5" customHeight="1" x14ac:dyDescent="0.3">
      <c r="J53" s="2">
        <v>49</v>
      </c>
      <c r="K53" s="41" t="s">
        <v>32</v>
      </c>
      <c r="L53" s="41" t="s">
        <v>31</v>
      </c>
      <c r="M53" s="41" t="s">
        <v>34</v>
      </c>
      <c r="N53" s="41" t="s">
        <v>33</v>
      </c>
      <c r="O53" s="41" t="s">
        <v>30</v>
      </c>
      <c r="Q53" s="17">
        <f t="shared" si="10"/>
        <v>7</v>
      </c>
      <c r="R53" s="17">
        <f t="shared" si="11"/>
        <v>6</v>
      </c>
      <c r="S53" s="17">
        <f t="shared" si="12"/>
        <v>9</v>
      </c>
      <c r="T53" s="17">
        <f t="shared" si="13"/>
        <v>8</v>
      </c>
      <c r="U53" s="17">
        <f t="shared" si="14"/>
        <v>5</v>
      </c>
      <c r="W53" s="7">
        <v>16099</v>
      </c>
      <c r="X53" s="7">
        <v>2049</v>
      </c>
      <c r="Y53" s="7">
        <v>8391</v>
      </c>
      <c r="Z53" s="7">
        <v>1266</v>
      </c>
      <c r="AA53" s="7">
        <v>15464</v>
      </c>
      <c r="AB53" s="13"/>
    </row>
    <row r="54" spans="10:28" ht="16.5" customHeight="1" x14ac:dyDescent="0.3">
      <c r="J54" s="2">
        <v>50</v>
      </c>
      <c r="K54" s="41" t="s">
        <v>31</v>
      </c>
      <c r="L54" s="41" t="s">
        <v>32</v>
      </c>
      <c r="M54" s="41" t="s">
        <v>32</v>
      </c>
      <c r="N54" s="41" t="s">
        <v>30</v>
      </c>
      <c r="O54" s="41" t="s">
        <v>34</v>
      </c>
      <c r="Q54" s="17">
        <f t="shared" si="10"/>
        <v>6</v>
      </c>
      <c r="R54" s="17">
        <f t="shared" si="11"/>
        <v>7</v>
      </c>
      <c r="S54" s="17">
        <f t="shared" si="12"/>
        <v>7</v>
      </c>
      <c r="T54" s="17">
        <f t="shared" si="13"/>
        <v>5</v>
      </c>
      <c r="U54" s="17">
        <f t="shared" si="14"/>
        <v>9</v>
      </c>
      <c r="W54" s="7">
        <v>7930</v>
      </c>
      <c r="X54" s="7">
        <v>2049</v>
      </c>
      <c r="Y54" s="7">
        <v>7988</v>
      </c>
      <c r="Z54" s="7">
        <v>1266</v>
      </c>
      <c r="AA54" s="7">
        <v>5321</v>
      </c>
      <c r="AB54" s="13"/>
    </row>
    <row r="55" spans="10:28" ht="16.5" customHeight="1" x14ac:dyDescent="0.3">
      <c r="J55" s="2">
        <v>51</v>
      </c>
      <c r="K55" s="41" t="s">
        <v>32</v>
      </c>
      <c r="L55" s="41" t="s">
        <v>32</v>
      </c>
      <c r="M55" s="41" t="s">
        <v>32</v>
      </c>
      <c r="N55" s="41" t="s">
        <v>34</v>
      </c>
      <c r="O55" s="41" t="s">
        <v>30</v>
      </c>
      <c r="Q55" s="17">
        <f t="shared" si="10"/>
        <v>7</v>
      </c>
      <c r="R55" s="17">
        <f t="shared" si="11"/>
        <v>7</v>
      </c>
      <c r="S55" s="17">
        <f t="shared" si="12"/>
        <v>7</v>
      </c>
      <c r="T55" s="17">
        <f t="shared" si="13"/>
        <v>9</v>
      </c>
      <c r="U55" s="17">
        <f t="shared" si="14"/>
        <v>5</v>
      </c>
      <c r="W55" s="7">
        <v>7519</v>
      </c>
      <c r="X55" s="7">
        <v>2049</v>
      </c>
      <c r="Y55" s="7">
        <v>17696</v>
      </c>
      <c r="Z55" s="7">
        <v>1266</v>
      </c>
      <c r="AA55" s="7">
        <v>4475</v>
      </c>
      <c r="AB55" s="13"/>
    </row>
    <row r="56" spans="10:28" ht="16.5" customHeight="1" x14ac:dyDescent="0.3">
      <c r="J56" s="2">
        <v>52</v>
      </c>
      <c r="K56" s="41" t="s">
        <v>35</v>
      </c>
      <c r="L56" s="41" t="s">
        <v>31</v>
      </c>
      <c r="M56" s="41" t="s">
        <v>28</v>
      </c>
      <c r="N56" s="41" t="s">
        <v>34</v>
      </c>
      <c r="O56" s="41" t="s">
        <v>28</v>
      </c>
      <c r="Q56" s="17">
        <f t="shared" si="10"/>
        <v>10</v>
      </c>
      <c r="R56" s="17">
        <f t="shared" si="11"/>
        <v>6</v>
      </c>
      <c r="S56" s="17">
        <f t="shared" si="12"/>
        <v>3</v>
      </c>
      <c r="T56" s="17">
        <f t="shared" si="13"/>
        <v>9</v>
      </c>
      <c r="U56" s="17">
        <f t="shared" si="14"/>
        <v>3</v>
      </c>
      <c r="W56" s="7">
        <v>6179</v>
      </c>
      <c r="X56" s="7">
        <v>2049</v>
      </c>
      <c r="Y56" s="7">
        <v>5268</v>
      </c>
      <c r="Z56" s="7">
        <v>1266</v>
      </c>
      <c r="AA56" s="7">
        <v>5279</v>
      </c>
      <c r="AB56" s="13"/>
    </row>
    <row r="57" spans="10:28" ht="16.5" customHeight="1" x14ac:dyDescent="0.3">
      <c r="J57" s="2">
        <v>53</v>
      </c>
      <c r="K57" s="41" t="s">
        <v>35</v>
      </c>
      <c r="L57" s="41" t="s">
        <v>32</v>
      </c>
      <c r="M57" s="41" t="s">
        <v>46</v>
      </c>
      <c r="N57" s="41" t="s">
        <v>40</v>
      </c>
      <c r="O57" s="41" t="s">
        <v>28</v>
      </c>
      <c r="Q57" s="17">
        <f t="shared" si="10"/>
        <v>10</v>
      </c>
      <c r="R57" s="17">
        <f t="shared" si="11"/>
        <v>7</v>
      </c>
      <c r="S57" s="17">
        <f t="shared" si="12"/>
        <v>16</v>
      </c>
      <c r="T57" s="17">
        <f t="shared" si="13"/>
        <v>13</v>
      </c>
      <c r="U57" s="17">
        <f t="shared" si="14"/>
        <v>3</v>
      </c>
      <c r="W57" s="7">
        <v>15860</v>
      </c>
      <c r="X57" s="7">
        <v>2049</v>
      </c>
      <c r="Y57" s="7">
        <v>5935</v>
      </c>
      <c r="Z57" s="7">
        <v>1266</v>
      </c>
      <c r="AA57" s="7">
        <v>5121</v>
      </c>
      <c r="AB57" s="13"/>
    </row>
    <row r="58" spans="10:28" ht="16.5" customHeight="1" x14ac:dyDescent="0.3">
      <c r="J58" s="2">
        <v>54</v>
      </c>
      <c r="K58" s="41" t="s">
        <v>32</v>
      </c>
      <c r="L58" s="41" t="s">
        <v>32</v>
      </c>
      <c r="M58" s="41" t="s">
        <v>34</v>
      </c>
      <c r="N58" s="41" t="s">
        <v>33</v>
      </c>
      <c r="O58" s="41" t="s">
        <v>28</v>
      </c>
      <c r="Q58" s="17">
        <f t="shared" si="10"/>
        <v>7</v>
      </c>
      <c r="R58" s="17">
        <f t="shared" si="11"/>
        <v>7</v>
      </c>
      <c r="S58" s="17">
        <f t="shared" si="12"/>
        <v>9</v>
      </c>
      <c r="T58" s="17">
        <f t="shared" si="13"/>
        <v>8</v>
      </c>
      <c r="U58" s="17">
        <f t="shared" si="14"/>
        <v>3</v>
      </c>
      <c r="W58" s="7">
        <v>17901</v>
      </c>
      <c r="X58" s="7">
        <v>2049</v>
      </c>
      <c r="Y58" s="7">
        <v>6466</v>
      </c>
      <c r="Z58" s="7">
        <v>1266</v>
      </c>
      <c r="AA58" s="7">
        <v>12417</v>
      </c>
      <c r="AB58" s="13"/>
    </row>
    <row r="59" spans="10:28" ht="16.5" customHeight="1" x14ac:dyDescent="0.3">
      <c r="J59" s="2">
        <v>55</v>
      </c>
      <c r="K59" s="41" t="s">
        <v>28</v>
      </c>
      <c r="L59" s="41" t="s">
        <v>32</v>
      </c>
      <c r="M59" s="41" t="s">
        <v>34</v>
      </c>
      <c r="N59" s="41" t="s">
        <v>33</v>
      </c>
      <c r="O59" s="41" t="s">
        <v>34</v>
      </c>
      <c r="Q59" s="17">
        <f t="shared" si="10"/>
        <v>3</v>
      </c>
      <c r="R59" s="17">
        <f t="shared" si="11"/>
        <v>7</v>
      </c>
      <c r="S59" s="17">
        <f t="shared" si="12"/>
        <v>9</v>
      </c>
      <c r="T59" s="17">
        <f t="shared" si="13"/>
        <v>8</v>
      </c>
      <c r="U59" s="17">
        <f t="shared" si="14"/>
        <v>9</v>
      </c>
      <c r="W59" s="7">
        <v>14416</v>
      </c>
      <c r="X59" s="7">
        <v>2049</v>
      </c>
      <c r="Y59" s="7">
        <v>14077</v>
      </c>
      <c r="Z59" s="7">
        <v>13868</v>
      </c>
      <c r="AA59" s="7">
        <v>15350</v>
      </c>
      <c r="AB59" s="13"/>
    </row>
    <row r="60" spans="10:28" ht="16.5" customHeight="1" x14ac:dyDescent="0.3">
      <c r="J60" s="2">
        <v>56</v>
      </c>
      <c r="K60" s="41" t="s">
        <v>33</v>
      </c>
      <c r="L60" s="41" t="s">
        <v>32</v>
      </c>
      <c r="M60" s="41" t="s">
        <v>35</v>
      </c>
      <c r="N60" s="41" t="s">
        <v>34</v>
      </c>
      <c r="O60" s="41" t="s">
        <v>29</v>
      </c>
      <c r="Q60" s="17">
        <f t="shared" si="10"/>
        <v>8</v>
      </c>
      <c r="R60" s="17">
        <f t="shared" si="11"/>
        <v>7</v>
      </c>
      <c r="S60" s="17">
        <f t="shared" si="12"/>
        <v>10</v>
      </c>
      <c r="T60" s="17">
        <f t="shared" si="13"/>
        <v>9</v>
      </c>
      <c r="U60" s="17">
        <f t="shared" si="14"/>
        <v>4</v>
      </c>
      <c r="W60" s="7">
        <v>16820</v>
      </c>
      <c r="X60" s="7">
        <v>4776</v>
      </c>
      <c r="Y60" s="7">
        <v>15819</v>
      </c>
      <c r="Z60" s="7">
        <v>7814</v>
      </c>
      <c r="AA60" s="7">
        <v>7303</v>
      </c>
      <c r="AB60" s="13"/>
    </row>
    <row r="61" spans="10:28" ht="15.6" customHeight="1" x14ac:dyDescent="0.3">
      <c r="J61" s="2">
        <v>57</v>
      </c>
      <c r="K61" s="41" t="s">
        <v>31</v>
      </c>
      <c r="L61" s="41" t="s">
        <v>34</v>
      </c>
      <c r="M61" s="41" t="s">
        <v>33</v>
      </c>
      <c r="N61" s="41" t="s">
        <v>33</v>
      </c>
      <c r="O61" s="41" t="s">
        <v>32</v>
      </c>
      <c r="Q61" s="17">
        <f t="shared" si="10"/>
        <v>6</v>
      </c>
      <c r="R61" s="17">
        <f t="shared" si="11"/>
        <v>9</v>
      </c>
      <c r="S61" s="17">
        <f t="shared" si="12"/>
        <v>8</v>
      </c>
      <c r="T61" s="17">
        <f t="shared" si="13"/>
        <v>8</v>
      </c>
      <c r="U61" s="17">
        <f t="shared" si="14"/>
        <v>7</v>
      </c>
      <c r="W61" s="7">
        <v>7478</v>
      </c>
      <c r="X61" s="7">
        <v>4776</v>
      </c>
      <c r="Y61" s="7">
        <v>17294</v>
      </c>
      <c r="Z61" s="7">
        <v>8693</v>
      </c>
      <c r="AA61" s="7">
        <v>5852</v>
      </c>
      <c r="AB61" s="13"/>
    </row>
    <row r="62" spans="10:28" ht="15.6" customHeight="1" x14ac:dyDescent="0.3">
      <c r="J62" s="2">
        <v>58</v>
      </c>
      <c r="K62" s="41" t="s">
        <v>34</v>
      </c>
      <c r="L62" s="41" t="s">
        <v>31</v>
      </c>
      <c r="M62" s="41" t="s">
        <v>26</v>
      </c>
      <c r="N62" s="41" t="s">
        <v>35</v>
      </c>
      <c r="O62" s="41" t="s">
        <v>35</v>
      </c>
      <c r="Q62" s="17">
        <f t="shared" si="10"/>
        <v>9</v>
      </c>
      <c r="R62" s="17">
        <f t="shared" si="11"/>
        <v>6</v>
      </c>
      <c r="S62" s="17">
        <f t="shared" si="12"/>
        <v>2</v>
      </c>
      <c r="T62" s="17">
        <f t="shared" si="13"/>
        <v>10</v>
      </c>
      <c r="U62" s="17">
        <f t="shared" si="14"/>
        <v>10</v>
      </c>
      <c r="W62" s="7">
        <v>14296</v>
      </c>
      <c r="X62" s="7">
        <v>8774</v>
      </c>
      <c r="Y62" s="7">
        <v>17294</v>
      </c>
      <c r="Z62" s="7">
        <v>3435</v>
      </c>
      <c r="AA62" s="7">
        <v>4643</v>
      </c>
      <c r="AB62" s="13"/>
    </row>
    <row r="63" spans="10:28" ht="16.5" customHeight="1" x14ac:dyDescent="0.3">
      <c r="J63" s="2">
        <v>59</v>
      </c>
      <c r="K63" s="41" t="s">
        <v>29</v>
      </c>
      <c r="L63" s="41" t="s">
        <v>44</v>
      </c>
      <c r="M63" s="41" t="s">
        <v>34</v>
      </c>
      <c r="N63" s="41" t="s">
        <v>26</v>
      </c>
      <c r="O63" s="41" t="s">
        <v>35</v>
      </c>
      <c r="Q63" s="17">
        <f t="shared" si="10"/>
        <v>4</v>
      </c>
      <c r="R63" s="17">
        <f t="shared" si="11"/>
        <v>15</v>
      </c>
      <c r="S63" s="17">
        <f t="shared" si="12"/>
        <v>9</v>
      </c>
      <c r="T63" s="17">
        <f t="shared" si="13"/>
        <v>2</v>
      </c>
      <c r="U63" s="17">
        <f t="shared" si="14"/>
        <v>10</v>
      </c>
      <c r="W63" s="7">
        <v>15738</v>
      </c>
      <c r="X63" s="7">
        <v>6127</v>
      </c>
      <c r="Y63" s="7">
        <v>20511</v>
      </c>
      <c r="Z63" s="7">
        <v>3990</v>
      </c>
      <c r="AA63" s="7">
        <v>15124</v>
      </c>
      <c r="AB63" s="13"/>
    </row>
    <row r="64" spans="10:28" ht="16.5" customHeight="1" x14ac:dyDescent="0.3">
      <c r="J64" s="2">
        <v>60</v>
      </c>
      <c r="K64" s="41" t="s">
        <v>30</v>
      </c>
      <c r="L64" s="41" t="s">
        <v>28</v>
      </c>
      <c r="M64" s="41" t="s">
        <v>33</v>
      </c>
      <c r="N64" s="41" t="s">
        <v>33</v>
      </c>
      <c r="O64" s="41" t="s">
        <v>34</v>
      </c>
      <c r="Q64" s="17">
        <f t="shared" si="10"/>
        <v>5</v>
      </c>
      <c r="R64" s="17">
        <f t="shared" si="11"/>
        <v>3</v>
      </c>
      <c r="S64" s="17">
        <f t="shared" si="12"/>
        <v>8</v>
      </c>
      <c r="T64" s="17">
        <f t="shared" si="13"/>
        <v>8</v>
      </c>
      <c r="U64" s="17">
        <f t="shared" si="14"/>
        <v>9</v>
      </c>
      <c r="W64" s="7">
        <v>7569</v>
      </c>
      <c r="X64" s="7">
        <v>6450</v>
      </c>
      <c r="Y64" s="7">
        <v>17830</v>
      </c>
      <c r="Z64" s="7">
        <v>4216</v>
      </c>
      <c r="AA64" s="7">
        <v>14899</v>
      </c>
      <c r="AB64" s="13"/>
    </row>
    <row r="65" spans="10:28" ht="16.5" customHeight="1" x14ac:dyDescent="0.3">
      <c r="J65" s="2">
        <v>61</v>
      </c>
      <c r="K65" s="41" t="s">
        <v>26</v>
      </c>
      <c r="L65" s="41" t="s">
        <v>32</v>
      </c>
      <c r="M65" s="41" t="s">
        <v>31</v>
      </c>
      <c r="N65" s="41" t="s">
        <v>33</v>
      </c>
      <c r="O65" s="41" t="s">
        <v>32</v>
      </c>
      <c r="Q65" s="17">
        <f t="shared" si="10"/>
        <v>2</v>
      </c>
      <c r="R65" s="17">
        <f t="shared" si="11"/>
        <v>7</v>
      </c>
      <c r="S65" s="17">
        <f t="shared" si="12"/>
        <v>6</v>
      </c>
      <c r="T65" s="17">
        <f t="shared" si="13"/>
        <v>8</v>
      </c>
      <c r="U65" s="17">
        <f t="shared" si="14"/>
        <v>7</v>
      </c>
      <c r="W65" s="7">
        <v>5613</v>
      </c>
      <c r="X65" s="7">
        <v>7666</v>
      </c>
      <c r="Y65" s="7">
        <v>14635</v>
      </c>
      <c r="Z65" s="7">
        <v>7297</v>
      </c>
      <c r="AA65" s="7">
        <v>15575</v>
      </c>
      <c r="AB65" s="13"/>
    </row>
    <row r="66" spans="10:28" ht="16.5" customHeight="1" x14ac:dyDescent="0.3">
      <c r="J66" s="2">
        <v>62</v>
      </c>
      <c r="K66" s="41" t="s">
        <v>32</v>
      </c>
      <c r="L66" s="41" t="s">
        <v>32</v>
      </c>
      <c r="M66" s="41" t="s">
        <v>50</v>
      </c>
      <c r="N66" s="41" t="s">
        <v>31</v>
      </c>
      <c r="O66" s="41" t="s">
        <v>35</v>
      </c>
      <c r="Q66" s="17">
        <f t="shared" si="10"/>
        <v>7</v>
      </c>
      <c r="R66" s="17">
        <f t="shared" si="11"/>
        <v>7</v>
      </c>
      <c r="S66" s="17">
        <f t="shared" si="12"/>
        <v>18</v>
      </c>
      <c r="T66" s="17">
        <f t="shared" si="13"/>
        <v>6</v>
      </c>
      <c r="U66" s="17">
        <f t="shared" si="14"/>
        <v>10</v>
      </c>
      <c r="W66" s="7">
        <v>1846</v>
      </c>
      <c r="X66" s="7">
        <v>7455</v>
      </c>
      <c r="Y66" s="7">
        <v>14188</v>
      </c>
      <c r="Z66" s="7">
        <v>2827</v>
      </c>
      <c r="AA66" s="7">
        <v>15464</v>
      </c>
      <c r="AB66" s="13"/>
    </row>
    <row r="67" spans="10:28" ht="16.5" customHeight="1" x14ac:dyDescent="0.3">
      <c r="J67" s="2">
        <v>63</v>
      </c>
      <c r="K67" s="41" t="s">
        <v>32</v>
      </c>
      <c r="L67" s="41" t="s">
        <v>31</v>
      </c>
      <c r="M67" s="41" t="s">
        <v>40</v>
      </c>
      <c r="N67" s="41" t="s">
        <v>35</v>
      </c>
      <c r="O67" s="41" t="s">
        <v>33</v>
      </c>
      <c r="Q67" s="17">
        <f t="shared" si="10"/>
        <v>7</v>
      </c>
      <c r="R67" s="17">
        <f t="shared" si="11"/>
        <v>6</v>
      </c>
      <c r="S67" s="17">
        <f t="shared" si="12"/>
        <v>13</v>
      </c>
      <c r="T67" s="17">
        <f t="shared" si="13"/>
        <v>10</v>
      </c>
      <c r="U67" s="17">
        <f t="shared" si="14"/>
        <v>8</v>
      </c>
      <c r="W67" s="7">
        <v>4437</v>
      </c>
      <c r="X67" s="7">
        <v>5024</v>
      </c>
      <c r="Y67" s="7">
        <v>6415</v>
      </c>
      <c r="Z67" s="7">
        <v>6974</v>
      </c>
      <c r="AA67" s="7">
        <v>16591</v>
      </c>
      <c r="AB67" s="13"/>
    </row>
    <row r="68" spans="10:28" ht="16.5" customHeight="1" x14ac:dyDescent="0.3">
      <c r="J68" s="2">
        <v>64</v>
      </c>
      <c r="K68" s="41" t="s">
        <v>29</v>
      </c>
      <c r="L68" s="41" t="s">
        <v>32</v>
      </c>
      <c r="M68" s="41" t="s">
        <v>35</v>
      </c>
      <c r="N68" s="41" t="s">
        <v>31</v>
      </c>
      <c r="O68" s="41" t="s">
        <v>28</v>
      </c>
      <c r="Q68" s="17">
        <f t="shared" ref="Q68:Q99" si="15">IF(K68="","",VLOOKUP(K68,$A$4:$H$22,8,FALSE))</f>
        <v>4</v>
      </c>
      <c r="R68" s="17">
        <f t="shared" ref="R68:R99" si="16">IF(L68="","",VLOOKUP(L68,$A$4:$H$22,8,FALSE))</f>
        <v>7</v>
      </c>
      <c r="S68" s="17">
        <f t="shared" ref="S68:S99" si="17">IF(M68="","",VLOOKUP(M68,$A$4:$H$22,8,FALSE))</f>
        <v>10</v>
      </c>
      <c r="T68" s="17">
        <f t="shared" ref="T68:T99" si="18">IF(N68="","",VLOOKUP(N68,$A$4:$H$22,8,FALSE))</f>
        <v>6</v>
      </c>
      <c r="U68" s="17">
        <f t="shared" ref="U68:U99" si="19">IF(O68="","",VLOOKUP(O68,$A$4:$H$22,8,FALSE))</f>
        <v>3</v>
      </c>
      <c r="W68" s="7">
        <v>4339</v>
      </c>
      <c r="X68" s="7">
        <v>5774</v>
      </c>
      <c r="Y68" s="7">
        <v>6415</v>
      </c>
      <c r="Z68" s="7">
        <v>5276</v>
      </c>
      <c r="AA68" s="7">
        <v>16817</v>
      </c>
      <c r="AB68" s="13"/>
    </row>
    <row r="69" spans="10:28" ht="16.5" customHeight="1" x14ac:dyDescent="0.3">
      <c r="J69" s="2">
        <v>65</v>
      </c>
      <c r="K69" s="41" t="s">
        <v>33</v>
      </c>
      <c r="L69" s="41" t="s">
        <v>32</v>
      </c>
      <c r="M69" s="41" t="s">
        <v>30</v>
      </c>
      <c r="N69" s="41" t="s">
        <v>31</v>
      </c>
      <c r="O69" s="41" t="s">
        <v>34</v>
      </c>
      <c r="Q69" s="17">
        <f t="shared" si="15"/>
        <v>8</v>
      </c>
      <c r="R69" s="17">
        <f t="shared" si="16"/>
        <v>7</v>
      </c>
      <c r="S69" s="17">
        <f t="shared" si="17"/>
        <v>5</v>
      </c>
      <c r="T69" s="17">
        <f t="shared" si="18"/>
        <v>6</v>
      </c>
      <c r="U69" s="17">
        <f t="shared" si="19"/>
        <v>9</v>
      </c>
      <c r="W69" s="7">
        <v>2538</v>
      </c>
      <c r="X69" s="7">
        <v>5377</v>
      </c>
      <c r="Y69" s="7">
        <v>7755</v>
      </c>
      <c r="Z69" s="7">
        <v>6158</v>
      </c>
      <c r="AA69" s="7">
        <v>6625</v>
      </c>
      <c r="AB69" s="13"/>
    </row>
    <row r="70" spans="10:28" ht="16.5" customHeight="1" x14ac:dyDescent="0.3">
      <c r="J70" s="2">
        <v>66</v>
      </c>
      <c r="K70" s="41" t="s">
        <v>28</v>
      </c>
      <c r="L70" s="41" t="s">
        <v>34</v>
      </c>
      <c r="M70" s="41" t="s">
        <v>30</v>
      </c>
      <c r="N70" s="41" t="s">
        <v>29</v>
      </c>
      <c r="O70" s="41" t="s">
        <v>31</v>
      </c>
      <c r="Q70" s="17">
        <f t="shared" si="15"/>
        <v>3</v>
      </c>
      <c r="R70" s="17">
        <f t="shared" si="16"/>
        <v>9</v>
      </c>
      <c r="S70" s="17">
        <f t="shared" si="17"/>
        <v>5</v>
      </c>
      <c r="T70" s="17">
        <f t="shared" si="18"/>
        <v>4</v>
      </c>
      <c r="U70" s="17">
        <f t="shared" si="19"/>
        <v>6</v>
      </c>
      <c r="W70" s="7">
        <v>2282</v>
      </c>
      <c r="X70" s="7">
        <v>6083</v>
      </c>
      <c r="Y70" s="7">
        <v>7238</v>
      </c>
      <c r="Z70" s="7">
        <v>8520</v>
      </c>
      <c r="AA70" s="7">
        <v>7061</v>
      </c>
      <c r="AB70" s="13"/>
    </row>
    <row r="71" spans="10:28" ht="16.5" customHeight="1" x14ac:dyDescent="0.3">
      <c r="J71" s="2">
        <v>67</v>
      </c>
      <c r="K71" s="41" t="s">
        <v>33</v>
      </c>
      <c r="L71" s="41" t="s">
        <v>34</v>
      </c>
      <c r="M71" s="41" t="s">
        <v>30</v>
      </c>
      <c r="N71" s="41" t="s">
        <v>46</v>
      </c>
      <c r="O71" s="41" t="s">
        <v>32</v>
      </c>
      <c r="Q71" s="17">
        <f t="shared" si="15"/>
        <v>8</v>
      </c>
      <c r="R71" s="17">
        <f t="shared" si="16"/>
        <v>9</v>
      </c>
      <c r="S71" s="17">
        <f t="shared" si="17"/>
        <v>5</v>
      </c>
      <c r="T71" s="17">
        <f t="shared" si="18"/>
        <v>16</v>
      </c>
      <c r="U71" s="17">
        <f t="shared" si="19"/>
        <v>7</v>
      </c>
      <c r="W71" s="7">
        <v>2232</v>
      </c>
      <c r="X71" s="7">
        <v>16411</v>
      </c>
      <c r="Y71" s="7">
        <v>5231</v>
      </c>
      <c r="Z71" s="7">
        <v>9832</v>
      </c>
      <c r="AA71" s="7">
        <v>6241</v>
      </c>
      <c r="AB71" s="13"/>
    </row>
    <row r="72" spans="10:28" ht="16.5" customHeight="1" x14ac:dyDescent="0.3">
      <c r="J72" s="2">
        <v>68</v>
      </c>
      <c r="K72" s="41" t="s">
        <v>33</v>
      </c>
      <c r="L72" s="41" t="s">
        <v>31</v>
      </c>
      <c r="M72" s="41" t="s">
        <v>31</v>
      </c>
      <c r="N72" s="41" t="s">
        <v>31</v>
      </c>
      <c r="O72" s="41" t="s">
        <v>32</v>
      </c>
      <c r="Q72" s="17">
        <f t="shared" si="15"/>
        <v>8</v>
      </c>
      <c r="R72" s="17">
        <f t="shared" si="16"/>
        <v>6</v>
      </c>
      <c r="S72" s="17">
        <f t="shared" si="17"/>
        <v>6</v>
      </c>
      <c r="T72" s="17">
        <f t="shared" si="18"/>
        <v>6</v>
      </c>
      <c r="U72" s="17">
        <f t="shared" si="19"/>
        <v>7</v>
      </c>
      <c r="W72" s="7">
        <v>4926</v>
      </c>
      <c r="X72" s="7">
        <v>16780</v>
      </c>
      <c r="Y72" s="7">
        <v>7755</v>
      </c>
      <c r="Z72" s="7">
        <v>7297</v>
      </c>
      <c r="AA72" s="7">
        <v>6867</v>
      </c>
      <c r="AB72" s="13"/>
    </row>
    <row r="73" spans="10:28" ht="16.5" customHeight="1" x14ac:dyDescent="0.3">
      <c r="J73" s="2">
        <v>69</v>
      </c>
      <c r="K73" s="41" t="s">
        <v>29</v>
      </c>
      <c r="L73" s="41" t="s">
        <v>44</v>
      </c>
      <c r="M73" s="41" t="s">
        <v>35</v>
      </c>
      <c r="N73" s="41" t="s">
        <v>30</v>
      </c>
      <c r="O73" s="41" t="s">
        <v>32</v>
      </c>
      <c r="Q73" s="17">
        <f t="shared" si="15"/>
        <v>4</v>
      </c>
      <c r="R73" s="17">
        <f t="shared" si="16"/>
        <v>15</v>
      </c>
      <c r="S73" s="17">
        <f t="shared" si="17"/>
        <v>10</v>
      </c>
      <c r="T73" s="17">
        <f t="shared" si="18"/>
        <v>5</v>
      </c>
      <c r="U73" s="17">
        <f t="shared" si="19"/>
        <v>7</v>
      </c>
      <c r="W73" s="7">
        <v>4305</v>
      </c>
      <c r="X73" s="7">
        <v>19496</v>
      </c>
      <c r="Y73" s="7">
        <v>7526</v>
      </c>
      <c r="Z73" s="7">
        <v>17387</v>
      </c>
      <c r="AA73" s="7">
        <v>5563</v>
      </c>
      <c r="AB73" s="13"/>
    </row>
    <row r="74" spans="10:28" ht="16.5" customHeight="1" x14ac:dyDescent="0.3">
      <c r="J74" s="2">
        <v>70</v>
      </c>
      <c r="K74" s="41" t="s">
        <v>32</v>
      </c>
      <c r="L74" s="41" t="s">
        <v>33</v>
      </c>
      <c r="M74" s="41" t="s">
        <v>35</v>
      </c>
      <c r="N74" s="41" t="s">
        <v>33</v>
      </c>
      <c r="O74" s="41" t="s">
        <v>33</v>
      </c>
      <c r="Q74" s="17">
        <f t="shared" si="15"/>
        <v>7</v>
      </c>
      <c r="R74" s="17">
        <f t="shared" si="16"/>
        <v>8</v>
      </c>
      <c r="S74" s="17">
        <f t="shared" si="17"/>
        <v>10</v>
      </c>
      <c r="T74" s="17">
        <f t="shared" si="18"/>
        <v>8</v>
      </c>
      <c r="U74" s="17">
        <f t="shared" si="19"/>
        <v>8</v>
      </c>
      <c r="W74" s="7">
        <v>4437</v>
      </c>
      <c r="X74" s="7">
        <v>15423</v>
      </c>
      <c r="Y74" s="7">
        <v>14076</v>
      </c>
      <c r="Z74" s="7">
        <v>17883</v>
      </c>
      <c r="AA74" s="7">
        <v>5242</v>
      </c>
      <c r="AB74" s="13"/>
    </row>
    <row r="75" spans="10:28" ht="16.5" customHeight="1" x14ac:dyDescent="0.3">
      <c r="J75" s="2">
        <v>71</v>
      </c>
      <c r="K75" s="41" t="s">
        <v>34</v>
      </c>
      <c r="L75" s="41" t="s">
        <v>29</v>
      </c>
      <c r="M75" s="41" t="s">
        <v>31</v>
      </c>
      <c r="N75" s="41" t="s">
        <v>28</v>
      </c>
      <c r="O75" s="41" t="s">
        <v>33</v>
      </c>
      <c r="Q75" s="17">
        <f t="shared" si="15"/>
        <v>9</v>
      </c>
      <c r="R75" s="17">
        <f t="shared" si="16"/>
        <v>4</v>
      </c>
      <c r="S75" s="17">
        <f t="shared" si="17"/>
        <v>6</v>
      </c>
      <c r="T75" s="17">
        <f t="shared" si="18"/>
        <v>3</v>
      </c>
      <c r="U75" s="17">
        <f t="shared" si="19"/>
        <v>8</v>
      </c>
      <c r="W75" s="7">
        <v>4339</v>
      </c>
      <c r="X75" s="7">
        <v>16411</v>
      </c>
      <c r="Y75" s="7">
        <v>18231</v>
      </c>
      <c r="Z75" s="7">
        <v>17263</v>
      </c>
      <c r="AA75" s="7">
        <v>5847</v>
      </c>
      <c r="AB75" s="13"/>
    </row>
    <row r="76" spans="10:28" ht="16.5" customHeight="1" x14ac:dyDescent="0.3">
      <c r="J76" s="2">
        <v>72</v>
      </c>
      <c r="K76" s="41" t="s">
        <v>29</v>
      </c>
      <c r="L76" s="41" t="s">
        <v>32</v>
      </c>
      <c r="M76" s="41" t="s">
        <v>35</v>
      </c>
      <c r="N76" s="41" t="s">
        <v>34</v>
      </c>
      <c r="O76" s="41" t="s">
        <v>33</v>
      </c>
      <c r="Q76" s="17">
        <f t="shared" si="15"/>
        <v>4</v>
      </c>
      <c r="R76" s="17">
        <f t="shared" si="16"/>
        <v>7</v>
      </c>
      <c r="S76" s="17">
        <f t="shared" si="17"/>
        <v>10</v>
      </c>
      <c r="T76" s="17">
        <f t="shared" si="18"/>
        <v>9</v>
      </c>
      <c r="U76" s="17">
        <f t="shared" si="19"/>
        <v>8</v>
      </c>
      <c r="W76" s="7">
        <v>2538</v>
      </c>
      <c r="X76" s="7">
        <v>14067</v>
      </c>
      <c r="Y76" s="7">
        <v>7279</v>
      </c>
      <c r="Z76" s="7">
        <v>14180</v>
      </c>
      <c r="AA76" s="7">
        <v>6530</v>
      </c>
      <c r="AB76" s="13"/>
    </row>
    <row r="77" spans="10:28" ht="16.5" customHeight="1" x14ac:dyDescent="0.3">
      <c r="J77" s="2">
        <v>73</v>
      </c>
      <c r="K77" s="41" t="s">
        <v>32</v>
      </c>
      <c r="L77" s="41" t="s">
        <v>28</v>
      </c>
      <c r="M77" s="41" t="s">
        <v>36</v>
      </c>
      <c r="N77" s="41" t="s">
        <v>31</v>
      </c>
      <c r="O77" s="41" t="s">
        <v>30</v>
      </c>
      <c r="Q77" s="17">
        <f t="shared" si="15"/>
        <v>7</v>
      </c>
      <c r="R77" s="17">
        <f t="shared" si="16"/>
        <v>3</v>
      </c>
      <c r="S77" s="17">
        <f t="shared" si="17"/>
        <v>11</v>
      </c>
      <c r="T77" s="17">
        <f t="shared" si="18"/>
        <v>6</v>
      </c>
      <c r="U77" s="17">
        <f t="shared" si="19"/>
        <v>5</v>
      </c>
      <c r="W77" s="7">
        <v>2282</v>
      </c>
      <c r="X77" s="7">
        <v>17891</v>
      </c>
      <c r="Y77" s="7">
        <v>5985</v>
      </c>
      <c r="Z77" s="7">
        <v>5187</v>
      </c>
      <c r="AA77" s="7">
        <v>3481</v>
      </c>
      <c r="AB77" s="13"/>
    </row>
    <row r="78" spans="10:28" ht="16.5" customHeight="1" x14ac:dyDescent="0.3">
      <c r="J78" s="2">
        <v>74</v>
      </c>
      <c r="K78" s="41" t="s">
        <v>33</v>
      </c>
      <c r="L78" s="41" t="s">
        <v>31</v>
      </c>
      <c r="M78" s="41" t="s">
        <v>30</v>
      </c>
      <c r="N78" s="41" t="s">
        <v>35</v>
      </c>
      <c r="O78" s="41" t="s">
        <v>33</v>
      </c>
      <c r="Q78" s="17">
        <f t="shared" si="15"/>
        <v>8</v>
      </c>
      <c r="R78" s="17">
        <f t="shared" si="16"/>
        <v>6</v>
      </c>
      <c r="S78" s="17">
        <f t="shared" si="17"/>
        <v>5</v>
      </c>
      <c r="T78" s="17">
        <f t="shared" si="18"/>
        <v>10</v>
      </c>
      <c r="U78" s="17">
        <f t="shared" si="19"/>
        <v>8</v>
      </c>
      <c r="W78" s="7">
        <v>2232</v>
      </c>
      <c r="X78" s="7">
        <v>17891</v>
      </c>
      <c r="Y78" s="7">
        <v>3942</v>
      </c>
      <c r="Z78" s="7">
        <v>6120</v>
      </c>
      <c r="AA78" s="7">
        <v>4401</v>
      </c>
      <c r="AB78" s="13"/>
    </row>
    <row r="79" spans="10:28" ht="16.5" customHeight="1" x14ac:dyDescent="0.3">
      <c r="J79" s="2">
        <v>75</v>
      </c>
      <c r="K79" s="41" t="s">
        <v>33</v>
      </c>
      <c r="L79" s="41" t="s">
        <v>30</v>
      </c>
      <c r="M79" s="41" t="s">
        <v>30</v>
      </c>
      <c r="N79" s="41" t="s">
        <v>31</v>
      </c>
      <c r="O79" s="41" t="s">
        <v>33</v>
      </c>
      <c r="Q79" s="17">
        <f t="shared" si="15"/>
        <v>8</v>
      </c>
      <c r="R79" s="17">
        <f t="shared" si="16"/>
        <v>5</v>
      </c>
      <c r="S79" s="17">
        <f t="shared" si="17"/>
        <v>5</v>
      </c>
      <c r="T79" s="17">
        <f t="shared" si="18"/>
        <v>6</v>
      </c>
      <c r="U79" s="17">
        <f t="shared" si="19"/>
        <v>8</v>
      </c>
      <c r="W79" s="7">
        <v>4926</v>
      </c>
      <c r="X79" s="7">
        <v>19372</v>
      </c>
      <c r="Y79" s="7">
        <v>4294</v>
      </c>
      <c r="Z79" s="7">
        <v>3651</v>
      </c>
      <c r="AA79" s="7">
        <v>3654</v>
      </c>
      <c r="AB79" s="13"/>
    </row>
    <row r="80" spans="10:28" ht="15.6" customHeight="1" x14ac:dyDescent="0.3">
      <c r="J80" s="2">
        <v>76</v>
      </c>
      <c r="K80" s="41" t="s">
        <v>29</v>
      </c>
      <c r="L80" s="41" t="s">
        <v>50</v>
      </c>
      <c r="M80" s="41" t="s">
        <v>40</v>
      </c>
      <c r="N80" s="41" t="s">
        <v>31</v>
      </c>
      <c r="O80" s="41" t="s">
        <v>30</v>
      </c>
      <c r="Q80" s="17">
        <f t="shared" si="15"/>
        <v>4</v>
      </c>
      <c r="R80" s="17">
        <f t="shared" si="16"/>
        <v>18</v>
      </c>
      <c r="S80" s="17">
        <f t="shared" si="17"/>
        <v>13</v>
      </c>
      <c r="T80" s="17">
        <f t="shared" si="18"/>
        <v>6</v>
      </c>
      <c r="U80" s="17">
        <f t="shared" si="19"/>
        <v>5</v>
      </c>
      <c r="W80" s="7">
        <v>15738</v>
      </c>
      <c r="X80" s="7">
        <v>16039</v>
      </c>
      <c r="Y80" s="7">
        <v>10167</v>
      </c>
      <c r="Z80" s="7">
        <v>4216</v>
      </c>
      <c r="AA80" s="7">
        <v>6409</v>
      </c>
      <c r="AB80" s="13"/>
    </row>
    <row r="81" spans="10:28" ht="15.6" customHeight="1" x14ac:dyDescent="0.3">
      <c r="J81" s="2">
        <v>77</v>
      </c>
      <c r="K81" s="41" t="s">
        <v>28</v>
      </c>
      <c r="L81" s="41" t="s">
        <v>29</v>
      </c>
      <c r="M81" s="41" t="s">
        <v>35</v>
      </c>
      <c r="N81" s="41" t="s">
        <v>31</v>
      </c>
      <c r="O81" s="41" t="s">
        <v>34</v>
      </c>
      <c r="Q81" s="17">
        <f t="shared" si="15"/>
        <v>3</v>
      </c>
      <c r="R81" s="17">
        <f t="shared" si="16"/>
        <v>4</v>
      </c>
      <c r="S81" s="17">
        <f t="shared" si="17"/>
        <v>10</v>
      </c>
      <c r="T81" s="17">
        <f t="shared" si="18"/>
        <v>6</v>
      </c>
      <c r="U81" s="17">
        <f t="shared" si="19"/>
        <v>9</v>
      </c>
      <c r="W81" s="7">
        <v>5325</v>
      </c>
      <c r="X81" s="7">
        <v>7720</v>
      </c>
      <c r="Y81" s="7">
        <v>7814</v>
      </c>
      <c r="Z81" s="7">
        <v>3151</v>
      </c>
      <c r="AA81" s="7">
        <v>5321</v>
      </c>
      <c r="AB81" s="13"/>
    </row>
    <row r="82" spans="10:28" ht="15.6" customHeight="1" x14ac:dyDescent="0.3">
      <c r="J82" s="2">
        <v>78</v>
      </c>
      <c r="K82" s="41" t="s">
        <v>33</v>
      </c>
      <c r="L82" s="41" t="s">
        <v>44</v>
      </c>
      <c r="M82" s="41" t="s">
        <v>32</v>
      </c>
      <c r="N82" s="41" t="s">
        <v>46</v>
      </c>
      <c r="O82" s="41" t="s">
        <v>34</v>
      </c>
      <c r="Q82" s="17">
        <f t="shared" si="15"/>
        <v>8</v>
      </c>
      <c r="R82" s="17">
        <f t="shared" si="16"/>
        <v>15</v>
      </c>
      <c r="S82" s="17">
        <f t="shared" si="17"/>
        <v>7</v>
      </c>
      <c r="T82" s="17">
        <f t="shared" si="18"/>
        <v>16</v>
      </c>
      <c r="U82" s="17">
        <f t="shared" si="19"/>
        <v>9</v>
      </c>
      <c r="W82" s="7">
        <v>5206</v>
      </c>
      <c r="X82" s="7">
        <v>7455</v>
      </c>
      <c r="Y82" s="7">
        <v>7353</v>
      </c>
      <c r="Z82" s="7">
        <v>1831</v>
      </c>
      <c r="AA82" s="7">
        <v>5158</v>
      </c>
      <c r="AB82" s="13"/>
    </row>
    <row r="83" spans="10:28" ht="15.6" customHeight="1" x14ac:dyDescent="0.3">
      <c r="J83" s="2">
        <v>79</v>
      </c>
      <c r="K83" s="41" t="s">
        <v>29</v>
      </c>
      <c r="L83" s="41" t="s">
        <v>42</v>
      </c>
      <c r="M83" s="41" t="s">
        <v>35</v>
      </c>
      <c r="N83" s="41" t="s">
        <v>42</v>
      </c>
      <c r="O83" s="41" t="s">
        <v>34</v>
      </c>
      <c r="Q83" s="17">
        <f t="shared" si="15"/>
        <v>4</v>
      </c>
      <c r="R83" s="17">
        <f t="shared" si="16"/>
        <v>14</v>
      </c>
      <c r="S83" s="17">
        <f t="shared" si="17"/>
        <v>10</v>
      </c>
      <c r="T83" s="17">
        <f t="shared" si="18"/>
        <v>14</v>
      </c>
      <c r="U83" s="17">
        <f t="shared" si="19"/>
        <v>9</v>
      </c>
      <c r="W83" s="7">
        <v>4926</v>
      </c>
      <c r="X83" s="7">
        <v>5710</v>
      </c>
      <c r="Y83" s="7">
        <v>7988</v>
      </c>
      <c r="Z83" s="7">
        <v>3072</v>
      </c>
      <c r="AA83" s="7">
        <v>11382</v>
      </c>
      <c r="AB83" s="13"/>
    </row>
    <row r="84" spans="10:28" ht="15.6" customHeight="1" x14ac:dyDescent="0.3">
      <c r="J84" s="2">
        <v>80</v>
      </c>
      <c r="K84" s="41" t="s">
        <v>33</v>
      </c>
      <c r="L84" s="41" t="s">
        <v>42</v>
      </c>
      <c r="M84" s="41" t="s">
        <v>35</v>
      </c>
      <c r="N84" s="41" t="s">
        <v>31</v>
      </c>
      <c r="O84" s="41" t="s">
        <v>35</v>
      </c>
      <c r="Q84" s="17">
        <f t="shared" si="15"/>
        <v>8</v>
      </c>
      <c r="R84" s="17">
        <f t="shared" si="16"/>
        <v>14</v>
      </c>
      <c r="S84" s="17">
        <f t="shared" si="17"/>
        <v>10</v>
      </c>
      <c r="T84" s="17">
        <f t="shared" si="18"/>
        <v>6</v>
      </c>
      <c r="U84" s="17">
        <f t="shared" si="19"/>
        <v>10</v>
      </c>
      <c r="W84" s="7">
        <v>16217</v>
      </c>
      <c r="X84" s="7">
        <v>14683</v>
      </c>
      <c r="Y84" s="7">
        <v>18367</v>
      </c>
      <c r="Z84" s="7">
        <v>2100</v>
      </c>
      <c r="AA84" s="7">
        <v>16591</v>
      </c>
      <c r="AB84" s="13"/>
    </row>
    <row r="85" spans="10:28" ht="15.6" customHeight="1" x14ac:dyDescent="0.3">
      <c r="J85" s="2">
        <v>81</v>
      </c>
      <c r="K85" s="41" t="s">
        <v>31</v>
      </c>
      <c r="L85" s="41" t="s">
        <v>35</v>
      </c>
      <c r="M85" s="41" t="s">
        <v>40</v>
      </c>
      <c r="N85" s="41" t="s">
        <v>31</v>
      </c>
      <c r="O85" s="41" t="s">
        <v>32</v>
      </c>
      <c r="Q85" s="17">
        <f t="shared" si="15"/>
        <v>6</v>
      </c>
      <c r="R85" s="17">
        <f t="shared" si="16"/>
        <v>10</v>
      </c>
      <c r="S85" s="17">
        <f t="shared" si="17"/>
        <v>13</v>
      </c>
      <c r="T85" s="17">
        <f t="shared" si="18"/>
        <v>6</v>
      </c>
      <c r="U85" s="17">
        <f t="shared" si="19"/>
        <v>7</v>
      </c>
      <c r="W85" s="7">
        <v>13216</v>
      </c>
      <c r="X85" s="7">
        <v>18755</v>
      </c>
      <c r="Y85" s="7">
        <v>7929</v>
      </c>
      <c r="Z85" s="7">
        <v>1831</v>
      </c>
      <c r="AA85" s="7">
        <v>16253</v>
      </c>
      <c r="AB85" s="13"/>
    </row>
    <row r="86" spans="10:28" ht="15.6" customHeight="1" x14ac:dyDescent="0.3">
      <c r="J86" s="2">
        <v>82</v>
      </c>
      <c r="K86" s="41" t="s">
        <v>33</v>
      </c>
      <c r="L86" s="41" t="s">
        <v>33</v>
      </c>
      <c r="M86" s="41" t="s">
        <v>34</v>
      </c>
      <c r="N86" s="41" t="s">
        <v>34</v>
      </c>
      <c r="O86" s="41" t="s">
        <v>33</v>
      </c>
      <c r="Q86" s="17">
        <f t="shared" si="15"/>
        <v>8</v>
      </c>
      <c r="R86" s="17">
        <f t="shared" si="16"/>
        <v>8</v>
      </c>
      <c r="S86" s="17">
        <f t="shared" si="17"/>
        <v>9</v>
      </c>
      <c r="T86" s="17">
        <f t="shared" si="18"/>
        <v>9</v>
      </c>
      <c r="U86" s="17">
        <f t="shared" si="19"/>
        <v>8</v>
      </c>
      <c r="W86" s="7">
        <v>12414</v>
      </c>
      <c r="X86" s="7">
        <v>17891</v>
      </c>
      <c r="Y86" s="7">
        <v>7467</v>
      </c>
      <c r="Z86" s="7">
        <v>3072</v>
      </c>
      <c r="AA86" s="7">
        <v>14899</v>
      </c>
      <c r="AB86" s="13"/>
    </row>
    <row r="87" spans="10:28" ht="15.6" customHeight="1" x14ac:dyDescent="0.3">
      <c r="J87" s="2">
        <v>83</v>
      </c>
      <c r="K87" s="41" t="s">
        <v>34</v>
      </c>
      <c r="L87" s="41" t="s">
        <v>48</v>
      </c>
      <c r="M87" s="41" t="s">
        <v>30</v>
      </c>
      <c r="N87" s="41" t="s">
        <v>34</v>
      </c>
      <c r="O87" s="41" t="s">
        <v>26</v>
      </c>
      <c r="Q87" s="17">
        <f t="shared" si="15"/>
        <v>9</v>
      </c>
      <c r="R87" s="17">
        <f t="shared" si="16"/>
        <v>17</v>
      </c>
      <c r="S87" s="17">
        <f t="shared" si="17"/>
        <v>5</v>
      </c>
      <c r="T87" s="17">
        <f t="shared" si="18"/>
        <v>9</v>
      </c>
      <c r="U87" s="17">
        <f t="shared" si="19"/>
        <v>2</v>
      </c>
      <c r="W87" s="7">
        <v>11914</v>
      </c>
      <c r="X87" s="7">
        <v>16535</v>
      </c>
      <c r="Y87" s="7">
        <v>6722</v>
      </c>
      <c r="Z87" s="7">
        <v>4898</v>
      </c>
      <c r="AA87" s="7">
        <v>16817</v>
      </c>
      <c r="AB87" s="13"/>
    </row>
    <row r="88" spans="10:28" ht="15.6" customHeight="1" x14ac:dyDescent="0.3">
      <c r="J88" s="2">
        <v>84</v>
      </c>
      <c r="K88" s="41" t="s">
        <v>31</v>
      </c>
      <c r="L88" s="41" t="s">
        <v>26</v>
      </c>
      <c r="M88" s="41" t="s">
        <v>30</v>
      </c>
      <c r="N88" s="41" t="s">
        <v>31</v>
      </c>
      <c r="O88" s="41" t="s">
        <v>29</v>
      </c>
      <c r="Q88" s="17">
        <f t="shared" si="15"/>
        <v>6</v>
      </c>
      <c r="R88" s="17">
        <f t="shared" si="16"/>
        <v>2</v>
      </c>
      <c r="S88" s="17">
        <f t="shared" si="17"/>
        <v>5</v>
      </c>
      <c r="T88" s="17">
        <f t="shared" si="18"/>
        <v>6</v>
      </c>
      <c r="U88" s="17">
        <f t="shared" si="19"/>
        <v>4</v>
      </c>
      <c r="W88" s="7">
        <v>13416</v>
      </c>
      <c r="X88" s="7">
        <v>18508</v>
      </c>
      <c r="Y88" s="7">
        <v>17294</v>
      </c>
      <c r="Z88" s="7">
        <v>4277</v>
      </c>
      <c r="AA88" s="7">
        <v>7789</v>
      </c>
      <c r="AB88" s="13"/>
    </row>
    <row r="89" spans="10:28" ht="15.6" customHeight="1" x14ac:dyDescent="0.3">
      <c r="J89" s="2">
        <v>85</v>
      </c>
      <c r="K89" s="41" t="s">
        <v>34</v>
      </c>
      <c r="L89" s="41" t="s">
        <v>33</v>
      </c>
      <c r="M89" s="41" t="s">
        <v>28</v>
      </c>
      <c r="N89" s="41" t="s">
        <v>34</v>
      </c>
      <c r="O89" s="41" t="s">
        <v>28</v>
      </c>
      <c r="Q89" s="17">
        <f t="shared" si="15"/>
        <v>9</v>
      </c>
      <c r="R89" s="17">
        <f t="shared" si="16"/>
        <v>8</v>
      </c>
      <c r="S89" s="17">
        <f t="shared" si="17"/>
        <v>3</v>
      </c>
      <c r="T89" s="17">
        <f t="shared" si="18"/>
        <v>9</v>
      </c>
      <c r="U89" s="17">
        <f t="shared" si="19"/>
        <v>3</v>
      </c>
      <c r="W89" s="7">
        <v>13416</v>
      </c>
      <c r="X89" s="7">
        <v>17397</v>
      </c>
      <c r="Y89" s="7">
        <v>14076</v>
      </c>
      <c r="Z89" s="7">
        <v>7167</v>
      </c>
      <c r="AA89" s="7">
        <v>3102</v>
      </c>
      <c r="AB89" s="13"/>
    </row>
    <row r="90" spans="10:28" ht="15.6" customHeight="1" x14ac:dyDescent="0.3">
      <c r="J90" s="2">
        <v>86</v>
      </c>
      <c r="K90" s="41" t="s">
        <v>32</v>
      </c>
      <c r="L90" s="41" t="s">
        <v>31</v>
      </c>
      <c r="M90" s="41" t="s">
        <v>35</v>
      </c>
      <c r="N90" s="41" t="s">
        <v>32</v>
      </c>
      <c r="O90" s="41" t="s">
        <v>30</v>
      </c>
      <c r="Q90" s="17">
        <f t="shared" si="15"/>
        <v>7</v>
      </c>
      <c r="R90" s="17">
        <f t="shared" si="16"/>
        <v>6</v>
      </c>
      <c r="S90" s="17">
        <f t="shared" si="17"/>
        <v>10</v>
      </c>
      <c r="T90" s="17">
        <f t="shared" si="18"/>
        <v>7</v>
      </c>
      <c r="U90" s="17">
        <f t="shared" si="19"/>
        <v>5</v>
      </c>
      <c r="W90" s="7">
        <v>15738</v>
      </c>
      <c r="X90" s="7">
        <v>7298</v>
      </c>
      <c r="Y90" s="7">
        <v>18903</v>
      </c>
      <c r="Z90" s="7">
        <v>14282</v>
      </c>
      <c r="AA90" s="7">
        <v>2618</v>
      </c>
      <c r="AB90" s="13"/>
    </row>
    <row r="91" spans="10:28" ht="15.6" customHeight="1" x14ac:dyDescent="0.3">
      <c r="J91" s="2">
        <v>87</v>
      </c>
      <c r="K91" s="41" t="s">
        <v>33</v>
      </c>
      <c r="L91" s="41" t="s">
        <v>29</v>
      </c>
      <c r="M91" s="41" t="s">
        <v>31</v>
      </c>
      <c r="N91" s="41" t="s">
        <v>34</v>
      </c>
      <c r="O91" s="41" t="s">
        <v>29</v>
      </c>
      <c r="Q91" s="17">
        <f t="shared" si="15"/>
        <v>8</v>
      </c>
      <c r="R91" s="17">
        <f t="shared" si="16"/>
        <v>4</v>
      </c>
      <c r="S91" s="17">
        <f t="shared" si="17"/>
        <v>6</v>
      </c>
      <c r="T91" s="17">
        <f t="shared" si="18"/>
        <v>9</v>
      </c>
      <c r="U91" s="17">
        <f t="shared" si="19"/>
        <v>4</v>
      </c>
      <c r="W91" s="7">
        <v>14617</v>
      </c>
      <c r="X91" s="7">
        <v>5995</v>
      </c>
      <c r="Y91" s="7">
        <v>17427</v>
      </c>
      <c r="Z91" s="7">
        <v>12213</v>
      </c>
      <c r="AA91" s="7">
        <v>3023</v>
      </c>
      <c r="AB91" s="13"/>
    </row>
    <row r="92" spans="10:28" ht="15.6" customHeight="1" x14ac:dyDescent="0.3">
      <c r="J92" s="2">
        <v>88</v>
      </c>
      <c r="K92" s="41" t="s">
        <v>29</v>
      </c>
      <c r="L92" s="41" t="s">
        <v>35</v>
      </c>
      <c r="M92" s="41" t="s">
        <v>29</v>
      </c>
      <c r="N92" s="41" t="s">
        <v>31</v>
      </c>
      <c r="O92" s="41" t="s">
        <v>29</v>
      </c>
      <c r="Q92" s="17">
        <f t="shared" si="15"/>
        <v>4</v>
      </c>
      <c r="R92" s="17">
        <f t="shared" si="16"/>
        <v>10</v>
      </c>
      <c r="S92" s="17">
        <f t="shared" si="17"/>
        <v>4</v>
      </c>
      <c r="T92" s="17">
        <f t="shared" si="18"/>
        <v>6</v>
      </c>
      <c r="U92" s="17">
        <f t="shared" si="19"/>
        <v>4</v>
      </c>
      <c r="W92" s="7">
        <v>6009</v>
      </c>
      <c r="X92" s="7">
        <v>6215</v>
      </c>
      <c r="Y92" s="7">
        <v>17830</v>
      </c>
      <c r="Z92" s="7">
        <v>7142</v>
      </c>
      <c r="AA92" s="7">
        <v>2398</v>
      </c>
      <c r="AB92" s="13"/>
    </row>
    <row r="93" spans="10:28" ht="15.6" customHeight="1" x14ac:dyDescent="0.3">
      <c r="J93" s="2">
        <v>89</v>
      </c>
      <c r="K93" s="41" t="s">
        <v>35</v>
      </c>
      <c r="L93" s="41" t="s">
        <v>50</v>
      </c>
      <c r="M93" s="41" t="s">
        <v>30</v>
      </c>
      <c r="N93" s="41" t="s">
        <v>34</v>
      </c>
      <c r="O93" s="41" t="s">
        <v>29</v>
      </c>
      <c r="Q93" s="17">
        <f t="shared" si="15"/>
        <v>10</v>
      </c>
      <c r="R93" s="17">
        <f t="shared" si="16"/>
        <v>18</v>
      </c>
      <c r="S93" s="17">
        <f t="shared" si="17"/>
        <v>5</v>
      </c>
      <c r="T93" s="17">
        <f t="shared" si="18"/>
        <v>9</v>
      </c>
      <c r="U93" s="17">
        <f t="shared" si="19"/>
        <v>4</v>
      </c>
      <c r="W93" s="7">
        <v>5577</v>
      </c>
      <c r="X93" s="7">
        <v>5862</v>
      </c>
      <c r="Y93" s="7">
        <v>15193</v>
      </c>
      <c r="Z93" s="7">
        <v>6158</v>
      </c>
      <c r="AA93" s="7">
        <v>8340</v>
      </c>
      <c r="AB93" s="13"/>
    </row>
    <row r="94" spans="10:28" ht="15.6" customHeight="1" x14ac:dyDescent="0.3">
      <c r="J94" s="2">
        <v>90</v>
      </c>
      <c r="K94" s="41" t="s">
        <v>34</v>
      </c>
      <c r="L94" s="41" t="s">
        <v>35</v>
      </c>
      <c r="M94" s="41" t="s">
        <v>29</v>
      </c>
      <c r="N94" s="41" t="s">
        <v>31</v>
      </c>
      <c r="O94" s="41" t="s">
        <v>32</v>
      </c>
      <c r="Q94" s="17">
        <f t="shared" si="15"/>
        <v>9</v>
      </c>
      <c r="R94" s="17">
        <f t="shared" si="16"/>
        <v>10</v>
      </c>
      <c r="S94" s="17">
        <f t="shared" si="17"/>
        <v>4</v>
      </c>
      <c r="T94" s="17">
        <f t="shared" si="18"/>
        <v>6</v>
      </c>
      <c r="U94" s="17">
        <f t="shared" si="19"/>
        <v>7</v>
      </c>
      <c r="W94" s="7">
        <v>5492</v>
      </c>
      <c r="X94" s="7">
        <v>14561</v>
      </c>
      <c r="Y94" s="7">
        <v>6895</v>
      </c>
      <c r="Z94" s="7">
        <v>8520</v>
      </c>
      <c r="AA94" s="7">
        <v>8747</v>
      </c>
      <c r="AB94" s="13"/>
    </row>
    <row r="95" spans="10:28" ht="15.6" customHeight="1" x14ac:dyDescent="0.3">
      <c r="J95" s="2">
        <v>91</v>
      </c>
      <c r="K95" s="41" t="s">
        <v>34</v>
      </c>
      <c r="L95" s="41" t="s">
        <v>38</v>
      </c>
      <c r="M95" s="41" t="s">
        <v>44</v>
      </c>
      <c r="N95" s="41" t="s">
        <v>29</v>
      </c>
      <c r="O95" s="41" t="s">
        <v>29</v>
      </c>
      <c r="Q95" s="17">
        <f t="shared" si="15"/>
        <v>9</v>
      </c>
      <c r="R95" s="17">
        <f t="shared" si="16"/>
        <v>12</v>
      </c>
      <c r="S95" s="17">
        <f t="shared" si="17"/>
        <v>15</v>
      </c>
      <c r="T95" s="17">
        <f t="shared" si="18"/>
        <v>4</v>
      </c>
      <c r="U95" s="17">
        <f t="shared" si="19"/>
        <v>4</v>
      </c>
      <c r="W95" s="7">
        <v>7052</v>
      </c>
      <c r="X95" s="7">
        <v>17028</v>
      </c>
      <c r="Y95" s="7">
        <v>6081</v>
      </c>
      <c r="Z95" s="7">
        <v>3435</v>
      </c>
      <c r="AA95" s="7">
        <v>6395</v>
      </c>
      <c r="AB95" s="13"/>
    </row>
    <row r="96" spans="10:28" ht="15.6" customHeight="1" x14ac:dyDescent="0.3">
      <c r="J96" s="2">
        <v>92</v>
      </c>
      <c r="K96" s="41" t="s">
        <v>34</v>
      </c>
      <c r="L96" s="41" t="s">
        <v>48</v>
      </c>
      <c r="M96" s="41" t="s">
        <v>34</v>
      </c>
      <c r="N96" s="41" t="s">
        <v>31</v>
      </c>
      <c r="O96" s="41" t="s">
        <v>30</v>
      </c>
      <c r="Q96" s="17">
        <f t="shared" si="15"/>
        <v>9</v>
      </c>
      <c r="R96" s="17">
        <f t="shared" si="16"/>
        <v>17</v>
      </c>
      <c r="S96" s="17">
        <f t="shared" si="17"/>
        <v>9</v>
      </c>
      <c r="T96" s="17">
        <f t="shared" si="18"/>
        <v>6</v>
      </c>
      <c r="U96" s="17">
        <f t="shared" si="19"/>
        <v>5</v>
      </c>
      <c r="W96" s="7">
        <v>12815</v>
      </c>
      <c r="X96" s="7">
        <v>16164</v>
      </c>
      <c r="Y96" s="7">
        <v>7087</v>
      </c>
      <c r="Z96" s="7">
        <v>2930</v>
      </c>
      <c r="AA96" s="7">
        <v>8126</v>
      </c>
      <c r="AB96" s="13"/>
    </row>
    <row r="97" spans="10:28" ht="15.6" customHeight="1" x14ac:dyDescent="0.3">
      <c r="J97" s="2">
        <v>93</v>
      </c>
      <c r="K97" s="41" t="s">
        <v>32</v>
      </c>
      <c r="L97" s="41" t="s">
        <v>31</v>
      </c>
      <c r="M97" s="41" t="s">
        <v>34</v>
      </c>
      <c r="N97" s="41" t="s">
        <v>33</v>
      </c>
      <c r="O97" s="41" t="s">
        <v>33</v>
      </c>
      <c r="Q97" s="17">
        <f t="shared" si="15"/>
        <v>7</v>
      </c>
      <c r="R97" s="17">
        <f t="shared" si="16"/>
        <v>6</v>
      </c>
      <c r="S97" s="17">
        <f t="shared" si="17"/>
        <v>9</v>
      </c>
      <c r="T97" s="17">
        <f t="shared" si="18"/>
        <v>8</v>
      </c>
      <c r="U97" s="17">
        <f t="shared" si="19"/>
        <v>8</v>
      </c>
      <c r="W97" s="7">
        <v>12164</v>
      </c>
      <c r="X97" s="7">
        <v>15794</v>
      </c>
      <c r="Y97" s="7">
        <v>6703</v>
      </c>
      <c r="Z97" s="7">
        <v>3106</v>
      </c>
      <c r="AA97" s="7">
        <v>10270</v>
      </c>
      <c r="AB97" s="13"/>
    </row>
    <row r="98" spans="10:28" ht="15.6" customHeight="1" x14ac:dyDescent="0.3">
      <c r="J98" s="2">
        <v>94</v>
      </c>
      <c r="K98" s="41" t="s">
        <v>34</v>
      </c>
      <c r="L98" s="41" t="s">
        <v>32</v>
      </c>
      <c r="M98" s="41" t="s">
        <v>34</v>
      </c>
      <c r="N98" s="41" t="s">
        <v>33</v>
      </c>
      <c r="O98" s="41" t="s">
        <v>34</v>
      </c>
      <c r="Q98" s="17">
        <f t="shared" si="15"/>
        <v>9</v>
      </c>
      <c r="R98" s="17">
        <f t="shared" si="16"/>
        <v>7</v>
      </c>
      <c r="S98" s="17">
        <f t="shared" si="17"/>
        <v>9</v>
      </c>
      <c r="T98" s="17">
        <f t="shared" si="18"/>
        <v>8</v>
      </c>
      <c r="U98" s="17">
        <f t="shared" si="19"/>
        <v>9</v>
      </c>
      <c r="W98" s="7">
        <v>11914</v>
      </c>
      <c r="X98" s="7">
        <v>17397</v>
      </c>
      <c r="Y98" s="7">
        <v>6127</v>
      </c>
      <c r="Z98" s="7">
        <v>3347</v>
      </c>
      <c r="AA98" s="7">
        <v>16817</v>
      </c>
      <c r="AB98" s="13"/>
    </row>
    <row r="99" spans="10:28" ht="15.6" customHeight="1" x14ac:dyDescent="0.3">
      <c r="J99" s="2">
        <v>95</v>
      </c>
      <c r="K99" s="41" t="s">
        <v>35</v>
      </c>
      <c r="L99" s="41" t="s">
        <v>31</v>
      </c>
      <c r="M99" s="41" t="s">
        <v>29</v>
      </c>
      <c r="N99" s="41" t="s">
        <v>46</v>
      </c>
      <c r="O99" s="41" t="s">
        <v>35</v>
      </c>
      <c r="Q99" s="17">
        <f t="shared" si="15"/>
        <v>10</v>
      </c>
      <c r="R99" s="17">
        <f t="shared" si="16"/>
        <v>6</v>
      </c>
      <c r="S99" s="17">
        <f t="shared" si="17"/>
        <v>4</v>
      </c>
      <c r="T99" s="17">
        <f t="shared" si="18"/>
        <v>16</v>
      </c>
      <c r="U99" s="17">
        <f t="shared" si="19"/>
        <v>10</v>
      </c>
      <c r="W99" s="7">
        <v>4765</v>
      </c>
      <c r="X99" s="7">
        <v>5818</v>
      </c>
      <c r="Y99" s="7">
        <v>6703</v>
      </c>
      <c r="Z99" s="7">
        <v>3725</v>
      </c>
      <c r="AA99" s="7">
        <v>13770</v>
      </c>
      <c r="AB99" s="13"/>
    </row>
    <row r="100" spans="10:28" ht="15.6" customHeight="1" x14ac:dyDescent="0.3">
      <c r="J100" s="2">
        <v>96</v>
      </c>
      <c r="K100" s="41" t="s">
        <v>32</v>
      </c>
      <c r="L100" s="41" t="s">
        <v>30</v>
      </c>
      <c r="M100" s="41" t="s">
        <v>30</v>
      </c>
      <c r="N100" s="41" t="s">
        <v>33</v>
      </c>
      <c r="O100" s="41" t="s">
        <v>30</v>
      </c>
      <c r="Q100" s="17">
        <f t="shared" ref="Q100:Q131" si="20">IF(K100="","",VLOOKUP(K100,$A$4:$H$22,8,FALSE))</f>
        <v>7</v>
      </c>
      <c r="R100" s="17">
        <f t="shared" ref="R100:R131" si="21">IF(L100="","",VLOOKUP(L100,$A$4:$H$22,8,FALSE))</f>
        <v>5</v>
      </c>
      <c r="S100" s="17">
        <f t="shared" ref="S100:S131" si="22">IF(M100="","",VLOOKUP(M100,$A$4:$H$22,8,FALSE))</f>
        <v>5</v>
      </c>
      <c r="T100" s="17">
        <f t="shared" ref="T100:T131" si="23">IF(N100="","",VLOOKUP(N100,$A$4:$H$22,8,FALSE))</f>
        <v>8</v>
      </c>
      <c r="U100" s="17">
        <f t="shared" ref="U100:U131" si="24">IF(O100="","",VLOOKUP(O100,$A$4:$H$22,8,FALSE))</f>
        <v>5</v>
      </c>
      <c r="W100" s="7">
        <v>5793</v>
      </c>
      <c r="X100" s="7">
        <v>5995</v>
      </c>
      <c r="Y100" s="7">
        <v>6466</v>
      </c>
      <c r="Z100" s="7">
        <v>3435</v>
      </c>
      <c r="AA100" s="7">
        <v>16365</v>
      </c>
      <c r="AB100" s="13"/>
    </row>
    <row r="101" spans="10:28" ht="15.6" customHeight="1" x14ac:dyDescent="0.3">
      <c r="J101" s="2">
        <v>97</v>
      </c>
      <c r="K101" s="41" t="s">
        <v>31</v>
      </c>
      <c r="L101" s="41" t="s">
        <v>29</v>
      </c>
      <c r="M101" s="41" t="s">
        <v>30</v>
      </c>
      <c r="N101" s="41" t="s">
        <v>26</v>
      </c>
      <c r="O101" s="41" t="s">
        <v>32</v>
      </c>
      <c r="Q101" s="17">
        <f t="shared" si="20"/>
        <v>6</v>
      </c>
      <c r="R101" s="17">
        <f t="shared" si="21"/>
        <v>4</v>
      </c>
      <c r="S101" s="17">
        <f t="shared" si="22"/>
        <v>5</v>
      </c>
      <c r="T101" s="17">
        <f t="shared" si="23"/>
        <v>2</v>
      </c>
      <c r="U101" s="17">
        <f t="shared" si="24"/>
        <v>7</v>
      </c>
      <c r="W101" s="7">
        <v>6696</v>
      </c>
      <c r="X101" s="7">
        <v>5906</v>
      </c>
      <c r="Y101" s="7">
        <v>16892</v>
      </c>
      <c r="Z101" s="7">
        <v>3990</v>
      </c>
      <c r="AA101" s="7">
        <v>14672</v>
      </c>
      <c r="AB101" s="13"/>
    </row>
    <row r="102" spans="10:28" ht="15.6" customHeight="1" x14ac:dyDescent="0.3">
      <c r="J102" s="2">
        <v>98</v>
      </c>
      <c r="K102" s="41" t="s">
        <v>31</v>
      </c>
      <c r="L102" s="41" t="s">
        <v>38</v>
      </c>
      <c r="M102" s="41" t="s">
        <v>31</v>
      </c>
      <c r="N102" s="41" t="s">
        <v>46</v>
      </c>
      <c r="O102" s="41" t="s">
        <v>34</v>
      </c>
      <c r="Q102" s="17">
        <f t="shared" si="20"/>
        <v>6</v>
      </c>
      <c r="R102" s="17">
        <f t="shared" si="21"/>
        <v>12</v>
      </c>
      <c r="S102" s="17">
        <f t="shared" si="22"/>
        <v>6</v>
      </c>
      <c r="T102" s="17">
        <f t="shared" si="23"/>
        <v>16</v>
      </c>
      <c r="U102" s="17">
        <f t="shared" si="24"/>
        <v>9</v>
      </c>
      <c r="W102" s="7">
        <v>6641</v>
      </c>
      <c r="X102" s="7">
        <v>18138</v>
      </c>
      <c r="Y102" s="7">
        <v>7010</v>
      </c>
      <c r="Z102" s="7">
        <v>3435</v>
      </c>
      <c r="AA102" s="7">
        <v>14447</v>
      </c>
      <c r="AB102" s="13"/>
    </row>
    <row r="103" spans="10:28" ht="15.6" customHeight="1" x14ac:dyDescent="0.3">
      <c r="J103" s="2">
        <v>99</v>
      </c>
      <c r="K103" s="41" t="s">
        <v>31</v>
      </c>
      <c r="L103" s="41" t="s">
        <v>33</v>
      </c>
      <c r="M103" s="41" t="s">
        <v>38</v>
      </c>
      <c r="N103" s="41" t="s">
        <v>33</v>
      </c>
      <c r="O103" s="41" t="s">
        <v>30</v>
      </c>
      <c r="Q103" s="17">
        <f t="shared" si="20"/>
        <v>6</v>
      </c>
      <c r="R103" s="17">
        <f t="shared" si="21"/>
        <v>8</v>
      </c>
      <c r="S103" s="17">
        <f t="shared" si="22"/>
        <v>12</v>
      </c>
      <c r="T103" s="17">
        <f t="shared" si="23"/>
        <v>8</v>
      </c>
      <c r="U103" s="17">
        <f t="shared" si="24"/>
        <v>5</v>
      </c>
      <c r="W103" s="7">
        <v>5748</v>
      </c>
      <c r="X103" s="7">
        <v>18014</v>
      </c>
      <c r="Y103" s="7">
        <v>8560</v>
      </c>
      <c r="Z103" s="7">
        <v>2925</v>
      </c>
      <c r="AA103" s="7">
        <v>15236</v>
      </c>
      <c r="AB103" s="13"/>
    </row>
    <row r="104" spans="10:28" ht="15.6" customHeight="1" x14ac:dyDescent="0.3">
      <c r="J104" s="2">
        <v>100</v>
      </c>
      <c r="K104" s="41" t="s">
        <v>32</v>
      </c>
      <c r="L104" s="41" t="s">
        <v>38</v>
      </c>
      <c r="M104" s="41" t="s">
        <v>35</v>
      </c>
      <c r="N104" s="41" t="s">
        <v>46</v>
      </c>
      <c r="O104" s="41" t="s">
        <v>32</v>
      </c>
      <c r="Q104" s="17">
        <f t="shared" si="20"/>
        <v>7</v>
      </c>
      <c r="R104" s="17">
        <f t="shared" si="21"/>
        <v>12</v>
      </c>
      <c r="S104" s="17">
        <f t="shared" si="22"/>
        <v>10</v>
      </c>
      <c r="T104" s="17">
        <f t="shared" si="23"/>
        <v>16</v>
      </c>
      <c r="U104" s="17">
        <f t="shared" si="24"/>
        <v>7</v>
      </c>
      <c r="W104" s="7">
        <v>5663</v>
      </c>
      <c r="X104" s="7">
        <v>6294</v>
      </c>
      <c r="Y104" s="7">
        <v>8043</v>
      </c>
      <c r="Z104" s="7">
        <v>7244</v>
      </c>
      <c r="AA104" s="7">
        <v>14222</v>
      </c>
      <c r="AB104" s="13"/>
    </row>
    <row r="105" spans="10:28" ht="15.6" customHeight="1" x14ac:dyDescent="0.3">
      <c r="J105" s="2">
        <v>101</v>
      </c>
      <c r="K105" s="41" t="s">
        <v>32</v>
      </c>
      <c r="L105" s="41" t="s">
        <v>31</v>
      </c>
      <c r="M105" s="41" t="s">
        <v>35</v>
      </c>
      <c r="N105" s="41" t="s">
        <v>32</v>
      </c>
      <c r="O105" s="41" t="s">
        <v>31</v>
      </c>
      <c r="Q105" s="17">
        <f t="shared" si="20"/>
        <v>7</v>
      </c>
      <c r="R105" s="17">
        <f t="shared" si="21"/>
        <v>6</v>
      </c>
      <c r="S105" s="17">
        <f t="shared" si="22"/>
        <v>10</v>
      </c>
      <c r="T105" s="17">
        <f t="shared" si="23"/>
        <v>7</v>
      </c>
      <c r="U105" s="17">
        <f t="shared" si="24"/>
        <v>6</v>
      </c>
      <c r="W105" s="7">
        <v>4675</v>
      </c>
      <c r="X105" s="7">
        <v>7509</v>
      </c>
      <c r="Y105" s="7">
        <v>18903</v>
      </c>
      <c r="Z105" s="7">
        <v>12729</v>
      </c>
      <c r="AA105" s="7">
        <v>13357</v>
      </c>
      <c r="AB105" s="13"/>
    </row>
    <row r="106" spans="10:28" ht="15.6" customHeight="1" x14ac:dyDescent="0.3">
      <c r="J106" s="2">
        <v>102</v>
      </c>
      <c r="K106" s="41" t="s">
        <v>29</v>
      </c>
      <c r="L106" s="41" t="s">
        <v>29</v>
      </c>
      <c r="M106" s="41" t="s">
        <v>34</v>
      </c>
      <c r="N106" s="41" t="s">
        <v>31</v>
      </c>
      <c r="O106" s="41" t="s">
        <v>32</v>
      </c>
      <c r="Q106" s="17">
        <f t="shared" si="20"/>
        <v>4</v>
      </c>
      <c r="R106" s="17">
        <f t="shared" si="21"/>
        <v>4</v>
      </c>
      <c r="S106" s="17">
        <f t="shared" si="22"/>
        <v>9</v>
      </c>
      <c r="T106" s="17">
        <f t="shared" si="23"/>
        <v>6</v>
      </c>
      <c r="U106" s="17">
        <f t="shared" si="24"/>
        <v>7</v>
      </c>
      <c r="W106" s="7">
        <v>7468</v>
      </c>
      <c r="X106" s="7">
        <v>7401</v>
      </c>
      <c r="Y106" s="7">
        <v>16535</v>
      </c>
      <c r="Z106" s="7">
        <v>17883</v>
      </c>
      <c r="AA106" s="7">
        <v>14109</v>
      </c>
      <c r="AB106" s="13"/>
    </row>
    <row r="107" spans="10:28" ht="15.6" customHeight="1" x14ac:dyDescent="0.3">
      <c r="J107" s="2">
        <v>103</v>
      </c>
      <c r="K107" s="41" t="s">
        <v>30</v>
      </c>
      <c r="L107" s="41" t="s">
        <v>29</v>
      </c>
      <c r="M107" s="41" t="s">
        <v>29</v>
      </c>
      <c r="N107" s="41" t="s">
        <v>44</v>
      </c>
      <c r="O107" s="41" t="s">
        <v>31</v>
      </c>
      <c r="Q107" s="17">
        <f t="shared" si="20"/>
        <v>5</v>
      </c>
      <c r="R107" s="17">
        <f t="shared" si="21"/>
        <v>4</v>
      </c>
      <c r="S107" s="17">
        <f t="shared" si="22"/>
        <v>4</v>
      </c>
      <c r="T107" s="17">
        <f t="shared" si="23"/>
        <v>15</v>
      </c>
      <c r="U107" s="17">
        <f t="shared" si="24"/>
        <v>6</v>
      </c>
      <c r="W107" s="7">
        <v>7052</v>
      </c>
      <c r="X107" s="7">
        <v>8357</v>
      </c>
      <c r="Y107" s="7">
        <v>10017</v>
      </c>
      <c r="Z107" s="7">
        <v>16394</v>
      </c>
      <c r="AA107" s="7">
        <v>14014</v>
      </c>
      <c r="AB107" s="13"/>
    </row>
    <row r="108" spans="10:28" ht="15.6" customHeight="1" x14ac:dyDescent="0.3">
      <c r="J108" s="2">
        <v>104</v>
      </c>
      <c r="K108" s="41" t="s">
        <v>30</v>
      </c>
      <c r="L108" s="41" t="s">
        <v>29</v>
      </c>
      <c r="M108" s="41" t="s">
        <v>50</v>
      </c>
      <c r="N108" s="41" t="s">
        <v>33</v>
      </c>
      <c r="O108" s="41" t="s">
        <v>29</v>
      </c>
      <c r="Q108" s="17">
        <f t="shared" si="20"/>
        <v>5</v>
      </c>
      <c r="R108" s="17">
        <f t="shared" si="21"/>
        <v>4</v>
      </c>
      <c r="S108" s="17">
        <f t="shared" si="22"/>
        <v>18</v>
      </c>
      <c r="T108" s="17">
        <f t="shared" si="23"/>
        <v>8</v>
      </c>
      <c r="U108" s="17">
        <f t="shared" si="24"/>
        <v>4</v>
      </c>
      <c r="W108" s="7">
        <v>15978</v>
      </c>
      <c r="X108" s="7">
        <v>6715</v>
      </c>
      <c r="Y108" s="7">
        <v>7375</v>
      </c>
      <c r="Z108" s="7">
        <v>17883</v>
      </c>
      <c r="AA108" s="7">
        <v>13731</v>
      </c>
      <c r="AB108" s="13"/>
    </row>
    <row r="109" spans="10:28" ht="15.6" customHeight="1" x14ac:dyDescent="0.3">
      <c r="J109" s="2">
        <v>105</v>
      </c>
      <c r="K109" s="41" t="s">
        <v>32</v>
      </c>
      <c r="L109" s="41" t="s">
        <v>31</v>
      </c>
      <c r="M109" s="41" t="s">
        <v>33</v>
      </c>
      <c r="N109" s="41" t="s">
        <v>32</v>
      </c>
      <c r="O109" s="41" t="s">
        <v>30</v>
      </c>
      <c r="Q109" s="17">
        <f t="shared" si="20"/>
        <v>7</v>
      </c>
      <c r="R109" s="17">
        <f t="shared" si="21"/>
        <v>6</v>
      </c>
      <c r="S109" s="17">
        <f t="shared" si="22"/>
        <v>8</v>
      </c>
      <c r="T109" s="17">
        <f t="shared" si="23"/>
        <v>7</v>
      </c>
      <c r="U109" s="17">
        <f t="shared" si="24"/>
        <v>5</v>
      </c>
      <c r="W109" s="7">
        <v>13336</v>
      </c>
      <c r="X109" s="7">
        <v>6872</v>
      </c>
      <c r="Y109" s="7">
        <v>6749</v>
      </c>
      <c r="Z109" s="7">
        <v>21485</v>
      </c>
      <c r="AA109" s="7">
        <v>16027</v>
      </c>
      <c r="AB109" s="13"/>
    </row>
    <row r="110" spans="10:28" ht="15.6" customHeight="1" x14ac:dyDescent="0.3">
      <c r="J110" s="2">
        <v>106</v>
      </c>
      <c r="K110" s="41" t="s">
        <v>33</v>
      </c>
      <c r="L110" s="41" t="s">
        <v>31</v>
      </c>
      <c r="M110" s="41" t="s">
        <v>32</v>
      </c>
      <c r="N110" s="41" t="s">
        <v>28</v>
      </c>
      <c r="O110" s="41" t="s">
        <v>32</v>
      </c>
      <c r="Q110" s="17">
        <f t="shared" si="20"/>
        <v>8</v>
      </c>
      <c r="R110" s="17">
        <f t="shared" si="21"/>
        <v>6</v>
      </c>
      <c r="S110" s="17">
        <f t="shared" si="22"/>
        <v>7</v>
      </c>
      <c r="T110" s="17">
        <f t="shared" si="23"/>
        <v>3</v>
      </c>
      <c r="U110" s="17">
        <f t="shared" si="24"/>
        <v>7</v>
      </c>
      <c r="W110" s="7">
        <v>14777</v>
      </c>
      <c r="X110" s="7">
        <v>8779</v>
      </c>
      <c r="Y110" s="7">
        <v>4262</v>
      </c>
      <c r="Z110" s="7">
        <v>17883</v>
      </c>
      <c r="AA110" s="7">
        <v>17608</v>
      </c>
      <c r="AB110" s="13"/>
    </row>
    <row r="111" spans="10:28" ht="15.6" customHeight="1" x14ac:dyDescent="0.3">
      <c r="J111" s="2">
        <v>107</v>
      </c>
      <c r="K111" s="41" t="s">
        <v>35</v>
      </c>
      <c r="L111" s="41" t="s">
        <v>31</v>
      </c>
      <c r="M111" s="41" t="s">
        <v>32</v>
      </c>
      <c r="N111" s="41" t="s">
        <v>29</v>
      </c>
      <c r="O111" s="41" t="s">
        <v>35</v>
      </c>
      <c r="Q111" s="17">
        <f t="shared" si="20"/>
        <v>10</v>
      </c>
      <c r="R111" s="17">
        <f t="shared" si="21"/>
        <v>6</v>
      </c>
      <c r="S111" s="17">
        <f t="shared" si="22"/>
        <v>7</v>
      </c>
      <c r="T111" s="17">
        <f t="shared" si="23"/>
        <v>4</v>
      </c>
      <c r="U111" s="17">
        <f t="shared" si="24"/>
        <v>10</v>
      </c>
      <c r="W111" s="7">
        <v>18261</v>
      </c>
      <c r="X111" s="7">
        <v>17521</v>
      </c>
      <c r="Y111" s="7">
        <v>4403</v>
      </c>
      <c r="Z111" s="7">
        <v>11487</v>
      </c>
      <c r="AA111" s="7">
        <v>15011</v>
      </c>
      <c r="AB111" s="13"/>
    </row>
    <row r="112" spans="10:28" ht="15.6" customHeight="1" x14ac:dyDescent="0.3">
      <c r="J112" s="2">
        <v>108</v>
      </c>
      <c r="K112" s="41" t="s">
        <v>34</v>
      </c>
      <c r="L112" s="41" t="s">
        <v>28</v>
      </c>
      <c r="M112" s="41" t="s">
        <v>32</v>
      </c>
      <c r="N112" s="41" t="s">
        <v>42</v>
      </c>
      <c r="O112" s="41" t="s">
        <v>32</v>
      </c>
      <c r="Q112" s="17">
        <f t="shared" si="20"/>
        <v>9</v>
      </c>
      <c r="R112" s="17">
        <f t="shared" si="21"/>
        <v>3</v>
      </c>
      <c r="S112" s="17">
        <f t="shared" si="22"/>
        <v>7</v>
      </c>
      <c r="T112" s="17">
        <f t="shared" si="23"/>
        <v>14</v>
      </c>
      <c r="U112" s="17">
        <f t="shared" si="24"/>
        <v>7</v>
      </c>
      <c r="W112" s="7">
        <v>7107</v>
      </c>
      <c r="X112" s="7">
        <v>17151</v>
      </c>
      <c r="Y112" s="7">
        <v>12110</v>
      </c>
      <c r="Z112" s="7">
        <v>16041</v>
      </c>
      <c r="AA112" s="7">
        <v>14334</v>
      </c>
      <c r="AB112" s="13"/>
    </row>
    <row r="113" spans="10:28" ht="15.6" customHeight="1" x14ac:dyDescent="0.3">
      <c r="J113" s="2">
        <v>109</v>
      </c>
      <c r="K113" s="41" t="s">
        <v>32</v>
      </c>
      <c r="L113" s="41" t="s">
        <v>30</v>
      </c>
      <c r="M113" s="41" t="s">
        <v>50</v>
      </c>
      <c r="N113" s="41" t="s">
        <v>33</v>
      </c>
      <c r="O113" s="41" t="s">
        <v>29</v>
      </c>
      <c r="Q113" s="17">
        <f t="shared" si="20"/>
        <v>7</v>
      </c>
      <c r="R113" s="17">
        <f t="shared" si="21"/>
        <v>5</v>
      </c>
      <c r="S113" s="17">
        <f t="shared" si="22"/>
        <v>18</v>
      </c>
      <c r="T113" s="17">
        <f t="shared" si="23"/>
        <v>8</v>
      </c>
      <c r="U113" s="17">
        <f t="shared" si="24"/>
        <v>4</v>
      </c>
      <c r="W113" s="7">
        <v>6696</v>
      </c>
      <c r="X113" s="7">
        <v>18014</v>
      </c>
      <c r="Y113" s="7">
        <v>8647</v>
      </c>
      <c r="Z113" s="7">
        <v>13868</v>
      </c>
      <c r="AA113" s="7">
        <v>14729</v>
      </c>
      <c r="AB113" s="13"/>
    </row>
    <row r="114" spans="10:28" ht="15.6" customHeight="1" x14ac:dyDescent="0.3">
      <c r="J114" s="2">
        <v>110</v>
      </c>
      <c r="K114" s="41" t="s">
        <v>35</v>
      </c>
      <c r="L114" s="41" t="s">
        <v>34</v>
      </c>
      <c r="M114" s="41" t="s">
        <v>30</v>
      </c>
      <c r="N114" s="41" t="s">
        <v>29</v>
      </c>
      <c r="O114" s="41" t="s">
        <v>31</v>
      </c>
      <c r="Q114" s="17">
        <f t="shared" si="20"/>
        <v>10</v>
      </c>
      <c r="R114" s="17">
        <f t="shared" si="21"/>
        <v>9</v>
      </c>
      <c r="S114" s="17">
        <f t="shared" si="22"/>
        <v>5</v>
      </c>
      <c r="T114" s="17">
        <f t="shared" si="23"/>
        <v>4</v>
      </c>
      <c r="U114" s="17">
        <f t="shared" si="24"/>
        <v>6</v>
      </c>
      <c r="W114" s="7">
        <v>7002</v>
      </c>
      <c r="X114" s="7">
        <v>16164</v>
      </c>
      <c r="Y114" s="7">
        <v>9317</v>
      </c>
      <c r="Z114" s="7">
        <v>12729</v>
      </c>
      <c r="AA114" s="7">
        <v>14560</v>
      </c>
      <c r="AB114" s="13"/>
    </row>
    <row r="115" spans="10:28" ht="15.6" customHeight="1" x14ac:dyDescent="0.3">
      <c r="J115" s="2">
        <v>111</v>
      </c>
      <c r="K115" s="41" t="s">
        <v>35</v>
      </c>
      <c r="L115" s="41" t="s">
        <v>31</v>
      </c>
      <c r="M115" s="41" t="s">
        <v>50</v>
      </c>
      <c r="N115" s="41" t="s">
        <v>33</v>
      </c>
      <c r="O115" s="41" t="s">
        <v>33</v>
      </c>
      <c r="Q115" s="17">
        <f t="shared" si="20"/>
        <v>10</v>
      </c>
      <c r="R115" s="17">
        <f t="shared" si="21"/>
        <v>6</v>
      </c>
      <c r="S115" s="17">
        <f t="shared" si="22"/>
        <v>18</v>
      </c>
      <c r="T115" s="17">
        <f t="shared" si="23"/>
        <v>8</v>
      </c>
      <c r="U115" s="17">
        <f t="shared" si="24"/>
        <v>8</v>
      </c>
      <c r="W115" s="7">
        <v>18021</v>
      </c>
      <c r="X115" s="7">
        <v>17151</v>
      </c>
      <c r="Y115" s="7">
        <v>12871</v>
      </c>
      <c r="Z115" s="7">
        <v>5546</v>
      </c>
      <c r="AA115" s="7">
        <v>7900</v>
      </c>
      <c r="AB115" s="13"/>
    </row>
    <row r="116" spans="10:28" ht="15.6" customHeight="1" x14ac:dyDescent="0.3">
      <c r="J116" s="2">
        <v>112</v>
      </c>
      <c r="K116" s="41" t="s">
        <v>28</v>
      </c>
      <c r="L116" s="41" t="s">
        <v>38</v>
      </c>
      <c r="M116" s="41" t="s">
        <v>34</v>
      </c>
      <c r="N116" s="41" t="s">
        <v>30</v>
      </c>
      <c r="O116" s="41" t="s">
        <v>29</v>
      </c>
      <c r="Q116" s="17">
        <f t="shared" si="20"/>
        <v>3</v>
      </c>
      <c r="R116" s="17">
        <f t="shared" si="21"/>
        <v>12</v>
      </c>
      <c r="S116" s="17">
        <f t="shared" si="22"/>
        <v>9</v>
      </c>
      <c r="T116" s="17">
        <f t="shared" si="23"/>
        <v>5</v>
      </c>
      <c r="U116" s="17">
        <f t="shared" si="24"/>
        <v>4</v>
      </c>
      <c r="W116" s="7">
        <v>11713</v>
      </c>
      <c r="X116" s="7">
        <v>18879</v>
      </c>
      <c r="Y116" s="7">
        <v>8378</v>
      </c>
      <c r="Z116" s="7">
        <v>6699</v>
      </c>
      <c r="AA116" s="7">
        <v>2498</v>
      </c>
      <c r="AB116" s="13"/>
    </row>
    <row r="117" spans="10:28" ht="15.6" customHeight="1" x14ac:dyDescent="0.3">
      <c r="J117" s="2">
        <v>113</v>
      </c>
      <c r="K117" s="41" t="s">
        <v>35</v>
      </c>
      <c r="L117" s="41" t="s">
        <v>30</v>
      </c>
      <c r="M117" s="41" t="s">
        <v>44</v>
      </c>
      <c r="N117" s="41" t="s">
        <v>35</v>
      </c>
      <c r="O117" s="41" t="s">
        <v>30</v>
      </c>
      <c r="Q117" s="17">
        <f t="shared" si="20"/>
        <v>10</v>
      </c>
      <c r="R117" s="17">
        <f t="shared" si="21"/>
        <v>5</v>
      </c>
      <c r="S117" s="17">
        <f t="shared" si="22"/>
        <v>15</v>
      </c>
      <c r="T117" s="17">
        <f t="shared" si="23"/>
        <v>10</v>
      </c>
      <c r="U117" s="17">
        <f t="shared" si="24"/>
        <v>5</v>
      </c>
      <c r="W117" s="7">
        <v>12215</v>
      </c>
      <c r="X117" s="7">
        <v>17275</v>
      </c>
      <c r="Y117" s="7">
        <v>8603</v>
      </c>
      <c r="Z117" s="7">
        <v>6866</v>
      </c>
      <c r="AA117" s="7">
        <v>2618</v>
      </c>
      <c r="AB117" s="13"/>
    </row>
    <row r="118" spans="10:28" ht="15.6" customHeight="1" x14ac:dyDescent="0.3">
      <c r="J118" s="2">
        <v>114</v>
      </c>
      <c r="K118" s="41" t="s">
        <v>28</v>
      </c>
      <c r="L118" s="41" t="s">
        <v>34</v>
      </c>
      <c r="M118" s="41" t="s">
        <v>34</v>
      </c>
      <c r="N118" s="41" t="s">
        <v>35</v>
      </c>
      <c r="O118" s="41" t="s">
        <v>29</v>
      </c>
      <c r="Q118" s="17">
        <f t="shared" si="20"/>
        <v>3</v>
      </c>
      <c r="R118" s="17">
        <f t="shared" si="21"/>
        <v>9</v>
      </c>
      <c r="S118" s="17">
        <f t="shared" si="22"/>
        <v>9</v>
      </c>
      <c r="T118" s="17">
        <f t="shared" si="23"/>
        <v>10</v>
      </c>
      <c r="U118" s="17">
        <f t="shared" si="24"/>
        <v>4</v>
      </c>
      <c r="W118" s="7">
        <v>12915</v>
      </c>
      <c r="X118" s="7">
        <v>17151</v>
      </c>
      <c r="Y118" s="7">
        <v>9942</v>
      </c>
      <c r="Z118" s="7">
        <v>16642</v>
      </c>
      <c r="AA118" s="7">
        <v>3023</v>
      </c>
      <c r="AB118" s="13"/>
    </row>
    <row r="119" spans="10:28" ht="15.6" customHeight="1" x14ac:dyDescent="0.3">
      <c r="J119" s="2">
        <v>115</v>
      </c>
      <c r="K119" s="41" t="s">
        <v>33</v>
      </c>
      <c r="L119" s="41" t="s">
        <v>29</v>
      </c>
      <c r="M119" s="41" t="s">
        <v>29</v>
      </c>
      <c r="N119" s="41" t="s">
        <v>44</v>
      </c>
      <c r="O119" s="41" t="s">
        <v>29</v>
      </c>
      <c r="Q119" s="17">
        <f t="shared" si="20"/>
        <v>8</v>
      </c>
      <c r="R119" s="17">
        <f t="shared" si="21"/>
        <v>4</v>
      </c>
      <c r="S119" s="17">
        <f t="shared" si="22"/>
        <v>4</v>
      </c>
      <c r="T119" s="17">
        <f t="shared" si="23"/>
        <v>15</v>
      </c>
      <c r="U119" s="17">
        <f t="shared" si="24"/>
        <v>4</v>
      </c>
      <c r="W119" s="7">
        <v>12715</v>
      </c>
      <c r="X119" s="7">
        <v>13573</v>
      </c>
      <c r="Y119" s="7">
        <v>10277</v>
      </c>
      <c r="Z119" s="7">
        <v>18008</v>
      </c>
      <c r="AA119" s="7">
        <v>2398</v>
      </c>
      <c r="AB119" s="13"/>
    </row>
    <row r="120" spans="10:28" ht="15.6" customHeight="1" x14ac:dyDescent="0.3">
      <c r="J120" s="2">
        <v>116</v>
      </c>
      <c r="K120" s="41" t="s">
        <v>35</v>
      </c>
      <c r="L120" s="41" t="s">
        <v>33</v>
      </c>
      <c r="M120" s="41" t="s">
        <v>30</v>
      </c>
      <c r="N120" s="41" t="s">
        <v>46</v>
      </c>
      <c r="O120" s="41" t="s">
        <v>29</v>
      </c>
      <c r="Q120" s="17">
        <f t="shared" si="20"/>
        <v>10</v>
      </c>
      <c r="R120" s="17">
        <f t="shared" si="21"/>
        <v>8</v>
      </c>
      <c r="S120" s="17">
        <f t="shared" si="22"/>
        <v>5</v>
      </c>
      <c r="T120" s="17">
        <f t="shared" si="23"/>
        <v>16</v>
      </c>
      <c r="U120" s="17">
        <f t="shared" si="24"/>
        <v>4</v>
      </c>
      <c r="W120" s="7">
        <v>12915</v>
      </c>
      <c r="X120" s="7">
        <v>16780</v>
      </c>
      <c r="Y120" s="7">
        <v>12110</v>
      </c>
      <c r="Z120" s="7">
        <v>7450</v>
      </c>
      <c r="AA120" s="7">
        <v>8340</v>
      </c>
      <c r="AB120" s="13"/>
    </row>
    <row r="121" spans="10:28" ht="15.6" customHeight="1" x14ac:dyDescent="0.3">
      <c r="J121" s="2">
        <v>117</v>
      </c>
      <c r="K121" s="41" t="s">
        <v>33</v>
      </c>
      <c r="L121" s="41" t="s">
        <v>42</v>
      </c>
      <c r="M121" s="41" t="s">
        <v>33</v>
      </c>
      <c r="N121" s="41" t="s">
        <v>26</v>
      </c>
      <c r="O121" s="41" t="s">
        <v>33</v>
      </c>
      <c r="Q121" s="17">
        <f t="shared" si="20"/>
        <v>8</v>
      </c>
      <c r="R121" s="17">
        <f t="shared" si="21"/>
        <v>14</v>
      </c>
      <c r="S121" s="17">
        <f t="shared" si="22"/>
        <v>8</v>
      </c>
      <c r="T121" s="17">
        <f t="shared" si="23"/>
        <v>2</v>
      </c>
      <c r="U121" s="17">
        <f t="shared" si="24"/>
        <v>8</v>
      </c>
      <c r="W121" s="7">
        <v>3205</v>
      </c>
      <c r="X121" s="7">
        <v>17397</v>
      </c>
      <c r="Y121" s="7">
        <v>8647</v>
      </c>
      <c r="Z121" s="7">
        <v>7931</v>
      </c>
      <c r="AA121" s="7">
        <v>3749</v>
      </c>
      <c r="AB121" s="13"/>
    </row>
    <row r="122" spans="10:28" ht="15.6" customHeight="1" x14ac:dyDescent="0.3">
      <c r="J122" s="2">
        <v>118</v>
      </c>
      <c r="K122" s="41" t="s">
        <v>29</v>
      </c>
      <c r="L122" s="41" t="s">
        <v>35</v>
      </c>
      <c r="M122" s="41" t="s">
        <v>34</v>
      </c>
      <c r="N122" s="41" t="s">
        <v>42</v>
      </c>
      <c r="O122" s="41" t="s">
        <v>30</v>
      </c>
      <c r="Q122" s="17">
        <f t="shared" si="20"/>
        <v>4</v>
      </c>
      <c r="R122" s="17">
        <f t="shared" si="21"/>
        <v>10</v>
      </c>
      <c r="S122" s="17">
        <f t="shared" si="22"/>
        <v>9</v>
      </c>
      <c r="T122" s="17">
        <f t="shared" si="23"/>
        <v>14</v>
      </c>
      <c r="U122" s="17">
        <f t="shared" si="24"/>
        <v>5</v>
      </c>
      <c r="W122" s="7">
        <v>2558</v>
      </c>
      <c r="X122" s="7">
        <v>16905</v>
      </c>
      <c r="Y122" s="7">
        <v>9317</v>
      </c>
      <c r="Z122" s="7">
        <v>7666</v>
      </c>
      <c r="AA122" s="7">
        <v>2739</v>
      </c>
      <c r="AB122" s="13"/>
    </row>
    <row r="123" spans="10:28" ht="15.6" customHeight="1" x14ac:dyDescent="0.3">
      <c r="J123" s="2">
        <v>119</v>
      </c>
      <c r="K123" s="41" t="s">
        <v>33</v>
      </c>
      <c r="L123" s="41" t="s">
        <v>40</v>
      </c>
      <c r="M123" s="41" t="s">
        <v>29</v>
      </c>
      <c r="N123" s="41" t="s">
        <v>42</v>
      </c>
      <c r="O123" s="41" t="s">
        <v>32</v>
      </c>
      <c r="Q123" s="17">
        <f t="shared" si="20"/>
        <v>8</v>
      </c>
      <c r="R123" s="17">
        <f t="shared" si="21"/>
        <v>13</v>
      </c>
      <c r="S123" s="17">
        <f t="shared" si="22"/>
        <v>4</v>
      </c>
      <c r="T123" s="17">
        <f t="shared" si="23"/>
        <v>14</v>
      </c>
      <c r="U123" s="17">
        <f t="shared" si="24"/>
        <v>7</v>
      </c>
      <c r="W123" s="7">
        <v>1941</v>
      </c>
      <c r="X123" s="7">
        <v>13367</v>
      </c>
      <c r="Y123" s="7">
        <v>6273</v>
      </c>
      <c r="Z123" s="7">
        <v>6699</v>
      </c>
      <c r="AA123" s="7">
        <v>5658</v>
      </c>
      <c r="AB123" s="13"/>
    </row>
    <row r="124" spans="10:28" ht="15.6" customHeight="1" x14ac:dyDescent="0.3">
      <c r="J124" s="2">
        <v>120</v>
      </c>
      <c r="K124" s="41" t="s">
        <v>33</v>
      </c>
      <c r="L124" s="41" t="s">
        <v>34</v>
      </c>
      <c r="M124" s="41" t="s">
        <v>30</v>
      </c>
      <c r="N124" s="41" t="s">
        <v>31</v>
      </c>
      <c r="O124" s="41" t="s">
        <v>32</v>
      </c>
      <c r="Q124" s="17">
        <f t="shared" si="20"/>
        <v>8</v>
      </c>
      <c r="R124" s="17">
        <f t="shared" si="21"/>
        <v>9</v>
      </c>
      <c r="S124" s="17">
        <f t="shared" si="22"/>
        <v>5</v>
      </c>
      <c r="T124" s="17">
        <f t="shared" si="23"/>
        <v>6</v>
      </c>
      <c r="U124" s="17">
        <f t="shared" si="24"/>
        <v>7</v>
      </c>
      <c r="W124" s="7">
        <v>5446</v>
      </c>
      <c r="X124" s="7">
        <v>12956</v>
      </c>
      <c r="Y124" s="7">
        <v>5030</v>
      </c>
      <c r="Z124" s="7">
        <v>13350</v>
      </c>
      <c r="AA124" s="7">
        <v>14222</v>
      </c>
      <c r="AB124" s="13"/>
    </row>
    <row r="125" spans="10:28" ht="15.6" customHeight="1" x14ac:dyDescent="0.3">
      <c r="J125" s="2">
        <v>121</v>
      </c>
      <c r="K125" s="41" t="s">
        <v>32</v>
      </c>
      <c r="L125" s="41" t="s">
        <v>32</v>
      </c>
      <c r="M125" s="41" t="s">
        <v>34</v>
      </c>
      <c r="N125" s="41" t="s">
        <v>34</v>
      </c>
      <c r="O125" s="41" t="s">
        <v>34</v>
      </c>
      <c r="Q125" s="17">
        <f t="shared" si="20"/>
        <v>7</v>
      </c>
      <c r="R125" s="17">
        <f t="shared" si="21"/>
        <v>7</v>
      </c>
      <c r="S125" s="17">
        <f t="shared" si="22"/>
        <v>9</v>
      </c>
      <c r="T125" s="17">
        <f t="shared" si="23"/>
        <v>9</v>
      </c>
      <c r="U125" s="17">
        <f t="shared" si="24"/>
        <v>9</v>
      </c>
      <c r="W125" s="7">
        <v>5206</v>
      </c>
      <c r="X125" s="7">
        <v>13059</v>
      </c>
      <c r="Y125" s="7">
        <v>1331</v>
      </c>
      <c r="Z125" s="7">
        <v>14180</v>
      </c>
      <c r="AA125" s="7">
        <v>4354</v>
      </c>
      <c r="AB125" s="13"/>
    </row>
    <row r="126" spans="10:28" ht="15.6" customHeight="1" x14ac:dyDescent="0.3">
      <c r="J126" s="2">
        <v>122</v>
      </c>
      <c r="K126" s="41" t="s">
        <v>35</v>
      </c>
      <c r="L126" s="41" t="s">
        <v>42</v>
      </c>
      <c r="M126" s="41" t="s">
        <v>34</v>
      </c>
      <c r="N126" s="41" t="s">
        <v>50</v>
      </c>
      <c r="O126" s="41" t="s">
        <v>35</v>
      </c>
      <c r="Q126" s="17">
        <f t="shared" si="20"/>
        <v>10</v>
      </c>
      <c r="R126" s="17">
        <f t="shared" si="21"/>
        <v>14</v>
      </c>
      <c r="S126" s="17">
        <f t="shared" si="22"/>
        <v>9</v>
      </c>
      <c r="T126" s="17">
        <f t="shared" si="23"/>
        <v>18</v>
      </c>
      <c r="U126" s="17">
        <f t="shared" si="24"/>
        <v>10</v>
      </c>
      <c r="W126" s="7">
        <v>2041</v>
      </c>
      <c r="X126" s="7">
        <v>14561</v>
      </c>
      <c r="Y126" s="7">
        <v>1331</v>
      </c>
      <c r="Z126" s="7">
        <v>13868</v>
      </c>
      <c r="AA126" s="7">
        <v>5200</v>
      </c>
      <c r="AB126" s="13"/>
    </row>
    <row r="127" spans="10:28" ht="15.6" customHeight="1" x14ac:dyDescent="0.3">
      <c r="J127" s="2">
        <v>123</v>
      </c>
      <c r="K127" s="41" t="s">
        <v>32</v>
      </c>
      <c r="L127" s="41" t="s">
        <v>32</v>
      </c>
      <c r="M127" s="41" t="s">
        <v>35</v>
      </c>
      <c r="N127" s="41" t="s">
        <v>31</v>
      </c>
      <c r="O127" s="41" t="s">
        <v>32</v>
      </c>
      <c r="Q127" s="17">
        <f t="shared" si="20"/>
        <v>7</v>
      </c>
      <c r="R127" s="17">
        <f t="shared" si="21"/>
        <v>7</v>
      </c>
      <c r="S127" s="17">
        <f t="shared" si="22"/>
        <v>10</v>
      </c>
      <c r="T127" s="17">
        <f t="shared" si="23"/>
        <v>6</v>
      </c>
      <c r="U127" s="17">
        <f t="shared" si="24"/>
        <v>7</v>
      </c>
      <c r="W127" s="7">
        <v>3205</v>
      </c>
      <c r="X127" s="7">
        <v>15547</v>
      </c>
      <c r="Y127" s="7">
        <v>1331</v>
      </c>
      <c r="Z127" s="7">
        <v>16145</v>
      </c>
      <c r="AA127" s="7">
        <v>5442</v>
      </c>
      <c r="AB127" s="13"/>
    </row>
    <row r="128" spans="10:28" ht="15.6" customHeight="1" x14ac:dyDescent="0.3">
      <c r="J128" s="2">
        <v>124</v>
      </c>
      <c r="K128" s="41" t="s">
        <v>30</v>
      </c>
      <c r="L128" s="41" t="s">
        <v>38</v>
      </c>
      <c r="M128" s="41" t="s">
        <v>35</v>
      </c>
      <c r="N128" s="41" t="s">
        <v>34</v>
      </c>
      <c r="O128" s="41" t="s">
        <v>32</v>
      </c>
      <c r="Q128" s="17">
        <f t="shared" si="20"/>
        <v>5</v>
      </c>
      <c r="R128" s="17">
        <f t="shared" si="21"/>
        <v>12</v>
      </c>
      <c r="S128" s="17">
        <f t="shared" si="22"/>
        <v>10</v>
      </c>
      <c r="T128" s="17">
        <f t="shared" si="23"/>
        <v>9</v>
      </c>
      <c r="U128" s="17">
        <f t="shared" si="24"/>
        <v>7</v>
      </c>
      <c r="W128" s="7">
        <v>2558</v>
      </c>
      <c r="X128" s="7">
        <v>16656</v>
      </c>
      <c r="Y128" s="7">
        <v>1331</v>
      </c>
      <c r="Z128" s="7">
        <v>17635</v>
      </c>
      <c r="AA128" s="7">
        <v>13262</v>
      </c>
      <c r="AB128" s="13"/>
    </row>
    <row r="129" spans="10:28" ht="15.6" customHeight="1" x14ac:dyDescent="0.3">
      <c r="J129" s="2">
        <v>125</v>
      </c>
      <c r="K129" s="41" t="s">
        <v>30</v>
      </c>
      <c r="L129" s="41" t="s">
        <v>33</v>
      </c>
      <c r="M129" s="41" t="s">
        <v>35</v>
      </c>
      <c r="N129" s="41" t="s">
        <v>29</v>
      </c>
      <c r="O129" s="41" t="s">
        <v>35</v>
      </c>
      <c r="Q129" s="17">
        <f t="shared" si="20"/>
        <v>5</v>
      </c>
      <c r="R129" s="17">
        <f t="shared" si="21"/>
        <v>8</v>
      </c>
      <c r="S129" s="17">
        <f t="shared" si="22"/>
        <v>10</v>
      </c>
      <c r="T129" s="17">
        <f t="shared" si="23"/>
        <v>4</v>
      </c>
      <c r="U129" s="17">
        <f t="shared" si="24"/>
        <v>10</v>
      </c>
      <c r="W129" s="7">
        <v>4526</v>
      </c>
      <c r="X129" s="7">
        <v>6769</v>
      </c>
      <c r="Y129" s="7">
        <v>1331</v>
      </c>
      <c r="Z129" s="7">
        <v>16041</v>
      </c>
      <c r="AA129" s="7">
        <v>13657</v>
      </c>
      <c r="AB129" s="13"/>
    </row>
    <row r="130" spans="10:28" ht="15.6" customHeight="1" x14ac:dyDescent="0.3">
      <c r="J130" s="2">
        <v>126</v>
      </c>
      <c r="K130" s="41" t="s">
        <v>32</v>
      </c>
      <c r="L130" s="41" t="s">
        <v>28</v>
      </c>
      <c r="M130" s="41" t="s">
        <v>35</v>
      </c>
      <c r="N130" s="41" t="s">
        <v>28</v>
      </c>
      <c r="O130" s="41" t="s">
        <v>33</v>
      </c>
      <c r="Q130" s="17">
        <f t="shared" si="20"/>
        <v>7</v>
      </c>
      <c r="R130" s="17">
        <f t="shared" si="21"/>
        <v>3</v>
      </c>
      <c r="S130" s="17">
        <f t="shared" si="22"/>
        <v>10</v>
      </c>
      <c r="T130" s="17">
        <f t="shared" si="23"/>
        <v>3</v>
      </c>
      <c r="U130" s="17">
        <f t="shared" si="24"/>
        <v>8</v>
      </c>
      <c r="W130" s="7">
        <v>5446</v>
      </c>
      <c r="X130" s="7">
        <v>7401</v>
      </c>
      <c r="Y130" s="7">
        <v>13964</v>
      </c>
      <c r="Z130" s="7">
        <v>5634</v>
      </c>
      <c r="AA130" s="7">
        <v>15236</v>
      </c>
      <c r="AB130" s="13"/>
    </row>
    <row r="131" spans="10:28" ht="15.6" customHeight="1" x14ac:dyDescent="0.3">
      <c r="J131" s="2">
        <v>127</v>
      </c>
      <c r="K131" s="41" t="s">
        <v>29</v>
      </c>
      <c r="L131" s="41" t="s">
        <v>31</v>
      </c>
      <c r="M131" s="41" t="s">
        <v>33</v>
      </c>
      <c r="N131" s="41" t="s">
        <v>33</v>
      </c>
      <c r="O131" s="41" t="s">
        <v>34</v>
      </c>
      <c r="Q131" s="17">
        <f t="shared" si="20"/>
        <v>4</v>
      </c>
      <c r="R131" s="17">
        <f t="shared" si="21"/>
        <v>6</v>
      </c>
      <c r="S131" s="17">
        <f t="shared" si="22"/>
        <v>8</v>
      </c>
      <c r="T131" s="17">
        <f t="shared" si="23"/>
        <v>8</v>
      </c>
      <c r="U131" s="17">
        <f t="shared" si="24"/>
        <v>9</v>
      </c>
      <c r="W131" s="7">
        <v>5206</v>
      </c>
      <c r="X131" s="7">
        <v>5553</v>
      </c>
      <c r="Y131" s="7">
        <v>5697</v>
      </c>
      <c r="Z131" s="7">
        <v>6164</v>
      </c>
      <c r="AA131" s="7">
        <v>13883</v>
      </c>
      <c r="AB131" s="13"/>
    </row>
    <row r="132" spans="10:28" ht="15.6" customHeight="1" x14ac:dyDescent="0.3">
      <c r="J132" s="2">
        <v>128</v>
      </c>
      <c r="K132" s="41" t="s">
        <v>33</v>
      </c>
      <c r="L132" s="41" t="s">
        <v>31</v>
      </c>
      <c r="M132" s="41" t="s">
        <v>35</v>
      </c>
      <c r="N132" s="41" t="s">
        <v>31</v>
      </c>
      <c r="O132" s="41" t="s">
        <v>32</v>
      </c>
      <c r="Q132" s="17">
        <f t="shared" ref="Q132:Q163" si="25">IF(K132="","",VLOOKUP(K132,$A$4:$H$22,8,FALSE))</f>
        <v>8</v>
      </c>
      <c r="R132" s="17">
        <f t="shared" ref="R132:R163" si="26">IF(L132="","",VLOOKUP(L132,$A$4:$H$22,8,FALSE))</f>
        <v>6</v>
      </c>
      <c r="S132" s="17">
        <f t="shared" ref="S132:S163" si="27">IF(M132="","",VLOOKUP(M132,$A$4:$H$22,8,FALSE))</f>
        <v>10</v>
      </c>
      <c r="T132" s="17">
        <f t="shared" ref="T132:T163" si="28">IF(N132="","",VLOOKUP(N132,$A$4:$H$22,8,FALSE))</f>
        <v>6</v>
      </c>
      <c r="U132" s="17">
        <f t="shared" ref="U132:U163" si="29">IF(O132="","",VLOOKUP(O132,$A$4:$H$22,8,FALSE))</f>
        <v>7</v>
      </c>
      <c r="W132" s="7">
        <v>4766</v>
      </c>
      <c r="X132" s="7">
        <v>2990</v>
      </c>
      <c r="Y132" s="7">
        <v>6722</v>
      </c>
      <c r="Z132" s="7">
        <v>5457</v>
      </c>
      <c r="AA132" s="7">
        <v>14785</v>
      </c>
      <c r="AB132" s="13"/>
    </row>
    <row r="133" spans="10:28" ht="15.6" customHeight="1" x14ac:dyDescent="0.3">
      <c r="J133" s="2">
        <v>129</v>
      </c>
      <c r="K133" s="41" t="s">
        <v>30</v>
      </c>
      <c r="L133" s="41" t="s">
        <v>31</v>
      </c>
      <c r="M133" s="41" t="s">
        <v>48</v>
      </c>
      <c r="N133" s="41" t="s">
        <v>31</v>
      </c>
      <c r="O133" s="41" t="s">
        <v>33</v>
      </c>
      <c r="Q133" s="17">
        <f t="shared" si="25"/>
        <v>5</v>
      </c>
      <c r="R133" s="17">
        <f t="shared" si="26"/>
        <v>6</v>
      </c>
      <c r="S133" s="17">
        <f t="shared" si="27"/>
        <v>17</v>
      </c>
      <c r="T133" s="17">
        <f t="shared" si="28"/>
        <v>6</v>
      </c>
      <c r="U133" s="17">
        <f t="shared" si="29"/>
        <v>8</v>
      </c>
      <c r="W133" s="7">
        <v>7478</v>
      </c>
      <c r="X133" s="7">
        <v>3980</v>
      </c>
      <c r="Y133" s="7">
        <v>7755</v>
      </c>
      <c r="Z133" s="7">
        <v>14903</v>
      </c>
      <c r="AA133" s="7">
        <v>6383</v>
      </c>
      <c r="AB133" s="13"/>
    </row>
    <row r="134" spans="10:28" ht="15.6" customHeight="1" x14ac:dyDescent="0.3">
      <c r="J134" s="2">
        <v>130</v>
      </c>
      <c r="K134" s="41" t="s">
        <v>35</v>
      </c>
      <c r="L134" s="41" t="s">
        <v>32</v>
      </c>
      <c r="M134" s="41" t="s">
        <v>34</v>
      </c>
      <c r="N134" s="41" t="s">
        <v>30</v>
      </c>
      <c r="O134" s="41" t="s">
        <v>35</v>
      </c>
      <c r="Q134" s="17">
        <f t="shared" si="25"/>
        <v>10</v>
      </c>
      <c r="R134" s="17">
        <f t="shared" si="26"/>
        <v>7</v>
      </c>
      <c r="S134" s="17">
        <f t="shared" si="27"/>
        <v>9</v>
      </c>
      <c r="T134" s="17">
        <f t="shared" si="28"/>
        <v>5</v>
      </c>
      <c r="U134" s="17">
        <f t="shared" si="29"/>
        <v>10</v>
      </c>
      <c r="W134" s="7">
        <v>5966</v>
      </c>
      <c r="X134" s="7">
        <v>3083</v>
      </c>
      <c r="Y134" s="7">
        <v>12625</v>
      </c>
      <c r="Z134" s="7">
        <v>15897</v>
      </c>
      <c r="AA134" s="7">
        <v>5279</v>
      </c>
      <c r="AB134" s="13"/>
    </row>
    <row r="135" spans="10:28" ht="15.6" customHeight="1" x14ac:dyDescent="0.3">
      <c r="J135" s="2">
        <v>131</v>
      </c>
      <c r="K135" s="41" t="s">
        <v>32</v>
      </c>
      <c r="L135" s="41" t="s">
        <v>29</v>
      </c>
      <c r="M135" s="41" t="s">
        <v>32</v>
      </c>
      <c r="N135" s="41" t="s">
        <v>34</v>
      </c>
      <c r="O135" s="41" t="s">
        <v>29</v>
      </c>
      <c r="Q135" s="17">
        <f t="shared" si="25"/>
        <v>7</v>
      </c>
      <c r="R135" s="17">
        <f t="shared" si="26"/>
        <v>4</v>
      </c>
      <c r="S135" s="17">
        <f t="shared" si="27"/>
        <v>7</v>
      </c>
      <c r="T135" s="17">
        <f t="shared" si="28"/>
        <v>9</v>
      </c>
      <c r="U135" s="17">
        <f t="shared" si="29"/>
        <v>4</v>
      </c>
      <c r="W135" s="7">
        <v>4526</v>
      </c>
      <c r="X135" s="7">
        <v>2951</v>
      </c>
      <c r="Y135" s="7">
        <v>14914</v>
      </c>
      <c r="Z135" s="7">
        <v>18008</v>
      </c>
      <c r="AA135" s="7">
        <v>5200</v>
      </c>
      <c r="AB135" s="13"/>
    </row>
    <row r="136" spans="10:28" ht="15.6" customHeight="1" x14ac:dyDescent="0.3">
      <c r="J136" s="2">
        <v>132</v>
      </c>
      <c r="K136" s="41" t="s">
        <v>35</v>
      </c>
      <c r="L136" s="41" t="s">
        <v>29</v>
      </c>
      <c r="M136" s="41" t="s">
        <v>30</v>
      </c>
      <c r="N136" s="41" t="s">
        <v>35</v>
      </c>
      <c r="O136" s="41" t="s">
        <v>29</v>
      </c>
      <c r="Q136" s="17">
        <f t="shared" si="25"/>
        <v>10</v>
      </c>
      <c r="R136" s="17">
        <f t="shared" si="26"/>
        <v>4</v>
      </c>
      <c r="S136" s="17">
        <f t="shared" si="27"/>
        <v>5</v>
      </c>
      <c r="T136" s="17">
        <f t="shared" si="28"/>
        <v>10</v>
      </c>
      <c r="U136" s="17">
        <f t="shared" si="29"/>
        <v>4</v>
      </c>
      <c r="W136" s="7">
        <v>2332</v>
      </c>
      <c r="X136" s="7">
        <v>3083</v>
      </c>
      <c r="Y136" s="7">
        <v>3521</v>
      </c>
      <c r="Z136" s="7">
        <v>17883</v>
      </c>
      <c r="AA136" s="7">
        <v>5605</v>
      </c>
      <c r="AB136" s="13"/>
    </row>
    <row r="137" spans="10:28" ht="15.6" customHeight="1" x14ac:dyDescent="0.3">
      <c r="J137" s="2">
        <v>133</v>
      </c>
      <c r="K137" s="41" t="s">
        <v>33</v>
      </c>
      <c r="L137" s="41" t="s">
        <v>46</v>
      </c>
      <c r="M137" s="41" t="s">
        <v>48</v>
      </c>
      <c r="N137" s="41" t="s">
        <v>48</v>
      </c>
      <c r="O137" s="41" t="s">
        <v>29</v>
      </c>
      <c r="Q137" s="17">
        <f t="shared" si="25"/>
        <v>8</v>
      </c>
      <c r="R137" s="17">
        <f t="shared" si="26"/>
        <v>16</v>
      </c>
      <c r="S137" s="17">
        <f t="shared" si="27"/>
        <v>17</v>
      </c>
      <c r="T137" s="17">
        <f t="shared" si="28"/>
        <v>17</v>
      </c>
      <c r="U137" s="17">
        <f t="shared" si="29"/>
        <v>4</v>
      </c>
      <c r="W137" s="7">
        <v>2232</v>
      </c>
      <c r="X137" s="7">
        <v>4504</v>
      </c>
      <c r="Y137" s="7">
        <v>3937</v>
      </c>
      <c r="Z137" s="7">
        <v>18381</v>
      </c>
      <c r="AA137" s="7">
        <v>12979</v>
      </c>
      <c r="AB137" s="13"/>
    </row>
    <row r="138" spans="10:28" ht="15.6" customHeight="1" x14ac:dyDescent="0.3">
      <c r="J138" s="2">
        <v>134</v>
      </c>
      <c r="K138" s="41" t="s">
        <v>35</v>
      </c>
      <c r="L138" s="41" t="s">
        <v>42</v>
      </c>
      <c r="M138" s="41" t="s">
        <v>35</v>
      </c>
      <c r="N138" s="41" t="s">
        <v>32</v>
      </c>
      <c r="O138" s="41" t="s">
        <v>34</v>
      </c>
      <c r="Q138" s="17">
        <f t="shared" si="25"/>
        <v>10</v>
      </c>
      <c r="R138" s="17">
        <f t="shared" si="26"/>
        <v>14</v>
      </c>
      <c r="S138" s="17">
        <f t="shared" si="27"/>
        <v>10</v>
      </c>
      <c r="T138" s="17">
        <f t="shared" si="28"/>
        <v>7</v>
      </c>
      <c r="U138" s="17">
        <f t="shared" si="29"/>
        <v>9</v>
      </c>
      <c r="W138" s="7">
        <v>2041</v>
      </c>
      <c r="X138" s="7">
        <v>3759</v>
      </c>
      <c r="Y138" s="7">
        <v>5153</v>
      </c>
      <c r="Z138" s="7">
        <v>14903</v>
      </c>
      <c r="AA138" s="7">
        <v>15689</v>
      </c>
      <c r="AB138" s="13"/>
    </row>
    <row r="139" spans="10:28" ht="15.6" customHeight="1" x14ac:dyDescent="0.3">
      <c r="J139" s="2">
        <v>135</v>
      </c>
      <c r="K139" s="41" t="s">
        <v>35</v>
      </c>
      <c r="L139" s="41" t="s">
        <v>42</v>
      </c>
      <c r="M139" s="41" t="s">
        <v>35</v>
      </c>
      <c r="N139" s="41" t="s">
        <v>48</v>
      </c>
      <c r="O139" s="41" t="s">
        <v>28</v>
      </c>
      <c r="Q139" s="17">
        <f t="shared" si="25"/>
        <v>10</v>
      </c>
      <c r="R139" s="17">
        <f t="shared" si="26"/>
        <v>14</v>
      </c>
      <c r="S139" s="17">
        <f t="shared" si="27"/>
        <v>10</v>
      </c>
      <c r="T139" s="17">
        <f t="shared" si="28"/>
        <v>17</v>
      </c>
      <c r="U139" s="17">
        <f t="shared" si="29"/>
        <v>3</v>
      </c>
      <c r="W139" s="7">
        <v>16099</v>
      </c>
      <c r="X139" s="7">
        <v>2995</v>
      </c>
      <c r="Y139" s="7">
        <v>3960</v>
      </c>
      <c r="Z139" s="7">
        <v>16766</v>
      </c>
      <c r="AA139" s="7">
        <v>16253</v>
      </c>
      <c r="AB139" s="13"/>
    </row>
    <row r="140" spans="10:28" ht="15.6" customHeight="1" x14ac:dyDescent="0.3">
      <c r="J140" s="2">
        <v>136</v>
      </c>
      <c r="K140" s="41" t="s">
        <v>28</v>
      </c>
      <c r="L140" s="41" t="s">
        <v>32</v>
      </c>
      <c r="M140" s="41" t="s">
        <v>35</v>
      </c>
      <c r="N140" s="41" t="s">
        <v>33</v>
      </c>
      <c r="O140" s="41" t="s">
        <v>33</v>
      </c>
      <c r="Q140" s="17">
        <f t="shared" si="25"/>
        <v>3</v>
      </c>
      <c r="R140" s="17">
        <f t="shared" si="26"/>
        <v>7</v>
      </c>
      <c r="S140" s="17">
        <f t="shared" si="27"/>
        <v>10</v>
      </c>
      <c r="T140" s="17">
        <f t="shared" si="28"/>
        <v>8</v>
      </c>
      <c r="U140" s="17">
        <f t="shared" si="29"/>
        <v>8</v>
      </c>
      <c r="W140" s="7">
        <v>17060</v>
      </c>
      <c r="X140" s="7">
        <v>2990</v>
      </c>
      <c r="Y140" s="7">
        <v>3685</v>
      </c>
      <c r="Z140" s="7">
        <v>15151</v>
      </c>
      <c r="AA140" s="7">
        <v>15802</v>
      </c>
      <c r="AB140" s="13"/>
    </row>
    <row r="141" spans="10:28" ht="15.6" customHeight="1" x14ac:dyDescent="0.3">
      <c r="J141" s="2">
        <v>137</v>
      </c>
      <c r="K141" s="41" t="s">
        <v>33</v>
      </c>
      <c r="L141" s="41" t="s">
        <v>32</v>
      </c>
      <c r="M141" s="41" t="s">
        <v>35</v>
      </c>
      <c r="N141" s="41" t="s">
        <v>29</v>
      </c>
      <c r="O141" s="41" t="s">
        <v>26</v>
      </c>
      <c r="Q141" s="17">
        <f t="shared" si="25"/>
        <v>8</v>
      </c>
      <c r="R141" s="17">
        <f t="shared" si="26"/>
        <v>7</v>
      </c>
      <c r="S141" s="17">
        <f t="shared" si="27"/>
        <v>10</v>
      </c>
      <c r="T141" s="17">
        <f t="shared" si="28"/>
        <v>4</v>
      </c>
      <c r="U141" s="17">
        <f t="shared" si="29"/>
        <v>2</v>
      </c>
      <c r="W141" s="7">
        <v>11713</v>
      </c>
      <c r="X141" s="7">
        <v>3980</v>
      </c>
      <c r="Y141" s="7">
        <v>1837</v>
      </c>
      <c r="Z141" s="7">
        <v>7666</v>
      </c>
      <c r="AA141" s="7">
        <v>12885</v>
      </c>
      <c r="AB141" s="13"/>
    </row>
    <row r="142" spans="10:28" ht="15.6" customHeight="1" x14ac:dyDescent="0.3">
      <c r="J142" s="2">
        <v>138</v>
      </c>
      <c r="K142" s="41" t="s">
        <v>35</v>
      </c>
      <c r="L142" s="41" t="s">
        <v>32</v>
      </c>
      <c r="M142" s="41" t="s">
        <v>34</v>
      </c>
      <c r="N142" s="41" t="s">
        <v>33</v>
      </c>
      <c r="O142" s="41" t="s">
        <v>28</v>
      </c>
      <c r="Q142" s="17">
        <f t="shared" si="25"/>
        <v>10</v>
      </c>
      <c r="R142" s="17">
        <f t="shared" si="26"/>
        <v>7</v>
      </c>
      <c r="S142" s="17">
        <f t="shared" si="27"/>
        <v>9</v>
      </c>
      <c r="T142" s="17">
        <f t="shared" si="28"/>
        <v>8</v>
      </c>
      <c r="U142" s="17">
        <f t="shared" si="29"/>
        <v>3</v>
      </c>
      <c r="W142" s="7">
        <v>12215</v>
      </c>
      <c r="X142" s="7">
        <v>5774</v>
      </c>
      <c r="Y142" s="7">
        <v>1837</v>
      </c>
      <c r="Z142" s="7">
        <v>7131</v>
      </c>
      <c r="AA142" s="7">
        <v>4916</v>
      </c>
      <c r="AB142" s="13"/>
    </row>
    <row r="143" spans="10:28" ht="15.6" customHeight="1" x14ac:dyDescent="0.3">
      <c r="J143" s="2">
        <v>139</v>
      </c>
      <c r="K143" s="41" t="s">
        <v>28</v>
      </c>
      <c r="L143" s="41" t="s">
        <v>32</v>
      </c>
      <c r="M143" s="41" t="s">
        <v>28</v>
      </c>
      <c r="N143" s="41" t="s">
        <v>34</v>
      </c>
      <c r="O143" s="41" t="s">
        <v>35</v>
      </c>
      <c r="Q143" s="17">
        <f t="shared" si="25"/>
        <v>3</v>
      </c>
      <c r="R143" s="17">
        <f t="shared" si="26"/>
        <v>7</v>
      </c>
      <c r="S143" s="17">
        <f t="shared" si="27"/>
        <v>3</v>
      </c>
      <c r="T143" s="17">
        <f t="shared" si="28"/>
        <v>9</v>
      </c>
      <c r="U143" s="17">
        <f t="shared" si="29"/>
        <v>10</v>
      </c>
      <c r="W143" s="7">
        <v>10812</v>
      </c>
      <c r="X143" s="7">
        <v>14499</v>
      </c>
      <c r="Y143" s="7">
        <v>1837</v>
      </c>
      <c r="Z143" s="7">
        <v>6174</v>
      </c>
      <c r="AA143" s="7">
        <v>5484</v>
      </c>
      <c r="AB143" s="13"/>
    </row>
    <row r="144" spans="10:28" ht="15.6" customHeight="1" x14ac:dyDescent="0.3">
      <c r="J144" s="2">
        <v>140</v>
      </c>
      <c r="K144" s="41" t="s">
        <v>29</v>
      </c>
      <c r="L144" s="41" t="s">
        <v>38</v>
      </c>
      <c r="M144" s="41" t="s">
        <v>35</v>
      </c>
      <c r="N144" s="41" t="s">
        <v>34</v>
      </c>
      <c r="O144" s="41" t="s">
        <v>34</v>
      </c>
      <c r="Q144" s="17">
        <f t="shared" si="25"/>
        <v>4</v>
      </c>
      <c r="R144" s="17">
        <f t="shared" si="26"/>
        <v>12</v>
      </c>
      <c r="S144" s="17">
        <f t="shared" si="27"/>
        <v>10</v>
      </c>
      <c r="T144" s="17">
        <f t="shared" si="28"/>
        <v>9</v>
      </c>
      <c r="U144" s="17">
        <f t="shared" si="29"/>
        <v>9</v>
      </c>
      <c r="W144" s="7">
        <v>17540</v>
      </c>
      <c r="X144" s="7">
        <v>16411</v>
      </c>
      <c r="Y144" s="7">
        <v>1837</v>
      </c>
      <c r="Z144" s="7">
        <v>17263</v>
      </c>
      <c r="AA144" s="7">
        <v>5468</v>
      </c>
      <c r="AB144" s="13"/>
    </row>
    <row r="145" spans="10:28" ht="15.6" customHeight="1" x14ac:dyDescent="0.3">
      <c r="J145" s="2">
        <v>141</v>
      </c>
      <c r="K145" s="41" t="s">
        <v>30</v>
      </c>
      <c r="L145" s="41" t="s">
        <v>32</v>
      </c>
      <c r="M145" s="41" t="s">
        <v>34</v>
      </c>
      <c r="N145" s="41" t="s">
        <v>38</v>
      </c>
      <c r="O145" s="41" t="s">
        <v>34</v>
      </c>
      <c r="Q145" s="17">
        <f t="shared" si="25"/>
        <v>5</v>
      </c>
      <c r="R145" s="17">
        <f t="shared" si="26"/>
        <v>7</v>
      </c>
      <c r="S145" s="17">
        <f t="shared" si="27"/>
        <v>9</v>
      </c>
      <c r="T145" s="17">
        <f t="shared" si="28"/>
        <v>12</v>
      </c>
      <c r="U145" s="17">
        <f t="shared" si="29"/>
        <v>9</v>
      </c>
      <c r="W145" s="7">
        <v>16099</v>
      </c>
      <c r="X145" s="7">
        <v>6293</v>
      </c>
      <c r="Y145" s="7">
        <v>786</v>
      </c>
      <c r="Z145" s="7">
        <v>15771</v>
      </c>
      <c r="AA145" s="7">
        <v>5468</v>
      </c>
      <c r="AB145" s="13"/>
    </row>
    <row r="146" spans="10:28" ht="15.6" customHeight="1" x14ac:dyDescent="0.3">
      <c r="J146" s="2">
        <v>142</v>
      </c>
      <c r="K146" s="41" t="s">
        <v>35</v>
      </c>
      <c r="L146" s="41" t="s">
        <v>28</v>
      </c>
      <c r="M146" s="41" t="s">
        <v>35</v>
      </c>
      <c r="N146" s="41" t="s">
        <v>35</v>
      </c>
      <c r="O146" s="41" t="s">
        <v>34</v>
      </c>
      <c r="Q146" s="17">
        <f t="shared" si="25"/>
        <v>10</v>
      </c>
      <c r="R146" s="17">
        <f t="shared" si="26"/>
        <v>3</v>
      </c>
      <c r="S146" s="17">
        <f t="shared" si="27"/>
        <v>10</v>
      </c>
      <c r="T146" s="17">
        <f t="shared" si="28"/>
        <v>10</v>
      </c>
      <c r="U146" s="17">
        <f t="shared" si="29"/>
        <v>9</v>
      </c>
      <c r="W146" s="7">
        <v>15860</v>
      </c>
      <c r="X146" s="7">
        <v>4491</v>
      </c>
      <c r="Y146" s="7">
        <v>786</v>
      </c>
      <c r="Z146" s="7">
        <v>15213</v>
      </c>
      <c r="AA146" s="7">
        <v>13995</v>
      </c>
      <c r="AB146" s="13"/>
    </row>
    <row r="147" spans="10:28" ht="15.6" customHeight="1" x14ac:dyDescent="0.3">
      <c r="J147" s="2">
        <v>143</v>
      </c>
      <c r="K147" s="41" t="s">
        <v>29</v>
      </c>
      <c r="L147" s="41" t="s">
        <v>29</v>
      </c>
      <c r="M147" s="41" t="s">
        <v>34</v>
      </c>
      <c r="N147" s="41" t="s">
        <v>31</v>
      </c>
      <c r="O147" s="41" t="s">
        <v>33</v>
      </c>
      <c r="Q147" s="17">
        <f t="shared" si="25"/>
        <v>4</v>
      </c>
      <c r="R147" s="17">
        <f t="shared" si="26"/>
        <v>4</v>
      </c>
      <c r="S147" s="17">
        <f t="shared" si="27"/>
        <v>9</v>
      </c>
      <c r="T147" s="17">
        <f t="shared" si="28"/>
        <v>6</v>
      </c>
      <c r="U147" s="17">
        <f t="shared" si="29"/>
        <v>8</v>
      </c>
      <c r="W147" s="7">
        <v>15499</v>
      </c>
      <c r="X147" s="7">
        <v>6975</v>
      </c>
      <c r="Y147" s="7">
        <v>786</v>
      </c>
      <c r="Z147" s="7">
        <v>13454</v>
      </c>
      <c r="AA147" s="7">
        <v>13883</v>
      </c>
      <c r="AB147" s="13"/>
    </row>
    <row r="148" spans="10:28" ht="15.6" customHeight="1" x14ac:dyDescent="0.3">
      <c r="J148" s="2">
        <v>144</v>
      </c>
      <c r="K148" s="41" t="s">
        <v>32</v>
      </c>
      <c r="L148" s="41" t="s">
        <v>32</v>
      </c>
      <c r="M148" s="41" t="s">
        <v>34</v>
      </c>
      <c r="N148" s="41" t="s">
        <v>46</v>
      </c>
      <c r="O148" s="41" t="s">
        <v>34</v>
      </c>
      <c r="Q148" s="17">
        <f t="shared" si="25"/>
        <v>7</v>
      </c>
      <c r="R148" s="17">
        <f t="shared" si="26"/>
        <v>7</v>
      </c>
      <c r="S148" s="17">
        <f t="shared" si="27"/>
        <v>9</v>
      </c>
      <c r="T148" s="17">
        <f t="shared" si="28"/>
        <v>16</v>
      </c>
      <c r="U148" s="17">
        <f t="shared" si="29"/>
        <v>9</v>
      </c>
      <c r="W148" s="7">
        <v>5708</v>
      </c>
      <c r="X148" s="7">
        <v>4764</v>
      </c>
      <c r="Y148" s="7">
        <v>786</v>
      </c>
      <c r="Z148" s="7">
        <v>12419</v>
      </c>
      <c r="AA148" s="7">
        <v>13262</v>
      </c>
      <c r="AB148" s="13"/>
    </row>
    <row r="149" spans="10:28" ht="15.6" customHeight="1" x14ac:dyDescent="0.3">
      <c r="J149" s="2">
        <v>145</v>
      </c>
      <c r="K149" s="41" t="s">
        <v>31</v>
      </c>
      <c r="L149" s="41" t="s">
        <v>29</v>
      </c>
      <c r="M149" s="41" t="s">
        <v>34</v>
      </c>
      <c r="N149" s="41" t="s">
        <v>29</v>
      </c>
      <c r="O149" s="41" t="s">
        <v>32</v>
      </c>
      <c r="Q149" s="17">
        <f t="shared" si="25"/>
        <v>6</v>
      </c>
      <c r="R149" s="17">
        <f t="shared" si="26"/>
        <v>4</v>
      </c>
      <c r="S149" s="17">
        <f t="shared" si="27"/>
        <v>9</v>
      </c>
      <c r="T149" s="17">
        <f t="shared" si="28"/>
        <v>4</v>
      </c>
      <c r="U149" s="17">
        <f t="shared" si="29"/>
        <v>7</v>
      </c>
      <c r="W149" s="7">
        <v>5919</v>
      </c>
      <c r="X149" s="7">
        <v>6293</v>
      </c>
      <c r="Y149" s="7">
        <v>786</v>
      </c>
      <c r="Z149" s="7">
        <v>15523</v>
      </c>
      <c r="AA149" s="7">
        <v>13638</v>
      </c>
      <c r="AB149" s="13"/>
    </row>
    <row r="150" spans="10:28" ht="15.6" customHeight="1" x14ac:dyDescent="0.3">
      <c r="J150" s="2">
        <v>146</v>
      </c>
      <c r="K150" s="41" t="s">
        <v>30</v>
      </c>
      <c r="L150" s="41" t="s">
        <v>31</v>
      </c>
      <c r="M150" s="41" t="s">
        <v>34</v>
      </c>
      <c r="N150" s="41" t="s">
        <v>32</v>
      </c>
      <c r="O150" s="41" t="s">
        <v>35</v>
      </c>
      <c r="Q150" s="17">
        <f t="shared" si="25"/>
        <v>5</v>
      </c>
      <c r="R150" s="17">
        <f t="shared" si="26"/>
        <v>6</v>
      </c>
      <c r="S150" s="17">
        <f t="shared" si="27"/>
        <v>9</v>
      </c>
      <c r="T150" s="17">
        <f t="shared" si="28"/>
        <v>7</v>
      </c>
      <c r="U150" s="17">
        <f t="shared" si="29"/>
        <v>10</v>
      </c>
      <c r="W150" s="7">
        <v>5919</v>
      </c>
      <c r="X150" s="7">
        <v>4491</v>
      </c>
      <c r="Y150" s="7">
        <v>4262</v>
      </c>
      <c r="Z150" s="7">
        <v>14035</v>
      </c>
      <c r="AA150" s="7">
        <v>5502</v>
      </c>
      <c r="AB150" s="13"/>
    </row>
    <row r="151" spans="10:28" ht="15.6" customHeight="1" x14ac:dyDescent="0.3">
      <c r="J151" s="2">
        <v>147</v>
      </c>
      <c r="K151" s="41" t="s">
        <v>30</v>
      </c>
      <c r="L151" s="41" t="s">
        <v>29</v>
      </c>
      <c r="M151" s="41" t="s">
        <v>35</v>
      </c>
      <c r="N151" s="41" t="s">
        <v>31</v>
      </c>
      <c r="O151" s="41" t="s">
        <v>30</v>
      </c>
      <c r="Q151" s="17">
        <f t="shared" si="25"/>
        <v>5</v>
      </c>
      <c r="R151" s="17">
        <f t="shared" si="26"/>
        <v>4</v>
      </c>
      <c r="S151" s="17">
        <f t="shared" si="27"/>
        <v>10</v>
      </c>
      <c r="T151" s="17">
        <f t="shared" si="28"/>
        <v>6</v>
      </c>
      <c r="U151" s="17">
        <f t="shared" si="29"/>
        <v>5</v>
      </c>
      <c r="W151" s="7">
        <v>5457</v>
      </c>
      <c r="X151" s="7">
        <v>6975</v>
      </c>
      <c r="Y151" s="7">
        <v>4403</v>
      </c>
      <c r="Z151" s="7">
        <v>17511</v>
      </c>
      <c r="AA151" s="7">
        <v>6537</v>
      </c>
      <c r="AB151" s="13"/>
    </row>
    <row r="152" spans="10:28" ht="15.6" customHeight="1" x14ac:dyDescent="0.3">
      <c r="J152" s="2">
        <v>148</v>
      </c>
      <c r="K152" s="41" t="s">
        <v>34</v>
      </c>
      <c r="L152" s="41" t="s">
        <v>32</v>
      </c>
      <c r="M152" s="41" t="s">
        <v>33</v>
      </c>
      <c r="N152" s="41" t="s">
        <v>30</v>
      </c>
      <c r="O152" s="41" t="s">
        <v>31</v>
      </c>
      <c r="Q152" s="17">
        <f t="shared" si="25"/>
        <v>9</v>
      </c>
      <c r="R152" s="17">
        <f t="shared" si="26"/>
        <v>7</v>
      </c>
      <c r="S152" s="17">
        <f t="shared" si="27"/>
        <v>8</v>
      </c>
      <c r="T152" s="17">
        <f t="shared" si="28"/>
        <v>5</v>
      </c>
      <c r="U152" s="17">
        <f t="shared" si="29"/>
        <v>6</v>
      </c>
      <c r="W152" s="7">
        <v>6310</v>
      </c>
      <c r="X152" s="7">
        <v>4764</v>
      </c>
      <c r="Y152" s="7">
        <v>7238</v>
      </c>
      <c r="Z152" s="7">
        <v>19125</v>
      </c>
      <c r="AA152" s="7">
        <v>6020</v>
      </c>
      <c r="AB152" s="13"/>
    </row>
    <row r="153" spans="10:28" ht="15.6" customHeight="1" x14ac:dyDescent="0.3">
      <c r="J153" s="2">
        <v>149</v>
      </c>
      <c r="K153" s="41" t="s">
        <v>34</v>
      </c>
      <c r="L153" s="41" t="s">
        <v>29</v>
      </c>
      <c r="M153" s="41" t="s">
        <v>33</v>
      </c>
      <c r="N153" s="41" t="s">
        <v>34</v>
      </c>
      <c r="O153" s="41" t="s">
        <v>30</v>
      </c>
      <c r="Q153" s="17">
        <f t="shared" si="25"/>
        <v>9</v>
      </c>
      <c r="R153" s="17">
        <f t="shared" si="26"/>
        <v>4</v>
      </c>
      <c r="S153" s="17">
        <f t="shared" si="27"/>
        <v>8</v>
      </c>
      <c r="T153" s="17">
        <f t="shared" si="28"/>
        <v>9</v>
      </c>
      <c r="U153" s="17">
        <f t="shared" si="29"/>
        <v>5</v>
      </c>
      <c r="W153" s="7">
        <v>13116</v>
      </c>
      <c r="X153" s="7">
        <v>2696</v>
      </c>
      <c r="Y153" s="7">
        <v>19842</v>
      </c>
      <c r="Z153" s="7">
        <v>6174</v>
      </c>
      <c r="AA153" s="7">
        <v>6490</v>
      </c>
      <c r="AB153" s="13"/>
    </row>
    <row r="154" spans="10:28" ht="15.6" customHeight="1" x14ac:dyDescent="0.3">
      <c r="J154" s="2">
        <v>150</v>
      </c>
      <c r="K154" s="41" t="s">
        <v>33</v>
      </c>
      <c r="L154" s="41" t="s">
        <v>31</v>
      </c>
      <c r="M154" s="41" t="s">
        <v>35</v>
      </c>
      <c r="N154" s="41" t="s">
        <v>31</v>
      </c>
      <c r="O154" s="41" t="s">
        <v>34</v>
      </c>
      <c r="Q154" s="17">
        <f t="shared" si="25"/>
        <v>8</v>
      </c>
      <c r="R154" s="17">
        <f t="shared" si="26"/>
        <v>6</v>
      </c>
      <c r="S154" s="17">
        <f t="shared" si="27"/>
        <v>10</v>
      </c>
      <c r="T154" s="17">
        <f t="shared" si="28"/>
        <v>6</v>
      </c>
      <c r="U154" s="17">
        <f t="shared" si="29"/>
        <v>9</v>
      </c>
      <c r="W154" s="7">
        <v>14016</v>
      </c>
      <c r="X154" s="7">
        <v>6612</v>
      </c>
      <c r="Y154" s="7">
        <v>20914</v>
      </c>
      <c r="Z154" s="7">
        <v>7612</v>
      </c>
      <c r="AA154" s="7">
        <v>6725</v>
      </c>
      <c r="AB154" s="13"/>
    </row>
    <row r="155" spans="10:28" ht="15.6" customHeight="1" x14ac:dyDescent="0.3">
      <c r="J155" s="2">
        <v>151</v>
      </c>
      <c r="K155" s="41" t="s">
        <v>32</v>
      </c>
      <c r="L155" s="41" t="s">
        <v>35</v>
      </c>
      <c r="M155" s="41" t="s">
        <v>28</v>
      </c>
      <c r="N155" s="41" t="s">
        <v>33</v>
      </c>
      <c r="O155" s="41" t="s">
        <v>35</v>
      </c>
      <c r="Q155" s="17">
        <f t="shared" si="25"/>
        <v>7</v>
      </c>
      <c r="R155" s="17">
        <f t="shared" si="26"/>
        <v>10</v>
      </c>
      <c r="S155" s="17">
        <f t="shared" si="27"/>
        <v>3</v>
      </c>
      <c r="T155" s="17">
        <f t="shared" si="28"/>
        <v>8</v>
      </c>
      <c r="U155" s="17">
        <f t="shared" si="29"/>
        <v>10</v>
      </c>
      <c r="W155" s="7">
        <v>16820</v>
      </c>
      <c r="X155" s="7">
        <v>7191</v>
      </c>
      <c r="Y155" s="7">
        <v>19573</v>
      </c>
      <c r="Z155" s="7">
        <v>7666</v>
      </c>
      <c r="AA155" s="7">
        <v>6866</v>
      </c>
      <c r="AB155" s="13"/>
    </row>
    <row r="156" spans="10:28" ht="15.6" customHeight="1" x14ac:dyDescent="0.3">
      <c r="J156" s="2">
        <v>152</v>
      </c>
      <c r="K156" s="41" t="s">
        <v>35</v>
      </c>
      <c r="L156" s="41" t="s">
        <v>35</v>
      </c>
      <c r="M156" s="41" t="s">
        <v>32</v>
      </c>
      <c r="N156" s="41" t="s">
        <v>33</v>
      </c>
      <c r="O156" s="41" t="s">
        <v>34</v>
      </c>
      <c r="Q156" s="17">
        <f t="shared" si="25"/>
        <v>10</v>
      </c>
      <c r="R156" s="17">
        <f t="shared" si="26"/>
        <v>10</v>
      </c>
      <c r="S156" s="17">
        <f t="shared" si="27"/>
        <v>7</v>
      </c>
      <c r="T156" s="17">
        <f t="shared" si="28"/>
        <v>8</v>
      </c>
      <c r="U156" s="17">
        <f t="shared" si="29"/>
        <v>9</v>
      </c>
      <c r="W156" s="7">
        <v>13515</v>
      </c>
      <c r="X156" s="7">
        <v>16780</v>
      </c>
      <c r="Y156" s="7">
        <v>15819</v>
      </c>
      <c r="Z156" s="7">
        <v>14283</v>
      </c>
      <c r="AA156" s="7">
        <v>7844</v>
      </c>
      <c r="AB156" s="13"/>
    </row>
    <row r="157" spans="10:28" ht="15.6" customHeight="1" x14ac:dyDescent="0.3">
      <c r="J157" s="2">
        <v>153</v>
      </c>
      <c r="K157" s="41" t="s">
        <v>33</v>
      </c>
      <c r="L157" s="41" t="s">
        <v>48</v>
      </c>
      <c r="M157" s="41" t="s">
        <v>34</v>
      </c>
      <c r="N157" s="41" t="s">
        <v>28</v>
      </c>
      <c r="O157" s="41" t="s">
        <v>30</v>
      </c>
      <c r="Q157" s="17">
        <f t="shared" si="25"/>
        <v>8</v>
      </c>
      <c r="R157" s="17">
        <f t="shared" si="26"/>
        <v>17</v>
      </c>
      <c r="S157" s="17">
        <f t="shared" si="27"/>
        <v>9</v>
      </c>
      <c r="T157" s="17">
        <f t="shared" si="28"/>
        <v>3</v>
      </c>
      <c r="U157" s="17">
        <f t="shared" si="29"/>
        <v>5</v>
      </c>
      <c r="W157" s="7">
        <v>11713</v>
      </c>
      <c r="X157" s="7">
        <v>12709</v>
      </c>
      <c r="Y157" s="7">
        <v>16489</v>
      </c>
      <c r="Z157" s="7">
        <v>16269</v>
      </c>
      <c r="AA157" s="7">
        <v>7675</v>
      </c>
      <c r="AB157" s="13"/>
    </row>
    <row r="158" spans="10:28" ht="15.6" customHeight="1" x14ac:dyDescent="0.3">
      <c r="J158" s="2">
        <v>154</v>
      </c>
      <c r="K158" s="41" t="s">
        <v>29</v>
      </c>
      <c r="L158" s="41" t="s">
        <v>46</v>
      </c>
      <c r="M158" s="41" t="s">
        <v>30</v>
      </c>
      <c r="N158" s="41" t="s">
        <v>35</v>
      </c>
      <c r="O158" s="41" t="s">
        <v>35</v>
      </c>
      <c r="Q158" s="17">
        <f t="shared" si="25"/>
        <v>4</v>
      </c>
      <c r="R158" s="17">
        <f t="shared" si="26"/>
        <v>16</v>
      </c>
      <c r="S158" s="17">
        <f t="shared" si="27"/>
        <v>5</v>
      </c>
      <c r="T158" s="17">
        <f t="shared" si="28"/>
        <v>10</v>
      </c>
      <c r="U158" s="17">
        <f t="shared" si="29"/>
        <v>10</v>
      </c>
      <c r="W158" s="7">
        <v>5021</v>
      </c>
      <c r="X158" s="7">
        <v>17521</v>
      </c>
      <c r="Y158" s="7">
        <v>18903</v>
      </c>
      <c r="Z158" s="7">
        <v>17263</v>
      </c>
      <c r="AA158" s="7">
        <v>8522</v>
      </c>
      <c r="AB158" s="13"/>
    </row>
    <row r="159" spans="10:28" ht="15.6" customHeight="1" x14ac:dyDescent="0.3">
      <c r="J159" s="2">
        <v>155</v>
      </c>
      <c r="K159" s="41" t="s">
        <v>33</v>
      </c>
      <c r="L159" s="41" t="s">
        <v>31</v>
      </c>
      <c r="M159" s="41" t="s">
        <v>35</v>
      </c>
      <c r="N159" s="41" t="s">
        <v>28</v>
      </c>
      <c r="O159" s="41" t="s">
        <v>29</v>
      </c>
      <c r="Q159" s="17">
        <f t="shared" si="25"/>
        <v>8</v>
      </c>
      <c r="R159" s="17">
        <f t="shared" si="26"/>
        <v>6</v>
      </c>
      <c r="S159" s="17">
        <f t="shared" si="27"/>
        <v>10</v>
      </c>
      <c r="T159" s="17">
        <f t="shared" si="28"/>
        <v>3</v>
      </c>
      <c r="U159" s="17">
        <f t="shared" si="29"/>
        <v>4</v>
      </c>
      <c r="W159" s="7">
        <v>5878</v>
      </c>
      <c r="X159" s="7">
        <v>18755</v>
      </c>
      <c r="Y159" s="7">
        <v>17427</v>
      </c>
      <c r="Z159" s="7">
        <v>15276</v>
      </c>
      <c r="AA159" s="7">
        <v>2319</v>
      </c>
      <c r="AB159" s="13"/>
    </row>
    <row r="160" spans="10:28" ht="15.6" customHeight="1" x14ac:dyDescent="0.3">
      <c r="J160" s="2">
        <v>156</v>
      </c>
      <c r="K160" s="41" t="s">
        <v>35</v>
      </c>
      <c r="L160" s="41" t="s">
        <v>34</v>
      </c>
      <c r="M160" s="41" t="s">
        <v>34</v>
      </c>
      <c r="N160" s="41" t="s">
        <v>32</v>
      </c>
      <c r="O160" s="41" t="s">
        <v>32</v>
      </c>
      <c r="Q160" s="17">
        <f t="shared" si="25"/>
        <v>10</v>
      </c>
      <c r="R160" s="17">
        <f t="shared" si="26"/>
        <v>9</v>
      </c>
      <c r="S160" s="17">
        <f t="shared" si="27"/>
        <v>9</v>
      </c>
      <c r="T160" s="17">
        <f t="shared" si="28"/>
        <v>7</v>
      </c>
      <c r="U160" s="17">
        <f t="shared" si="29"/>
        <v>7</v>
      </c>
      <c r="W160" s="7">
        <v>5211</v>
      </c>
      <c r="X160" s="7">
        <v>18385</v>
      </c>
      <c r="Y160" s="7">
        <v>18903</v>
      </c>
      <c r="Z160" s="7">
        <v>16642</v>
      </c>
      <c r="AA160" s="7">
        <v>3023</v>
      </c>
      <c r="AB160" s="13"/>
    </row>
    <row r="161" spans="10:28" ht="15.6" customHeight="1" x14ac:dyDescent="0.3">
      <c r="J161" s="2">
        <v>157</v>
      </c>
      <c r="K161" s="41" t="s">
        <v>35</v>
      </c>
      <c r="L161" s="41" t="s">
        <v>38</v>
      </c>
      <c r="M161" s="41" t="s">
        <v>30</v>
      </c>
      <c r="N161" s="41" t="s">
        <v>46</v>
      </c>
      <c r="O161" s="41" t="s">
        <v>35</v>
      </c>
      <c r="Q161" s="17">
        <f t="shared" si="25"/>
        <v>10</v>
      </c>
      <c r="R161" s="17">
        <f t="shared" si="26"/>
        <v>12</v>
      </c>
      <c r="S161" s="17">
        <f t="shared" si="27"/>
        <v>5</v>
      </c>
      <c r="T161" s="17">
        <f t="shared" si="28"/>
        <v>16</v>
      </c>
      <c r="U161" s="17">
        <f t="shared" si="29"/>
        <v>10</v>
      </c>
      <c r="W161" s="7">
        <v>12414</v>
      </c>
      <c r="X161" s="7">
        <v>13778</v>
      </c>
      <c r="Y161" s="7">
        <v>21047</v>
      </c>
      <c r="Z161" s="7">
        <v>19995</v>
      </c>
      <c r="AA161" s="7">
        <v>2361</v>
      </c>
      <c r="AB161" s="13"/>
    </row>
    <row r="162" spans="10:28" ht="15.6" customHeight="1" x14ac:dyDescent="0.3">
      <c r="J162" s="2">
        <v>158</v>
      </c>
      <c r="K162" s="41" t="s">
        <v>34</v>
      </c>
      <c r="L162" s="41" t="s">
        <v>40</v>
      </c>
      <c r="M162" s="41" t="s">
        <v>50</v>
      </c>
      <c r="N162" s="41" t="s">
        <v>34</v>
      </c>
      <c r="O162" s="41" t="s">
        <v>35</v>
      </c>
      <c r="Q162" s="17">
        <f t="shared" si="25"/>
        <v>9</v>
      </c>
      <c r="R162" s="17">
        <f t="shared" si="26"/>
        <v>13</v>
      </c>
      <c r="S162" s="17">
        <f t="shared" si="27"/>
        <v>18</v>
      </c>
      <c r="T162" s="17">
        <f t="shared" si="28"/>
        <v>9</v>
      </c>
      <c r="U162" s="17">
        <f t="shared" si="29"/>
        <v>10</v>
      </c>
      <c r="W162" s="7">
        <v>17781</v>
      </c>
      <c r="X162" s="7">
        <v>15424</v>
      </c>
      <c r="Y162" s="7">
        <v>15819</v>
      </c>
      <c r="Z162" s="7">
        <v>14283</v>
      </c>
      <c r="AA162" s="7">
        <v>2802</v>
      </c>
      <c r="AB162" s="13"/>
    </row>
    <row r="163" spans="10:28" ht="15.6" customHeight="1" x14ac:dyDescent="0.3">
      <c r="J163" s="2">
        <v>159</v>
      </c>
      <c r="K163" s="41" t="s">
        <v>32</v>
      </c>
      <c r="L163" s="41" t="s">
        <v>33</v>
      </c>
      <c r="M163" s="41" t="s">
        <v>30</v>
      </c>
      <c r="N163" s="41" t="s">
        <v>33</v>
      </c>
      <c r="O163" s="41" t="s">
        <v>35</v>
      </c>
      <c r="Q163" s="17">
        <f t="shared" si="25"/>
        <v>7</v>
      </c>
      <c r="R163" s="17">
        <f t="shared" si="26"/>
        <v>8</v>
      </c>
      <c r="S163" s="17">
        <f t="shared" si="27"/>
        <v>5</v>
      </c>
      <c r="T163" s="17">
        <f t="shared" si="28"/>
        <v>8</v>
      </c>
      <c r="U163" s="17">
        <f t="shared" si="29"/>
        <v>10</v>
      </c>
      <c r="W163" s="7">
        <v>6280</v>
      </c>
      <c r="X163" s="7">
        <v>11516</v>
      </c>
      <c r="Y163" s="7">
        <v>5839</v>
      </c>
      <c r="Z163" s="7">
        <v>17015</v>
      </c>
      <c r="AA163" s="7">
        <v>6020</v>
      </c>
      <c r="AB163" s="13"/>
    </row>
    <row r="164" spans="10:28" ht="15.6" customHeight="1" x14ac:dyDescent="0.3">
      <c r="J164" s="2">
        <v>160</v>
      </c>
      <c r="K164" s="41" t="s">
        <v>28</v>
      </c>
      <c r="L164" s="41" t="s">
        <v>29</v>
      </c>
      <c r="M164" s="41" t="s">
        <v>32</v>
      </c>
      <c r="N164" s="41" t="s">
        <v>35</v>
      </c>
      <c r="O164" s="41" t="s">
        <v>33</v>
      </c>
      <c r="Q164" s="17">
        <f t="shared" ref="Q164:Q195" si="30">IF(K164="","",VLOOKUP(K164,$A$4:$H$22,8,FALSE))</f>
        <v>3</v>
      </c>
      <c r="R164" s="17">
        <f t="shared" ref="R164:R195" si="31">IF(L164="","",VLOOKUP(L164,$A$4:$H$22,8,FALSE))</f>
        <v>4</v>
      </c>
      <c r="S164" s="17">
        <f t="shared" ref="S164:S195" si="32">IF(M164="","",VLOOKUP(M164,$A$4:$H$22,8,FALSE))</f>
        <v>7</v>
      </c>
      <c r="T164" s="17">
        <f t="shared" ref="T164:T195" si="33">IF(N164="","",VLOOKUP(N164,$A$4:$H$22,8,FALSE))</f>
        <v>10</v>
      </c>
      <c r="U164" s="17">
        <f t="shared" ref="U164:U195" si="34">IF(O164="","",VLOOKUP(O164,$A$4:$H$22,8,FALSE))</f>
        <v>8</v>
      </c>
      <c r="W164" s="7">
        <v>6229</v>
      </c>
      <c r="X164" s="7">
        <v>15919</v>
      </c>
      <c r="Y164" s="7">
        <v>5652</v>
      </c>
      <c r="Z164" s="7">
        <v>12832</v>
      </c>
      <c r="AA164" s="7">
        <v>6490</v>
      </c>
      <c r="AB164" s="13"/>
    </row>
    <row r="165" spans="10:28" ht="15.6" customHeight="1" x14ac:dyDescent="0.3">
      <c r="J165" s="2">
        <v>161</v>
      </c>
      <c r="K165" s="41" t="s">
        <v>34</v>
      </c>
      <c r="L165" s="41" t="s">
        <v>32</v>
      </c>
      <c r="M165" s="41" t="s">
        <v>29</v>
      </c>
      <c r="N165" s="41" t="s">
        <v>48</v>
      </c>
      <c r="O165" s="41" t="s">
        <v>28</v>
      </c>
      <c r="Q165" s="17">
        <f t="shared" si="30"/>
        <v>9</v>
      </c>
      <c r="R165" s="17">
        <f t="shared" si="31"/>
        <v>7</v>
      </c>
      <c r="S165" s="17">
        <f t="shared" si="32"/>
        <v>4</v>
      </c>
      <c r="T165" s="17">
        <f t="shared" si="33"/>
        <v>17</v>
      </c>
      <c r="U165" s="17">
        <f t="shared" si="34"/>
        <v>3</v>
      </c>
      <c r="W165" s="7">
        <v>8030</v>
      </c>
      <c r="X165" s="7">
        <v>17891</v>
      </c>
      <c r="Y165" s="7">
        <v>6511</v>
      </c>
      <c r="Z165" s="7">
        <v>5855</v>
      </c>
      <c r="AA165" s="7">
        <v>6725</v>
      </c>
      <c r="AB165" s="13"/>
    </row>
    <row r="166" spans="10:28" ht="15.6" customHeight="1" x14ac:dyDescent="0.3">
      <c r="J166" s="2">
        <v>162</v>
      </c>
      <c r="K166" s="41" t="s">
        <v>34</v>
      </c>
      <c r="L166" s="41" t="s">
        <v>31</v>
      </c>
      <c r="M166" s="41" t="s">
        <v>29</v>
      </c>
      <c r="N166" s="41" t="s">
        <v>42</v>
      </c>
      <c r="O166" s="41" t="s">
        <v>35</v>
      </c>
      <c r="Q166" s="17">
        <f t="shared" si="30"/>
        <v>9</v>
      </c>
      <c r="R166" s="17">
        <f t="shared" si="31"/>
        <v>6</v>
      </c>
      <c r="S166" s="17">
        <f t="shared" si="32"/>
        <v>4</v>
      </c>
      <c r="T166" s="17">
        <f t="shared" si="33"/>
        <v>14</v>
      </c>
      <c r="U166" s="17">
        <f t="shared" si="34"/>
        <v>10</v>
      </c>
      <c r="W166" s="7">
        <v>15738</v>
      </c>
      <c r="X166" s="7">
        <v>15919</v>
      </c>
      <c r="Y166" s="7">
        <v>6223</v>
      </c>
      <c r="Z166" s="7">
        <v>4436</v>
      </c>
      <c r="AA166" s="7">
        <v>2944</v>
      </c>
      <c r="AB166" s="13"/>
    </row>
    <row r="167" spans="10:28" ht="15.6" customHeight="1" x14ac:dyDescent="0.3">
      <c r="J167" s="2">
        <v>163</v>
      </c>
      <c r="K167" s="41" t="s">
        <v>30</v>
      </c>
      <c r="L167" s="41" t="s">
        <v>34</v>
      </c>
      <c r="M167" s="41" t="s">
        <v>29</v>
      </c>
      <c r="N167" s="41" t="s">
        <v>40</v>
      </c>
      <c r="O167" s="41" t="s">
        <v>31</v>
      </c>
      <c r="Q167" s="17">
        <f t="shared" si="30"/>
        <v>5</v>
      </c>
      <c r="R167" s="17">
        <f t="shared" si="31"/>
        <v>9</v>
      </c>
      <c r="S167" s="17">
        <f t="shared" si="32"/>
        <v>4</v>
      </c>
      <c r="T167" s="17">
        <f t="shared" si="33"/>
        <v>13</v>
      </c>
      <c r="U167" s="17">
        <f t="shared" si="34"/>
        <v>6</v>
      </c>
      <c r="W167" s="7">
        <v>12013</v>
      </c>
      <c r="X167" s="7">
        <v>15423</v>
      </c>
      <c r="Y167" s="7">
        <v>14345</v>
      </c>
      <c r="Z167" s="7">
        <v>6385</v>
      </c>
      <c r="AA167" s="7">
        <v>3360</v>
      </c>
      <c r="AB167" s="13"/>
    </row>
    <row r="168" spans="10:28" ht="15.6" customHeight="1" x14ac:dyDescent="0.3">
      <c r="J168" s="2">
        <v>164</v>
      </c>
      <c r="K168" s="41" t="s">
        <v>35</v>
      </c>
      <c r="L168" s="41" t="s">
        <v>33</v>
      </c>
      <c r="M168" s="41" t="s">
        <v>50</v>
      </c>
      <c r="N168" s="41" t="s">
        <v>30</v>
      </c>
      <c r="O168" s="41" t="s">
        <v>30</v>
      </c>
      <c r="Q168" s="17">
        <f t="shared" si="30"/>
        <v>10</v>
      </c>
      <c r="R168" s="17">
        <f t="shared" si="31"/>
        <v>8</v>
      </c>
      <c r="S168" s="17">
        <f t="shared" si="32"/>
        <v>18</v>
      </c>
      <c r="T168" s="17">
        <f t="shared" si="33"/>
        <v>5</v>
      </c>
      <c r="U168" s="17">
        <f t="shared" si="34"/>
        <v>5</v>
      </c>
      <c r="W168" s="7">
        <v>13116</v>
      </c>
      <c r="X168" s="7">
        <v>16164</v>
      </c>
      <c r="Y168" s="7">
        <v>18367</v>
      </c>
      <c r="Z168" s="7">
        <v>16642</v>
      </c>
      <c r="AA168" s="7">
        <v>3291</v>
      </c>
      <c r="AB168" s="13"/>
    </row>
    <row r="169" spans="10:28" ht="15.6" customHeight="1" x14ac:dyDescent="0.3">
      <c r="J169" s="2">
        <v>165</v>
      </c>
      <c r="K169" s="41" t="s">
        <v>29</v>
      </c>
      <c r="L169" s="41" t="s">
        <v>31</v>
      </c>
      <c r="M169" s="41" t="s">
        <v>29</v>
      </c>
      <c r="N169" s="41" t="s">
        <v>34</v>
      </c>
      <c r="O169" s="41" t="s">
        <v>30</v>
      </c>
      <c r="Q169" s="17">
        <f t="shared" si="30"/>
        <v>4</v>
      </c>
      <c r="R169" s="17">
        <f t="shared" si="31"/>
        <v>6</v>
      </c>
      <c r="S169" s="17">
        <f t="shared" si="32"/>
        <v>4</v>
      </c>
      <c r="T169" s="17">
        <f t="shared" si="33"/>
        <v>9</v>
      </c>
      <c r="U169" s="17">
        <f t="shared" si="34"/>
        <v>5</v>
      </c>
      <c r="W169" s="7">
        <v>11413</v>
      </c>
      <c r="X169" s="7">
        <v>17521</v>
      </c>
      <c r="Y169" s="7">
        <v>6836</v>
      </c>
      <c r="Z169" s="7">
        <v>7239</v>
      </c>
      <c r="AA169" s="7">
        <v>8522</v>
      </c>
      <c r="AB169" s="13"/>
    </row>
    <row r="170" spans="10:28" ht="15.6" customHeight="1" x14ac:dyDescent="0.3">
      <c r="J170" s="2">
        <v>166</v>
      </c>
      <c r="K170" s="41" t="s">
        <v>32</v>
      </c>
      <c r="L170" s="41" t="s">
        <v>30</v>
      </c>
      <c r="M170" s="41" t="s">
        <v>33</v>
      </c>
      <c r="N170" s="41" t="s">
        <v>31</v>
      </c>
      <c r="O170" s="41" t="s">
        <v>31</v>
      </c>
      <c r="Q170" s="17">
        <f t="shared" si="30"/>
        <v>7</v>
      </c>
      <c r="R170" s="17">
        <f t="shared" si="31"/>
        <v>5</v>
      </c>
      <c r="S170" s="17">
        <f t="shared" si="32"/>
        <v>8</v>
      </c>
      <c r="T170" s="17">
        <f t="shared" si="33"/>
        <v>6</v>
      </c>
      <c r="U170" s="17">
        <f t="shared" si="34"/>
        <v>6</v>
      </c>
      <c r="W170" s="7">
        <v>17781</v>
      </c>
      <c r="X170" s="7">
        <v>15178</v>
      </c>
      <c r="Y170" s="7">
        <v>6319</v>
      </c>
      <c r="Z170" s="7">
        <v>7558</v>
      </c>
      <c r="AA170" s="7">
        <v>5407</v>
      </c>
      <c r="AB170" s="13"/>
    </row>
    <row r="171" spans="10:28" ht="15.6" customHeight="1" x14ac:dyDescent="0.3">
      <c r="J171" s="2">
        <v>167</v>
      </c>
      <c r="K171" s="41" t="s">
        <v>34</v>
      </c>
      <c r="L171" s="41" t="s">
        <v>26</v>
      </c>
      <c r="M171" s="41" t="s">
        <v>28</v>
      </c>
      <c r="N171" s="41" t="s">
        <v>34</v>
      </c>
      <c r="O171" s="41" t="s">
        <v>33</v>
      </c>
      <c r="Q171" s="17">
        <f t="shared" si="30"/>
        <v>9</v>
      </c>
      <c r="R171" s="17">
        <f t="shared" si="31"/>
        <v>2</v>
      </c>
      <c r="S171" s="17">
        <f t="shared" si="32"/>
        <v>3</v>
      </c>
      <c r="T171" s="17">
        <f t="shared" si="33"/>
        <v>9</v>
      </c>
      <c r="U171" s="17">
        <f t="shared" si="34"/>
        <v>8</v>
      </c>
      <c r="W171" s="7">
        <v>16699</v>
      </c>
      <c r="X171" s="7">
        <v>5421</v>
      </c>
      <c r="Y171" s="7">
        <v>5697</v>
      </c>
      <c r="Z171" s="7">
        <v>5963</v>
      </c>
      <c r="AA171" s="7">
        <v>7054</v>
      </c>
      <c r="AB171" s="13"/>
    </row>
    <row r="172" spans="10:28" ht="15.6" customHeight="1" x14ac:dyDescent="0.3">
      <c r="J172" s="2">
        <v>168</v>
      </c>
      <c r="K172" s="41" t="s">
        <v>32</v>
      </c>
      <c r="L172" s="41" t="s">
        <v>30</v>
      </c>
      <c r="M172" s="41" t="s">
        <v>28</v>
      </c>
      <c r="N172" s="41" t="s">
        <v>34</v>
      </c>
      <c r="O172" s="41" t="s">
        <v>35</v>
      </c>
      <c r="Q172" s="17">
        <f t="shared" si="30"/>
        <v>7</v>
      </c>
      <c r="R172" s="17">
        <f t="shared" si="31"/>
        <v>5</v>
      </c>
      <c r="S172" s="17">
        <f t="shared" si="32"/>
        <v>3</v>
      </c>
      <c r="T172" s="17">
        <f t="shared" si="33"/>
        <v>9</v>
      </c>
      <c r="U172" s="17">
        <f t="shared" si="34"/>
        <v>10</v>
      </c>
      <c r="W172" s="7">
        <v>12515</v>
      </c>
      <c r="X172" s="7">
        <v>5642</v>
      </c>
      <c r="Y172" s="7">
        <v>5601</v>
      </c>
      <c r="Z172" s="7">
        <v>7720</v>
      </c>
      <c r="AA172" s="7">
        <v>13826</v>
      </c>
      <c r="AB172" s="13"/>
    </row>
    <row r="173" spans="10:28" ht="15.6" customHeight="1" x14ac:dyDescent="0.3">
      <c r="J173" s="2">
        <v>169</v>
      </c>
      <c r="K173" s="41" t="s">
        <v>29</v>
      </c>
      <c r="L173" s="41" t="s">
        <v>32</v>
      </c>
      <c r="M173" s="41" t="s">
        <v>28</v>
      </c>
      <c r="N173" s="41" t="s">
        <v>34</v>
      </c>
      <c r="O173" s="41" t="s">
        <v>34</v>
      </c>
      <c r="Q173" s="17">
        <f t="shared" si="30"/>
        <v>4</v>
      </c>
      <c r="R173" s="17">
        <f t="shared" si="31"/>
        <v>7</v>
      </c>
      <c r="S173" s="17">
        <f t="shared" si="32"/>
        <v>3</v>
      </c>
      <c r="T173" s="17">
        <f t="shared" si="33"/>
        <v>9</v>
      </c>
      <c r="U173" s="17">
        <f t="shared" si="34"/>
        <v>9</v>
      </c>
      <c r="W173" s="7">
        <v>13416</v>
      </c>
      <c r="X173" s="7">
        <v>1809</v>
      </c>
      <c r="Y173" s="7">
        <v>8217</v>
      </c>
      <c r="Z173" s="7">
        <v>18629</v>
      </c>
      <c r="AA173" s="7">
        <v>10346</v>
      </c>
      <c r="AB173" s="13"/>
    </row>
    <row r="174" spans="10:28" ht="15.6" customHeight="1" x14ac:dyDescent="0.3">
      <c r="J174" s="2">
        <v>170</v>
      </c>
      <c r="K174" s="41" t="s">
        <v>32</v>
      </c>
      <c r="L174" s="41" t="s">
        <v>44</v>
      </c>
      <c r="M174" s="41" t="s">
        <v>34</v>
      </c>
      <c r="N174" s="41" t="s">
        <v>38</v>
      </c>
      <c r="O174" s="41" t="s">
        <v>35</v>
      </c>
      <c r="Q174" s="17">
        <f t="shared" si="30"/>
        <v>7</v>
      </c>
      <c r="R174" s="17">
        <f t="shared" si="31"/>
        <v>15</v>
      </c>
      <c r="S174" s="17">
        <f t="shared" si="32"/>
        <v>9</v>
      </c>
      <c r="T174" s="17">
        <f t="shared" si="33"/>
        <v>12</v>
      </c>
      <c r="U174" s="17">
        <f t="shared" si="34"/>
        <v>10</v>
      </c>
      <c r="W174" s="7">
        <v>14316</v>
      </c>
      <c r="X174" s="7">
        <v>1951</v>
      </c>
      <c r="Y174" s="7">
        <v>5217</v>
      </c>
      <c r="Z174" s="7">
        <v>16269</v>
      </c>
      <c r="AA174" s="7">
        <v>16253</v>
      </c>
      <c r="AB174" s="13"/>
    </row>
    <row r="175" spans="10:28" ht="15.6" customHeight="1" x14ac:dyDescent="0.3">
      <c r="J175" s="2">
        <v>171</v>
      </c>
      <c r="K175" s="41" t="s">
        <v>29</v>
      </c>
      <c r="L175" s="41" t="s">
        <v>32</v>
      </c>
      <c r="M175" s="41" t="s">
        <v>48</v>
      </c>
      <c r="N175" s="41" t="s">
        <v>33</v>
      </c>
      <c r="O175" s="41" t="s">
        <v>33</v>
      </c>
      <c r="Q175" s="17">
        <f t="shared" si="30"/>
        <v>4</v>
      </c>
      <c r="R175" s="17">
        <f t="shared" si="31"/>
        <v>7</v>
      </c>
      <c r="S175" s="17">
        <f t="shared" si="32"/>
        <v>17</v>
      </c>
      <c r="T175" s="17">
        <f t="shared" si="33"/>
        <v>8</v>
      </c>
      <c r="U175" s="17">
        <f t="shared" si="34"/>
        <v>8</v>
      </c>
      <c r="W175" s="7">
        <v>13415</v>
      </c>
      <c r="X175" s="7">
        <v>10514</v>
      </c>
      <c r="Y175" s="7">
        <v>16981</v>
      </c>
      <c r="Z175" s="7">
        <v>16145</v>
      </c>
      <c r="AA175" s="7">
        <v>16478</v>
      </c>
      <c r="AB175" s="13"/>
    </row>
    <row r="176" spans="10:28" ht="15.6" customHeight="1" x14ac:dyDescent="0.3">
      <c r="J176" s="2">
        <v>172</v>
      </c>
      <c r="K176" s="41" t="s">
        <v>30</v>
      </c>
      <c r="L176" s="41" t="s">
        <v>30</v>
      </c>
      <c r="M176" s="41" t="s">
        <v>32</v>
      </c>
      <c r="N176" s="41" t="s">
        <v>34</v>
      </c>
      <c r="O176" s="41" t="s">
        <v>35</v>
      </c>
      <c r="Q176" s="17">
        <f t="shared" si="30"/>
        <v>5</v>
      </c>
      <c r="R176" s="17">
        <f t="shared" si="31"/>
        <v>5</v>
      </c>
      <c r="S176" s="17">
        <f t="shared" si="32"/>
        <v>7</v>
      </c>
      <c r="T176" s="17">
        <f t="shared" si="33"/>
        <v>9</v>
      </c>
      <c r="U176" s="17">
        <f t="shared" si="34"/>
        <v>10</v>
      </c>
      <c r="W176" s="7">
        <v>15978</v>
      </c>
      <c r="X176" s="7">
        <v>8774</v>
      </c>
      <c r="Y176" s="7">
        <v>15081</v>
      </c>
      <c r="Z176" s="7">
        <v>16021</v>
      </c>
      <c r="AA176" s="7">
        <v>11475</v>
      </c>
      <c r="AB176" s="13"/>
    </row>
    <row r="177" spans="10:28" ht="15.6" customHeight="1" x14ac:dyDescent="0.3">
      <c r="J177" s="2">
        <v>173</v>
      </c>
      <c r="K177" s="41" t="s">
        <v>33</v>
      </c>
      <c r="L177" s="41" t="s">
        <v>31</v>
      </c>
      <c r="M177" s="41" t="s">
        <v>34</v>
      </c>
      <c r="N177" s="41" t="s">
        <v>33</v>
      </c>
      <c r="O177" s="41" t="s">
        <v>28</v>
      </c>
      <c r="Q177" s="17">
        <f t="shared" si="30"/>
        <v>8</v>
      </c>
      <c r="R177" s="17">
        <f t="shared" si="31"/>
        <v>6</v>
      </c>
      <c r="S177" s="17">
        <f t="shared" si="32"/>
        <v>9</v>
      </c>
      <c r="T177" s="17">
        <f t="shared" si="33"/>
        <v>8</v>
      </c>
      <c r="U177" s="17">
        <f t="shared" si="34"/>
        <v>3</v>
      </c>
      <c r="W177" s="7">
        <v>17540</v>
      </c>
      <c r="X177" s="7">
        <v>6992</v>
      </c>
      <c r="Y177" s="7">
        <v>17562</v>
      </c>
      <c r="Z177" s="7">
        <v>16145</v>
      </c>
      <c r="AA177" s="7">
        <v>8340</v>
      </c>
      <c r="AB177" s="13"/>
    </row>
    <row r="178" spans="10:28" ht="15.6" customHeight="1" x14ac:dyDescent="0.3">
      <c r="J178" s="2">
        <v>174</v>
      </c>
      <c r="K178" s="41" t="s">
        <v>34</v>
      </c>
      <c r="L178" s="41" t="s">
        <v>44</v>
      </c>
      <c r="M178" s="41" t="s">
        <v>35</v>
      </c>
      <c r="N178" s="41" t="s">
        <v>28</v>
      </c>
      <c r="O178" s="41" t="s">
        <v>34</v>
      </c>
      <c r="Q178" s="17">
        <f t="shared" si="30"/>
        <v>9</v>
      </c>
      <c r="R178" s="17">
        <f t="shared" si="31"/>
        <v>15</v>
      </c>
      <c r="S178" s="17">
        <f t="shared" si="32"/>
        <v>10</v>
      </c>
      <c r="T178" s="17">
        <f t="shared" si="33"/>
        <v>3</v>
      </c>
      <c r="U178" s="17">
        <f t="shared" si="34"/>
        <v>9</v>
      </c>
      <c r="W178" s="7">
        <v>16099</v>
      </c>
      <c r="X178" s="7">
        <v>6975</v>
      </c>
      <c r="Y178" s="7">
        <v>17025</v>
      </c>
      <c r="Z178" s="7">
        <v>16394</v>
      </c>
      <c r="AA178" s="7">
        <v>3749</v>
      </c>
      <c r="AB178" s="13"/>
    </row>
    <row r="179" spans="10:28" ht="15.6" customHeight="1" x14ac:dyDescent="0.3">
      <c r="J179" s="2">
        <v>175</v>
      </c>
      <c r="K179" s="41" t="s">
        <v>33</v>
      </c>
      <c r="L179" s="41" t="s">
        <v>42</v>
      </c>
      <c r="M179" s="41" t="s">
        <v>40</v>
      </c>
      <c r="N179" s="41" t="s">
        <v>31</v>
      </c>
      <c r="O179" s="41" t="s">
        <v>29</v>
      </c>
      <c r="Q179" s="17">
        <f t="shared" si="30"/>
        <v>8</v>
      </c>
      <c r="R179" s="17">
        <f t="shared" si="31"/>
        <v>14</v>
      </c>
      <c r="S179" s="17">
        <f t="shared" si="32"/>
        <v>13</v>
      </c>
      <c r="T179" s="17">
        <f t="shared" si="33"/>
        <v>6</v>
      </c>
      <c r="U179" s="17">
        <f t="shared" si="34"/>
        <v>4</v>
      </c>
      <c r="W179" s="7">
        <v>14656</v>
      </c>
      <c r="X179" s="7">
        <v>4764</v>
      </c>
      <c r="Y179" s="7">
        <v>19169</v>
      </c>
      <c r="Z179" s="7">
        <v>18504</v>
      </c>
      <c r="AA179" s="7">
        <v>5605</v>
      </c>
      <c r="AB179" s="13"/>
    </row>
    <row r="180" spans="10:28" ht="15.6" customHeight="1" x14ac:dyDescent="0.3">
      <c r="J180" s="2">
        <v>176</v>
      </c>
      <c r="K180" s="41" t="s">
        <v>32</v>
      </c>
      <c r="L180" s="41" t="s">
        <v>29</v>
      </c>
      <c r="M180" s="41" t="s">
        <v>29</v>
      </c>
      <c r="N180" s="41" t="s">
        <v>50</v>
      </c>
      <c r="O180" s="41" t="s">
        <v>30</v>
      </c>
      <c r="Q180" s="17">
        <f t="shared" si="30"/>
        <v>7</v>
      </c>
      <c r="R180" s="17">
        <f t="shared" si="31"/>
        <v>4</v>
      </c>
      <c r="S180" s="17">
        <f t="shared" si="32"/>
        <v>4</v>
      </c>
      <c r="T180" s="17">
        <f t="shared" si="33"/>
        <v>18</v>
      </c>
      <c r="U180" s="17">
        <f t="shared" si="34"/>
        <v>5</v>
      </c>
      <c r="W180" s="7">
        <v>17540</v>
      </c>
      <c r="X180" s="7">
        <v>11619</v>
      </c>
      <c r="Y180" s="7">
        <v>17651</v>
      </c>
      <c r="Z180" s="7">
        <v>16764</v>
      </c>
      <c r="AA180" s="7">
        <v>6625</v>
      </c>
      <c r="AB180" s="13"/>
    </row>
    <row r="181" spans="10:28" ht="15.6" customHeight="1" x14ac:dyDescent="0.3">
      <c r="J181" s="2">
        <v>177</v>
      </c>
      <c r="K181" s="41" t="s">
        <v>30</v>
      </c>
      <c r="L181" s="41" t="s">
        <v>32</v>
      </c>
      <c r="M181" s="41" t="s">
        <v>36</v>
      </c>
      <c r="N181" s="41" t="s">
        <v>34</v>
      </c>
      <c r="O181" s="41" t="s">
        <v>30</v>
      </c>
      <c r="Q181" s="17">
        <f t="shared" si="30"/>
        <v>5</v>
      </c>
      <c r="R181" s="17">
        <f t="shared" si="31"/>
        <v>7</v>
      </c>
      <c r="S181" s="17">
        <f t="shared" si="32"/>
        <v>11</v>
      </c>
      <c r="T181" s="17">
        <f t="shared" si="33"/>
        <v>9</v>
      </c>
      <c r="U181" s="17">
        <f t="shared" si="34"/>
        <v>5</v>
      </c>
      <c r="W181" s="7">
        <v>6746</v>
      </c>
      <c r="X181" s="7">
        <v>10514</v>
      </c>
      <c r="Y181" s="7">
        <v>14914</v>
      </c>
      <c r="Z181" s="7">
        <v>19497</v>
      </c>
      <c r="AA181" s="7">
        <v>6094</v>
      </c>
      <c r="AB181" s="13"/>
    </row>
    <row r="182" spans="10:28" ht="15.6" customHeight="1" x14ac:dyDescent="0.3">
      <c r="J182" s="2">
        <v>178</v>
      </c>
      <c r="K182" s="41" t="s">
        <v>29</v>
      </c>
      <c r="L182" s="41" t="s">
        <v>35</v>
      </c>
      <c r="M182" s="41" t="s">
        <v>34</v>
      </c>
      <c r="N182" s="41" t="s">
        <v>36</v>
      </c>
      <c r="O182" s="41" t="s">
        <v>30</v>
      </c>
      <c r="Q182" s="17">
        <f t="shared" si="30"/>
        <v>4</v>
      </c>
      <c r="R182" s="17">
        <f t="shared" si="31"/>
        <v>10</v>
      </c>
      <c r="S182" s="17">
        <f t="shared" si="32"/>
        <v>9</v>
      </c>
      <c r="T182" s="17">
        <f t="shared" si="33"/>
        <v>11</v>
      </c>
      <c r="U182" s="17">
        <f t="shared" si="34"/>
        <v>5</v>
      </c>
      <c r="W182" s="7">
        <v>4675</v>
      </c>
      <c r="X182" s="7">
        <v>11927</v>
      </c>
      <c r="Y182" s="7">
        <v>3521</v>
      </c>
      <c r="Z182" s="7">
        <v>18381</v>
      </c>
      <c r="AA182" s="7">
        <v>15464</v>
      </c>
      <c r="AB182" s="13"/>
    </row>
    <row r="183" spans="10:28" ht="15.6" customHeight="1" x14ac:dyDescent="0.3">
      <c r="J183" s="2">
        <v>179</v>
      </c>
      <c r="K183" s="41" t="s">
        <v>31</v>
      </c>
      <c r="L183" s="41" t="s">
        <v>29</v>
      </c>
      <c r="M183" s="41" t="s">
        <v>32</v>
      </c>
      <c r="N183" s="41" t="s">
        <v>33</v>
      </c>
      <c r="O183" s="41" t="s">
        <v>26</v>
      </c>
      <c r="Q183" s="17">
        <f t="shared" si="30"/>
        <v>6</v>
      </c>
      <c r="R183" s="17">
        <f t="shared" si="31"/>
        <v>4</v>
      </c>
      <c r="S183" s="17">
        <f t="shared" si="32"/>
        <v>7</v>
      </c>
      <c r="T183" s="17">
        <f t="shared" si="33"/>
        <v>8</v>
      </c>
      <c r="U183" s="17">
        <f t="shared" si="34"/>
        <v>2</v>
      </c>
      <c r="W183" s="7">
        <v>5447</v>
      </c>
      <c r="X183" s="7">
        <v>4216</v>
      </c>
      <c r="Y183" s="7">
        <v>3937</v>
      </c>
      <c r="Z183" s="7">
        <v>18131</v>
      </c>
      <c r="AA183" s="7">
        <v>14203</v>
      </c>
      <c r="AB183" s="13"/>
    </row>
    <row r="184" spans="10:28" ht="15.6" customHeight="1" x14ac:dyDescent="0.3">
      <c r="J184" s="2">
        <v>180</v>
      </c>
      <c r="K184" s="41" t="s">
        <v>31</v>
      </c>
      <c r="L184" s="41" t="s">
        <v>28</v>
      </c>
      <c r="M184" s="41" t="s">
        <v>48</v>
      </c>
      <c r="N184" s="41" t="s">
        <v>48</v>
      </c>
      <c r="O184" s="41" t="s">
        <v>29</v>
      </c>
      <c r="Q184" s="17">
        <f t="shared" si="30"/>
        <v>6</v>
      </c>
      <c r="R184" s="17">
        <f t="shared" si="31"/>
        <v>3</v>
      </c>
      <c r="S184" s="17">
        <f t="shared" si="32"/>
        <v>17</v>
      </c>
      <c r="T184" s="17">
        <f t="shared" si="33"/>
        <v>17</v>
      </c>
      <c r="U184" s="17">
        <f t="shared" si="34"/>
        <v>4</v>
      </c>
      <c r="W184" s="7">
        <v>11914</v>
      </c>
      <c r="X184" s="7">
        <v>4558</v>
      </c>
      <c r="Y184" s="7">
        <v>5153</v>
      </c>
      <c r="Z184" s="7">
        <v>16351</v>
      </c>
      <c r="AA184" s="7">
        <v>9782</v>
      </c>
      <c r="AB184" s="13"/>
    </row>
    <row r="185" spans="10:28" ht="15.6" customHeight="1" x14ac:dyDescent="0.3">
      <c r="J185" s="2">
        <v>181</v>
      </c>
      <c r="K185" s="41" t="s">
        <v>35</v>
      </c>
      <c r="L185" s="41" t="s">
        <v>31</v>
      </c>
      <c r="M185" s="41" t="s">
        <v>34</v>
      </c>
      <c r="N185" s="41" t="s">
        <v>35</v>
      </c>
      <c r="O185" s="41" t="s">
        <v>34</v>
      </c>
      <c r="Q185" s="17">
        <f t="shared" si="30"/>
        <v>10</v>
      </c>
      <c r="R185" s="17">
        <f t="shared" si="31"/>
        <v>6</v>
      </c>
      <c r="S185" s="17">
        <f t="shared" si="32"/>
        <v>9</v>
      </c>
      <c r="T185" s="17">
        <f t="shared" si="33"/>
        <v>10</v>
      </c>
      <c r="U185" s="17">
        <f t="shared" si="34"/>
        <v>9</v>
      </c>
      <c r="W185" s="7">
        <v>5322</v>
      </c>
      <c r="X185" s="7">
        <v>4036</v>
      </c>
      <c r="Y185" s="7">
        <v>3960</v>
      </c>
      <c r="Z185" s="7">
        <v>7348</v>
      </c>
      <c r="AA185" s="7">
        <v>13074</v>
      </c>
      <c r="AB185" s="13"/>
    </row>
    <row r="186" spans="10:28" ht="15.6" customHeight="1" x14ac:dyDescent="0.3">
      <c r="J186" s="2">
        <v>182</v>
      </c>
      <c r="K186" s="41" t="s">
        <v>32</v>
      </c>
      <c r="L186" s="41" t="s">
        <v>30</v>
      </c>
      <c r="M186" s="41" t="s">
        <v>48</v>
      </c>
      <c r="N186" s="41" t="s">
        <v>30</v>
      </c>
      <c r="O186" s="41" t="s">
        <v>33</v>
      </c>
      <c r="Q186" s="17">
        <f t="shared" si="30"/>
        <v>7</v>
      </c>
      <c r="R186" s="17">
        <f t="shared" si="31"/>
        <v>5</v>
      </c>
      <c r="S186" s="17">
        <f t="shared" si="32"/>
        <v>17</v>
      </c>
      <c r="T186" s="17">
        <f t="shared" si="33"/>
        <v>5</v>
      </c>
      <c r="U186" s="17">
        <f t="shared" si="34"/>
        <v>8</v>
      </c>
      <c r="W186" s="7">
        <v>5277</v>
      </c>
      <c r="X186" s="7">
        <v>1809</v>
      </c>
      <c r="Y186" s="7">
        <v>3210</v>
      </c>
      <c r="Z186" s="7">
        <v>7142</v>
      </c>
      <c r="AA186" s="7">
        <v>7900</v>
      </c>
      <c r="AB186" s="13"/>
    </row>
    <row r="187" spans="10:28" ht="15.6" customHeight="1" x14ac:dyDescent="0.3">
      <c r="J187" s="2">
        <v>183</v>
      </c>
      <c r="K187" s="41" t="s">
        <v>35</v>
      </c>
      <c r="L187" s="41" t="s">
        <v>44</v>
      </c>
      <c r="M187" s="41" t="s">
        <v>48</v>
      </c>
      <c r="N187" s="41" t="s">
        <v>35</v>
      </c>
      <c r="O187" s="41" t="s">
        <v>35</v>
      </c>
      <c r="Q187" s="17">
        <f t="shared" si="30"/>
        <v>10</v>
      </c>
      <c r="R187" s="17">
        <f t="shared" si="31"/>
        <v>15</v>
      </c>
      <c r="S187" s="17">
        <f t="shared" si="32"/>
        <v>17</v>
      </c>
      <c r="T187" s="17">
        <f t="shared" si="33"/>
        <v>10</v>
      </c>
      <c r="U187" s="17">
        <f t="shared" si="34"/>
        <v>10</v>
      </c>
      <c r="W187" s="7">
        <v>7157</v>
      </c>
      <c r="X187" s="7">
        <v>1951</v>
      </c>
      <c r="Y187" s="7">
        <v>14523</v>
      </c>
      <c r="Z187" s="7">
        <v>14490</v>
      </c>
      <c r="AA187" s="7">
        <v>2498</v>
      </c>
      <c r="AB187" s="13"/>
    </row>
    <row r="188" spans="10:28" ht="15.6" customHeight="1" x14ac:dyDescent="0.3">
      <c r="J188" s="2">
        <v>184</v>
      </c>
      <c r="K188" s="41" t="s">
        <v>35</v>
      </c>
      <c r="L188" s="41" t="s">
        <v>29</v>
      </c>
      <c r="M188" s="41" t="s">
        <v>35</v>
      </c>
      <c r="N188" s="41" t="s">
        <v>31</v>
      </c>
      <c r="O188" s="41" t="s">
        <v>32</v>
      </c>
      <c r="Q188" s="17">
        <f t="shared" si="30"/>
        <v>10</v>
      </c>
      <c r="R188" s="17">
        <f t="shared" si="31"/>
        <v>4</v>
      </c>
      <c r="S188" s="17">
        <f t="shared" si="32"/>
        <v>10</v>
      </c>
      <c r="T188" s="17">
        <f t="shared" si="33"/>
        <v>6</v>
      </c>
      <c r="U188" s="17">
        <f t="shared" si="34"/>
        <v>7</v>
      </c>
      <c r="W188" s="7">
        <v>7724</v>
      </c>
      <c r="X188" s="7">
        <v>1730</v>
      </c>
      <c r="Y188" s="7">
        <v>7206</v>
      </c>
      <c r="Z188" s="7">
        <v>13142</v>
      </c>
      <c r="AA188" s="7">
        <v>2377</v>
      </c>
      <c r="AB188" s="13"/>
    </row>
    <row r="189" spans="10:28" ht="15.6" customHeight="1" x14ac:dyDescent="0.3">
      <c r="J189" s="2">
        <v>185</v>
      </c>
      <c r="K189" s="41" t="s">
        <v>31</v>
      </c>
      <c r="L189" s="41" t="s">
        <v>29</v>
      </c>
      <c r="M189" s="41" t="s">
        <v>34</v>
      </c>
      <c r="N189" s="41" t="s">
        <v>33</v>
      </c>
      <c r="O189" s="41" t="s">
        <v>30</v>
      </c>
      <c r="Q189" s="17">
        <f t="shared" si="30"/>
        <v>6</v>
      </c>
      <c r="R189" s="17">
        <f t="shared" si="31"/>
        <v>4</v>
      </c>
      <c r="S189" s="17">
        <f t="shared" si="32"/>
        <v>9</v>
      </c>
      <c r="T189" s="17">
        <f t="shared" si="33"/>
        <v>8</v>
      </c>
      <c r="U189" s="17">
        <f t="shared" si="34"/>
        <v>5</v>
      </c>
      <c r="W189" s="7">
        <v>6952</v>
      </c>
      <c r="X189" s="7">
        <v>2931</v>
      </c>
      <c r="Y189" s="7">
        <v>15081</v>
      </c>
      <c r="Z189" s="7">
        <v>6601</v>
      </c>
      <c r="AA189" s="7">
        <v>2597</v>
      </c>
      <c r="AB189" s="13"/>
    </row>
    <row r="190" spans="10:28" ht="15.6" customHeight="1" x14ac:dyDescent="0.3">
      <c r="J190" s="2">
        <v>186</v>
      </c>
      <c r="K190" s="41" t="s">
        <v>31</v>
      </c>
      <c r="L190" s="41" t="s">
        <v>29</v>
      </c>
      <c r="M190" s="41" t="s">
        <v>35</v>
      </c>
      <c r="N190" s="41" t="s">
        <v>42</v>
      </c>
      <c r="O190" s="41" t="s">
        <v>30</v>
      </c>
      <c r="Q190" s="17">
        <f t="shared" si="30"/>
        <v>6</v>
      </c>
      <c r="R190" s="17">
        <f t="shared" si="31"/>
        <v>4</v>
      </c>
      <c r="S190" s="17">
        <f t="shared" si="32"/>
        <v>10</v>
      </c>
      <c r="T190" s="17">
        <f t="shared" si="33"/>
        <v>14</v>
      </c>
      <c r="U190" s="17">
        <f t="shared" si="34"/>
        <v>5</v>
      </c>
      <c r="W190" s="7">
        <v>14656</v>
      </c>
      <c r="X190" s="7">
        <v>2843</v>
      </c>
      <c r="Y190" s="7">
        <v>12020</v>
      </c>
      <c r="Z190" s="7">
        <v>7239</v>
      </c>
      <c r="AA190" s="7">
        <v>3144</v>
      </c>
      <c r="AB190" s="13"/>
    </row>
    <row r="191" spans="10:28" ht="15.6" customHeight="1" x14ac:dyDescent="0.3">
      <c r="J191" s="2">
        <v>187</v>
      </c>
      <c r="K191" s="41" t="s">
        <v>32</v>
      </c>
      <c r="L191" s="41" t="s">
        <v>32</v>
      </c>
      <c r="M191" s="41" t="s">
        <v>34</v>
      </c>
      <c r="N191" s="41" t="s">
        <v>34</v>
      </c>
      <c r="O191" s="41" t="s">
        <v>32</v>
      </c>
      <c r="Q191" s="17">
        <f t="shared" si="30"/>
        <v>7</v>
      </c>
      <c r="R191" s="17">
        <f t="shared" si="31"/>
        <v>7</v>
      </c>
      <c r="S191" s="17">
        <f t="shared" si="32"/>
        <v>9</v>
      </c>
      <c r="T191" s="17">
        <f t="shared" si="33"/>
        <v>9</v>
      </c>
      <c r="U191" s="17">
        <f t="shared" si="34"/>
        <v>7</v>
      </c>
      <c r="W191" s="7">
        <v>11313</v>
      </c>
      <c r="X191" s="7">
        <v>2951</v>
      </c>
      <c r="Y191" s="7">
        <v>3960</v>
      </c>
      <c r="Z191" s="7">
        <v>7823</v>
      </c>
      <c r="AA191" s="7">
        <v>2781</v>
      </c>
      <c r="AB191" s="13"/>
    </row>
    <row r="192" spans="10:28" ht="15.6" customHeight="1" x14ac:dyDescent="0.3">
      <c r="J192" s="2">
        <v>188</v>
      </c>
      <c r="K192" s="41" t="s">
        <v>31</v>
      </c>
      <c r="L192" s="41" t="s">
        <v>32</v>
      </c>
      <c r="M192" s="41" t="s">
        <v>30</v>
      </c>
      <c r="N192" s="41" t="s">
        <v>34</v>
      </c>
      <c r="O192" s="41" t="s">
        <v>34</v>
      </c>
      <c r="Q192" s="17">
        <f t="shared" si="30"/>
        <v>6</v>
      </c>
      <c r="R192" s="17">
        <f t="shared" si="31"/>
        <v>7</v>
      </c>
      <c r="S192" s="17">
        <f t="shared" si="32"/>
        <v>5</v>
      </c>
      <c r="T192" s="17">
        <f t="shared" si="33"/>
        <v>9</v>
      </c>
      <c r="U192" s="17">
        <f t="shared" si="34"/>
        <v>9</v>
      </c>
      <c r="W192" s="7">
        <v>4765</v>
      </c>
      <c r="X192" s="7">
        <v>3083</v>
      </c>
      <c r="Y192" s="7">
        <v>3210</v>
      </c>
      <c r="Z192" s="7">
        <v>16394</v>
      </c>
      <c r="AA192" s="7">
        <v>3628</v>
      </c>
      <c r="AB192" s="13"/>
    </row>
    <row r="193" spans="10:28" ht="15.6" customHeight="1" x14ac:dyDescent="0.3">
      <c r="J193" s="2">
        <v>189</v>
      </c>
      <c r="K193" s="41" t="s">
        <v>32</v>
      </c>
      <c r="L193" s="41" t="s">
        <v>32</v>
      </c>
      <c r="M193" s="41" t="s">
        <v>31</v>
      </c>
      <c r="N193" s="41" t="s">
        <v>33</v>
      </c>
      <c r="O193" s="41" t="s">
        <v>34</v>
      </c>
      <c r="Q193" s="17">
        <f t="shared" si="30"/>
        <v>7</v>
      </c>
      <c r="R193" s="17">
        <f t="shared" si="31"/>
        <v>7</v>
      </c>
      <c r="S193" s="17">
        <f t="shared" si="32"/>
        <v>6</v>
      </c>
      <c r="T193" s="17">
        <f t="shared" si="33"/>
        <v>8</v>
      </c>
      <c r="U193" s="17">
        <f t="shared" si="34"/>
        <v>9</v>
      </c>
      <c r="W193" s="7">
        <v>5277</v>
      </c>
      <c r="X193" s="7">
        <v>1730</v>
      </c>
      <c r="Y193" s="7">
        <v>5889</v>
      </c>
      <c r="Z193" s="7">
        <v>13972</v>
      </c>
      <c r="AA193" s="7">
        <v>3118</v>
      </c>
      <c r="AB193" s="13"/>
    </row>
    <row r="194" spans="10:28" ht="15.6" customHeight="1" x14ac:dyDescent="0.3">
      <c r="J194" s="2">
        <v>190</v>
      </c>
      <c r="K194" s="41" t="s">
        <v>33</v>
      </c>
      <c r="L194" s="41" t="s">
        <v>44</v>
      </c>
      <c r="M194" s="41" t="s">
        <v>31</v>
      </c>
      <c r="N194" s="41" t="s">
        <v>35</v>
      </c>
      <c r="O194" s="41" t="s">
        <v>35</v>
      </c>
      <c r="Q194" s="17">
        <f t="shared" si="30"/>
        <v>8</v>
      </c>
      <c r="R194" s="17">
        <f t="shared" si="31"/>
        <v>15</v>
      </c>
      <c r="S194" s="17">
        <f t="shared" si="32"/>
        <v>6</v>
      </c>
      <c r="T194" s="17">
        <f t="shared" si="33"/>
        <v>10</v>
      </c>
      <c r="U194" s="17">
        <f t="shared" si="34"/>
        <v>10</v>
      </c>
      <c r="W194" s="7">
        <v>6490</v>
      </c>
      <c r="X194" s="7">
        <v>2931</v>
      </c>
      <c r="Y194" s="7">
        <v>19304</v>
      </c>
      <c r="Z194" s="7">
        <v>6473</v>
      </c>
      <c r="AA194" s="7">
        <v>3097</v>
      </c>
      <c r="AB194" s="13"/>
    </row>
    <row r="195" spans="10:28" ht="15.6" customHeight="1" x14ac:dyDescent="0.3">
      <c r="J195" s="2">
        <v>191</v>
      </c>
      <c r="K195" s="41" t="s">
        <v>33</v>
      </c>
      <c r="L195" s="41" t="s">
        <v>32</v>
      </c>
      <c r="M195" s="41" t="s">
        <v>35</v>
      </c>
      <c r="N195" s="41" t="s">
        <v>33</v>
      </c>
      <c r="O195" s="41" t="s">
        <v>35</v>
      </c>
      <c r="Q195" s="17">
        <f t="shared" si="30"/>
        <v>8</v>
      </c>
      <c r="R195" s="17">
        <f t="shared" si="31"/>
        <v>7</v>
      </c>
      <c r="S195" s="17">
        <f t="shared" si="32"/>
        <v>10</v>
      </c>
      <c r="T195" s="17">
        <f t="shared" si="33"/>
        <v>8</v>
      </c>
      <c r="U195" s="17">
        <f t="shared" si="34"/>
        <v>10</v>
      </c>
      <c r="W195" s="7">
        <v>7052</v>
      </c>
      <c r="X195" s="7">
        <v>2843</v>
      </c>
      <c r="Y195" s="7">
        <v>18231</v>
      </c>
      <c r="Z195" s="7">
        <v>5811</v>
      </c>
      <c r="AA195" s="7">
        <v>3339</v>
      </c>
      <c r="AB195" s="13"/>
    </row>
    <row r="196" spans="10:28" ht="15.6" customHeight="1" x14ac:dyDescent="0.3">
      <c r="J196" s="2">
        <v>192</v>
      </c>
      <c r="K196" s="41" t="s">
        <v>33</v>
      </c>
      <c r="L196" s="41" t="s">
        <v>29</v>
      </c>
      <c r="M196" s="41" t="s">
        <v>32</v>
      </c>
      <c r="N196" s="41" t="s">
        <v>30</v>
      </c>
      <c r="O196" s="41" t="s">
        <v>35</v>
      </c>
      <c r="Q196" s="17">
        <f t="shared" ref="Q196:Q203" si="35">IF(K196="","",VLOOKUP(K196,$A$4:$H$22,8,FALSE))</f>
        <v>8</v>
      </c>
      <c r="R196" s="17">
        <f t="shared" ref="R196:R203" si="36">IF(L196="","",VLOOKUP(L196,$A$4:$H$22,8,FALSE))</f>
        <v>4</v>
      </c>
      <c r="S196" s="17">
        <f t="shared" ref="S196:S203" si="37">IF(M196="","",VLOOKUP(M196,$A$4:$H$22,8,FALSE))</f>
        <v>7</v>
      </c>
      <c r="T196" s="17">
        <f t="shared" ref="T196:T203" si="38">IF(N196="","",VLOOKUP(N196,$A$4:$H$22,8,FALSE))</f>
        <v>5</v>
      </c>
      <c r="U196" s="17">
        <f t="shared" ref="U196:U203" si="39">IF(O196="","",VLOOKUP(O196,$A$4:$H$22,8,FALSE))</f>
        <v>10</v>
      </c>
      <c r="W196" s="7">
        <v>15378</v>
      </c>
      <c r="X196" s="7">
        <v>2951</v>
      </c>
      <c r="Y196" s="7">
        <v>7641</v>
      </c>
      <c r="Z196" s="7">
        <v>5634</v>
      </c>
      <c r="AA196" s="7">
        <v>7243</v>
      </c>
      <c r="AB196" s="13"/>
    </row>
    <row r="197" spans="10:28" ht="15.6" customHeight="1" x14ac:dyDescent="0.3">
      <c r="J197" s="2">
        <v>193</v>
      </c>
      <c r="K197" s="41" t="s">
        <v>29</v>
      </c>
      <c r="L197" s="41" t="s">
        <v>29</v>
      </c>
      <c r="M197" s="41" t="s">
        <v>31</v>
      </c>
      <c r="N197" s="41" t="s">
        <v>30</v>
      </c>
      <c r="O197" s="41" t="s">
        <v>28</v>
      </c>
      <c r="Q197" s="17">
        <f t="shared" si="35"/>
        <v>4</v>
      </c>
      <c r="R197" s="17">
        <f t="shared" si="36"/>
        <v>4</v>
      </c>
      <c r="S197" s="17">
        <f t="shared" si="37"/>
        <v>6</v>
      </c>
      <c r="T197" s="17">
        <f t="shared" si="38"/>
        <v>5</v>
      </c>
      <c r="U197" s="17">
        <f t="shared" si="39"/>
        <v>3</v>
      </c>
      <c r="W197" s="7">
        <v>15017</v>
      </c>
      <c r="X197" s="7">
        <v>3083</v>
      </c>
      <c r="Y197" s="7">
        <v>6607</v>
      </c>
      <c r="Z197" s="7">
        <v>12419</v>
      </c>
      <c r="AA197" s="7">
        <v>5549</v>
      </c>
      <c r="AB197" s="13"/>
    </row>
    <row r="198" spans="10:28" ht="15.6" customHeight="1" x14ac:dyDescent="0.3">
      <c r="J198" s="2">
        <v>194</v>
      </c>
      <c r="K198" s="41" t="s">
        <v>28</v>
      </c>
      <c r="L198" s="41" t="s">
        <v>29</v>
      </c>
      <c r="M198" s="41" t="s">
        <v>35</v>
      </c>
      <c r="N198" s="41" t="s">
        <v>33</v>
      </c>
      <c r="O198" s="41" t="s">
        <v>35</v>
      </c>
      <c r="Q198" s="17">
        <f t="shared" si="35"/>
        <v>3</v>
      </c>
      <c r="R198" s="17">
        <f t="shared" si="36"/>
        <v>4</v>
      </c>
      <c r="S198" s="17">
        <f t="shared" si="37"/>
        <v>10</v>
      </c>
      <c r="T198" s="17">
        <f t="shared" si="38"/>
        <v>8</v>
      </c>
      <c r="U198" s="17">
        <f t="shared" si="39"/>
        <v>10</v>
      </c>
      <c r="W198" s="7">
        <v>14777</v>
      </c>
      <c r="X198" s="7">
        <v>1730</v>
      </c>
      <c r="Y198" s="7">
        <v>6223</v>
      </c>
      <c r="Z198" s="7">
        <v>13557</v>
      </c>
      <c r="AA198" s="7">
        <v>6066</v>
      </c>
      <c r="AB198" s="13"/>
    </row>
    <row r="199" spans="10:28" ht="15.6" customHeight="1" x14ac:dyDescent="0.3">
      <c r="J199" s="2">
        <v>195</v>
      </c>
      <c r="K199" s="41" t="s">
        <v>35</v>
      </c>
      <c r="L199" s="41" t="s">
        <v>32</v>
      </c>
      <c r="M199" s="41" t="s">
        <v>35</v>
      </c>
      <c r="N199" s="41" t="s">
        <v>30</v>
      </c>
      <c r="O199" s="41" t="s">
        <v>30</v>
      </c>
      <c r="Q199" s="17">
        <f t="shared" si="35"/>
        <v>10</v>
      </c>
      <c r="R199" s="17">
        <f t="shared" si="36"/>
        <v>7</v>
      </c>
      <c r="S199" s="17">
        <f t="shared" si="37"/>
        <v>10</v>
      </c>
      <c r="T199" s="17">
        <f t="shared" si="38"/>
        <v>5</v>
      </c>
      <c r="U199" s="17">
        <f t="shared" si="39"/>
        <v>5</v>
      </c>
      <c r="W199" s="7">
        <v>15738</v>
      </c>
      <c r="X199" s="7">
        <v>5995</v>
      </c>
      <c r="Y199" s="7">
        <v>6223</v>
      </c>
      <c r="Z199" s="7">
        <v>13557</v>
      </c>
      <c r="AA199" s="7">
        <v>7336</v>
      </c>
      <c r="AB199" s="13"/>
    </row>
    <row r="200" spans="10:28" ht="15.6" customHeight="1" x14ac:dyDescent="0.3">
      <c r="J200" s="2">
        <v>196</v>
      </c>
      <c r="K200" s="41" t="s">
        <v>30</v>
      </c>
      <c r="L200" s="41" t="s">
        <v>32</v>
      </c>
      <c r="M200" s="41" t="s">
        <v>30</v>
      </c>
      <c r="N200" s="41" t="s">
        <v>33</v>
      </c>
      <c r="O200" s="41" t="s">
        <v>31</v>
      </c>
      <c r="Q200" s="17">
        <f t="shared" si="35"/>
        <v>5</v>
      </c>
      <c r="R200" s="17">
        <f t="shared" si="36"/>
        <v>7</v>
      </c>
      <c r="S200" s="17">
        <f t="shared" si="37"/>
        <v>5</v>
      </c>
      <c r="T200" s="17">
        <f t="shared" si="38"/>
        <v>8</v>
      </c>
      <c r="U200" s="17">
        <f t="shared" si="39"/>
        <v>6</v>
      </c>
      <c r="W200" s="7">
        <v>13695</v>
      </c>
      <c r="X200" s="7">
        <v>7034</v>
      </c>
      <c r="Y200" s="7">
        <v>3086</v>
      </c>
      <c r="Z200" s="7">
        <v>17263</v>
      </c>
      <c r="AA200" s="7">
        <v>6489</v>
      </c>
      <c r="AB200" s="13"/>
    </row>
    <row r="201" spans="10:28" ht="15.6" customHeight="1" x14ac:dyDescent="0.3">
      <c r="J201" s="2">
        <v>197</v>
      </c>
      <c r="K201" s="41" t="s">
        <v>28</v>
      </c>
      <c r="L201" s="41" t="s">
        <v>32</v>
      </c>
      <c r="M201" s="41" t="s">
        <v>34</v>
      </c>
      <c r="N201" s="41" t="s">
        <v>34</v>
      </c>
      <c r="O201" s="41" t="s">
        <v>34</v>
      </c>
      <c r="Q201" s="17">
        <f t="shared" si="35"/>
        <v>3</v>
      </c>
      <c r="R201" s="17">
        <f t="shared" si="36"/>
        <v>7</v>
      </c>
      <c r="S201" s="17">
        <f t="shared" si="37"/>
        <v>9</v>
      </c>
      <c r="T201" s="17">
        <f t="shared" si="38"/>
        <v>9</v>
      </c>
      <c r="U201" s="17">
        <f t="shared" si="39"/>
        <v>9</v>
      </c>
      <c r="W201" s="7">
        <v>15499</v>
      </c>
      <c r="X201" s="7">
        <v>6823</v>
      </c>
      <c r="Y201" s="7">
        <v>3942</v>
      </c>
      <c r="Z201" s="7">
        <v>6920</v>
      </c>
      <c r="AA201" s="7">
        <v>8464</v>
      </c>
      <c r="AB201" s="13"/>
    </row>
    <row r="202" spans="10:28" ht="15.6" customHeight="1" x14ac:dyDescent="0.3">
      <c r="J202" s="2">
        <v>198</v>
      </c>
      <c r="K202" s="41" t="s">
        <v>34</v>
      </c>
      <c r="L202" s="41" t="s">
        <v>32</v>
      </c>
      <c r="M202" s="41" t="s">
        <v>34</v>
      </c>
      <c r="N202" s="41" t="s">
        <v>33</v>
      </c>
      <c r="O202" s="41" t="s">
        <v>35</v>
      </c>
      <c r="Q202" s="17">
        <f t="shared" si="35"/>
        <v>9</v>
      </c>
      <c r="R202" s="17">
        <f t="shared" si="36"/>
        <v>7</v>
      </c>
      <c r="S202" s="17">
        <f t="shared" si="37"/>
        <v>9</v>
      </c>
      <c r="T202" s="17">
        <f t="shared" si="38"/>
        <v>8</v>
      </c>
      <c r="U202" s="17">
        <f t="shared" si="39"/>
        <v>10</v>
      </c>
      <c r="W202" s="7">
        <v>18382</v>
      </c>
      <c r="X202" s="7">
        <v>15300</v>
      </c>
      <c r="Y202" s="7">
        <v>14188</v>
      </c>
      <c r="Z202" s="7">
        <v>7612</v>
      </c>
      <c r="AA202" s="7">
        <v>7280</v>
      </c>
      <c r="AB202" s="13"/>
    </row>
    <row r="203" spans="10:28" ht="15.6" customHeight="1" x14ac:dyDescent="0.3">
      <c r="J203" s="2">
        <v>199</v>
      </c>
      <c r="K203" s="41" t="s">
        <v>30</v>
      </c>
      <c r="L203" s="41" t="s">
        <v>33</v>
      </c>
      <c r="M203" s="41" t="s">
        <v>30</v>
      </c>
      <c r="N203" s="41" t="s">
        <v>34</v>
      </c>
      <c r="O203" s="41" t="s">
        <v>34</v>
      </c>
      <c r="Q203" s="17">
        <f t="shared" si="35"/>
        <v>5</v>
      </c>
      <c r="R203" s="17">
        <f t="shared" si="36"/>
        <v>8</v>
      </c>
      <c r="S203" s="17">
        <f t="shared" si="37"/>
        <v>5</v>
      </c>
      <c r="T203" s="17">
        <f t="shared" si="38"/>
        <v>9</v>
      </c>
      <c r="U203" s="17">
        <f t="shared" si="39"/>
        <v>9</v>
      </c>
      <c r="W203" s="7">
        <v>17180</v>
      </c>
      <c r="X203" s="7">
        <v>16780</v>
      </c>
      <c r="Y203" s="7">
        <v>5217</v>
      </c>
      <c r="Z203" s="7">
        <v>6812</v>
      </c>
      <c r="AA203" s="7">
        <v>7224</v>
      </c>
      <c r="AB203" s="13"/>
    </row>
    <row r="204" spans="10:28" ht="15.6" customHeight="1" x14ac:dyDescent="0.3">
      <c r="AB204" s="13"/>
    </row>
    <row r="205" spans="10:28" ht="15.6" customHeight="1" x14ac:dyDescent="0.3">
      <c r="AB205" s="13"/>
    </row>
    <row r="206" spans="10:28" ht="15.6" customHeight="1" x14ac:dyDescent="0.3">
      <c r="AB206" s="13"/>
    </row>
    <row r="207" spans="10:28" ht="15.6" customHeight="1" x14ac:dyDescent="0.3">
      <c r="AB207" s="13"/>
    </row>
    <row r="208" spans="10:28" ht="15.6" customHeight="1" x14ac:dyDescent="0.3">
      <c r="AB208" s="13"/>
    </row>
    <row r="209" spans="28:28" ht="15.6" customHeight="1" x14ac:dyDescent="0.3">
      <c r="AB209" s="13"/>
    </row>
    <row r="210" spans="28:28" ht="15.6" customHeight="1" x14ac:dyDescent="0.3">
      <c r="AB210" s="13"/>
    </row>
    <row r="211" spans="28:28" ht="15.6" customHeight="1" x14ac:dyDescent="0.3">
      <c r="AB211" s="13"/>
    </row>
    <row r="212" spans="28:28" ht="15.6" customHeight="1" x14ac:dyDescent="0.3">
      <c r="AB212" s="13"/>
    </row>
    <row r="213" spans="28:28" ht="15.6" customHeight="1" x14ac:dyDescent="0.3">
      <c r="AB213" s="13"/>
    </row>
    <row r="214" spans="28:28" ht="15.6" customHeight="1" x14ac:dyDescent="0.3">
      <c r="AB214" s="13"/>
    </row>
    <row r="215" spans="28:28" ht="15.6" customHeight="1" x14ac:dyDescent="0.3">
      <c r="AB215" s="13"/>
    </row>
    <row r="216" spans="28:28" ht="15.6" customHeight="1" x14ac:dyDescent="0.3">
      <c r="AB216" s="13"/>
    </row>
    <row r="217" spans="28:28" ht="15.6" customHeight="1" x14ac:dyDescent="0.3">
      <c r="AB217" s="13"/>
    </row>
    <row r="218" spans="28:28" ht="15.6" customHeight="1" x14ac:dyDescent="0.3">
      <c r="AB218" s="13"/>
    </row>
    <row r="219" spans="28:28" ht="15.6" customHeight="1" x14ac:dyDescent="0.3">
      <c r="AB219" s="13"/>
    </row>
    <row r="220" spans="28:28" ht="15.6" customHeight="1" x14ac:dyDescent="0.3">
      <c r="AB220" s="13"/>
    </row>
    <row r="221" spans="28:28" ht="15.6" customHeight="1" x14ac:dyDescent="0.3">
      <c r="AB221" s="13"/>
    </row>
    <row r="222" spans="28:28" ht="15.6" customHeight="1" x14ac:dyDescent="0.3">
      <c r="AB222" s="13"/>
    </row>
    <row r="223" spans="28:28" ht="15.6" customHeight="1" x14ac:dyDescent="0.3">
      <c r="AB223" s="13"/>
    </row>
    <row r="224" spans="28:28" ht="15.6" customHeight="1" x14ac:dyDescent="0.3">
      <c r="AB224" s="13"/>
    </row>
    <row r="225" spans="28:28" ht="15.6" customHeight="1" x14ac:dyDescent="0.3">
      <c r="AB225" s="13"/>
    </row>
    <row r="226" spans="28:28" ht="15.6" customHeight="1" x14ac:dyDescent="0.3">
      <c r="AB226" s="13"/>
    </row>
    <row r="227" spans="28:28" ht="15.6" customHeight="1" x14ac:dyDescent="0.3">
      <c r="AB227" s="13"/>
    </row>
    <row r="228" spans="28:28" ht="15.6" customHeight="1" x14ac:dyDescent="0.3">
      <c r="AB228" s="13"/>
    </row>
    <row r="229" spans="28:28" ht="15.6" customHeight="1" x14ac:dyDescent="0.3">
      <c r="AB229" s="13"/>
    </row>
    <row r="230" spans="28:28" ht="15.6" customHeight="1" x14ac:dyDescent="0.3">
      <c r="AB230" s="13"/>
    </row>
    <row r="231" spans="28:28" ht="15.6" customHeight="1" x14ac:dyDescent="0.3">
      <c r="AB231" s="13"/>
    </row>
    <row r="232" spans="28:28" ht="15.6" customHeight="1" x14ac:dyDescent="0.3">
      <c r="AB232" s="13"/>
    </row>
    <row r="233" spans="28:28" ht="15.6" customHeight="1" x14ac:dyDescent="0.3">
      <c r="AB233" s="13"/>
    </row>
    <row r="234" spans="28:28" ht="15.6" customHeight="1" x14ac:dyDescent="0.3">
      <c r="AB234" s="13"/>
    </row>
    <row r="235" spans="28:28" ht="15.6" customHeight="1" x14ac:dyDescent="0.3">
      <c r="AB235" s="13"/>
    </row>
    <row r="236" spans="28:28" ht="15.6" customHeight="1" x14ac:dyDescent="0.3">
      <c r="AB236" s="13"/>
    </row>
    <row r="237" spans="28:28" ht="15.6" customHeight="1" x14ac:dyDescent="0.3">
      <c r="AB237" s="13"/>
    </row>
    <row r="238" spans="28:28" ht="15.6" customHeight="1" x14ac:dyDescent="0.3">
      <c r="AB238" s="13"/>
    </row>
    <row r="239" spans="28:28" ht="15.6" customHeight="1" x14ac:dyDescent="0.3">
      <c r="AB239" s="13"/>
    </row>
    <row r="240" spans="28:28" ht="15.6" customHeight="1" x14ac:dyDescent="0.3">
      <c r="AB240" s="13"/>
    </row>
    <row r="241" spans="28:28" ht="15.6" customHeight="1" x14ac:dyDescent="0.3">
      <c r="AB241" s="13"/>
    </row>
    <row r="242" spans="28:28" ht="15.6" customHeight="1" x14ac:dyDescent="0.3">
      <c r="AB242" s="13"/>
    </row>
    <row r="243" spans="28:28" ht="15.6" customHeight="1" x14ac:dyDescent="0.3">
      <c r="AB243" s="13"/>
    </row>
    <row r="244" spans="28:28" ht="15.6" customHeight="1" x14ac:dyDescent="0.3">
      <c r="AB244" s="13"/>
    </row>
    <row r="245" spans="28:28" ht="15.6" customHeight="1" x14ac:dyDescent="0.3">
      <c r="AB245" s="13"/>
    </row>
    <row r="246" spans="28:28" ht="15.6" customHeight="1" x14ac:dyDescent="0.3">
      <c r="AB246" s="13"/>
    </row>
    <row r="247" spans="28:28" ht="15.6" customHeight="1" x14ac:dyDescent="0.3">
      <c r="AB247" s="13"/>
    </row>
    <row r="248" spans="28:28" ht="15.6" customHeight="1" x14ac:dyDescent="0.3">
      <c r="AB248" s="13"/>
    </row>
    <row r="249" spans="28:28" ht="15.6" customHeight="1" x14ac:dyDescent="0.3">
      <c r="AB249" s="13"/>
    </row>
    <row r="250" spans="28:28" ht="15.6" customHeight="1" x14ac:dyDescent="0.3">
      <c r="AB250" s="13"/>
    </row>
    <row r="251" spans="28:28" ht="15.6" customHeight="1" x14ac:dyDescent="0.3">
      <c r="AB251" s="13"/>
    </row>
    <row r="252" spans="28:28" ht="15.6" customHeight="1" x14ac:dyDescent="0.3">
      <c r="AB252" s="13"/>
    </row>
    <row r="253" spans="28:28" ht="15.6" customHeight="1" x14ac:dyDescent="0.3">
      <c r="AB253" s="13"/>
    </row>
    <row r="254" spans="28:28" ht="15.6" customHeight="1" x14ac:dyDescent="0.3">
      <c r="AB254" s="13"/>
    </row>
    <row r="255" spans="28:28" ht="15.6" customHeight="1" x14ac:dyDescent="0.3">
      <c r="AB255" s="13"/>
    </row>
    <row r="256" spans="28:28" ht="15.6" customHeight="1" x14ac:dyDescent="0.3">
      <c r="AB256" s="13"/>
    </row>
    <row r="257" spans="28:28" ht="15.6" customHeight="1" x14ac:dyDescent="0.3">
      <c r="AB257" s="13"/>
    </row>
    <row r="258" spans="28:28" ht="15.6" customHeight="1" x14ac:dyDescent="0.3">
      <c r="AB258" s="13"/>
    </row>
    <row r="259" spans="28:28" ht="15.6" customHeight="1" x14ac:dyDescent="0.3">
      <c r="AB259" s="13"/>
    </row>
    <row r="260" spans="28:28" ht="15.6" customHeight="1" x14ac:dyDescent="0.3">
      <c r="AB260" s="13"/>
    </row>
    <row r="261" spans="28:28" ht="15.6" customHeight="1" x14ac:dyDescent="0.3">
      <c r="AB261" s="13"/>
    </row>
    <row r="262" spans="28:28" ht="15.6" customHeight="1" x14ac:dyDescent="0.3">
      <c r="AB262" s="13"/>
    </row>
    <row r="263" spans="28:28" ht="15.6" customHeight="1" x14ac:dyDescent="0.3">
      <c r="AB263" s="13"/>
    </row>
    <row r="264" spans="28:28" ht="15.6" customHeight="1" x14ac:dyDescent="0.3">
      <c r="AB264" s="13"/>
    </row>
    <row r="265" spans="28:28" ht="15.6" customHeight="1" x14ac:dyDescent="0.3">
      <c r="AB265" s="13"/>
    </row>
    <row r="266" spans="28:28" ht="15.6" customHeight="1" x14ac:dyDescent="0.3">
      <c r="AB266" s="13"/>
    </row>
    <row r="267" spans="28:28" ht="15.6" customHeight="1" x14ac:dyDescent="0.3">
      <c r="AB267" s="13"/>
    </row>
    <row r="268" spans="28:28" ht="15.6" customHeight="1" x14ac:dyDescent="0.3">
      <c r="AB268" s="13"/>
    </row>
    <row r="269" spans="28:28" ht="15.6" customHeight="1" x14ac:dyDescent="0.3">
      <c r="AB269" s="13"/>
    </row>
    <row r="270" spans="28:28" ht="15.6" customHeight="1" x14ac:dyDescent="0.3">
      <c r="AB270" s="13"/>
    </row>
    <row r="271" spans="28:28" ht="15.6" customHeight="1" x14ac:dyDescent="0.3">
      <c r="AB271" s="13"/>
    </row>
    <row r="272" spans="28:28" ht="15.6" customHeight="1" x14ac:dyDescent="0.3">
      <c r="AB272" s="13"/>
    </row>
    <row r="273" spans="28:28" ht="15.6" customHeight="1" x14ac:dyDescent="0.3">
      <c r="AB273" s="13"/>
    </row>
    <row r="274" spans="28:28" ht="15.6" customHeight="1" x14ac:dyDescent="0.3">
      <c r="AB274" s="13"/>
    </row>
    <row r="275" spans="28:28" ht="15.6" customHeight="1" x14ac:dyDescent="0.3">
      <c r="AB275" s="13"/>
    </row>
    <row r="276" spans="28:28" ht="15.6" customHeight="1" x14ac:dyDescent="0.3">
      <c r="AB276" s="13"/>
    </row>
    <row r="277" spans="28:28" ht="15.6" customHeight="1" x14ac:dyDescent="0.3">
      <c r="AB277" s="13"/>
    </row>
    <row r="278" spans="28:28" ht="15.6" customHeight="1" x14ac:dyDescent="0.3">
      <c r="AB278" s="13"/>
    </row>
    <row r="279" spans="28:28" ht="15.6" customHeight="1" x14ac:dyDescent="0.3">
      <c r="AB279" s="13"/>
    </row>
    <row r="280" spans="28:28" ht="15.6" customHeight="1" x14ac:dyDescent="0.3">
      <c r="AB280" s="13"/>
    </row>
    <row r="281" spans="28:28" ht="15.6" customHeight="1" x14ac:dyDescent="0.3">
      <c r="AB281" s="13"/>
    </row>
    <row r="282" spans="28:28" ht="15.6" customHeight="1" x14ac:dyDescent="0.3">
      <c r="AB282" s="13"/>
    </row>
    <row r="283" spans="28:28" ht="15.6" customHeight="1" x14ac:dyDescent="0.3">
      <c r="AB283" s="13"/>
    </row>
    <row r="284" spans="28:28" ht="15.6" customHeight="1" x14ac:dyDescent="0.3">
      <c r="AB284" s="13"/>
    </row>
    <row r="285" spans="28:28" ht="15.6" customHeight="1" x14ac:dyDescent="0.3">
      <c r="AB285" s="13"/>
    </row>
    <row r="286" spans="28:28" ht="15.6" customHeight="1" x14ac:dyDescent="0.3">
      <c r="AB286" s="13"/>
    </row>
    <row r="287" spans="28:28" ht="15.6" customHeight="1" x14ac:dyDescent="0.3">
      <c r="AB287" s="13"/>
    </row>
    <row r="288" spans="28:28" ht="15.6" customHeight="1" x14ac:dyDescent="0.3">
      <c r="AB288" s="13"/>
    </row>
    <row r="289" spans="28:28" ht="15.6" customHeight="1" x14ac:dyDescent="0.3">
      <c r="AB289" s="13"/>
    </row>
    <row r="290" spans="28:28" ht="15.6" customHeight="1" x14ac:dyDescent="0.3">
      <c r="AB290" s="13"/>
    </row>
    <row r="291" spans="28:28" ht="15.6" customHeight="1" x14ac:dyDescent="0.3">
      <c r="AB291" s="13"/>
    </row>
    <row r="292" spans="28:28" ht="15.6" customHeight="1" x14ac:dyDescent="0.3">
      <c r="AB292" s="13"/>
    </row>
    <row r="293" spans="28:28" ht="15.6" customHeight="1" x14ac:dyDescent="0.3">
      <c r="AB293" s="13"/>
    </row>
    <row r="294" spans="28:28" ht="15.6" customHeight="1" x14ac:dyDescent="0.3">
      <c r="AB294" s="13"/>
    </row>
    <row r="295" spans="28:28" ht="15.6" customHeight="1" x14ac:dyDescent="0.3">
      <c r="AB295" s="13"/>
    </row>
    <row r="296" spans="28:28" ht="15.6" customHeight="1" x14ac:dyDescent="0.3">
      <c r="AB296" s="13"/>
    </row>
    <row r="297" spans="28:28" ht="15.6" customHeight="1" x14ac:dyDescent="0.3">
      <c r="AB297" s="13"/>
    </row>
    <row r="298" spans="28:28" ht="15.6" customHeight="1" x14ac:dyDescent="0.3">
      <c r="AB298" s="13"/>
    </row>
    <row r="299" spans="28:28" ht="15.6" customHeight="1" x14ac:dyDescent="0.3">
      <c r="AB299" s="13"/>
    </row>
    <row r="300" spans="28:28" ht="15.6" customHeight="1" x14ac:dyDescent="0.3">
      <c r="AB300" s="13"/>
    </row>
    <row r="301" spans="28:28" ht="15.6" customHeight="1" x14ac:dyDescent="0.3">
      <c r="AB301" s="13"/>
    </row>
    <row r="302" spans="28:28" ht="15.6" customHeight="1" x14ac:dyDescent="0.3">
      <c r="AB302" s="13"/>
    </row>
    <row r="303" spans="28:28" ht="15.6" customHeight="1" x14ac:dyDescent="0.3">
      <c r="AB303" s="13"/>
    </row>
    <row r="304" spans="28:28" ht="15.6" customHeight="1" x14ac:dyDescent="0.3">
      <c r="AB304" s="13"/>
    </row>
    <row r="305" spans="28:28" ht="15.6" customHeight="1" x14ac:dyDescent="0.3">
      <c r="AB305" s="13"/>
    </row>
    <row r="306" spans="28:28" ht="15.6" customHeight="1" x14ac:dyDescent="0.3">
      <c r="AB306" s="13"/>
    </row>
    <row r="307" spans="28:28" ht="15.6" customHeight="1" x14ac:dyDescent="0.3">
      <c r="AB307" s="13"/>
    </row>
    <row r="308" spans="28:28" ht="15.6" customHeight="1" x14ac:dyDescent="0.3">
      <c r="AB308" s="13"/>
    </row>
    <row r="309" spans="28:28" ht="15.6" customHeight="1" x14ac:dyDescent="0.3">
      <c r="AB309" s="13"/>
    </row>
    <row r="310" spans="28:28" ht="15.6" customHeight="1" x14ac:dyDescent="0.3">
      <c r="AB310" s="13"/>
    </row>
    <row r="311" spans="28:28" ht="15.6" customHeight="1" x14ac:dyDescent="0.3">
      <c r="AB311" s="13"/>
    </row>
    <row r="312" spans="28:28" ht="15.6" customHeight="1" x14ac:dyDescent="0.3">
      <c r="AB312" s="13"/>
    </row>
    <row r="313" spans="28:28" ht="15.6" customHeight="1" x14ac:dyDescent="0.3">
      <c r="AB313" s="13"/>
    </row>
    <row r="314" spans="28:28" ht="15.6" customHeight="1" x14ac:dyDescent="0.3">
      <c r="AB314" s="13"/>
    </row>
    <row r="315" spans="28:28" ht="15.6" customHeight="1" x14ac:dyDescent="0.3">
      <c r="AB315" s="13"/>
    </row>
    <row r="316" spans="28:28" ht="15.6" customHeight="1" x14ac:dyDescent="0.3">
      <c r="AB316" s="13"/>
    </row>
    <row r="317" spans="28:28" ht="15.6" customHeight="1" x14ac:dyDescent="0.3">
      <c r="AB317" s="13"/>
    </row>
    <row r="318" spans="28:28" ht="15.6" customHeight="1" x14ac:dyDescent="0.3">
      <c r="AB318" s="13"/>
    </row>
    <row r="319" spans="28:28" ht="15.6" customHeight="1" x14ac:dyDescent="0.3">
      <c r="AB319" s="13"/>
    </row>
    <row r="320" spans="28:28" ht="15.6" customHeight="1" x14ac:dyDescent="0.3">
      <c r="AB320" s="13"/>
    </row>
    <row r="321" spans="28:28" ht="15.6" customHeight="1" x14ac:dyDescent="0.3">
      <c r="AB321" s="13"/>
    </row>
    <row r="322" spans="28:28" ht="15.6" customHeight="1" x14ac:dyDescent="0.3">
      <c r="AB322" s="13"/>
    </row>
    <row r="323" spans="28:28" ht="15.6" customHeight="1" x14ac:dyDescent="0.3">
      <c r="AB323" s="13"/>
    </row>
    <row r="324" spans="28:28" ht="15.6" customHeight="1" x14ac:dyDescent="0.3">
      <c r="AB324" s="13"/>
    </row>
    <row r="325" spans="28:28" ht="15.6" customHeight="1" x14ac:dyDescent="0.3">
      <c r="AB325" s="13"/>
    </row>
    <row r="326" spans="28:28" ht="15.6" customHeight="1" x14ac:dyDescent="0.3">
      <c r="AB326" s="13"/>
    </row>
    <row r="327" spans="28:28" ht="15.6" customHeight="1" x14ac:dyDescent="0.3">
      <c r="AB327" s="13"/>
    </row>
    <row r="328" spans="28:28" ht="15.6" customHeight="1" x14ac:dyDescent="0.3">
      <c r="AB328" s="13"/>
    </row>
    <row r="329" spans="28:28" ht="15.6" customHeight="1" x14ac:dyDescent="0.3">
      <c r="AB329" s="13"/>
    </row>
    <row r="330" spans="28:28" ht="15.6" customHeight="1" x14ac:dyDescent="0.3">
      <c r="AB330" s="13"/>
    </row>
    <row r="331" spans="28:28" ht="15.6" customHeight="1" x14ac:dyDescent="0.3">
      <c r="AB331" s="13"/>
    </row>
    <row r="332" spans="28:28" ht="15.6" customHeight="1" x14ac:dyDescent="0.3">
      <c r="AB332" s="13"/>
    </row>
    <row r="333" spans="28:28" ht="15.6" customHeight="1" x14ac:dyDescent="0.3">
      <c r="AB333" s="13"/>
    </row>
    <row r="334" spans="28:28" ht="15.6" customHeight="1" x14ac:dyDescent="0.3">
      <c r="AB334" s="13"/>
    </row>
    <row r="335" spans="28:28" ht="15.6" customHeight="1" x14ac:dyDescent="0.3">
      <c r="AB335" s="13"/>
    </row>
    <row r="336" spans="28:28" ht="15.6" customHeight="1" x14ac:dyDescent="0.3">
      <c r="AB336" s="13"/>
    </row>
    <row r="337" spans="28:28" ht="15.6" customHeight="1" x14ac:dyDescent="0.3">
      <c r="AB337" s="13"/>
    </row>
    <row r="338" spans="28:28" ht="15.6" customHeight="1" x14ac:dyDescent="0.3">
      <c r="AB338" s="13"/>
    </row>
    <row r="339" spans="28:28" ht="15.6" customHeight="1" x14ac:dyDescent="0.3">
      <c r="AB339" s="13"/>
    </row>
    <row r="340" spans="28:28" ht="15.6" customHeight="1" x14ac:dyDescent="0.3">
      <c r="AB340" s="13"/>
    </row>
    <row r="341" spans="28:28" ht="15.6" customHeight="1" x14ac:dyDescent="0.3">
      <c r="AB341" s="13"/>
    </row>
    <row r="342" spans="28:28" ht="15.6" customHeight="1" x14ac:dyDescent="0.3">
      <c r="AB342" s="13"/>
    </row>
    <row r="343" spans="28:28" ht="15.6" customHeight="1" x14ac:dyDescent="0.3">
      <c r="AB343" s="13"/>
    </row>
    <row r="344" spans="28:28" ht="15.6" customHeight="1" x14ac:dyDescent="0.3">
      <c r="AB344" s="13"/>
    </row>
    <row r="345" spans="28:28" ht="15.6" customHeight="1" x14ac:dyDescent="0.3">
      <c r="AB345" s="13"/>
    </row>
    <row r="346" spans="28:28" ht="15.6" customHeight="1" x14ac:dyDescent="0.3">
      <c r="AB346" s="13"/>
    </row>
    <row r="347" spans="28:28" ht="15.6" customHeight="1" x14ac:dyDescent="0.3">
      <c r="AB347" s="13"/>
    </row>
    <row r="348" spans="28:28" ht="15.6" customHeight="1" x14ac:dyDescent="0.3">
      <c r="AB348" s="13"/>
    </row>
    <row r="349" spans="28:28" ht="15.6" customHeight="1" x14ac:dyDescent="0.3">
      <c r="AB349" s="13"/>
    </row>
    <row r="350" spans="28:28" ht="15.6" customHeight="1" x14ac:dyDescent="0.3">
      <c r="AB350" s="13"/>
    </row>
    <row r="351" spans="28:28" ht="15.6" customHeight="1" x14ac:dyDescent="0.3">
      <c r="AB351" s="13"/>
    </row>
    <row r="352" spans="28:28" ht="15.6" customHeight="1" x14ac:dyDescent="0.3">
      <c r="AB352" s="13"/>
    </row>
    <row r="353" spans="28:28" ht="15.6" customHeight="1" x14ac:dyDescent="0.3">
      <c r="AB353" s="13"/>
    </row>
    <row r="354" spans="28:28" ht="15.6" customHeight="1" x14ac:dyDescent="0.3">
      <c r="AB354" s="13"/>
    </row>
    <row r="355" spans="28:28" ht="15.6" customHeight="1" x14ac:dyDescent="0.3">
      <c r="AB355" s="13"/>
    </row>
    <row r="356" spans="28:28" ht="15.6" customHeight="1" x14ac:dyDescent="0.3">
      <c r="AB356" s="13"/>
    </row>
    <row r="357" spans="28:28" ht="15.6" customHeight="1" x14ac:dyDescent="0.3">
      <c r="AB357" s="13"/>
    </row>
    <row r="358" spans="28:28" ht="15.6" customHeight="1" x14ac:dyDescent="0.3">
      <c r="AB358" s="13"/>
    </row>
    <row r="359" spans="28:28" ht="15.6" customHeight="1" x14ac:dyDescent="0.3">
      <c r="AB359" s="13"/>
    </row>
    <row r="360" spans="28:28" ht="15.6" customHeight="1" x14ac:dyDescent="0.3">
      <c r="AB360" s="13"/>
    </row>
    <row r="361" spans="28:28" ht="15.6" customHeight="1" x14ac:dyDescent="0.3">
      <c r="AB361" s="13"/>
    </row>
    <row r="362" spans="28:28" ht="15.6" customHeight="1" x14ac:dyDescent="0.3">
      <c r="AB362" s="13"/>
    </row>
    <row r="363" spans="28:28" ht="15.6" customHeight="1" x14ac:dyDescent="0.3">
      <c r="AB363" s="13"/>
    </row>
    <row r="364" spans="28:28" ht="15.6" customHeight="1" x14ac:dyDescent="0.3">
      <c r="AB364" s="13"/>
    </row>
    <row r="365" spans="28:28" ht="15.6" customHeight="1" x14ac:dyDescent="0.3">
      <c r="AB365" s="13"/>
    </row>
    <row r="366" spans="28:28" ht="15.6" customHeight="1" x14ac:dyDescent="0.3">
      <c r="AB366" s="13"/>
    </row>
    <row r="367" spans="28:28" ht="15.6" customHeight="1" x14ac:dyDescent="0.3">
      <c r="AB367" s="13"/>
    </row>
    <row r="368" spans="28:28" ht="15.6" customHeight="1" x14ac:dyDescent="0.3">
      <c r="AB368" s="13"/>
    </row>
    <row r="369" spans="28:28" ht="15.6" customHeight="1" x14ac:dyDescent="0.3">
      <c r="AB369" s="13"/>
    </row>
    <row r="370" spans="28:28" ht="15.6" customHeight="1" x14ac:dyDescent="0.3">
      <c r="AB370" s="13"/>
    </row>
    <row r="371" spans="28:28" ht="15.6" customHeight="1" x14ac:dyDescent="0.3">
      <c r="AB371" s="13"/>
    </row>
    <row r="372" spans="28:28" ht="15.6" customHeight="1" x14ac:dyDescent="0.3">
      <c r="AB372" s="13"/>
    </row>
    <row r="373" spans="28:28" ht="15.6" customHeight="1" x14ac:dyDescent="0.3">
      <c r="AB373" s="13"/>
    </row>
    <row r="374" spans="28:28" ht="15.6" customHeight="1" x14ac:dyDescent="0.3">
      <c r="AB374" s="13"/>
    </row>
    <row r="375" spans="28:28" ht="15.6" customHeight="1" x14ac:dyDescent="0.3">
      <c r="AB375" s="13"/>
    </row>
    <row r="376" spans="28:28" ht="15.6" customHeight="1" x14ac:dyDescent="0.3">
      <c r="AB376" s="13"/>
    </row>
    <row r="377" spans="28:28" ht="15.6" customHeight="1" x14ac:dyDescent="0.3">
      <c r="AB377" s="13"/>
    </row>
    <row r="378" spans="28:28" ht="15.6" customHeight="1" x14ac:dyDescent="0.3">
      <c r="AB378" s="13"/>
    </row>
    <row r="379" spans="28:28" ht="15.6" customHeight="1" x14ac:dyDescent="0.3">
      <c r="AB379" s="13"/>
    </row>
    <row r="380" spans="28:28" ht="15.6" customHeight="1" x14ac:dyDescent="0.3">
      <c r="AB380" s="13"/>
    </row>
    <row r="381" spans="28:28" ht="15.6" customHeight="1" x14ac:dyDescent="0.3">
      <c r="AB381" s="13"/>
    </row>
    <row r="382" spans="28:28" ht="15.6" customHeight="1" x14ac:dyDescent="0.3">
      <c r="AB382" s="13"/>
    </row>
    <row r="383" spans="28:28" ht="15.6" customHeight="1" x14ac:dyDescent="0.3">
      <c r="AB383" s="13"/>
    </row>
    <row r="384" spans="28:28" ht="15.6" customHeight="1" x14ac:dyDescent="0.3">
      <c r="AB384" s="13"/>
    </row>
    <row r="385" spans="28:28" ht="15.6" customHeight="1" x14ac:dyDescent="0.3">
      <c r="AB385" s="13"/>
    </row>
    <row r="386" spans="28:28" ht="15.6" customHeight="1" x14ac:dyDescent="0.3">
      <c r="AB386" s="13"/>
    </row>
    <row r="387" spans="28:28" ht="15.6" customHeight="1" x14ac:dyDescent="0.3">
      <c r="AB387" s="13"/>
    </row>
    <row r="388" spans="28:28" ht="15.6" customHeight="1" x14ac:dyDescent="0.3">
      <c r="AB388" s="13"/>
    </row>
    <row r="389" spans="28:28" ht="15.6" customHeight="1" x14ac:dyDescent="0.3">
      <c r="AB389" s="13"/>
    </row>
    <row r="390" spans="28:28" ht="15.6" customHeight="1" x14ac:dyDescent="0.3">
      <c r="AB390" s="13"/>
    </row>
    <row r="391" spans="28:28" ht="15.6" customHeight="1" x14ac:dyDescent="0.3">
      <c r="AB391" s="13"/>
    </row>
    <row r="392" spans="28:28" ht="15.6" customHeight="1" x14ac:dyDescent="0.3">
      <c r="AB392" s="13"/>
    </row>
    <row r="393" spans="28:28" ht="15.6" customHeight="1" x14ac:dyDescent="0.3">
      <c r="AB393" s="13"/>
    </row>
    <row r="394" spans="28:28" ht="15.6" customHeight="1" x14ac:dyDescent="0.3">
      <c r="AB394" s="13"/>
    </row>
    <row r="395" spans="28:28" ht="15.6" customHeight="1" x14ac:dyDescent="0.3">
      <c r="AB395" s="13"/>
    </row>
    <row r="396" spans="28:28" ht="15.6" customHeight="1" x14ac:dyDescent="0.3">
      <c r="AB396" s="13"/>
    </row>
    <row r="397" spans="28:28" ht="15.6" customHeight="1" x14ac:dyDescent="0.3">
      <c r="AB397" s="13"/>
    </row>
    <row r="398" spans="28:28" ht="15.6" customHeight="1" x14ac:dyDescent="0.3">
      <c r="AB398" s="13"/>
    </row>
    <row r="399" spans="28:28" ht="15.6" customHeight="1" x14ac:dyDescent="0.3">
      <c r="AB399" s="13"/>
    </row>
    <row r="400" spans="28:28" ht="15.6" customHeight="1" x14ac:dyDescent="0.3">
      <c r="AB400" s="13"/>
    </row>
    <row r="401" spans="28:28" ht="15.6" customHeight="1" x14ac:dyDescent="0.3">
      <c r="AB401" s="13"/>
    </row>
    <row r="402" spans="28:28" ht="15.6" customHeight="1" x14ac:dyDescent="0.3">
      <c r="AB402" s="13"/>
    </row>
    <row r="403" spans="28:28" ht="15.6" customHeight="1" x14ac:dyDescent="0.3">
      <c r="AB403" s="13"/>
    </row>
  </sheetData>
  <phoneticPr fontId="20" type="noConversion"/>
  <conditionalFormatting sqref="K1:O3 K198:O1048576">
    <cfRule type="cellIs" dxfId="109" priority="16" operator="equal">
      <formula>$A$10</formula>
    </cfRule>
    <cfRule type="cellIs" dxfId="108" priority="17" operator="equal">
      <formula>$A$9</formula>
    </cfRule>
    <cfRule type="cellIs" dxfId="107" priority="18" operator="equal">
      <formula>$A$8</formula>
    </cfRule>
    <cfRule type="cellIs" dxfId="106" priority="19" operator="equal">
      <formula>$A$7</formula>
    </cfRule>
    <cfRule type="cellIs" dxfId="105" priority="20" operator="equal">
      <formula>$A$6</formula>
    </cfRule>
    <cfRule type="cellIs" dxfId="104" priority="21" operator="equal">
      <formula>$A$5</formula>
    </cfRule>
    <cfRule type="cellIs" dxfId="103" priority="22" operator="equal">
      <formula>$A$4</formula>
    </cfRule>
  </conditionalFormatting>
  <conditionalFormatting sqref="K4:O197">
    <cfRule type="cellIs" dxfId="102" priority="9" operator="equal">
      <formula>$A$10</formula>
    </cfRule>
    <cfRule type="cellIs" dxfId="101" priority="10" operator="equal">
      <formula>$A$9</formula>
    </cfRule>
    <cfRule type="cellIs" dxfId="100" priority="11" operator="equal">
      <formula>$A$8</formula>
    </cfRule>
    <cfRule type="cellIs" dxfId="99" priority="12" operator="equal">
      <formula>$A$7</formula>
    </cfRule>
    <cfRule type="cellIs" dxfId="98" priority="13" operator="equal">
      <formula>$A$6</formula>
    </cfRule>
    <cfRule type="cellIs" dxfId="97" priority="14" operator="equal">
      <formula>$A$5</formula>
    </cfRule>
    <cfRule type="cellIs" dxfId="96" priority="15" operator="equal">
      <formula>$A$4</formula>
    </cfRule>
  </conditionalFormatting>
  <conditionalFormatting sqref="AA1">
    <cfRule type="cellIs" dxfId="95" priority="2" operator="equal">
      <formula>$A$10</formula>
    </cfRule>
    <cfRule type="cellIs" dxfId="94" priority="3" operator="equal">
      <formula>$A$9</formula>
    </cfRule>
    <cfRule type="cellIs" dxfId="93" priority="4" operator="equal">
      <formula>$A$8</formula>
    </cfRule>
    <cfRule type="cellIs" dxfId="92" priority="5" operator="equal">
      <formula>$A$7</formula>
    </cfRule>
    <cfRule type="cellIs" dxfId="91" priority="6" operator="equal">
      <formula>$A$6</formula>
    </cfRule>
    <cfRule type="cellIs" dxfId="90" priority="7" operator="equal">
      <formula>$A$5</formula>
    </cfRule>
    <cfRule type="cellIs" dxfId="89" priority="8" operator="equal">
      <formula>$A$4</formula>
    </cfRule>
  </conditionalFormatting>
  <conditionalFormatting sqref="W4:AA203">
    <cfRule type="expression" dxfId="88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5"/>
  <dimension ref="A1:AK403"/>
  <sheetViews>
    <sheetView workbookViewId="0">
      <selection activeCell="AA1" sqref="W1:AA1048576"/>
    </sheetView>
  </sheetViews>
  <sheetFormatPr defaultColWidth="9" defaultRowHeight="15.6" x14ac:dyDescent="0.3"/>
  <cols>
    <col min="1" max="1" width="10.21875" style="13" bestFit="1" customWidth="1"/>
    <col min="2" max="2" width="17.88671875" style="13" bestFit="1" customWidth="1"/>
    <col min="3" max="7" width="6.109375" style="13" bestFit="1" customWidth="1"/>
    <col min="8" max="8" width="4.6640625" style="13" bestFit="1" customWidth="1"/>
    <col min="9" max="9" width="4.33203125" style="13" customWidth="1"/>
    <col min="10" max="10" width="10.21875" style="13" bestFit="1" customWidth="1"/>
    <col min="11" max="15" width="4.6640625" style="13" bestFit="1" customWidth="1"/>
    <col min="16" max="16" width="4.33203125" style="13" customWidth="1"/>
    <col min="17" max="17" width="14.6640625" style="13" bestFit="1" customWidth="1"/>
    <col min="18" max="21" width="4.6640625" style="6" bestFit="1" customWidth="1"/>
    <col min="22" max="22" width="4.33203125" style="13" customWidth="1"/>
    <col min="23" max="23" width="19.77734375" style="13" bestFit="1" customWidth="1"/>
    <col min="24" max="26" width="5.5546875" style="6" bestFit="1" customWidth="1"/>
    <col min="27" max="27" width="4.21875" style="6" bestFit="1" customWidth="1"/>
    <col min="28" max="28" width="9" style="11" customWidth="1"/>
    <col min="29" max="29" width="41" style="13" bestFit="1" customWidth="1"/>
    <col min="30" max="30" width="10.21875" style="13" bestFit="1" customWidth="1"/>
    <col min="31" max="31" width="9" style="13" customWidth="1"/>
    <col min="32" max="32" width="28.5546875" style="6" bestFit="1" customWidth="1"/>
    <col min="33" max="37" width="4.6640625" style="13" bestFit="1" customWidth="1"/>
    <col min="38" max="46" width="9" style="13" customWidth="1"/>
    <col min="47" max="16384" width="9" style="13"/>
  </cols>
  <sheetData>
    <row r="1" spans="1:37" ht="15.6" customHeight="1" x14ac:dyDescent="0.3"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3"/>
    </row>
    <row r="2" spans="1:37" ht="15.9" customHeight="1" x14ac:dyDescent="0.3">
      <c r="I2" s="4"/>
      <c r="J2" s="16" t="s">
        <v>19</v>
      </c>
      <c r="K2" s="16"/>
      <c r="L2" s="16"/>
      <c r="M2" s="16"/>
      <c r="N2" s="16"/>
      <c r="O2" s="16"/>
      <c r="P2" s="16"/>
      <c r="Q2" s="16" t="s">
        <v>68</v>
      </c>
      <c r="R2" s="46"/>
      <c r="S2" s="46"/>
      <c r="T2" s="46"/>
      <c r="U2" s="46"/>
      <c r="V2" s="16"/>
      <c r="W2" s="16" t="s">
        <v>69</v>
      </c>
      <c r="X2" s="46"/>
      <c r="AB2" s="13"/>
      <c r="AC2" s="16" t="s">
        <v>70</v>
      </c>
      <c r="AF2" s="6" t="s">
        <v>71</v>
      </c>
    </row>
    <row r="3" spans="1:37" ht="15.9" customHeight="1" x14ac:dyDescent="0.3">
      <c r="A3" s="5" t="s">
        <v>19</v>
      </c>
      <c r="B3" s="5" t="s">
        <v>20</v>
      </c>
      <c r="C3" s="5" t="s">
        <v>72</v>
      </c>
      <c r="D3" s="5" t="s">
        <v>73</v>
      </c>
      <c r="E3" s="5" t="s">
        <v>74</v>
      </c>
      <c r="F3" s="5" t="s">
        <v>75</v>
      </c>
      <c r="G3" s="5" t="s">
        <v>76</v>
      </c>
      <c r="H3" s="5" t="s">
        <v>77</v>
      </c>
      <c r="I3" s="4"/>
      <c r="J3" s="5" t="s">
        <v>78</v>
      </c>
      <c r="K3" s="5" t="s">
        <v>72</v>
      </c>
      <c r="L3" s="5" t="s">
        <v>73</v>
      </c>
      <c r="M3" s="5" t="s">
        <v>74</v>
      </c>
      <c r="N3" s="5" t="s">
        <v>75</v>
      </c>
      <c r="O3" s="5" t="s">
        <v>76</v>
      </c>
      <c r="Q3" s="5" t="s">
        <v>72</v>
      </c>
      <c r="R3" s="5" t="s">
        <v>73</v>
      </c>
      <c r="S3" s="5" t="s">
        <v>74</v>
      </c>
      <c r="T3" s="5" t="s">
        <v>75</v>
      </c>
      <c r="U3" s="5" t="s">
        <v>76</v>
      </c>
      <c r="W3" s="5" t="s">
        <v>72</v>
      </c>
      <c r="X3" s="5" t="s">
        <v>73</v>
      </c>
      <c r="Y3" s="5" t="s">
        <v>74</v>
      </c>
      <c r="Z3" s="5" t="s">
        <v>75</v>
      </c>
      <c r="AA3" s="5" t="s">
        <v>76</v>
      </c>
      <c r="AB3" s="13"/>
      <c r="AC3" s="5" t="s">
        <v>79</v>
      </c>
      <c r="AD3" s="5" t="s">
        <v>54</v>
      </c>
      <c r="AF3" s="5" t="s">
        <v>19</v>
      </c>
      <c r="AG3" s="5" t="s">
        <v>72</v>
      </c>
      <c r="AH3" s="5" t="s">
        <v>73</v>
      </c>
      <c r="AI3" s="5" t="s">
        <v>74</v>
      </c>
      <c r="AJ3" s="5" t="s">
        <v>75</v>
      </c>
      <c r="AK3" s="5" t="s">
        <v>76</v>
      </c>
    </row>
    <row r="4" spans="1:37" ht="15.9" customHeight="1" x14ac:dyDescent="0.3">
      <c r="A4" s="9" t="str">
        <f t="array" ref="A4:A22">Overview!A30:A48</f>
        <v>WW</v>
      </c>
      <c r="B4" s="38" t="str">
        <f t="array" ref="B4:B22">Overview!B30:B48</f>
        <v>Wild</v>
      </c>
      <c r="C4" s="9">
        <f t="shared" ref="C4:C22" si="0">COUNTIF(K:K,$A4)</f>
        <v>0</v>
      </c>
      <c r="D4" s="9">
        <f t="shared" ref="D4:D22" si="1">COUNTIF(L:L,$A4)</f>
        <v>0</v>
      </c>
      <c r="E4" s="9">
        <f t="shared" ref="E4:E22" si="2">COUNTIF(M:M,$A4)</f>
        <v>0</v>
      </c>
      <c r="F4" s="9">
        <f t="shared" ref="F4:F22" si="3">COUNTIF(N:N,$A4)</f>
        <v>0</v>
      </c>
      <c r="G4" s="9">
        <f t="shared" ref="G4:G22" si="4">COUNTIF(O:O,$A4)</f>
        <v>0</v>
      </c>
      <c r="H4" s="38">
        <f t="array" ref="H4:H22">Overview!H30:H48</f>
        <v>0</v>
      </c>
      <c r="I4" s="52"/>
      <c r="J4" s="7">
        <v>0</v>
      </c>
      <c r="K4" s="41" t="s">
        <v>35</v>
      </c>
      <c r="L4" s="8" t="s">
        <v>30</v>
      </c>
      <c r="M4" s="8" t="s">
        <v>44</v>
      </c>
      <c r="N4" s="8" t="s">
        <v>31</v>
      </c>
      <c r="O4" s="8" t="s">
        <v>35</v>
      </c>
      <c r="Q4" s="17">
        <f t="shared" ref="Q4:Q67" si="5">IF(K4="","",VLOOKUP(K4,$A$4:$H$22,8,FALSE))</f>
        <v>10</v>
      </c>
      <c r="R4" s="17">
        <f t="shared" ref="R4:R67" si="6">IF(L4="","",VLOOKUP(L4,$A$4:$H$22,8,FALSE))</f>
        <v>5</v>
      </c>
      <c r="S4" s="17">
        <f t="shared" ref="S4:S67" si="7">IF(M4="","",VLOOKUP(M4,$A$4:$H$22,8,FALSE))</f>
        <v>15</v>
      </c>
      <c r="T4" s="17">
        <f t="shared" ref="T4:T67" si="8">IF(N4="","",VLOOKUP(N4,$A$4:$H$22,8,FALSE))</f>
        <v>6</v>
      </c>
      <c r="U4" s="17">
        <f t="shared" ref="U4:U67" si="9">IF(O4="","",VLOOKUP(O4,$A$4:$H$22,8,FALSE))</f>
        <v>10</v>
      </c>
      <c r="W4" s="7">
        <v>0</v>
      </c>
      <c r="X4" s="7">
        <v>0</v>
      </c>
      <c r="Y4" s="7">
        <v>0</v>
      </c>
      <c r="Z4" s="7">
        <v>33</v>
      </c>
      <c r="AA4" s="7">
        <v>69</v>
      </c>
      <c r="AB4" s="13"/>
      <c r="AC4" s="38">
        <v>0</v>
      </c>
      <c r="AD4" s="10">
        <v>1</v>
      </c>
      <c r="AF4" s="9" t="str">
        <f t="array" ref="AF4:AF22">A4:A22</f>
        <v>WW</v>
      </c>
      <c r="AG4" s="9"/>
      <c r="AH4" s="9"/>
      <c r="AI4" s="9"/>
      <c r="AJ4" s="9"/>
      <c r="AK4" s="9"/>
    </row>
    <row r="5" spans="1:37" ht="15.9" customHeight="1" x14ac:dyDescent="0.3">
      <c r="A5" s="2" t="str">
        <v>W2</v>
      </c>
      <c r="B5" s="38" t="str">
        <v>Super Wild</v>
      </c>
      <c r="C5" s="9">
        <f t="shared" si="0"/>
        <v>0</v>
      </c>
      <c r="D5" s="9">
        <f t="shared" si="1"/>
        <v>0</v>
      </c>
      <c r="E5" s="9">
        <f t="shared" si="2"/>
        <v>0</v>
      </c>
      <c r="F5" s="9">
        <f t="shared" si="3"/>
        <v>0</v>
      </c>
      <c r="G5" s="9">
        <f t="shared" si="4"/>
        <v>0</v>
      </c>
      <c r="H5" s="38">
        <v>1</v>
      </c>
      <c r="I5" s="52"/>
      <c r="J5" s="2">
        <v>1</v>
      </c>
      <c r="K5" s="41" t="s">
        <v>32</v>
      </c>
      <c r="L5" s="41" t="s">
        <v>29</v>
      </c>
      <c r="M5" s="41" t="s">
        <v>30</v>
      </c>
      <c r="N5" s="41" t="s">
        <v>34</v>
      </c>
      <c r="O5" s="41" t="s">
        <v>30</v>
      </c>
      <c r="Q5" s="17">
        <f t="shared" si="5"/>
        <v>7</v>
      </c>
      <c r="R5" s="17">
        <f t="shared" si="6"/>
        <v>4</v>
      </c>
      <c r="S5" s="17">
        <f t="shared" si="7"/>
        <v>5</v>
      </c>
      <c r="T5" s="17">
        <f t="shared" si="8"/>
        <v>9</v>
      </c>
      <c r="U5" s="17">
        <f t="shared" si="9"/>
        <v>5</v>
      </c>
      <c r="W5" s="7">
        <v>0</v>
      </c>
      <c r="X5" s="7">
        <v>0</v>
      </c>
      <c r="Y5" s="7">
        <v>0</v>
      </c>
      <c r="Z5" s="7">
        <v>40</v>
      </c>
      <c r="AA5" s="7">
        <v>26</v>
      </c>
      <c r="AB5" s="13"/>
      <c r="AC5" s="38">
        <v>2</v>
      </c>
      <c r="AD5" s="10">
        <v>0</v>
      </c>
      <c r="AF5" s="2" t="str">
        <v>W2</v>
      </c>
      <c r="AG5" s="9"/>
      <c r="AH5" s="9"/>
      <c r="AI5" s="9"/>
      <c r="AJ5" s="9"/>
      <c r="AK5" s="9"/>
    </row>
    <row r="6" spans="1:37" ht="15.9" customHeight="1" x14ac:dyDescent="0.3">
      <c r="A6" s="2" t="str">
        <v>C1</v>
      </c>
      <c r="B6" s="38" t="str">
        <v>Scatter</v>
      </c>
      <c r="C6" s="9">
        <f t="shared" si="0"/>
        <v>2</v>
      </c>
      <c r="D6" s="9">
        <f t="shared" si="1"/>
        <v>4</v>
      </c>
      <c r="E6" s="9">
        <f t="shared" si="2"/>
        <v>3</v>
      </c>
      <c r="F6" s="9">
        <f t="shared" si="3"/>
        <v>3</v>
      </c>
      <c r="G6" s="9">
        <f t="shared" si="4"/>
        <v>3</v>
      </c>
      <c r="H6" s="38">
        <v>2</v>
      </c>
      <c r="I6" s="52"/>
      <c r="J6" s="2">
        <v>2</v>
      </c>
      <c r="K6" s="41" t="s">
        <v>33</v>
      </c>
      <c r="L6" s="41" t="s">
        <v>33</v>
      </c>
      <c r="M6" s="41" t="s">
        <v>40</v>
      </c>
      <c r="N6" s="41" t="s">
        <v>31</v>
      </c>
      <c r="O6" s="41" t="s">
        <v>30</v>
      </c>
      <c r="Q6" s="17">
        <f t="shared" si="5"/>
        <v>8</v>
      </c>
      <c r="R6" s="17">
        <f t="shared" si="6"/>
        <v>8</v>
      </c>
      <c r="S6" s="17">
        <f t="shared" si="7"/>
        <v>13</v>
      </c>
      <c r="T6" s="17">
        <f t="shared" si="8"/>
        <v>6</v>
      </c>
      <c r="U6" s="17">
        <f t="shared" si="9"/>
        <v>5</v>
      </c>
      <c r="W6" s="7">
        <v>0</v>
      </c>
      <c r="X6" s="7">
        <v>0</v>
      </c>
      <c r="Y6" s="7">
        <v>0</v>
      </c>
      <c r="Z6" s="7">
        <v>32</v>
      </c>
      <c r="AA6" s="7">
        <v>27</v>
      </c>
      <c r="AB6" s="13"/>
      <c r="AC6" s="38">
        <v>3</v>
      </c>
      <c r="AD6" s="10">
        <v>0</v>
      </c>
      <c r="AF6" s="2" t="str">
        <v>C1</v>
      </c>
      <c r="AG6" s="9"/>
      <c r="AH6" s="9"/>
      <c r="AI6" s="9"/>
      <c r="AJ6" s="9"/>
      <c r="AK6" s="9"/>
    </row>
    <row r="7" spans="1:37" ht="15.9" customHeight="1" x14ac:dyDescent="0.3">
      <c r="A7" s="2" t="str">
        <v>M1</v>
      </c>
      <c r="B7" s="38" t="str">
        <v>M1</v>
      </c>
      <c r="C7" s="9">
        <f t="shared" si="0"/>
        <v>17</v>
      </c>
      <c r="D7" s="9">
        <f t="shared" si="1"/>
        <v>12</v>
      </c>
      <c r="E7" s="9">
        <f t="shared" si="2"/>
        <v>12</v>
      </c>
      <c r="F7" s="9">
        <f t="shared" si="3"/>
        <v>10</v>
      </c>
      <c r="G7" s="9">
        <f t="shared" si="4"/>
        <v>16</v>
      </c>
      <c r="H7" s="38">
        <v>3</v>
      </c>
      <c r="I7" s="52"/>
      <c r="J7" s="2">
        <v>3</v>
      </c>
      <c r="K7" s="41" t="s">
        <v>33</v>
      </c>
      <c r="L7" s="41" t="s">
        <v>40</v>
      </c>
      <c r="M7" s="41" t="s">
        <v>28</v>
      </c>
      <c r="N7" s="41" t="s">
        <v>31</v>
      </c>
      <c r="O7" s="41" t="s">
        <v>34</v>
      </c>
      <c r="Q7" s="17">
        <f t="shared" si="5"/>
        <v>8</v>
      </c>
      <c r="R7" s="17">
        <f t="shared" si="6"/>
        <v>13</v>
      </c>
      <c r="S7" s="17">
        <f t="shared" si="7"/>
        <v>3</v>
      </c>
      <c r="T7" s="17">
        <f t="shared" si="8"/>
        <v>6</v>
      </c>
      <c r="U7" s="17">
        <f t="shared" si="9"/>
        <v>9</v>
      </c>
      <c r="W7" s="7">
        <v>0</v>
      </c>
      <c r="X7" s="7">
        <v>0</v>
      </c>
      <c r="Y7" s="7">
        <v>0</v>
      </c>
      <c r="Z7" s="7">
        <v>33</v>
      </c>
      <c r="AA7" s="7">
        <v>65</v>
      </c>
      <c r="AB7" s="13"/>
      <c r="AC7" s="38">
        <v>4</v>
      </c>
      <c r="AD7" s="10">
        <v>0</v>
      </c>
      <c r="AF7" s="2" t="str">
        <v>M1</v>
      </c>
      <c r="AG7" s="9"/>
      <c r="AH7" s="9"/>
      <c r="AI7" s="9"/>
      <c r="AJ7" s="9"/>
      <c r="AK7" s="9"/>
    </row>
    <row r="8" spans="1:37" ht="15.9" customHeight="1" x14ac:dyDescent="0.3">
      <c r="A8" s="2" t="str">
        <v>M2</v>
      </c>
      <c r="B8" s="38" t="str">
        <v>M2</v>
      </c>
      <c r="C8" s="9">
        <f t="shared" si="0"/>
        <v>24</v>
      </c>
      <c r="D8" s="9">
        <f t="shared" si="1"/>
        <v>26</v>
      </c>
      <c r="E8" s="9">
        <f t="shared" si="2"/>
        <v>14</v>
      </c>
      <c r="F8" s="9">
        <f t="shared" si="3"/>
        <v>13</v>
      </c>
      <c r="G8" s="9">
        <f t="shared" si="4"/>
        <v>27</v>
      </c>
      <c r="H8" s="38">
        <v>4</v>
      </c>
      <c r="I8" s="52"/>
      <c r="J8" s="2">
        <v>4</v>
      </c>
      <c r="K8" s="41" t="s">
        <v>31</v>
      </c>
      <c r="L8" s="41" t="s">
        <v>31</v>
      </c>
      <c r="M8" s="41" t="s">
        <v>35</v>
      </c>
      <c r="N8" s="41" t="s">
        <v>42</v>
      </c>
      <c r="O8" s="41" t="s">
        <v>30</v>
      </c>
      <c r="Q8" s="17">
        <f t="shared" si="5"/>
        <v>6</v>
      </c>
      <c r="R8" s="17">
        <f t="shared" si="6"/>
        <v>6</v>
      </c>
      <c r="S8" s="17">
        <f t="shared" si="7"/>
        <v>10</v>
      </c>
      <c r="T8" s="17">
        <f t="shared" si="8"/>
        <v>14</v>
      </c>
      <c r="U8" s="17">
        <f t="shared" si="9"/>
        <v>5</v>
      </c>
      <c r="W8" s="7">
        <v>0</v>
      </c>
      <c r="X8" s="7">
        <v>0</v>
      </c>
      <c r="Y8" s="7">
        <v>0</v>
      </c>
      <c r="Z8" s="7">
        <v>20</v>
      </c>
      <c r="AA8" s="7">
        <v>26</v>
      </c>
      <c r="AB8" s="13"/>
      <c r="AF8" s="2" t="str">
        <v>M2</v>
      </c>
      <c r="AG8" s="9"/>
      <c r="AH8" s="9"/>
      <c r="AI8" s="9"/>
      <c r="AJ8" s="9"/>
      <c r="AK8" s="9"/>
    </row>
    <row r="9" spans="1:37" ht="15.9" customHeight="1" x14ac:dyDescent="0.3">
      <c r="A9" s="2" t="str">
        <v>M3</v>
      </c>
      <c r="B9" s="38" t="str">
        <v>M3</v>
      </c>
      <c r="C9" s="9">
        <f t="shared" si="0"/>
        <v>22</v>
      </c>
      <c r="D9" s="9">
        <f t="shared" si="1"/>
        <v>13</v>
      </c>
      <c r="E9" s="9">
        <f t="shared" si="2"/>
        <v>29</v>
      </c>
      <c r="F9" s="9">
        <f t="shared" si="3"/>
        <v>13</v>
      </c>
      <c r="G9" s="9">
        <f t="shared" si="4"/>
        <v>29</v>
      </c>
      <c r="H9" s="38">
        <v>5</v>
      </c>
      <c r="I9" s="52"/>
      <c r="J9" s="2">
        <v>5</v>
      </c>
      <c r="K9" s="41" t="s">
        <v>32</v>
      </c>
      <c r="L9" s="41" t="s">
        <v>32</v>
      </c>
      <c r="M9" s="41" t="s">
        <v>32</v>
      </c>
      <c r="N9" s="41" t="s">
        <v>31</v>
      </c>
      <c r="O9" s="41" t="s">
        <v>30</v>
      </c>
      <c r="Q9" s="17">
        <f t="shared" si="5"/>
        <v>7</v>
      </c>
      <c r="R9" s="17">
        <f t="shared" si="6"/>
        <v>7</v>
      </c>
      <c r="S9" s="17">
        <f t="shared" si="7"/>
        <v>7</v>
      </c>
      <c r="T9" s="17">
        <f t="shared" si="8"/>
        <v>6</v>
      </c>
      <c r="U9" s="17">
        <f t="shared" si="9"/>
        <v>5</v>
      </c>
      <c r="W9" s="7">
        <v>0</v>
      </c>
      <c r="X9" s="7">
        <v>0</v>
      </c>
      <c r="Y9" s="7">
        <v>0</v>
      </c>
      <c r="Z9" s="7">
        <v>33</v>
      </c>
      <c r="AA9" s="7">
        <v>27</v>
      </c>
      <c r="AB9" s="13"/>
      <c r="AF9" s="2" t="str">
        <v>M3</v>
      </c>
      <c r="AG9" s="9"/>
      <c r="AH9" s="9"/>
      <c r="AI9" s="9"/>
      <c r="AJ9" s="9"/>
      <c r="AK9" s="9"/>
    </row>
    <row r="10" spans="1:37" ht="15.9" customHeight="1" x14ac:dyDescent="0.3">
      <c r="A10" s="2" t="str">
        <v>M4</v>
      </c>
      <c r="B10" s="38" t="str">
        <v>M4</v>
      </c>
      <c r="C10" s="9">
        <f t="shared" si="0"/>
        <v>20</v>
      </c>
      <c r="D10" s="9">
        <f t="shared" si="1"/>
        <v>34</v>
      </c>
      <c r="E10" s="9">
        <f t="shared" si="2"/>
        <v>15</v>
      </c>
      <c r="F10" s="9">
        <f t="shared" si="3"/>
        <v>34</v>
      </c>
      <c r="G10" s="9">
        <f t="shared" si="4"/>
        <v>13</v>
      </c>
      <c r="H10" s="38">
        <v>6</v>
      </c>
      <c r="I10" s="52"/>
      <c r="J10" s="2">
        <v>6</v>
      </c>
      <c r="K10" s="41" t="s">
        <v>35</v>
      </c>
      <c r="L10" s="41" t="s">
        <v>31</v>
      </c>
      <c r="M10" s="41" t="s">
        <v>48</v>
      </c>
      <c r="N10" s="41" t="s">
        <v>34</v>
      </c>
      <c r="O10" s="41" t="s">
        <v>35</v>
      </c>
      <c r="Q10" s="17">
        <f t="shared" si="5"/>
        <v>10</v>
      </c>
      <c r="R10" s="17">
        <f t="shared" si="6"/>
        <v>6</v>
      </c>
      <c r="S10" s="17">
        <f t="shared" si="7"/>
        <v>17</v>
      </c>
      <c r="T10" s="17">
        <f t="shared" si="8"/>
        <v>9</v>
      </c>
      <c r="U10" s="17">
        <f t="shared" si="9"/>
        <v>10</v>
      </c>
      <c r="W10" s="7">
        <v>0</v>
      </c>
      <c r="X10" s="7">
        <v>0</v>
      </c>
      <c r="Y10" s="7">
        <v>0</v>
      </c>
      <c r="Z10" s="7">
        <v>40</v>
      </c>
      <c r="AA10" s="7">
        <v>70</v>
      </c>
      <c r="AB10" s="13"/>
      <c r="AF10" s="2" t="str">
        <v>M4</v>
      </c>
      <c r="AG10" s="9"/>
      <c r="AH10" s="9"/>
      <c r="AI10" s="9"/>
      <c r="AJ10" s="9"/>
      <c r="AK10" s="9"/>
    </row>
    <row r="11" spans="1:37" ht="15.9" customHeight="1" x14ac:dyDescent="0.3">
      <c r="A11" s="2" t="str">
        <v>A</v>
      </c>
      <c r="B11" s="38" t="str">
        <v>A</v>
      </c>
      <c r="C11" s="9">
        <f t="shared" si="0"/>
        <v>31</v>
      </c>
      <c r="D11" s="9">
        <f t="shared" si="1"/>
        <v>34</v>
      </c>
      <c r="E11" s="9">
        <f t="shared" si="2"/>
        <v>14</v>
      </c>
      <c r="F11" s="9">
        <f t="shared" si="3"/>
        <v>10</v>
      </c>
      <c r="G11" s="9">
        <f t="shared" si="4"/>
        <v>30</v>
      </c>
      <c r="H11" s="38">
        <v>7</v>
      </c>
      <c r="I11" s="52"/>
      <c r="J11" s="2">
        <v>7</v>
      </c>
      <c r="K11" s="41" t="s">
        <v>29</v>
      </c>
      <c r="L11" s="41" t="s">
        <v>33</v>
      </c>
      <c r="M11" s="41" t="s">
        <v>35</v>
      </c>
      <c r="N11" s="41" t="s">
        <v>34</v>
      </c>
      <c r="O11" s="41" t="s">
        <v>34</v>
      </c>
      <c r="Q11" s="17">
        <f t="shared" si="5"/>
        <v>4</v>
      </c>
      <c r="R11" s="17">
        <f t="shared" si="6"/>
        <v>8</v>
      </c>
      <c r="S11" s="17">
        <f t="shared" si="7"/>
        <v>10</v>
      </c>
      <c r="T11" s="17">
        <f t="shared" si="8"/>
        <v>9</v>
      </c>
      <c r="U11" s="17">
        <f t="shared" si="9"/>
        <v>9</v>
      </c>
      <c r="W11" s="7">
        <v>0</v>
      </c>
      <c r="X11" s="7">
        <v>0</v>
      </c>
      <c r="Y11" s="7">
        <v>100</v>
      </c>
      <c r="Z11" s="7">
        <v>40</v>
      </c>
      <c r="AA11" s="7">
        <v>64</v>
      </c>
      <c r="AB11" s="13"/>
      <c r="AF11" s="2" t="str">
        <v>A</v>
      </c>
      <c r="AG11" s="9"/>
      <c r="AH11" s="9"/>
      <c r="AI11" s="9"/>
      <c r="AJ11" s="9"/>
      <c r="AK11" s="9"/>
    </row>
    <row r="12" spans="1:37" ht="15.9" customHeight="1" x14ac:dyDescent="0.3">
      <c r="A12" s="2" t="str">
        <v>K</v>
      </c>
      <c r="B12" s="38" t="str">
        <v>K</v>
      </c>
      <c r="C12" s="9">
        <f t="shared" si="0"/>
        <v>30</v>
      </c>
      <c r="D12" s="9">
        <f t="shared" si="1"/>
        <v>13</v>
      </c>
      <c r="E12" s="9">
        <f t="shared" si="2"/>
        <v>11</v>
      </c>
      <c r="F12" s="9">
        <f t="shared" si="3"/>
        <v>39</v>
      </c>
      <c r="G12" s="9">
        <f t="shared" si="4"/>
        <v>27</v>
      </c>
      <c r="H12" s="38">
        <v>8</v>
      </c>
      <c r="I12" s="52"/>
      <c r="J12" s="2">
        <v>8</v>
      </c>
      <c r="K12" s="41" t="s">
        <v>35</v>
      </c>
      <c r="L12" s="41" t="s">
        <v>34</v>
      </c>
      <c r="M12" s="41" t="s">
        <v>30</v>
      </c>
      <c r="N12" s="41" t="s">
        <v>35</v>
      </c>
      <c r="O12" s="41" t="s">
        <v>35</v>
      </c>
      <c r="Q12" s="17">
        <f t="shared" si="5"/>
        <v>10</v>
      </c>
      <c r="R12" s="17">
        <f t="shared" si="6"/>
        <v>9</v>
      </c>
      <c r="S12" s="17">
        <f t="shared" si="7"/>
        <v>5</v>
      </c>
      <c r="T12" s="17">
        <f t="shared" si="8"/>
        <v>10</v>
      </c>
      <c r="U12" s="17">
        <f t="shared" si="9"/>
        <v>10</v>
      </c>
      <c r="W12" s="7">
        <v>0</v>
      </c>
      <c r="X12" s="7">
        <v>0</v>
      </c>
      <c r="Y12" s="7">
        <v>100</v>
      </c>
      <c r="Z12" s="7">
        <v>95</v>
      </c>
      <c r="AA12" s="7">
        <v>69</v>
      </c>
      <c r="AB12" s="13"/>
      <c r="AF12" s="2" t="str">
        <v>K</v>
      </c>
      <c r="AG12" s="9"/>
      <c r="AH12" s="9"/>
      <c r="AI12" s="9"/>
      <c r="AJ12" s="9"/>
      <c r="AK12" s="9"/>
    </row>
    <row r="13" spans="1:37" ht="15.9" customHeight="1" x14ac:dyDescent="0.3">
      <c r="A13" s="2" t="str">
        <v>Q</v>
      </c>
      <c r="B13" s="38" t="str">
        <v>Q</v>
      </c>
      <c r="C13" s="9">
        <f t="shared" si="0"/>
        <v>20</v>
      </c>
      <c r="D13" s="9">
        <f t="shared" si="1"/>
        <v>13</v>
      </c>
      <c r="E13" s="9">
        <f t="shared" si="2"/>
        <v>33</v>
      </c>
      <c r="F13" s="9">
        <f t="shared" si="3"/>
        <v>34</v>
      </c>
      <c r="G13" s="9">
        <f t="shared" si="4"/>
        <v>29</v>
      </c>
      <c r="H13" s="38">
        <v>9</v>
      </c>
      <c r="I13" s="52"/>
      <c r="J13" s="2">
        <v>9</v>
      </c>
      <c r="K13" s="41" t="s">
        <v>35</v>
      </c>
      <c r="L13" s="41" t="s">
        <v>31</v>
      </c>
      <c r="M13" s="41" t="s">
        <v>30</v>
      </c>
      <c r="N13" s="41" t="s">
        <v>33</v>
      </c>
      <c r="O13" s="41" t="s">
        <v>32</v>
      </c>
      <c r="Q13" s="17">
        <f t="shared" si="5"/>
        <v>10</v>
      </c>
      <c r="R13" s="17">
        <f t="shared" si="6"/>
        <v>6</v>
      </c>
      <c r="S13" s="17">
        <f t="shared" si="7"/>
        <v>5</v>
      </c>
      <c r="T13" s="17">
        <f t="shared" si="8"/>
        <v>8</v>
      </c>
      <c r="U13" s="17">
        <f t="shared" si="9"/>
        <v>7</v>
      </c>
      <c r="W13" s="7">
        <v>0</v>
      </c>
      <c r="X13" s="7">
        <v>0</v>
      </c>
      <c r="Y13" s="7">
        <v>100</v>
      </c>
      <c r="Z13" s="7">
        <v>40</v>
      </c>
      <c r="AA13" s="7">
        <v>50</v>
      </c>
      <c r="AB13" s="13"/>
      <c r="AF13" s="2" t="str">
        <v>Q</v>
      </c>
      <c r="AG13" s="9"/>
      <c r="AH13" s="9"/>
      <c r="AI13" s="9"/>
      <c r="AJ13" s="9"/>
      <c r="AK13" s="9"/>
    </row>
    <row r="14" spans="1:37" ht="15.9" customHeight="1" x14ac:dyDescent="0.3">
      <c r="A14" s="2" t="str">
        <v>J</v>
      </c>
      <c r="B14" s="38" t="str">
        <v>J</v>
      </c>
      <c r="C14" s="9">
        <f t="shared" si="0"/>
        <v>34</v>
      </c>
      <c r="D14" s="9">
        <f t="shared" si="1"/>
        <v>9</v>
      </c>
      <c r="E14" s="9">
        <f t="shared" si="2"/>
        <v>33</v>
      </c>
      <c r="F14" s="9">
        <f t="shared" si="3"/>
        <v>14</v>
      </c>
      <c r="G14" s="9">
        <f t="shared" si="4"/>
        <v>26</v>
      </c>
      <c r="H14" s="38">
        <v>10</v>
      </c>
      <c r="I14" s="52"/>
      <c r="J14" s="2">
        <v>10</v>
      </c>
      <c r="K14" s="41" t="s">
        <v>31</v>
      </c>
      <c r="L14" s="41" t="s">
        <v>46</v>
      </c>
      <c r="M14" s="41" t="s">
        <v>26</v>
      </c>
      <c r="N14" s="41" t="s">
        <v>33</v>
      </c>
      <c r="O14" s="41" t="s">
        <v>32</v>
      </c>
      <c r="Q14" s="17">
        <f t="shared" si="5"/>
        <v>6</v>
      </c>
      <c r="R14" s="17">
        <f t="shared" si="6"/>
        <v>16</v>
      </c>
      <c r="S14" s="17">
        <f t="shared" si="7"/>
        <v>2</v>
      </c>
      <c r="T14" s="17">
        <f t="shared" si="8"/>
        <v>8</v>
      </c>
      <c r="U14" s="17">
        <f t="shared" si="9"/>
        <v>7</v>
      </c>
      <c r="W14" s="7">
        <v>0</v>
      </c>
      <c r="X14" s="7">
        <v>0</v>
      </c>
      <c r="Y14" s="7">
        <v>100</v>
      </c>
      <c r="Z14" s="7">
        <v>40</v>
      </c>
      <c r="AA14" s="7">
        <v>51</v>
      </c>
      <c r="AB14" s="13"/>
      <c r="AF14" s="2" t="str">
        <v>J</v>
      </c>
      <c r="AG14" s="9"/>
      <c r="AH14" s="9"/>
      <c r="AI14" s="9"/>
      <c r="AJ14" s="9"/>
      <c r="AK14" s="9"/>
    </row>
    <row r="15" spans="1:37" ht="15.9" customHeight="1" x14ac:dyDescent="0.3">
      <c r="A15" s="2" t="str">
        <v>G1</v>
      </c>
      <c r="B15" s="38" t="str">
        <v>Golden M1</v>
      </c>
      <c r="C15" s="9">
        <f t="shared" si="0"/>
        <v>0</v>
      </c>
      <c r="D15" s="9">
        <f t="shared" si="1"/>
        <v>3</v>
      </c>
      <c r="E15" s="9">
        <f t="shared" si="2"/>
        <v>3</v>
      </c>
      <c r="F15" s="9">
        <f t="shared" si="3"/>
        <v>2</v>
      </c>
      <c r="G15" s="9">
        <f t="shared" si="4"/>
        <v>0</v>
      </c>
      <c r="H15" s="38">
        <v>11</v>
      </c>
      <c r="I15" s="52"/>
      <c r="J15" s="2">
        <v>11</v>
      </c>
      <c r="K15" s="41" t="s">
        <v>32</v>
      </c>
      <c r="L15" s="41" t="s">
        <v>42</v>
      </c>
      <c r="M15" s="41" t="s">
        <v>34</v>
      </c>
      <c r="N15" s="41" t="s">
        <v>31</v>
      </c>
      <c r="O15" s="41" t="s">
        <v>35</v>
      </c>
      <c r="Q15" s="17">
        <f t="shared" si="5"/>
        <v>7</v>
      </c>
      <c r="R15" s="17">
        <f t="shared" si="6"/>
        <v>14</v>
      </c>
      <c r="S15" s="17">
        <f t="shared" si="7"/>
        <v>9</v>
      </c>
      <c r="T15" s="17">
        <f t="shared" si="8"/>
        <v>6</v>
      </c>
      <c r="U15" s="17">
        <f t="shared" si="9"/>
        <v>10</v>
      </c>
      <c r="W15" s="7">
        <v>0</v>
      </c>
      <c r="X15" s="7">
        <v>0</v>
      </c>
      <c r="Y15" s="7">
        <v>0</v>
      </c>
      <c r="Z15" s="7">
        <v>33</v>
      </c>
      <c r="AA15" s="7">
        <v>70</v>
      </c>
      <c r="AB15" s="13"/>
      <c r="AF15" s="2" t="str">
        <v>G1</v>
      </c>
      <c r="AG15" s="9"/>
      <c r="AH15" s="9"/>
      <c r="AI15" s="9"/>
      <c r="AJ15" s="9"/>
      <c r="AK15" s="9"/>
    </row>
    <row r="16" spans="1:37" ht="15.9" customHeight="1" x14ac:dyDescent="0.3">
      <c r="A16" s="2" t="str">
        <v>G2</v>
      </c>
      <c r="B16" s="38" t="str">
        <v>Golden M2</v>
      </c>
      <c r="C16" s="9">
        <f t="shared" si="0"/>
        <v>0</v>
      </c>
      <c r="D16" s="9">
        <f t="shared" si="1"/>
        <v>7</v>
      </c>
      <c r="E16" s="9">
        <f t="shared" si="2"/>
        <v>3</v>
      </c>
      <c r="F16" s="9">
        <f t="shared" si="3"/>
        <v>2</v>
      </c>
      <c r="G16" s="9">
        <f t="shared" si="4"/>
        <v>0</v>
      </c>
      <c r="H16" s="38">
        <v>12</v>
      </c>
      <c r="I16" s="52"/>
      <c r="J16" s="2">
        <v>12</v>
      </c>
      <c r="K16" s="41" t="s">
        <v>33</v>
      </c>
      <c r="L16" s="41" t="s">
        <v>34</v>
      </c>
      <c r="M16" s="41" t="s">
        <v>40</v>
      </c>
      <c r="N16" s="41" t="s">
        <v>33</v>
      </c>
      <c r="O16" s="41" t="s">
        <v>30</v>
      </c>
      <c r="Q16" s="17">
        <f t="shared" si="5"/>
        <v>8</v>
      </c>
      <c r="R16" s="17">
        <f t="shared" si="6"/>
        <v>9</v>
      </c>
      <c r="S16" s="17">
        <f t="shared" si="7"/>
        <v>13</v>
      </c>
      <c r="T16" s="17">
        <f t="shared" si="8"/>
        <v>8</v>
      </c>
      <c r="U16" s="17">
        <f t="shared" si="9"/>
        <v>5</v>
      </c>
      <c r="W16" s="7">
        <v>0</v>
      </c>
      <c r="X16" s="7">
        <v>0</v>
      </c>
      <c r="Y16" s="7">
        <v>0</v>
      </c>
      <c r="Z16" s="7">
        <v>40</v>
      </c>
      <c r="AA16" s="7">
        <v>26</v>
      </c>
      <c r="AB16" s="13"/>
      <c r="AF16" s="2" t="str">
        <v>G2</v>
      </c>
      <c r="AG16" s="9"/>
      <c r="AH16" s="9"/>
      <c r="AI16" s="9"/>
      <c r="AJ16" s="9"/>
      <c r="AK16" s="9"/>
    </row>
    <row r="17" spans="1:37" ht="15.9" customHeight="1" x14ac:dyDescent="0.3">
      <c r="A17" s="2" t="str">
        <v>G3</v>
      </c>
      <c r="B17" s="38" t="str">
        <v>Golden M3</v>
      </c>
      <c r="C17" s="9">
        <f t="shared" si="0"/>
        <v>0</v>
      </c>
      <c r="D17" s="9">
        <f t="shared" si="1"/>
        <v>3</v>
      </c>
      <c r="E17" s="9">
        <f t="shared" si="2"/>
        <v>7</v>
      </c>
      <c r="F17" s="9">
        <f t="shared" si="3"/>
        <v>2</v>
      </c>
      <c r="G17" s="9">
        <f t="shared" si="4"/>
        <v>0</v>
      </c>
      <c r="H17" s="38">
        <v>13</v>
      </c>
      <c r="I17" s="52"/>
      <c r="J17" s="2">
        <v>13</v>
      </c>
      <c r="K17" s="41" t="s">
        <v>32</v>
      </c>
      <c r="L17" s="41" t="s">
        <v>44</v>
      </c>
      <c r="M17" s="41" t="s">
        <v>34</v>
      </c>
      <c r="N17" s="41" t="s">
        <v>29</v>
      </c>
      <c r="O17" s="41" t="s">
        <v>34</v>
      </c>
      <c r="Q17" s="17">
        <f t="shared" si="5"/>
        <v>7</v>
      </c>
      <c r="R17" s="17">
        <f t="shared" si="6"/>
        <v>15</v>
      </c>
      <c r="S17" s="17">
        <f t="shared" si="7"/>
        <v>9</v>
      </c>
      <c r="T17" s="17">
        <f t="shared" si="8"/>
        <v>4</v>
      </c>
      <c r="U17" s="17">
        <f t="shared" si="9"/>
        <v>9</v>
      </c>
      <c r="W17" s="7">
        <v>0</v>
      </c>
      <c r="X17" s="7">
        <v>0</v>
      </c>
      <c r="Y17" s="7">
        <v>0</v>
      </c>
      <c r="Z17" s="7">
        <v>35</v>
      </c>
      <c r="AA17" s="7">
        <v>65</v>
      </c>
      <c r="AB17" s="13"/>
      <c r="AF17" s="2" t="str">
        <v>G3</v>
      </c>
      <c r="AG17" s="9"/>
      <c r="AH17" s="9"/>
      <c r="AI17" s="9"/>
      <c r="AJ17" s="9"/>
      <c r="AK17" s="9"/>
    </row>
    <row r="18" spans="1:37" ht="15.9" customHeight="1" x14ac:dyDescent="0.3">
      <c r="A18" s="2" t="str">
        <v>G4</v>
      </c>
      <c r="B18" s="38" t="str">
        <v>Golden M4</v>
      </c>
      <c r="C18" s="9">
        <f t="shared" si="0"/>
        <v>0</v>
      </c>
      <c r="D18" s="9">
        <f t="shared" si="1"/>
        <v>10</v>
      </c>
      <c r="E18" s="9">
        <f t="shared" si="2"/>
        <v>3</v>
      </c>
      <c r="F18" s="9">
        <f t="shared" si="3"/>
        <v>6</v>
      </c>
      <c r="G18" s="9">
        <f t="shared" si="4"/>
        <v>0</v>
      </c>
      <c r="H18" s="38">
        <v>14</v>
      </c>
      <c r="I18" s="52"/>
      <c r="J18" s="9">
        <v>14</v>
      </c>
      <c r="K18" s="41" t="s">
        <v>28</v>
      </c>
      <c r="L18" s="41" t="s">
        <v>30</v>
      </c>
      <c r="M18" s="41" t="s">
        <v>34</v>
      </c>
      <c r="N18" s="41" t="s">
        <v>46</v>
      </c>
      <c r="O18" s="41" t="s">
        <v>32</v>
      </c>
      <c r="Q18" s="17">
        <f t="shared" si="5"/>
        <v>3</v>
      </c>
      <c r="R18" s="17">
        <f t="shared" si="6"/>
        <v>5</v>
      </c>
      <c r="S18" s="17">
        <f t="shared" si="7"/>
        <v>9</v>
      </c>
      <c r="T18" s="17">
        <f t="shared" si="8"/>
        <v>16</v>
      </c>
      <c r="U18" s="17">
        <f t="shared" si="9"/>
        <v>7</v>
      </c>
      <c r="W18" s="7">
        <v>0</v>
      </c>
      <c r="X18" s="7">
        <v>0</v>
      </c>
      <c r="Y18" s="7">
        <v>0</v>
      </c>
      <c r="Z18" s="7">
        <v>25</v>
      </c>
      <c r="AA18" s="7">
        <v>50</v>
      </c>
      <c r="AB18" s="13"/>
      <c r="AF18" s="2" t="str">
        <v>G4</v>
      </c>
      <c r="AG18" s="9"/>
      <c r="AH18" s="9"/>
      <c r="AI18" s="9"/>
      <c r="AJ18" s="9"/>
      <c r="AK18" s="9"/>
    </row>
    <row r="19" spans="1:37" ht="15.9" customHeight="1" x14ac:dyDescent="0.3">
      <c r="A19" s="2" t="str">
        <v>GA</v>
      </c>
      <c r="B19" s="38" t="str">
        <v>Golden A</v>
      </c>
      <c r="C19" s="9">
        <f t="shared" si="0"/>
        <v>0</v>
      </c>
      <c r="D19" s="9">
        <f t="shared" si="1"/>
        <v>10</v>
      </c>
      <c r="E19" s="9">
        <f t="shared" si="2"/>
        <v>3</v>
      </c>
      <c r="F19" s="9">
        <f t="shared" si="3"/>
        <v>2</v>
      </c>
      <c r="G19" s="9">
        <f t="shared" si="4"/>
        <v>0</v>
      </c>
      <c r="H19" s="38">
        <v>15</v>
      </c>
      <c r="I19" s="52"/>
      <c r="J19" s="2">
        <v>15</v>
      </c>
      <c r="K19" s="41" t="s">
        <v>35</v>
      </c>
      <c r="L19" s="41" t="s">
        <v>26</v>
      </c>
      <c r="M19" s="41" t="s">
        <v>29</v>
      </c>
      <c r="N19" s="41" t="s">
        <v>33</v>
      </c>
      <c r="O19" s="41" t="s">
        <v>29</v>
      </c>
      <c r="Q19" s="17">
        <f t="shared" si="5"/>
        <v>10</v>
      </c>
      <c r="R19" s="17">
        <f t="shared" si="6"/>
        <v>2</v>
      </c>
      <c r="S19" s="17">
        <f t="shared" si="7"/>
        <v>4</v>
      </c>
      <c r="T19" s="17">
        <f t="shared" si="8"/>
        <v>8</v>
      </c>
      <c r="U19" s="17">
        <f t="shared" si="9"/>
        <v>4</v>
      </c>
      <c r="W19" s="7">
        <v>0</v>
      </c>
      <c r="X19" s="7">
        <v>100</v>
      </c>
      <c r="Y19" s="7">
        <v>0</v>
      </c>
      <c r="Z19" s="7">
        <v>40</v>
      </c>
      <c r="AA19" s="7">
        <v>40</v>
      </c>
      <c r="AB19" s="13"/>
      <c r="AF19" s="2" t="str">
        <v>GA</v>
      </c>
      <c r="AG19" s="9"/>
      <c r="AH19" s="9"/>
      <c r="AI19" s="9"/>
      <c r="AJ19" s="9"/>
      <c r="AK19" s="9"/>
    </row>
    <row r="20" spans="1:37" ht="15.9" customHeight="1" x14ac:dyDescent="0.3">
      <c r="A20" s="2" t="str">
        <v>GK</v>
      </c>
      <c r="B20" s="38" t="str">
        <v>Golden K</v>
      </c>
      <c r="C20" s="9">
        <f t="shared" si="0"/>
        <v>0</v>
      </c>
      <c r="D20" s="9">
        <f t="shared" si="1"/>
        <v>4</v>
      </c>
      <c r="E20" s="9">
        <f t="shared" si="2"/>
        <v>3</v>
      </c>
      <c r="F20" s="9">
        <f t="shared" si="3"/>
        <v>7</v>
      </c>
      <c r="G20" s="9">
        <f t="shared" si="4"/>
        <v>0</v>
      </c>
      <c r="H20" s="38">
        <v>16</v>
      </c>
      <c r="I20" s="52"/>
      <c r="J20" s="2">
        <v>16</v>
      </c>
      <c r="K20" s="41" t="s">
        <v>30</v>
      </c>
      <c r="L20" s="41" t="s">
        <v>31</v>
      </c>
      <c r="M20" s="41" t="s">
        <v>30</v>
      </c>
      <c r="N20" s="41" t="s">
        <v>33</v>
      </c>
      <c r="O20" s="41" t="s">
        <v>33</v>
      </c>
      <c r="Q20" s="17">
        <f t="shared" si="5"/>
        <v>5</v>
      </c>
      <c r="R20" s="17">
        <f t="shared" si="6"/>
        <v>6</v>
      </c>
      <c r="S20" s="17">
        <f t="shared" si="7"/>
        <v>5</v>
      </c>
      <c r="T20" s="17">
        <f t="shared" si="8"/>
        <v>8</v>
      </c>
      <c r="U20" s="17">
        <f t="shared" si="9"/>
        <v>8</v>
      </c>
      <c r="W20" s="7">
        <v>0</v>
      </c>
      <c r="X20" s="7">
        <v>0</v>
      </c>
      <c r="Y20" s="7">
        <v>0</v>
      </c>
      <c r="Z20" s="7">
        <v>40</v>
      </c>
      <c r="AA20" s="7">
        <v>55</v>
      </c>
      <c r="AB20" s="13"/>
      <c r="AF20" s="2" t="str">
        <v>GK</v>
      </c>
      <c r="AG20" s="9"/>
      <c r="AH20" s="9"/>
      <c r="AI20" s="9"/>
      <c r="AJ20" s="9"/>
      <c r="AK20" s="9"/>
    </row>
    <row r="21" spans="1:37" ht="15.9" customHeight="1" x14ac:dyDescent="0.3">
      <c r="A21" s="2" t="str">
        <v>GQ</v>
      </c>
      <c r="B21" s="38" t="str">
        <v>Golden Q</v>
      </c>
      <c r="C21" s="9">
        <f t="shared" si="0"/>
        <v>0</v>
      </c>
      <c r="D21" s="9">
        <f t="shared" si="1"/>
        <v>3</v>
      </c>
      <c r="E21" s="9">
        <f t="shared" si="2"/>
        <v>7</v>
      </c>
      <c r="F21" s="9">
        <f t="shared" si="3"/>
        <v>6</v>
      </c>
      <c r="G21" s="9">
        <f t="shared" si="4"/>
        <v>0</v>
      </c>
      <c r="H21" s="38">
        <v>17</v>
      </c>
      <c r="I21" s="52"/>
      <c r="J21" s="2">
        <v>17</v>
      </c>
      <c r="K21" s="41" t="s">
        <v>29</v>
      </c>
      <c r="L21" s="41" t="s">
        <v>33</v>
      </c>
      <c r="M21" s="41" t="s">
        <v>28</v>
      </c>
      <c r="N21" s="41" t="s">
        <v>48</v>
      </c>
      <c r="O21" s="41" t="s">
        <v>33</v>
      </c>
      <c r="Q21" s="17">
        <f t="shared" si="5"/>
        <v>4</v>
      </c>
      <c r="R21" s="17">
        <f t="shared" si="6"/>
        <v>8</v>
      </c>
      <c r="S21" s="17">
        <f t="shared" si="7"/>
        <v>3</v>
      </c>
      <c r="T21" s="17">
        <f t="shared" si="8"/>
        <v>17</v>
      </c>
      <c r="U21" s="17">
        <f t="shared" si="9"/>
        <v>8</v>
      </c>
      <c r="W21" s="7">
        <v>0</v>
      </c>
      <c r="X21" s="7">
        <v>0</v>
      </c>
      <c r="Y21" s="7">
        <v>0</v>
      </c>
      <c r="Z21" s="7">
        <v>25</v>
      </c>
      <c r="AA21" s="7">
        <v>56</v>
      </c>
      <c r="AB21" s="13"/>
      <c r="AF21" s="2" t="str">
        <v>GQ</v>
      </c>
      <c r="AG21" s="9"/>
      <c r="AH21" s="9"/>
      <c r="AI21" s="9"/>
      <c r="AJ21" s="9"/>
      <c r="AK21" s="9"/>
    </row>
    <row r="22" spans="1:37" ht="15.9" customHeight="1" x14ac:dyDescent="0.3">
      <c r="A22" s="2" t="str">
        <v>GJ</v>
      </c>
      <c r="B22" s="38" t="str">
        <v>Golden J</v>
      </c>
      <c r="C22" s="9">
        <f t="shared" si="0"/>
        <v>0</v>
      </c>
      <c r="D22" s="9">
        <f t="shared" si="1"/>
        <v>2</v>
      </c>
      <c r="E22" s="9">
        <f t="shared" si="2"/>
        <v>7</v>
      </c>
      <c r="F22" s="9">
        <f t="shared" si="3"/>
        <v>3</v>
      </c>
      <c r="G22" s="9">
        <f t="shared" si="4"/>
        <v>0</v>
      </c>
      <c r="H22" s="38">
        <v>18</v>
      </c>
      <c r="I22" s="52"/>
      <c r="J22" s="2">
        <v>18</v>
      </c>
      <c r="K22" s="41" t="s">
        <v>31</v>
      </c>
      <c r="L22" s="41" t="s">
        <v>32</v>
      </c>
      <c r="M22" s="41" t="s">
        <v>28</v>
      </c>
      <c r="N22" s="41" t="s">
        <v>33</v>
      </c>
      <c r="O22" s="41" t="s">
        <v>32</v>
      </c>
      <c r="Q22" s="17">
        <f t="shared" si="5"/>
        <v>6</v>
      </c>
      <c r="R22" s="17">
        <f t="shared" si="6"/>
        <v>7</v>
      </c>
      <c r="S22" s="17">
        <f t="shared" si="7"/>
        <v>3</v>
      </c>
      <c r="T22" s="17">
        <f t="shared" si="8"/>
        <v>8</v>
      </c>
      <c r="U22" s="17">
        <f t="shared" si="9"/>
        <v>7</v>
      </c>
      <c r="W22" s="7">
        <v>0</v>
      </c>
      <c r="X22" s="7">
        <v>0</v>
      </c>
      <c r="Y22" s="7">
        <v>0</v>
      </c>
      <c r="Z22" s="7">
        <v>40</v>
      </c>
      <c r="AA22" s="7">
        <v>51</v>
      </c>
      <c r="AB22" s="13"/>
      <c r="AF22" s="2" t="str">
        <v>GJ</v>
      </c>
      <c r="AG22" s="9"/>
      <c r="AH22" s="9"/>
      <c r="AI22" s="9"/>
      <c r="AJ22" s="9"/>
      <c r="AK22" s="9"/>
    </row>
    <row r="23" spans="1:37" ht="15.9" customHeight="1" x14ac:dyDescent="0.3">
      <c r="C23" s="19">
        <f>SUM(C4:C22)</f>
        <v>200</v>
      </c>
      <c r="D23" s="19">
        <f>SUM(D4:D22)</f>
        <v>200</v>
      </c>
      <c r="E23" s="19">
        <f>SUM(E4:E22)</f>
        <v>200</v>
      </c>
      <c r="F23" s="19">
        <f>SUM(F4:F22)</f>
        <v>200</v>
      </c>
      <c r="G23" s="19">
        <f>SUM(G4:G22)</f>
        <v>200</v>
      </c>
      <c r="I23" s="52"/>
      <c r="J23" s="2">
        <v>19</v>
      </c>
      <c r="K23" s="41" t="s">
        <v>32</v>
      </c>
      <c r="L23" s="41" t="s">
        <v>29</v>
      </c>
      <c r="M23" s="41" t="s">
        <v>31</v>
      </c>
      <c r="N23" s="41" t="s">
        <v>33</v>
      </c>
      <c r="O23" s="41" t="s">
        <v>34</v>
      </c>
      <c r="Q23" s="17">
        <f t="shared" si="5"/>
        <v>7</v>
      </c>
      <c r="R23" s="17">
        <f t="shared" si="6"/>
        <v>4</v>
      </c>
      <c r="S23" s="17">
        <f t="shared" si="7"/>
        <v>6</v>
      </c>
      <c r="T23" s="17">
        <f t="shared" si="8"/>
        <v>8</v>
      </c>
      <c r="U23" s="17">
        <f t="shared" si="9"/>
        <v>9</v>
      </c>
      <c r="W23" s="7">
        <v>0</v>
      </c>
      <c r="X23" s="7">
        <v>0</v>
      </c>
      <c r="Y23" s="7">
        <v>0</v>
      </c>
      <c r="Z23" s="7">
        <v>39</v>
      </c>
      <c r="AA23" s="7">
        <v>65</v>
      </c>
      <c r="AB23" s="13"/>
    </row>
    <row r="24" spans="1:37" ht="15.9" customHeight="1" x14ac:dyDescent="0.3">
      <c r="I24" s="52"/>
      <c r="J24" s="2">
        <v>20</v>
      </c>
      <c r="K24" s="41" t="s">
        <v>30</v>
      </c>
      <c r="L24" s="41" t="s">
        <v>38</v>
      </c>
      <c r="M24" s="41" t="s">
        <v>48</v>
      </c>
      <c r="N24" s="41" t="s">
        <v>33</v>
      </c>
      <c r="O24" s="41" t="s">
        <v>30</v>
      </c>
      <c r="Q24" s="17">
        <f t="shared" si="5"/>
        <v>5</v>
      </c>
      <c r="R24" s="17">
        <f t="shared" si="6"/>
        <v>12</v>
      </c>
      <c r="S24" s="17">
        <f t="shared" si="7"/>
        <v>17</v>
      </c>
      <c r="T24" s="17">
        <f t="shared" si="8"/>
        <v>8</v>
      </c>
      <c r="U24" s="17">
        <f t="shared" si="9"/>
        <v>5</v>
      </c>
      <c r="W24" s="7">
        <v>0</v>
      </c>
      <c r="X24" s="7">
        <v>0</v>
      </c>
      <c r="Y24" s="7">
        <v>0</v>
      </c>
      <c r="Z24" s="7">
        <v>40</v>
      </c>
      <c r="AA24" s="7">
        <v>27</v>
      </c>
    </row>
    <row r="25" spans="1:37" ht="16.5" customHeight="1" x14ac:dyDescent="0.3">
      <c r="I25" s="52"/>
      <c r="J25" s="2">
        <v>21</v>
      </c>
      <c r="K25" s="41" t="s">
        <v>30</v>
      </c>
      <c r="L25" s="41" t="s">
        <v>29</v>
      </c>
      <c r="M25" s="41" t="s">
        <v>32</v>
      </c>
      <c r="N25" s="41" t="s">
        <v>34</v>
      </c>
      <c r="O25" s="41" t="s">
        <v>35</v>
      </c>
      <c r="Q25" s="17">
        <f t="shared" si="5"/>
        <v>5</v>
      </c>
      <c r="R25" s="17">
        <f t="shared" si="6"/>
        <v>4</v>
      </c>
      <c r="S25" s="17">
        <f t="shared" si="7"/>
        <v>7</v>
      </c>
      <c r="T25" s="17">
        <f t="shared" si="8"/>
        <v>9</v>
      </c>
      <c r="U25" s="17">
        <f t="shared" si="9"/>
        <v>10</v>
      </c>
      <c r="W25" s="7">
        <v>0</v>
      </c>
      <c r="X25" s="7">
        <v>0</v>
      </c>
      <c r="Y25" s="7">
        <v>0</v>
      </c>
      <c r="Z25" s="7">
        <v>40</v>
      </c>
      <c r="AA25" s="7">
        <v>69</v>
      </c>
      <c r="AB25" s="13"/>
    </row>
    <row r="26" spans="1:37" ht="16.5" customHeight="1" x14ac:dyDescent="0.3">
      <c r="I26" s="52"/>
      <c r="J26" s="2">
        <v>22</v>
      </c>
      <c r="K26" s="41" t="s">
        <v>33</v>
      </c>
      <c r="L26" s="41" t="s">
        <v>29</v>
      </c>
      <c r="M26" s="41" t="s">
        <v>33</v>
      </c>
      <c r="N26" s="41" t="s">
        <v>46</v>
      </c>
      <c r="O26" s="41" t="s">
        <v>35</v>
      </c>
      <c r="Q26" s="17">
        <f t="shared" si="5"/>
        <v>8</v>
      </c>
      <c r="R26" s="17">
        <f t="shared" si="6"/>
        <v>4</v>
      </c>
      <c r="S26" s="17">
        <f t="shared" si="7"/>
        <v>8</v>
      </c>
      <c r="T26" s="17">
        <f t="shared" si="8"/>
        <v>16</v>
      </c>
      <c r="U26" s="17">
        <f t="shared" si="9"/>
        <v>10</v>
      </c>
      <c r="W26" s="7">
        <v>0</v>
      </c>
      <c r="X26" s="7">
        <v>0</v>
      </c>
      <c r="Y26" s="7">
        <v>0</v>
      </c>
      <c r="Z26" s="7">
        <v>24</v>
      </c>
      <c r="AA26" s="7">
        <v>70</v>
      </c>
      <c r="AB26" s="13"/>
    </row>
    <row r="27" spans="1:37" ht="16.5" customHeight="1" x14ac:dyDescent="0.3">
      <c r="I27" s="52"/>
      <c r="J27" s="2">
        <v>23</v>
      </c>
      <c r="K27" s="41" t="s">
        <v>29</v>
      </c>
      <c r="L27" s="41" t="s">
        <v>32</v>
      </c>
      <c r="M27" s="41" t="s">
        <v>36</v>
      </c>
      <c r="N27" s="41" t="s">
        <v>33</v>
      </c>
      <c r="O27" s="41" t="s">
        <v>35</v>
      </c>
      <c r="Q27" s="17">
        <f t="shared" si="5"/>
        <v>4</v>
      </c>
      <c r="R27" s="17">
        <f t="shared" si="6"/>
        <v>7</v>
      </c>
      <c r="S27" s="17">
        <f t="shared" si="7"/>
        <v>11</v>
      </c>
      <c r="T27" s="17">
        <f t="shared" si="8"/>
        <v>8</v>
      </c>
      <c r="U27" s="17">
        <f t="shared" si="9"/>
        <v>10</v>
      </c>
      <c r="W27" s="7">
        <v>0</v>
      </c>
      <c r="X27" s="7">
        <v>0</v>
      </c>
      <c r="Y27" s="7">
        <v>0</v>
      </c>
      <c r="Z27" s="7">
        <v>40</v>
      </c>
      <c r="AA27" s="7">
        <v>69</v>
      </c>
      <c r="AB27" s="13"/>
    </row>
    <row r="28" spans="1:37" ht="16.5" customHeight="1" x14ac:dyDescent="0.3">
      <c r="I28" s="52"/>
      <c r="J28" s="2">
        <v>24</v>
      </c>
      <c r="K28" s="41" t="s">
        <v>28</v>
      </c>
      <c r="L28" s="41" t="s">
        <v>44</v>
      </c>
      <c r="M28" s="41" t="s">
        <v>30</v>
      </c>
      <c r="N28" s="41" t="s">
        <v>34</v>
      </c>
      <c r="O28" s="41" t="s">
        <v>35</v>
      </c>
      <c r="Q28" s="17">
        <f t="shared" si="5"/>
        <v>3</v>
      </c>
      <c r="R28" s="17">
        <f t="shared" si="6"/>
        <v>15</v>
      </c>
      <c r="S28" s="17">
        <f t="shared" si="7"/>
        <v>5</v>
      </c>
      <c r="T28" s="17">
        <f t="shared" si="8"/>
        <v>9</v>
      </c>
      <c r="U28" s="17">
        <f t="shared" si="9"/>
        <v>10</v>
      </c>
      <c r="W28" s="7">
        <v>0</v>
      </c>
      <c r="X28" s="7">
        <v>0</v>
      </c>
      <c r="Y28" s="7">
        <v>0</v>
      </c>
      <c r="Z28" s="7">
        <v>41</v>
      </c>
      <c r="AA28" s="7">
        <v>70</v>
      </c>
      <c r="AB28" s="13"/>
    </row>
    <row r="29" spans="1:37" ht="16.5" customHeight="1" x14ac:dyDescent="0.3">
      <c r="I29" s="52"/>
      <c r="J29" s="2">
        <v>25</v>
      </c>
      <c r="K29" s="41" t="s">
        <v>34</v>
      </c>
      <c r="L29" s="41" t="s">
        <v>29</v>
      </c>
      <c r="M29" s="41" t="s">
        <v>40</v>
      </c>
      <c r="N29" s="41" t="s">
        <v>31</v>
      </c>
      <c r="O29" s="41" t="s">
        <v>31</v>
      </c>
      <c r="Q29" s="17">
        <f t="shared" si="5"/>
        <v>9</v>
      </c>
      <c r="R29" s="17">
        <f t="shared" si="6"/>
        <v>4</v>
      </c>
      <c r="S29" s="17">
        <f t="shared" si="7"/>
        <v>13</v>
      </c>
      <c r="T29" s="17">
        <f t="shared" si="8"/>
        <v>6</v>
      </c>
      <c r="U29" s="17">
        <f t="shared" si="9"/>
        <v>6</v>
      </c>
      <c r="W29" s="7">
        <v>0</v>
      </c>
      <c r="X29" s="7">
        <v>0</v>
      </c>
      <c r="Y29" s="7">
        <v>0</v>
      </c>
      <c r="Z29" s="7">
        <v>32</v>
      </c>
      <c r="AA29" s="7">
        <v>64</v>
      </c>
      <c r="AB29" s="13"/>
    </row>
    <row r="30" spans="1:37" ht="16.5" customHeight="1" x14ac:dyDescent="0.3">
      <c r="I30" s="52"/>
      <c r="J30" s="2">
        <v>26</v>
      </c>
      <c r="K30" s="41" t="s">
        <v>29</v>
      </c>
      <c r="L30" s="41" t="s">
        <v>29</v>
      </c>
      <c r="M30" s="41" t="s">
        <v>34</v>
      </c>
      <c r="N30" s="41" t="s">
        <v>34</v>
      </c>
      <c r="O30" s="41" t="s">
        <v>33</v>
      </c>
      <c r="Q30" s="17">
        <f t="shared" si="5"/>
        <v>4</v>
      </c>
      <c r="R30" s="17">
        <f t="shared" si="6"/>
        <v>4</v>
      </c>
      <c r="S30" s="17">
        <f t="shared" si="7"/>
        <v>9</v>
      </c>
      <c r="T30" s="17">
        <f t="shared" si="8"/>
        <v>9</v>
      </c>
      <c r="U30" s="17">
        <f t="shared" si="9"/>
        <v>8</v>
      </c>
      <c r="W30" s="7">
        <v>0</v>
      </c>
      <c r="X30" s="7">
        <v>0</v>
      </c>
      <c r="Y30" s="7">
        <v>0</v>
      </c>
      <c r="Z30" s="7">
        <v>40</v>
      </c>
      <c r="AA30" s="7">
        <v>55</v>
      </c>
      <c r="AB30" s="13"/>
    </row>
    <row r="31" spans="1:37" ht="16.5" customHeight="1" x14ac:dyDescent="0.3">
      <c r="I31" s="52"/>
      <c r="J31" s="2">
        <v>27</v>
      </c>
      <c r="K31" s="41" t="s">
        <v>32</v>
      </c>
      <c r="L31" s="41" t="s">
        <v>31</v>
      </c>
      <c r="M31" s="41" t="s">
        <v>30</v>
      </c>
      <c r="N31" s="41" t="s">
        <v>31</v>
      </c>
      <c r="O31" s="41" t="s">
        <v>33</v>
      </c>
      <c r="Q31" s="17">
        <f t="shared" si="5"/>
        <v>7</v>
      </c>
      <c r="R31" s="17">
        <f t="shared" si="6"/>
        <v>6</v>
      </c>
      <c r="S31" s="17">
        <f t="shared" si="7"/>
        <v>5</v>
      </c>
      <c r="T31" s="17">
        <f t="shared" si="8"/>
        <v>6</v>
      </c>
      <c r="U31" s="17">
        <f t="shared" si="9"/>
        <v>8</v>
      </c>
      <c r="W31" s="7">
        <v>0</v>
      </c>
      <c r="X31" s="7">
        <v>0</v>
      </c>
      <c r="Y31" s="7">
        <v>0</v>
      </c>
      <c r="Z31" s="7">
        <v>33</v>
      </c>
      <c r="AA31" s="7">
        <v>55</v>
      </c>
      <c r="AB31" s="13"/>
    </row>
    <row r="32" spans="1:37" ht="16.5" customHeight="1" x14ac:dyDescent="0.3">
      <c r="J32" s="2">
        <v>28</v>
      </c>
      <c r="K32" s="41" t="s">
        <v>35</v>
      </c>
      <c r="L32" s="41" t="s">
        <v>46</v>
      </c>
      <c r="M32" s="41" t="s">
        <v>34</v>
      </c>
      <c r="N32" s="41" t="s">
        <v>31</v>
      </c>
      <c r="O32" s="41" t="s">
        <v>29</v>
      </c>
      <c r="Q32" s="17">
        <f t="shared" si="5"/>
        <v>10</v>
      </c>
      <c r="R32" s="17">
        <f t="shared" si="6"/>
        <v>16</v>
      </c>
      <c r="S32" s="17">
        <f t="shared" si="7"/>
        <v>9</v>
      </c>
      <c r="T32" s="17">
        <f t="shared" si="8"/>
        <v>6</v>
      </c>
      <c r="U32" s="17">
        <f t="shared" si="9"/>
        <v>4</v>
      </c>
      <c r="W32" s="7">
        <v>0</v>
      </c>
      <c r="X32" s="7">
        <v>0</v>
      </c>
      <c r="Y32" s="7">
        <v>0</v>
      </c>
      <c r="Z32" s="7">
        <v>33</v>
      </c>
      <c r="AA32" s="7">
        <v>41</v>
      </c>
      <c r="AB32" s="13"/>
    </row>
    <row r="33" spans="10:28" ht="16.5" customHeight="1" x14ac:dyDescent="0.3">
      <c r="J33" s="2">
        <v>29</v>
      </c>
      <c r="K33" s="41" t="s">
        <v>35</v>
      </c>
      <c r="L33" s="41" t="s">
        <v>30</v>
      </c>
      <c r="M33" s="41" t="s">
        <v>29</v>
      </c>
      <c r="N33" s="41" t="s">
        <v>31</v>
      </c>
      <c r="O33" s="41" t="s">
        <v>28</v>
      </c>
      <c r="Q33" s="17">
        <f t="shared" si="5"/>
        <v>10</v>
      </c>
      <c r="R33" s="17">
        <f t="shared" si="6"/>
        <v>5</v>
      </c>
      <c r="S33" s="17">
        <f t="shared" si="7"/>
        <v>4</v>
      </c>
      <c r="T33" s="17">
        <f t="shared" si="8"/>
        <v>6</v>
      </c>
      <c r="U33" s="17">
        <f t="shared" si="9"/>
        <v>3</v>
      </c>
      <c r="W33" s="7">
        <v>0</v>
      </c>
      <c r="X33" s="7">
        <v>0</v>
      </c>
      <c r="Y33" s="7">
        <v>0</v>
      </c>
      <c r="Z33" s="7">
        <v>33</v>
      </c>
      <c r="AA33" s="7">
        <v>33</v>
      </c>
      <c r="AB33" s="13"/>
    </row>
    <row r="34" spans="10:28" ht="16.5" customHeight="1" x14ac:dyDescent="0.3">
      <c r="J34" s="2">
        <v>30</v>
      </c>
      <c r="K34" s="41" t="s">
        <v>34</v>
      </c>
      <c r="L34" s="41" t="s">
        <v>32</v>
      </c>
      <c r="M34" s="41" t="s">
        <v>32</v>
      </c>
      <c r="N34" s="41" t="s">
        <v>34</v>
      </c>
      <c r="O34" s="41" t="s">
        <v>34</v>
      </c>
      <c r="Q34" s="17">
        <f t="shared" si="5"/>
        <v>9</v>
      </c>
      <c r="R34" s="17">
        <f t="shared" si="6"/>
        <v>7</v>
      </c>
      <c r="S34" s="17">
        <f t="shared" si="7"/>
        <v>7</v>
      </c>
      <c r="T34" s="17">
        <f t="shared" si="8"/>
        <v>9</v>
      </c>
      <c r="U34" s="17">
        <f t="shared" si="9"/>
        <v>9</v>
      </c>
      <c r="W34" s="7">
        <v>0</v>
      </c>
      <c r="X34" s="7">
        <v>0</v>
      </c>
      <c r="Y34" s="7">
        <v>0</v>
      </c>
      <c r="Z34" s="7">
        <v>40</v>
      </c>
      <c r="AA34" s="7">
        <v>64</v>
      </c>
      <c r="AB34" s="13"/>
    </row>
    <row r="35" spans="10:28" ht="16.5" customHeight="1" x14ac:dyDescent="0.3">
      <c r="J35" s="2">
        <v>31</v>
      </c>
      <c r="K35" s="41" t="s">
        <v>35</v>
      </c>
      <c r="L35" s="41" t="s">
        <v>28</v>
      </c>
      <c r="M35" s="41" t="s">
        <v>29</v>
      </c>
      <c r="N35" s="41" t="s">
        <v>33</v>
      </c>
      <c r="O35" s="41" t="s">
        <v>34</v>
      </c>
      <c r="Q35" s="17">
        <f t="shared" si="5"/>
        <v>10</v>
      </c>
      <c r="R35" s="17">
        <f t="shared" si="6"/>
        <v>3</v>
      </c>
      <c r="S35" s="17">
        <f t="shared" si="7"/>
        <v>4</v>
      </c>
      <c r="T35" s="17">
        <f t="shared" si="8"/>
        <v>8</v>
      </c>
      <c r="U35" s="17">
        <f t="shared" si="9"/>
        <v>9</v>
      </c>
      <c r="W35" s="7">
        <v>0</v>
      </c>
      <c r="X35" s="7">
        <v>0</v>
      </c>
      <c r="Y35" s="7">
        <v>0</v>
      </c>
      <c r="Z35" s="7">
        <v>40</v>
      </c>
      <c r="AA35" s="7">
        <v>65</v>
      </c>
      <c r="AB35" s="13"/>
    </row>
    <row r="36" spans="10:28" ht="16.5" customHeight="1" x14ac:dyDescent="0.3">
      <c r="J36" s="2">
        <v>32</v>
      </c>
      <c r="K36" s="41" t="s">
        <v>32</v>
      </c>
      <c r="L36" s="41" t="s">
        <v>42</v>
      </c>
      <c r="M36" s="41" t="s">
        <v>50</v>
      </c>
      <c r="N36" s="41" t="s">
        <v>35</v>
      </c>
      <c r="O36" s="41" t="s">
        <v>34</v>
      </c>
      <c r="Q36" s="17">
        <f t="shared" si="5"/>
        <v>7</v>
      </c>
      <c r="R36" s="17">
        <f t="shared" si="6"/>
        <v>14</v>
      </c>
      <c r="S36" s="17">
        <f t="shared" si="7"/>
        <v>18</v>
      </c>
      <c r="T36" s="17">
        <f t="shared" si="8"/>
        <v>10</v>
      </c>
      <c r="U36" s="17">
        <f t="shared" si="9"/>
        <v>9</v>
      </c>
      <c r="W36" s="7">
        <v>0</v>
      </c>
      <c r="X36" s="7">
        <v>0</v>
      </c>
      <c r="Y36" s="7">
        <v>0</v>
      </c>
      <c r="Z36" s="7">
        <v>96</v>
      </c>
      <c r="AA36" s="7">
        <v>65</v>
      </c>
      <c r="AB36" s="13"/>
    </row>
    <row r="37" spans="10:28" ht="16.5" customHeight="1" x14ac:dyDescent="0.3">
      <c r="J37" s="2">
        <v>33</v>
      </c>
      <c r="K37" s="41" t="s">
        <v>33</v>
      </c>
      <c r="L37" s="41" t="s">
        <v>38</v>
      </c>
      <c r="M37" s="41" t="s">
        <v>35</v>
      </c>
      <c r="N37" s="41" t="s">
        <v>30</v>
      </c>
      <c r="O37" s="41" t="s">
        <v>30</v>
      </c>
      <c r="Q37" s="17">
        <f t="shared" si="5"/>
        <v>8</v>
      </c>
      <c r="R37" s="17">
        <f t="shared" si="6"/>
        <v>12</v>
      </c>
      <c r="S37" s="17">
        <f t="shared" si="7"/>
        <v>10</v>
      </c>
      <c r="T37" s="17">
        <f t="shared" si="8"/>
        <v>5</v>
      </c>
      <c r="U37" s="17">
        <f t="shared" si="9"/>
        <v>5</v>
      </c>
      <c r="W37" s="7">
        <v>0</v>
      </c>
      <c r="X37" s="7">
        <v>0</v>
      </c>
      <c r="Y37" s="7">
        <v>0</v>
      </c>
      <c r="Z37" s="7">
        <v>50</v>
      </c>
      <c r="AA37" s="7">
        <v>26</v>
      </c>
      <c r="AB37" s="13"/>
    </row>
    <row r="38" spans="10:28" ht="16.5" customHeight="1" x14ac:dyDescent="0.3">
      <c r="J38" s="2">
        <v>34</v>
      </c>
      <c r="K38" s="41" t="s">
        <v>29</v>
      </c>
      <c r="L38" s="41" t="s">
        <v>30</v>
      </c>
      <c r="M38" s="41" t="s">
        <v>35</v>
      </c>
      <c r="N38" s="41" t="s">
        <v>30</v>
      </c>
      <c r="O38" s="41" t="s">
        <v>30</v>
      </c>
      <c r="Q38" s="17">
        <f t="shared" si="5"/>
        <v>4</v>
      </c>
      <c r="R38" s="17">
        <f t="shared" si="6"/>
        <v>5</v>
      </c>
      <c r="S38" s="17">
        <f t="shared" si="7"/>
        <v>10</v>
      </c>
      <c r="T38" s="17">
        <f t="shared" si="8"/>
        <v>5</v>
      </c>
      <c r="U38" s="17">
        <f t="shared" si="9"/>
        <v>5</v>
      </c>
      <c r="W38" s="7">
        <v>0</v>
      </c>
      <c r="X38" s="7">
        <v>0</v>
      </c>
      <c r="Y38" s="7">
        <v>0</v>
      </c>
      <c r="Z38" s="7">
        <v>50</v>
      </c>
      <c r="AA38" s="7">
        <v>27</v>
      </c>
      <c r="AB38" s="13"/>
    </row>
    <row r="39" spans="10:28" ht="16.5" customHeight="1" x14ac:dyDescent="0.3">
      <c r="J39" s="2">
        <v>35</v>
      </c>
      <c r="K39" s="41" t="s">
        <v>35</v>
      </c>
      <c r="L39" s="41" t="s">
        <v>32</v>
      </c>
      <c r="M39" s="41" t="s">
        <v>34</v>
      </c>
      <c r="N39" s="41" t="s">
        <v>33</v>
      </c>
      <c r="O39" s="41" t="s">
        <v>35</v>
      </c>
      <c r="Q39" s="17">
        <f t="shared" si="5"/>
        <v>10</v>
      </c>
      <c r="R39" s="17">
        <f t="shared" si="6"/>
        <v>7</v>
      </c>
      <c r="S39" s="17">
        <f t="shared" si="7"/>
        <v>9</v>
      </c>
      <c r="T39" s="17">
        <f t="shared" si="8"/>
        <v>8</v>
      </c>
      <c r="U39" s="17">
        <f t="shared" si="9"/>
        <v>10</v>
      </c>
      <c r="W39" s="7">
        <v>0</v>
      </c>
      <c r="X39" s="7">
        <v>0</v>
      </c>
      <c r="Y39" s="7">
        <v>0</v>
      </c>
      <c r="Z39" s="7">
        <v>40</v>
      </c>
      <c r="AA39" s="7">
        <v>69</v>
      </c>
      <c r="AB39" s="13"/>
    </row>
    <row r="40" spans="10:28" ht="16.5" customHeight="1" x14ac:dyDescent="0.3">
      <c r="J40" s="2">
        <v>36</v>
      </c>
      <c r="K40" s="41" t="s">
        <v>35</v>
      </c>
      <c r="L40" s="41" t="s">
        <v>32</v>
      </c>
      <c r="M40" s="41" t="s">
        <v>30</v>
      </c>
      <c r="N40" s="41" t="s">
        <v>34</v>
      </c>
      <c r="O40" s="41" t="s">
        <v>33</v>
      </c>
      <c r="Q40" s="17">
        <f t="shared" si="5"/>
        <v>10</v>
      </c>
      <c r="R40" s="17">
        <f t="shared" si="6"/>
        <v>7</v>
      </c>
      <c r="S40" s="17">
        <f t="shared" si="7"/>
        <v>5</v>
      </c>
      <c r="T40" s="17">
        <f t="shared" si="8"/>
        <v>9</v>
      </c>
      <c r="U40" s="17">
        <f t="shared" si="9"/>
        <v>8</v>
      </c>
      <c r="W40" s="7">
        <v>0</v>
      </c>
      <c r="X40" s="7">
        <v>0</v>
      </c>
      <c r="Y40" s="7">
        <v>0</v>
      </c>
      <c r="Z40" s="7">
        <v>40</v>
      </c>
      <c r="AA40" s="7">
        <v>55</v>
      </c>
      <c r="AB40" s="13"/>
    </row>
    <row r="41" spans="10:28" ht="16.5" customHeight="1" x14ac:dyDescent="0.3">
      <c r="J41" s="2">
        <v>37</v>
      </c>
      <c r="K41" s="41" t="s">
        <v>33</v>
      </c>
      <c r="L41" s="41" t="s">
        <v>34</v>
      </c>
      <c r="M41" s="41" t="s">
        <v>46</v>
      </c>
      <c r="N41" s="41" t="s">
        <v>34</v>
      </c>
      <c r="O41" s="41" t="s">
        <v>32</v>
      </c>
      <c r="Q41" s="17">
        <f t="shared" si="5"/>
        <v>8</v>
      </c>
      <c r="R41" s="17">
        <f t="shared" si="6"/>
        <v>9</v>
      </c>
      <c r="S41" s="17">
        <f t="shared" si="7"/>
        <v>16</v>
      </c>
      <c r="T41" s="17">
        <f t="shared" si="8"/>
        <v>9</v>
      </c>
      <c r="U41" s="17">
        <f t="shared" si="9"/>
        <v>7</v>
      </c>
      <c r="W41" s="7">
        <v>0</v>
      </c>
      <c r="X41" s="7">
        <v>0</v>
      </c>
      <c r="Y41" s="7">
        <v>0</v>
      </c>
      <c r="Z41" s="7">
        <v>40</v>
      </c>
      <c r="AA41" s="7">
        <v>50</v>
      </c>
      <c r="AB41" s="13"/>
    </row>
    <row r="42" spans="10:28" ht="16.5" customHeight="1" x14ac:dyDescent="0.3">
      <c r="J42" s="2">
        <v>38</v>
      </c>
      <c r="K42" s="41" t="s">
        <v>35</v>
      </c>
      <c r="L42" s="41" t="s">
        <v>31</v>
      </c>
      <c r="M42" s="41" t="s">
        <v>40</v>
      </c>
      <c r="N42" s="41" t="s">
        <v>50</v>
      </c>
      <c r="O42" s="41" t="s">
        <v>31</v>
      </c>
      <c r="Q42" s="17">
        <f t="shared" si="5"/>
        <v>10</v>
      </c>
      <c r="R42" s="17">
        <f t="shared" si="6"/>
        <v>6</v>
      </c>
      <c r="S42" s="17">
        <f t="shared" si="7"/>
        <v>13</v>
      </c>
      <c r="T42" s="17">
        <f t="shared" si="8"/>
        <v>18</v>
      </c>
      <c r="U42" s="17">
        <f t="shared" si="9"/>
        <v>6</v>
      </c>
      <c r="W42" s="7">
        <v>0</v>
      </c>
      <c r="X42" s="7">
        <v>0</v>
      </c>
      <c r="Y42" s="7">
        <v>0</v>
      </c>
      <c r="Z42" s="7">
        <v>49</v>
      </c>
      <c r="AA42" s="7">
        <v>64</v>
      </c>
      <c r="AB42" s="13"/>
    </row>
    <row r="43" spans="10:28" ht="16.5" customHeight="1" x14ac:dyDescent="0.3">
      <c r="J43" s="2">
        <v>39</v>
      </c>
      <c r="K43" s="41" t="s">
        <v>31</v>
      </c>
      <c r="L43" s="41" t="s">
        <v>31</v>
      </c>
      <c r="M43" s="41" t="s">
        <v>30</v>
      </c>
      <c r="N43" s="41" t="s">
        <v>48</v>
      </c>
      <c r="O43" s="41" t="s">
        <v>30</v>
      </c>
      <c r="Q43" s="17">
        <f t="shared" si="5"/>
        <v>6</v>
      </c>
      <c r="R43" s="17">
        <f t="shared" si="6"/>
        <v>6</v>
      </c>
      <c r="S43" s="17">
        <f t="shared" si="7"/>
        <v>5</v>
      </c>
      <c r="T43" s="17">
        <f t="shared" si="8"/>
        <v>17</v>
      </c>
      <c r="U43" s="17">
        <f t="shared" si="9"/>
        <v>5</v>
      </c>
      <c r="W43" s="7">
        <v>0</v>
      </c>
      <c r="X43" s="7">
        <v>0</v>
      </c>
      <c r="Y43" s="7">
        <v>0</v>
      </c>
      <c r="Z43" s="7">
        <v>25</v>
      </c>
      <c r="AA43" s="7">
        <v>26</v>
      </c>
      <c r="AB43" s="13"/>
    </row>
    <row r="44" spans="10:28" ht="16.5" customHeight="1" x14ac:dyDescent="0.3">
      <c r="J44" s="2">
        <v>40</v>
      </c>
      <c r="K44" s="41" t="s">
        <v>33</v>
      </c>
      <c r="L44" s="41" t="s">
        <v>33</v>
      </c>
      <c r="M44" s="41" t="s">
        <v>31</v>
      </c>
      <c r="N44" s="41" t="s">
        <v>42</v>
      </c>
      <c r="O44" s="41" t="s">
        <v>29</v>
      </c>
      <c r="Q44" s="17">
        <f t="shared" si="5"/>
        <v>8</v>
      </c>
      <c r="R44" s="17">
        <f t="shared" si="6"/>
        <v>8</v>
      </c>
      <c r="S44" s="17">
        <f t="shared" si="7"/>
        <v>6</v>
      </c>
      <c r="T44" s="17">
        <f t="shared" si="8"/>
        <v>14</v>
      </c>
      <c r="U44" s="17">
        <f t="shared" si="9"/>
        <v>4</v>
      </c>
      <c r="W44" s="7">
        <v>0</v>
      </c>
      <c r="X44" s="7">
        <v>0</v>
      </c>
      <c r="Y44" s="7">
        <v>0</v>
      </c>
      <c r="Z44" s="7">
        <v>21</v>
      </c>
      <c r="AA44" s="7">
        <v>40</v>
      </c>
      <c r="AB44" s="13"/>
    </row>
    <row r="45" spans="10:28" ht="16.5" customHeight="1" x14ac:dyDescent="0.3">
      <c r="J45" s="2">
        <v>41</v>
      </c>
      <c r="K45" s="41" t="s">
        <v>33</v>
      </c>
      <c r="L45" s="41" t="s">
        <v>29</v>
      </c>
      <c r="M45" s="41" t="s">
        <v>34</v>
      </c>
      <c r="N45" s="41" t="s">
        <v>32</v>
      </c>
      <c r="O45" s="41" t="s">
        <v>29</v>
      </c>
      <c r="Q45" s="17">
        <f t="shared" si="5"/>
        <v>8</v>
      </c>
      <c r="R45" s="17">
        <f t="shared" si="6"/>
        <v>4</v>
      </c>
      <c r="S45" s="17">
        <f t="shared" si="7"/>
        <v>9</v>
      </c>
      <c r="T45" s="17">
        <f t="shared" si="8"/>
        <v>7</v>
      </c>
      <c r="U45" s="17">
        <f t="shared" si="9"/>
        <v>4</v>
      </c>
      <c r="W45" s="7">
        <v>0</v>
      </c>
      <c r="X45" s="7">
        <v>0</v>
      </c>
      <c r="Y45" s="7">
        <v>0</v>
      </c>
      <c r="Z45" s="7">
        <v>157</v>
      </c>
      <c r="AA45" s="7">
        <v>40</v>
      </c>
      <c r="AB45" s="13"/>
    </row>
    <row r="46" spans="10:28" ht="16.5" customHeight="1" x14ac:dyDescent="0.3">
      <c r="J46" s="2">
        <v>42</v>
      </c>
      <c r="K46" s="41" t="s">
        <v>30</v>
      </c>
      <c r="L46" s="41" t="s">
        <v>33</v>
      </c>
      <c r="M46" s="41" t="s">
        <v>33</v>
      </c>
      <c r="N46" s="41" t="s">
        <v>34</v>
      </c>
      <c r="O46" s="41" t="s">
        <v>34</v>
      </c>
      <c r="Q46" s="17">
        <f t="shared" si="5"/>
        <v>5</v>
      </c>
      <c r="R46" s="17">
        <f t="shared" si="6"/>
        <v>8</v>
      </c>
      <c r="S46" s="17">
        <f t="shared" si="7"/>
        <v>8</v>
      </c>
      <c r="T46" s="17">
        <f t="shared" si="8"/>
        <v>9</v>
      </c>
      <c r="U46" s="17">
        <f t="shared" si="9"/>
        <v>9</v>
      </c>
      <c r="W46" s="7">
        <v>0</v>
      </c>
      <c r="X46" s="7">
        <v>0</v>
      </c>
      <c r="Y46" s="7">
        <v>0</v>
      </c>
      <c r="Z46" s="7">
        <v>40</v>
      </c>
      <c r="AA46" s="7">
        <v>64</v>
      </c>
      <c r="AB46" s="13"/>
    </row>
    <row r="47" spans="10:28" ht="16.5" customHeight="1" x14ac:dyDescent="0.3">
      <c r="J47" s="2">
        <v>43</v>
      </c>
      <c r="K47" s="41" t="s">
        <v>35</v>
      </c>
      <c r="L47" s="41" t="s">
        <v>29</v>
      </c>
      <c r="M47" s="41" t="s">
        <v>48</v>
      </c>
      <c r="N47" s="41" t="s">
        <v>34</v>
      </c>
      <c r="O47" s="41" t="s">
        <v>34</v>
      </c>
      <c r="Q47" s="17">
        <f t="shared" si="5"/>
        <v>10</v>
      </c>
      <c r="R47" s="17">
        <f t="shared" si="6"/>
        <v>4</v>
      </c>
      <c r="S47" s="17">
        <f t="shared" si="7"/>
        <v>17</v>
      </c>
      <c r="T47" s="17">
        <f t="shared" si="8"/>
        <v>9</v>
      </c>
      <c r="U47" s="17">
        <f t="shared" si="9"/>
        <v>9</v>
      </c>
      <c r="W47" s="7">
        <v>0</v>
      </c>
      <c r="X47" s="7">
        <v>0</v>
      </c>
      <c r="Y47" s="7">
        <v>0</v>
      </c>
      <c r="Z47" s="7">
        <v>40</v>
      </c>
      <c r="AA47" s="7">
        <v>65</v>
      </c>
      <c r="AB47" s="13"/>
    </row>
    <row r="48" spans="10:28" ht="16.5" customHeight="1" x14ac:dyDescent="0.3">
      <c r="J48" s="2">
        <v>44</v>
      </c>
      <c r="K48" s="41" t="s">
        <v>29</v>
      </c>
      <c r="L48" s="41" t="s">
        <v>31</v>
      </c>
      <c r="M48" s="41" t="s">
        <v>30</v>
      </c>
      <c r="N48" s="41" t="s">
        <v>28</v>
      </c>
      <c r="O48" s="41" t="s">
        <v>34</v>
      </c>
      <c r="Q48" s="17">
        <f t="shared" si="5"/>
        <v>4</v>
      </c>
      <c r="R48" s="17">
        <f t="shared" si="6"/>
        <v>6</v>
      </c>
      <c r="S48" s="17">
        <f t="shared" si="7"/>
        <v>5</v>
      </c>
      <c r="T48" s="17">
        <f t="shared" si="8"/>
        <v>3</v>
      </c>
      <c r="U48" s="17">
        <f t="shared" si="9"/>
        <v>9</v>
      </c>
      <c r="W48" s="7">
        <v>0</v>
      </c>
      <c r="X48" s="7">
        <v>0</v>
      </c>
      <c r="Y48" s="7">
        <v>0</v>
      </c>
      <c r="Z48" s="7">
        <v>88</v>
      </c>
      <c r="AA48" s="7">
        <v>65</v>
      </c>
      <c r="AB48" s="13"/>
    </row>
    <row r="49" spans="10:28" ht="16.5" customHeight="1" x14ac:dyDescent="0.3">
      <c r="J49" s="2">
        <v>45</v>
      </c>
      <c r="K49" s="41" t="s">
        <v>28</v>
      </c>
      <c r="L49" s="41" t="s">
        <v>44</v>
      </c>
      <c r="M49" s="41" t="s">
        <v>29</v>
      </c>
      <c r="N49" s="41" t="s">
        <v>33</v>
      </c>
      <c r="O49" s="41" t="s">
        <v>35</v>
      </c>
      <c r="Q49" s="17">
        <f t="shared" si="5"/>
        <v>3</v>
      </c>
      <c r="R49" s="17">
        <f t="shared" si="6"/>
        <v>15</v>
      </c>
      <c r="S49" s="17">
        <f t="shared" si="7"/>
        <v>4</v>
      </c>
      <c r="T49" s="17">
        <f t="shared" si="8"/>
        <v>8</v>
      </c>
      <c r="U49" s="17">
        <f t="shared" si="9"/>
        <v>10</v>
      </c>
      <c r="W49" s="7">
        <v>0</v>
      </c>
      <c r="X49" s="7">
        <v>0</v>
      </c>
      <c r="Y49" s="7">
        <v>0</v>
      </c>
      <c r="Z49" s="7">
        <v>40</v>
      </c>
      <c r="AA49" s="7">
        <v>70</v>
      </c>
      <c r="AB49" s="13"/>
    </row>
    <row r="50" spans="10:28" ht="16.5" customHeight="1" x14ac:dyDescent="0.3">
      <c r="J50" s="2">
        <v>46</v>
      </c>
      <c r="K50" s="41" t="s">
        <v>34</v>
      </c>
      <c r="L50" s="41" t="s">
        <v>29</v>
      </c>
      <c r="M50" s="41" t="s">
        <v>32</v>
      </c>
      <c r="N50" s="41" t="s">
        <v>29</v>
      </c>
      <c r="O50" s="41" t="s">
        <v>35</v>
      </c>
      <c r="Q50" s="17">
        <f t="shared" si="5"/>
        <v>9</v>
      </c>
      <c r="R50" s="17">
        <f t="shared" si="6"/>
        <v>4</v>
      </c>
      <c r="S50" s="17">
        <f t="shared" si="7"/>
        <v>7</v>
      </c>
      <c r="T50" s="17">
        <f t="shared" si="8"/>
        <v>4</v>
      </c>
      <c r="U50" s="17">
        <f t="shared" si="9"/>
        <v>10</v>
      </c>
      <c r="W50" s="7">
        <v>0</v>
      </c>
      <c r="X50" s="7">
        <v>0</v>
      </c>
      <c r="Y50" s="7">
        <v>0</v>
      </c>
      <c r="Z50" s="7">
        <v>35</v>
      </c>
      <c r="AA50" s="7">
        <v>69</v>
      </c>
      <c r="AB50" s="13"/>
    </row>
    <row r="51" spans="10:28" ht="16.5" customHeight="1" x14ac:dyDescent="0.3">
      <c r="J51" s="2">
        <v>47</v>
      </c>
      <c r="K51" s="41" t="s">
        <v>33</v>
      </c>
      <c r="L51" s="41" t="s">
        <v>33</v>
      </c>
      <c r="M51" s="41" t="s">
        <v>30</v>
      </c>
      <c r="N51" s="41" t="s">
        <v>34</v>
      </c>
      <c r="O51" s="41" t="s">
        <v>28</v>
      </c>
      <c r="Q51" s="17">
        <f t="shared" si="5"/>
        <v>8</v>
      </c>
      <c r="R51" s="17">
        <f t="shared" si="6"/>
        <v>8</v>
      </c>
      <c r="S51" s="17">
        <f t="shared" si="7"/>
        <v>5</v>
      </c>
      <c r="T51" s="17">
        <f t="shared" si="8"/>
        <v>9</v>
      </c>
      <c r="U51" s="17">
        <f t="shared" si="9"/>
        <v>3</v>
      </c>
      <c r="W51" s="7">
        <v>0</v>
      </c>
      <c r="X51" s="7">
        <v>0</v>
      </c>
      <c r="Y51" s="7">
        <v>0</v>
      </c>
      <c r="Z51" s="7">
        <v>40</v>
      </c>
      <c r="AA51" s="7">
        <v>33</v>
      </c>
      <c r="AB51" s="13"/>
    </row>
    <row r="52" spans="10:28" ht="16.5" customHeight="1" x14ac:dyDescent="0.3">
      <c r="J52" s="2">
        <v>48</v>
      </c>
      <c r="K52" s="41" t="s">
        <v>32</v>
      </c>
      <c r="L52" s="41" t="s">
        <v>29</v>
      </c>
      <c r="M52" s="41" t="s">
        <v>29</v>
      </c>
      <c r="N52" s="41" t="s">
        <v>28</v>
      </c>
      <c r="O52" s="41" t="s">
        <v>32</v>
      </c>
      <c r="Q52" s="17">
        <f t="shared" si="5"/>
        <v>7</v>
      </c>
      <c r="R52" s="17">
        <f t="shared" si="6"/>
        <v>4</v>
      </c>
      <c r="S52" s="17">
        <f t="shared" si="7"/>
        <v>4</v>
      </c>
      <c r="T52" s="17">
        <f t="shared" si="8"/>
        <v>3</v>
      </c>
      <c r="U52" s="17">
        <f t="shared" si="9"/>
        <v>7</v>
      </c>
      <c r="W52" s="7">
        <v>0</v>
      </c>
      <c r="X52" s="7">
        <v>0</v>
      </c>
      <c r="Y52" s="7">
        <v>0</v>
      </c>
      <c r="Z52" s="7">
        <v>87</v>
      </c>
      <c r="AA52" s="7">
        <v>50</v>
      </c>
      <c r="AB52" s="13"/>
    </row>
    <row r="53" spans="10:28" ht="16.5" customHeight="1" x14ac:dyDescent="0.3">
      <c r="J53" s="2">
        <v>49</v>
      </c>
      <c r="K53" s="41" t="s">
        <v>32</v>
      </c>
      <c r="L53" s="41" t="s">
        <v>35</v>
      </c>
      <c r="M53" s="41" t="s">
        <v>34</v>
      </c>
      <c r="N53" s="41" t="s">
        <v>28</v>
      </c>
      <c r="O53" s="41" t="s">
        <v>29</v>
      </c>
      <c r="Q53" s="17">
        <f t="shared" si="5"/>
        <v>7</v>
      </c>
      <c r="R53" s="17">
        <f t="shared" si="6"/>
        <v>10</v>
      </c>
      <c r="S53" s="17">
        <f t="shared" si="7"/>
        <v>9</v>
      </c>
      <c r="T53" s="17">
        <f t="shared" si="8"/>
        <v>3</v>
      </c>
      <c r="U53" s="17">
        <f t="shared" si="9"/>
        <v>4</v>
      </c>
      <c r="W53" s="7">
        <v>0</v>
      </c>
      <c r="X53" s="7">
        <v>0</v>
      </c>
      <c r="Y53" s="7">
        <v>0</v>
      </c>
      <c r="Z53" s="7">
        <v>88</v>
      </c>
      <c r="AA53" s="7">
        <v>41</v>
      </c>
      <c r="AB53" s="13"/>
    </row>
    <row r="54" spans="10:28" ht="16.5" customHeight="1" x14ac:dyDescent="0.3">
      <c r="J54" s="2">
        <v>50</v>
      </c>
      <c r="K54" s="41" t="s">
        <v>32</v>
      </c>
      <c r="L54" s="41" t="s">
        <v>34</v>
      </c>
      <c r="M54" s="41" t="s">
        <v>34</v>
      </c>
      <c r="N54" s="41" t="s">
        <v>35</v>
      </c>
      <c r="O54" s="41" t="s">
        <v>29</v>
      </c>
      <c r="Q54" s="17">
        <f t="shared" si="5"/>
        <v>7</v>
      </c>
      <c r="R54" s="17">
        <f t="shared" si="6"/>
        <v>9</v>
      </c>
      <c r="S54" s="17">
        <f t="shared" si="7"/>
        <v>9</v>
      </c>
      <c r="T54" s="17">
        <f t="shared" si="8"/>
        <v>10</v>
      </c>
      <c r="U54" s="17">
        <f t="shared" si="9"/>
        <v>4</v>
      </c>
      <c r="W54" s="7">
        <v>0</v>
      </c>
      <c r="X54" s="7">
        <v>0</v>
      </c>
      <c r="Y54" s="7">
        <v>0</v>
      </c>
      <c r="Z54" s="7">
        <v>95</v>
      </c>
      <c r="AA54" s="7">
        <v>40</v>
      </c>
      <c r="AB54" s="13"/>
    </row>
    <row r="55" spans="10:28" ht="16.5" customHeight="1" x14ac:dyDescent="0.3">
      <c r="J55" s="2">
        <v>51</v>
      </c>
      <c r="K55" s="41" t="s">
        <v>31</v>
      </c>
      <c r="L55" s="41" t="s">
        <v>42</v>
      </c>
      <c r="M55" s="41" t="s">
        <v>35</v>
      </c>
      <c r="N55" s="41" t="s">
        <v>34</v>
      </c>
      <c r="O55" s="41" t="s">
        <v>29</v>
      </c>
      <c r="Q55" s="17">
        <f t="shared" si="5"/>
        <v>6</v>
      </c>
      <c r="R55" s="17">
        <f t="shared" si="6"/>
        <v>14</v>
      </c>
      <c r="S55" s="17">
        <f t="shared" si="7"/>
        <v>10</v>
      </c>
      <c r="T55" s="17">
        <f t="shared" si="8"/>
        <v>9</v>
      </c>
      <c r="U55" s="17">
        <f t="shared" si="9"/>
        <v>4</v>
      </c>
      <c r="W55" s="7">
        <v>0</v>
      </c>
      <c r="X55" s="7">
        <v>0</v>
      </c>
      <c r="Y55" s="7">
        <v>0</v>
      </c>
      <c r="Z55" s="7">
        <v>41</v>
      </c>
      <c r="AA55" s="7">
        <v>40</v>
      </c>
      <c r="AB55" s="13"/>
    </row>
    <row r="56" spans="10:28" ht="16.5" customHeight="1" x14ac:dyDescent="0.3">
      <c r="J56" s="2">
        <v>52</v>
      </c>
      <c r="K56" s="41" t="s">
        <v>30</v>
      </c>
      <c r="L56" s="41" t="s">
        <v>46</v>
      </c>
      <c r="M56" s="41" t="s">
        <v>35</v>
      </c>
      <c r="N56" s="41" t="s">
        <v>33</v>
      </c>
      <c r="O56" s="41" t="s">
        <v>30</v>
      </c>
      <c r="Q56" s="17">
        <f t="shared" si="5"/>
        <v>5</v>
      </c>
      <c r="R56" s="17">
        <f t="shared" si="6"/>
        <v>16</v>
      </c>
      <c r="S56" s="17">
        <f t="shared" si="7"/>
        <v>10</v>
      </c>
      <c r="T56" s="17">
        <f t="shared" si="8"/>
        <v>8</v>
      </c>
      <c r="U56" s="17">
        <f t="shared" si="9"/>
        <v>5</v>
      </c>
      <c r="W56" s="7">
        <v>0</v>
      </c>
      <c r="X56" s="7">
        <v>0</v>
      </c>
      <c r="Y56" s="7">
        <v>0</v>
      </c>
      <c r="Z56" s="7">
        <v>40</v>
      </c>
      <c r="AA56" s="7">
        <v>27</v>
      </c>
      <c r="AB56" s="13"/>
    </row>
    <row r="57" spans="10:28" ht="16.5" customHeight="1" x14ac:dyDescent="0.3">
      <c r="J57" s="2">
        <v>53</v>
      </c>
      <c r="K57" s="41" t="s">
        <v>30</v>
      </c>
      <c r="L57" s="41" t="s">
        <v>35</v>
      </c>
      <c r="M57" s="41" t="s">
        <v>30</v>
      </c>
      <c r="N57" s="41" t="s">
        <v>36</v>
      </c>
      <c r="O57" s="41" t="s">
        <v>30</v>
      </c>
      <c r="Q57" s="17">
        <f t="shared" si="5"/>
        <v>5</v>
      </c>
      <c r="R57" s="17">
        <f t="shared" si="6"/>
        <v>10</v>
      </c>
      <c r="S57" s="17">
        <f t="shared" si="7"/>
        <v>5</v>
      </c>
      <c r="T57" s="17">
        <f t="shared" si="8"/>
        <v>11</v>
      </c>
      <c r="U57" s="17">
        <f t="shared" si="9"/>
        <v>5</v>
      </c>
      <c r="W57" s="7">
        <v>0</v>
      </c>
      <c r="X57" s="7">
        <v>0</v>
      </c>
      <c r="Y57" s="7">
        <v>0</v>
      </c>
      <c r="Z57" s="7">
        <v>48</v>
      </c>
      <c r="AA57" s="7">
        <v>26</v>
      </c>
      <c r="AB57" s="13"/>
    </row>
    <row r="58" spans="10:28" ht="16.5" customHeight="1" x14ac:dyDescent="0.3">
      <c r="J58" s="2">
        <v>54</v>
      </c>
      <c r="K58" s="41" t="s">
        <v>32</v>
      </c>
      <c r="L58" s="41" t="s">
        <v>28</v>
      </c>
      <c r="M58" s="41" t="s">
        <v>34</v>
      </c>
      <c r="N58" s="41" t="s">
        <v>31</v>
      </c>
      <c r="O58" s="41" t="s">
        <v>32</v>
      </c>
      <c r="Q58" s="17">
        <f t="shared" si="5"/>
        <v>7</v>
      </c>
      <c r="R58" s="17">
        <f t="shared" si="6"/>
        <v>3</v>
      </c>
      <c r="S58" s="17">
        <f t="shared" si="7"/>
        <v>9</v>
      </c>
      <c r="T58" s="17">
        <f t="shared" si="8"/>
        <v>6</v>
      </c>
      <c r="U58" s="17">
        <f t="shared" si="9"/>
        <v>7</v>
      </c>
      <c r="W58" s="7">
        <v>0</v>
      </c>
      <c r="X58" s="7">
        <v>0</v>
      </c>
      <c r="Y58" s="7">
        <v>0</v>
      </c>
      <c r="Z58" s="7">
        <v>32</v>
      </c>
      <c r="AA58" s="7">
        <v>51</v>
      </c>
      <c r="AB58" s="13"/>
    </row>
    <row r="59" spans="10:28" ht="16.5" customHeight="1" x14ac:dyDescent="0.3">
      <c r="J59" s="2">
        <v>55</v>
      </c>
      <c r="K59" s="41" t="s">
        <v>35</v>
      </c>
      <c r="L59" s="41" t="s">
        <v>31</v>
      </c>
      <c r="M59" s="41" t="s">
        <v>35</v>
      </c>
      <c r="N59" s="41" t="s">
        <v>31</v>
      </c>
      <c r="O59" s="41" t="s">
        <v>26</v>
      </c>
      <c r="Q59" s="17">
        <f t="shared" si="5"/>
        <v>10</v>
      </c>
      <c r="R59" s="17">
        <f t="shared" si="6"/>
        <v>6</v>
      </c>
      <c r="S59" s="17">
        <f t="shared" si="7"/>
        <v>10</v>
      </c>
      <c r="T59" s="17">
        <f t="shared" si="8"/>
        <v>6</v>
      </c>
      <c r="U59" s="17">
        <f t="shared" si="9"/>
        <v>2</v>
      </c>
      <c r="W59" s="7">
        <v>0</v>
      </c>
      <c r="X59" s="7">
        <v>0</v>
      </c>
      <c r="Y59" s="7">
        <v>0</v>
      </c>
      <c r="Z59" s="7">
        <v>33</v>
      </c>
      <c r="AA59" s="7">
        <v>33</v>
      </c>
      <c r="AB59" s="13"/>
    </row>
    <row r="60" spans="10:28" ht="16.5" customHeight="1" x14ac:dyDescent="0.3">
      <c r="J60" s="2">
        <v>56</v>
      </c>
      <c r="K60" s="41" t="s">
        <v>33</v>
      </c>
      <c r="L60" s="41" t="s">
        <v>35</v>
      </c>
      <c r="M60" s="41" t="s">
        <v>31</v>
      </c>
      <c r="N60" s="41" t="s">
        <v>35</v>
      </c>
      <c r="O60" s="41" t="s">
        <v>29</v>
      </c>
      <c r="Q60" s="17">
        <f t="shared" si="5"/>
        <v>8</v>
      </c>
      <c r="R60" s="17">
        <f t="shared" si="6"/>
        <v>10</v>
      </c>
      <c r="S60" s="17">
        <f t="shared" si="7"/>
        <v>6</v>
      </c>
      <c r="T60" s="17">
        <f t="shared" si="8"/>
        <v>10</v>
      </c>
      <c r="U60" s="17">
        <f t="shared" si="9"/>
        <v>4</v>
      </c>
      <c r="W60" s="7">
        <v>0</v>
      </c>
      <c r="X60" s="7">
        <v>0</v>
      </c>
      <c r="Y60" s="7">
        <v>0</v>
      </c>
      <c r="Z60" s="7">
        <v>95</v>
      </c>
      <c r="AA60" s="7">
        <v>41</v>
      </c>
      <c r="AB60" s="13"/>
    </row>
    <row r="61" spans="10:28" ht="15.6" customHeight="1" x14ac:dyDescent="0.3">
      <c r="J61" s="2">
        <v>57</v>
      </c>
      <c r="K61" s="41" t="s">
        <v>33</v>
      </c>
      <c r="L61" s="41" t="s">
        <v>28</v>
      </c>
      <c r="M61" s="41" t="s">
        <v>34</v>
      </c>
      <c r="N61" s="41" t="s">
        <v>28</v>
      </c>
      <c r="O61" s="41" t="s">
        <v>32</v>
      </c>
      <c r="Q61" s="17">
        <f t="shared" si="5"/>
        <v>8</v>
      </c>
      <c r="R61" s="17">
        <f t="shared" si="6"/>
        <v>3</v>
      </c>
      <c r="S61" s="17">
        <f t="shared" si="7"/>
        <v>9</v>
      </c>
      <c r="T61" s="17">
        <f t="shared" si="8"/>
        <v>3</v>
      </c>
      <c r="U61" s="17">
        <f t="shared" si="9"/>
        <v>7</v>
      </c>
      <c r="W61" s="7">
        <v>0</v>
      </c>
      <c r="X61" s="7">
        <v>0</v>
      </c>
      <c r="Y61" s="7">
        <v>0</v>
      </c>
      <c r="Z61" s="7">
        <v>88</v>
      </c>
      <c r="AA61" s="7">
        <v>50</v>
      </c>
      <c r="AB61" s="13"/>
    </row>
    <row r="62" spans="10:28" ht="15.6" customHeight="1" x14ac:dyDescent="0.3">
      <c r="J62" s="2">
        <v>58</v>
      </c>
      <c r="K62" s="41" t="s">
        <v>30</v>
      </c>
      <c r="L62" s="41" t="s">
        <v>28</v>
      </c>
      <c r="M62" s="41" t="s">
        <v>34</v>
      </c>
      <c r="N62" s="41" t="s">
        <v>31</v>
      </c>
      <c r="O62" s="41" t="s">
        <v>32</v>
      </c>
      <c r="Q62" s="17">
        <f t="shared" si="5"/>
        <v>5</v>
      </c>
      <c r="R62" s="17">
        <f t="shared" si="6"/>
        <v>3</v>
      </c>
      <c r="S62" s="17">
        <f t="shared" si="7"/>
        <v>9</v>
      </c>
      <c r="T62" s="17">
        <f t="shared" si="8"/>
        <v>6</v>
      </c>
      <c r="U62" s="17">
        <f t="shared" si="9"/>
        <v>7</v>
      </c>
      <c r="W62" s="7">
        <v>0</v>
      </c>
      <c r="X62" s="7">
        <v>0</v>
      </c>
      <c r="Y62" s="7">
        <v>0</v>
      </c>
      <c r="Z62" s="7">
        <v>33</v>
      </c>
      <c r="AA62" s="7">
        <v>51</v>
      </c>
      <c r="AB62" s="13"/>
    </row>
    <row r="63" spans="10:28" ht="16.5" customHeight="1" x14ac:dyDescent="0.3">
      <c r="J63" s="2">
        <v>59</v>
      </c>
      <c r="K63" s="41" t="s">
        <v>34</v>
      </c>
      <c r="L63" s="41" t="s">
        <v>32</v>
      </c>
      <c r="M63" s="41" t="s">
        <v>50</v>
      </c>
      <c r="N63" s="41" t="s">
        <v>30</v>
      </c>
      <c r="O63" s="41" t="s">
        <v>32</v>
      </c>
      <c r="Q63" s="17">
        <f t="shared" si="5"/>
        <v>9</v>
      </c>
      <c r="R63" s="17">
        <f t="shared" si="6"/>
        <v>7</v>
      </c>
      <c r="S63" s="17">
        <f t="shared" si="7"/>
        <v>18</v>
      </c>
      <c r="T63" s="17">
        <f t="shared" si="8"/>
        <v>5</v>
      </c>
      <c r="U63" s="17">
        <f t="shared" si="9"/>
        <v>7</v>
      </c>
      <c r="W63" s="7">
        <v>0</v>
      </c>
      <c r="X63" s="7">
        <v>0</v>
      </c>
      <c r="Y63" s="7">
        <v>0</v>
      </c>
      <c r="Z63" s="7">
        <v>50</v>
      </c>
      <c r="AA63" s="7">
        <v>50</v>
      </c>
      <c r="AB63" s="13"/>
    </row>
    <row r="64" spans="10:28" ht="16.5" customHeight="1" x14ac:dyDescent="0.3">
      <c r="J64" s="2">
        <v>60</v>
      </c>
      <c r="K64" s="41" t="s">
        <v>35</v>
      </c>
      <c r="L64" s="41" t="s">
        <v>36</v>
      </c>
      <c r="M64" s="41" t="s">
        <v>28</v>
      </c>
      <c r="N64" s="41" t="s">
        <v>35</v>
      </c>
      <c r="O64" s="41" t="s">
        <v>33</v>
      </c>
      <c r="Q64" s="17">
        <f t="shared" si="5"/>
        <v>10</v>
      </c>
      <c r="R64" s="17">
        <f t="shared" si="6"/>
        <v>11</v>
      </c>
      <c r="S64" s="17">
        <f t="shared" si="7"/>
        <v>3</v>
      </c>
      <c r="T64" s="17">
        <f t="shared" si="8"/>
        <v>10</v>
      </c>
      <c r="U64" s="17">
        <f t="shared" si="9"/>
        <v>8</v>
      </c>
      <c r="W64" s="7">
        <v>0</v>
      </c>
      <c r="X64" s="7">
        <v>0</v>
      </c>
      <c r="Y64" s="7">
        <v>0</v>
      </c>
      <c r="Z64" s="7">
        <v>96</v>
      </c>
      <c r="AA64" s="7">
        <v>56</v>
      </c>
      <c r="AB64" s="13"/>
    </row>
    <row r="65" spans="10:28" ht="16.5" customHeight="1" x14ac:dyDescent="0.3">
      <c r="J65" s="2">
        <v>61</v>
      </c>
      <c r="K65" s="41" t="s">
        <v>34</v>
      </c>
      <c r="L65" s="41" t="s">
        <v>38</v>
      </c>
      <c r="M65" s="41" t="s">
        <v>28</v>
      </c>
      <c r="N65" s="41" t="s">
        <v>29</v>
      </c>
      <c r="O65" s="41" t="s">
        <v>34</v>
      </c>
      <c r="Q65" s="17">
        <f t="shared" si="5"/>
        <v>9</v>
      </c>
      <c r="R65" s="17">
        <f t="shared" si="6"/>
        <v>12</v>
      </c>
      <c r="S65" s="17">
        <f t="shared" si="7"/>
        <v>3</v>
      </c>
      <c r="T65" s="17">
        <f t="shared" si="8"/>
        <v>4</v>
      </c>
      <c r="U65" s="17">
        <f t="shared" si="9"/>
        <v>9</v>
      </c>
      <c r="W65" s="7">
        <v>0</v>
      </c>
      <c r="X65" s="7">
        <v>0</v>
      </c>
      <c r="Y65" s="7">
        <v>0</v>
      </c>
      <c r="Z65" s="7">
        <v>35</v>
      </c>
      <c r="AA65" s="7">
        <v>64</v>
      </c>
      <c r="AB65" s="13"/>
    </row>
    <row r="66" spans="10:28" ht="16.5" customHeight="1" x14ac:dyDescent="0.3">
      <c r="J66" s="2">
        <v>62</v>
      </c>
      <c r="K66" s="41" t="s">
        <v>29</v>
      </c>
      <c r="L66" s="41" t="s">
        <v>32</v>
      </c>
      <c r="M66" s="41" t="s">
        <v>35</v>
      </c>
      <c r="N66" s="41" t="s">
        <v>38</v>
      </c>
      <c r="O66" s="41" t="s">
        <v>30</v>
      </c>
      <c r="Q66" s="17">
        <f t="shared" si="5"/>
        <v>4</v>
      </c>
      <c r="R66" s="17">
        <f t="shared" si="6"/>
        <v>7</v>
      </c>
      <c r="S66" s="17">
        <f t="shared" si="7"/>
        <v>10</v>
      </c>
      <c r="T66" s="17">
        <f t="shared" si="8"/>
        <v>12</v>
      </c>
      <c r="U66" s="17">
        <f t="shared" si="9"/>
        <v>5</v>
      </c>
      <c r="W66" s="7">
        <v>0</v>
      </c>
      <c r="X66" s="7">
        <v>0</v>
      </c>
      <c r="Y66" s="7">
        <v>0</v>
      </c>
      <c r="Z66" s="7">
        <v>25</v>
      </c>
      <c r="AA66" s="7">
        <v>27</v>
      </c>
      <c r="AB66" s="13"/>
    </row>
    <row r="67" spans="10:28" ht="16.5" customHeight="1" x14ac:dyDescent="0.3">
      <c r="J67" s="2">
        <v>63</v>
      </c>
      <c r="K67" s="41" t="s">
        <v>33</v>
      </c>
      <c r="L67" s="41" t="s">
        <v>34</v>
      </c>
      <c r="M67" s="41" t="s">
        <v>29</v>
      </c>
      <c r="N67" s="41" t="s">
        <v>40</v>
      </c>
      <c r="O67" s="41" t="s">
        <v>30</v>
      </c>
      <c r="Q67" s="17">
        <f t="shared" si="5"/>
        <v>8</v>
      </c>
      <c r="R67" s="17">
        <f t="shared" si="6"/>
        <v>9</v>
      </c>
      <c r="S67" s="17">
        <f t="shared" si="7"/>
        <v>4</v>
      </c>
      <c r="T67" s="17">
        <f t="shared" si="8"/>
        <v>13</v>
      </c>
      <c r="U67" s="17">
        <f t="shared" si="9"/>
        <v>5</v>
      </c>
      <c r="W67" s="7">
        <v>0</v>
      </c>
      <c r="X67" s="7">
        <v>0</v>
      </c>
      <c r="Y67" s="7">
        <v>0</v>
      </c>
      <c r="Z67" s="7">
        <v>36</v>
      </c>
      <c r="AA67" s="7">
        <v>26</v>
      </c>
      <c r="AB67" s="13"/>
    </row>
    <row r="68" spans="10:28" ht="16.5" customHeight="1" x14ac:dyDescent="0.3">
      <c r="J68" s="2">
        <v>64</v>
      </c>
      <c r="K68" s="41" t="s">
        <v>33</v>
      </c>
      <c r="L68" s="41" t="s">
        <v>42</v>
      </c>
      <c r="M68" s="41" t="s">
        <v>35</v>
      </c>
      <c r="N68" s="41" t="s">
        <v>34</v>
      </c>
      <c r="O68" s="41" t="s">
        <v>32</v>
      </c>
      <c r="Q68" s="17">
        <f t="shared" ref="Q68:Q131" si="10">IF(K68="","",VLOOKUP(K68,$A$4:$H$22,8,FALSE))</f>
        <v>8</v>
      </c>
      <c r="R68" s="17">
        <f t="shared" ref="R68:R131" si="11">IF(L68="","",VLOOKUP(L68,$A$4:$H$22,8,FALSE))</f>
        <v>14</v>
      </c>
      <c r="S68" s="17">
        <f t="shared" ref="S68:S131" si="12">IF(M68="","",VLOOKUP(M68,$A$4:$H$22,8,FALSE))</f>
        <v>10</v>
      </c>
      <c r="T68" s="17">
        <f t="shared" ref="T68:T131" si="13">IF(N68="","",VLOOKUP(N68,$A$4:$H$22,8,FALSE))</f>
        <v>9</v>
      </c>
      <c r="U68" s="17">
        <f t="shared" ref="U68:U131" si="14">IF(O68="","",VLOOKUP(O68,$A$4:$H$22,8,FALSE))</f>
        <v>7</v>
      </c>
      <c r="W68" s="7">
        <v>0</v>
      </c>
      <c r="X68" s="7">
        <v>0</v>
      </c>
      <c r="Y68" s="7">
        <v>0</v>
      </c>
      <c r="Z68" s="7">
        <v>40</v>
      </c>
      <c r="AA68" s="7">
        <v>50</v>
      </c>
      <c r="AB68" s="13"/>
    </row>
    <row r="69" spans="10:28" ht="16.5" customHeight="1" x14ac:dyDescent="0.3">
      <c r="J69" s="2">
        <v>65</v>
      </c>
      <c r="K69" s="41" t="s">
        <v>32</v>
      </c>
      <c r="L69" s="41" t="s">
        <v>35</v>
      </c>
      <c r="M69" s="41" t="s">
        <v>35</v>
      </c>
      <c r="N69" s="41" t="s">
        <v>48</v>
      </c>
      <c r="O69" s="41" t="s">
        <v>29</v>
      </c>
      <c r="Q69" s="17">
        <f t="shared" si="10"/>
        <v>7</v>
      </c>
      <c r="R69" s="17">
        <f t="shared" si="11"/>
        <v>10</v>
      </c>
      <c r="S69" s="17">
        <f t="shared" si="12"/>
        <v>10</v>
      </c>
      <c r="T69" s="17">
        <f t="shared" si="13"/>
        <v>17</v>
      </c>
      <c r="U69" s="17">
        <f t="shared" si="14"/>
        <v>4</v>
      </c>
      <c r="W69" s="7">
        <v>0</v>
      </c>
      <c r="X69" s="7">
        <v>0</v>
      </c>
      <c r="Y69" s="7">
        <v>0</v>
      </c>
      <c r="Z69" s="7">
        <v>25</v>
      </c>
      <c r="AA69" s="7">
        <v>40</v>
      </c>
      <c r="AB69" s="13"/>
    </row>
    <row r="70" spans="10:28" ht="16.5" customHeight="1" x14ac:dyDescent="0.3">
      <c r="J70" s="2">
        <v>66</v>
      </c>
      <c r="K70" s="41" t="s">
        <v>29</v>
      </c>
      <c r="L70" s="41" t="s">
        <v>29</v>
      </c>
      <c r="M70" s="41" t="s">
        <v>35</v>
      </c>
      <c r="N70" s="41" t="s">
        <v>29</v>
      </c>
      <c r="O70" s="41" t="s">
        <v>29</v>
      </c>
      <c r="Q70" s="17">
        <f t="shared" si="10"/>
        <v>4</v>
      </c>
      <c r="R70" s="17">
        <f t="shared" si="11"/>
        <v>4</v>
      </c>
      <c r="S70" s="17">
        <f t="shared" si="12"/>
        <v>10</v>
      </c>
      <c r="T70" s="17">
        <f t="shared" si="13"/>
        <v>4</v>
      </c>
      <c r="U70" s="17">
        <f t="shared" si="14"/>
        <v>4</v>
      </c>
      <c r="W70" s="7">
        <v>0</v>
      </c>
      <c r="X70" s="7">
        <v>0</v>
      </c>
      <c r="Y70" s="7">
        <v>0</v>
      </c>
      <c r="Z70" s="7">
        <v>34</v>
      </c>
      <c r="AA70" s="7">
        <v>40</v>
      </c>
      <c r="AB70" s="13"/>
    </row>
    <row r="71" spans="10:28" ht="16.5" customHeight="1" x14ac:dyDescent="0.3">
      <c r="J71" s="2">
        <v>67</v>
      </c>
      <c r="K71" s="41" t="s">
        <v>31</v>
      </c>
      <c r="L71" s="41" t="s">
        <v>32</v>
      </c>
      <c r="M71" s="41" t="s">
        <v>35</v>
      </c>
      <c r="N71" s="41" t="s">
        <v>31</v>
      </c>
      <c r="O71" s="41" t="s">
        <v>29</v>
      </c>
      <c r="Q71" s="17">
        <f t="shared" si="10"/>
        <v>6</v>
      </c>
      <c r="R71" s="17">
        <f t="shared" si="11"/>
        <v>7</v>
      </c>
      <c r="S71" s="17">
        <f t="shared" si="12"/>
        <v>10</v>
      </c>
      <c r="T71" s="17">
        <f t="shared" si="13"/>
        <v>6</v>
      </c>
      <c r="U71" s="17">
        <f t="shared" si="14"/>
        <v>4</v>
      </c>
      <c r="W71" s="7">
        <v>0</v>
      </c>
      <c r="X71" s="7">
        <v>0</v>
      </c>
      <c r="Y71" s="7">
        <v>0</v>
      </c>
      <c r="Z71" s="7">
        <v>33</v>
      </c>
      <c r="AA71" s="7">
        <v>41</v>
      </c>
      <c r="AB71" s="13"/>
    </row>
    <row r="72" spans="10:28" ht="16.5" customHeight="1" x14ac:dyDescent="0.3">
      <c r="J72" s="2">
        <v>68</v>
      </c>
      <c r="K72" s="41" t="s">
        <v>28</v>
      </c>
      <c r="L72" s="41" t="s">
        <v>32</v>
      </c>
      <c r="M72" s="41" t="s">
        <v>34</v>
      </c>
      <c r="N72" s="41" t="s">
        <v>32</v>
      </c>
      <c r="O72" s="41" t="s">
        <v>29</v>
      </c>
      <c r="Q72" s="17">
        <f t="shared" si="10"/>
        <v>3</v>
      </c>
      <c r="R72" s="17">
        <f t="shared" si="11"/>
        <v>7</v>
      </c>
      <c r="S72" s="17">
        <f t="shared" si="12"/>
        <v>9</v>
      </c>
      <c r="T72" s="17">
        <f t="shared" si="13"/>
        <v>7</v>
      </c>
      <c r="U72" s="17">
        <f t="shared" si="14"/>
        <v>4</v>
      </c>
      <c r="W72" s="7">
        <v>0</v>
      </c>
      <c r="X72" s="7">
        <v>0</v>
      </c>
      <c r="Y72" s="7">
        <v>0</v>
      </c>
      <c r="Z72" s="7">
        <v>157</v>
      </c>
      <c r="AA72" s="7">
        <v>40</v>
      </c>
      <c r="AB72" s="13"/>
    </row>
    <row r="73" spans="10:28" ht="16.5" customHeight="1" x14ac:dyDescent="0.3">
      <c r="J73" s="2">
        <v>69</v>
      </c>
      <c r="K73" s="41" t="s">
        <v>34</v>
      </c>
      <c r="L73" s="41" t="s">
        <v>31</v>
      </c>
      <c r="M73" s="41" t="s">
        <v>40</v>
      </c>
      <c r="N73" s="41" t="s">
        <v>32</v>
      </c>
      <c r="O73" s="41" t="s">
        <v>30</v>
      </c>
      <c r="Q73" s="17">
        <f t="shared" si="10"/>
        <v>9</v>
      </c>
      <c r="R73" s="17">
        <f t="shared" si="11"/>
        <v>6</v>
      </c>
      <c r="S73" s="17">
        <f t="shared" si="12"/>
        <v>13</v>
      </c>
      <c r="T73" s="17">
        <f t="shared" si="13"/>
        <v>7</v>
      </c>
      <c r="U73" s="17">
        <f t="shared" si="14"/>
        <v>5</v>
      </c>
      <c r="W73" s="7">
        <v>0</v>
      </c>
      <c r="X73" s="7">
        <v>0</v>
      </c>
      <c r="Y73" s="7">
        <v>0</v>
      </c>
      <c r="Z73" s="7">
        <v>157</v>
      </c>
      <c r="AA73" s="7">
        <v>27</v>
      </c>
      <c r="AB73" s="13"/>
    </row>
    <row r="74" spans="10:28" ht="16.5" customHeight="1" x14ac:dyDescent="0.3">
      <c r="J74" s="2">
        <v>70</v>
      </c>
      <c r="K74" s="41" t="s">
        <v>32</v>
      </c>
      <c r="L74" s="41" t="s">
        <v>29</v>
      </c>
      <c r="M74" s="41" t="s">
        <v>35</v>
      </c>
      <c r="N74" s="41" t="s">
        <v>28</v>
      </c>
      <c r="O74" s="41" t="s">
        <v>31</v>
      </c>
      <c r="Q74" s="17">
        <f t="shared" si="10"/>
        <v>7</v>
      </c>
      <c r="R74" s="17">
        <f t="shared" si="11"/>
        <v>4</v>
      </c>
      <c r="S74" s="17">
        <f t="shared" si="12"/>
        <v>10</v>
      </c>
      <c r="T74" s="17">
        <f t="shared" si="13"/>
        <v>3</v>
      </c>
      <c r="U74" s="17">
        <f t="shared" si="14"/>
        <v>6</v>
      </c>
      <c r="W74" s="7">
        <v>0</v>
      </c>
      <c r="X74" s="7">
        <v>0</v>
      </c>
      <c r="Y74" s="7">
        <v>0</v>
      </c>
      <c r="Z74" s="7">
        <v>87</v>
      </c>
      <c r="AA74" s="7">
        <v>64</v>
      </c>
      <c r="AB74" s="13"/>
    </row>
    <row r="75" spans="10:28" ht="16.5" customHeight="1" x14ac:dyDescent="0.3">
      <c r="J75" s="2">
        <v>71</v>
      </c>
      <c r="K75" s="41" t="s">
        <v>32</v>
      </c>
      <c r="L75" s="41" t="s">
        <v>42</v>
      </c>
      <c r="M75" s="41" t="s">
        <v>48</v>
      </c>
      <c r="N75" s="41" t="s">
        <v>33</v>
      </c>
      <c r="O75" s="41" t="s">
        <v>33</v>
      </c>
      <c r="Q75" s="17">
        <f t="shared" si="10"/>
        <v>7</v>
      </c>
      <c r="R75" s="17">
        <f t="shared" si="11"/>
        <v>14</v>
      </c>
      <c r="S75" s="17">
        <f t="shared" si="12"/>
        <v>17</v>
      </c>
      <c r="T75" s="17">
        <f t="shared" si="13"/>
        <v>8</v>
      </c>
      <c r="U75" s="17">
        <f t="shared" si="14"/>
        <v>8</v>
      </c>
      <c r="W75" s="7">
        <v>0</v>
      </c>
      <c r="X75" s="7">
        <v>0</v>
      </c>
      <c r="Y75" s="7">
        <v>0</v>
      </c>
      <c r="Z75" s="7">
        <v>40</v>
      </c>
      <c r="AA75" s="7">
        <v>55</v>
      </c>
      <c r="AB75" s="13"/>
    </row>
    <row r="76" spans="10:28" ht="16.5" customHeight="1" x14ac:dyDescent="0.3">
      <c r="J76" s="2">
        <v>72</v>
      </c>
      <c r="K76" s="41" t="s">
        <v>29</v>
      </c>
      <c r="L76" s="41" t="s">
        <v>32</v>
      </c>
      <c r="M76" s="41" t="s">
        <v>34</v>
      </c>
      <c r="N76" s="41" t="s">
        <v>30</v>
      </c>
      <c r="O76" s="41" t="s">
        <v>32</v>
      </c>
      <c r="Q76" s="17">
        <f t="shared" si="10"/>
        <v>4</v>
      </c>
      <c r="R76" s="17">
        <f t="shared" si="11"/>
        <v>7</v>
      </c>
      <c r="S76" s="17">
        <f t="shared" si="12"/>
        <v>9</v>
      </c>
      <c r="T76" s="17">
        <f t="shared" si="13"/>
        <v>5</v>
      </c>
      <c r="U76" s="17">
        <f t="shared" si="14"/>
        <v>7</v>
      </c>
      <c r="W76" s="7">
        <v>0</v>
      </c>
      <c r="X76" s="7">
        <v>0</v>
      </c>
      <c r="Y76" s="7">
        <v>0</v>
      </c>
      <c r="Z76" s="7">
        <v>51</v>
      </c>
      <c r="AA76" s="7">
        <v>51</v>
      </c>
      <c r="AB76" s="13"/>
    </row>
    <row r="77" spans="10:28" ht="16.5" customHeight="1" x14ac:dyDescent="0.3">
      <c r="J77" s="2">
        <v>73</v>
      </c>
      <c r="K77" s="41" t="s">
        <v>30</v>
      </c>
      <c r="L77" s="41" t="s">
        <v>32</v>
      </c>
      <c r="M77" s="41" t="s">
        <v>34</v>
      </c>
      <c r="N77" s="41" t="s">
        <v>28</v>
      </c>
      <c r="O77" s="41" t="s">
        <v>32</v>
      </c>
      <c r="Q77" s="17">
        <f t="shared" si="10"/>
        <v>5</v>
      </c>
      <c r="R77" s="17">
        <f t="shared" si="11"/>
        <v>7</v>
      </c>
      <c r="S77" s="17">
        <f t="shared" si="12"/>
        <v>9</v>
      </c>
      <c r="T77" s="17">
        <f t="shared" si="13"/>
        <v>3</v>
      </c>
      <c r="U77" s="17">
        <f t="shared" si="14"/>
        <v>7</v>
      </c>
      <c r="W77" s="7">
        <v>0</v>
      </c>
      <c r="X77" s="7">
        <v>0</v>
      </c>
      <c r="Y77" s="7">
        <v>0</v>
      </c>
      <c r="Z77" s="7">
        <v>88</v>
      </c>
      <c r="AA77" s="7">
        <v>50</v>
      </c>
      <c r="AB77" s="13"/>
    </row>
    <row r="78" spans="10:28" ht="16.5" customHeight="1" x14ac:dyDescent="0.3">
      <c r="J78" s="2">
        <v>74</v>
      </c>
      <c r="K78" s="41" t="s">
        <v>33</v>
      </c>
      <c r="L78" s="41" t="s">
        <v>29</v>
      </c>
      <c r="M78" s="41" t="s">
        <v>50</v>
      </c>
      <c r="N78" s="41" t="s">
        <v>30</v>
      </c>
      <c r="O78" s="41" t="s">
        <v>32</v>
      </c>
      <c r="Q78" s="17">
        <f t="shared" si="10"/>
        <v>8</v>
      </c>
      <c r="R78" s="17">
        <f t="shared" si="11"/>
        <v>4</v>
      </c>
      <c r="S78" s="17">
        <f t="shared" si="12"/>
        <v>18</v>
      </c>
      <c r="T78" s="17">
        <f t="shared" si="13"/>
        <v>5</v>
      </c>
      <c r="U78" s="17">
        <f t="shared" si="14"/>
        <v>7</v>
      </c>
      <c r="W78" s="7">
        <v>0</v>
      </c>
      <c r="X78" s="7">
        <v>0</v>
      </c>
      <c r="Y78" s="7">
        <v>0</v>
      </c>
      <c r="Z78" s="7">
        <v>50</v>
      </c>
      <c r="AA78" s="7">
        <v>51</v>
      </c>
      <c r="AB78" s="13"/>
    </row>
    <row r="79" spans="10:28" ht="16.5" customHeight="1" x14ac:dyDescent="0.3">
      <c r="J79" s="2">
        <v>75</v>
      </c>
      <c r="K79" s="41" t="s">
        <v>35</v>
      </c>
      <c r="L79" s="41" t="s">
        <v>31</v>
      </c>
      <c r="M79" s="41" t="s">
        <v>30</v>
      </c>
      <c r="N79" s="41" t="s">
        <v>31</v>
      </c>
      <c r="O79" s="41" t="s">
        <v>32</v>
      </c>
      <c r="Q79" s="17">
        <f t="shared" si="10"/>
        <v>10</v>
      </c>
      <c r="R79" s="17">
        <f t="shared" si="11"/>
        <v>6</v>
      </c>
      <c r="S79" s="17">
        <f t="shared" si="12"/>
        <v>5</v>
      </c>
      <c r="T79" s="17">
        <f t="shared" si="13"/>
        <v>6</v>
      </c>
      <c r="U79" s="17">
        <f t="shared" si="14"/>
        <v>7</v>
      </c>
      <c r="W79" s="7">
        <v>0</v>
      </c>
      <c r="X79" s="7">
        <v>0</v>
      </c>
      <c r="Y79" s="7">
        <v>0</v>
      </c>
      <c r="Z79" s="7">
        <v>32</v>
      </c>
      <c r="AA79" s="7">
        <v>50</v>
      </c>
      <c r="AB79" s="13"/>
    </row>
    <row r="80" spans="10:28" ht="15.6" customHeight="1" x14ac:dyDescent="0.3">
      <c r="J80" s="2">
        <v>76</v>
      </c>
      <c r="K80" s="41" t="s">
        <v>34</v>
      </c>
      <c r="L80" s="41" t="s">
        <v>32</v>
      </c>
      <c r="M80" s="41" t="s">
        <v>35</v>
      </c>
      <c r="N80" s="41" t="s">
        <v>42</v>
      </c>
      <c r="O80" s="41" t="s">
        <v>28</v>
      </c>
      <c r="Q80" s="17">
        <f t="shared" si="10"/>
        <v>9</v>
      </c>
      <c r="R80" s="17">
        <f t="shared" si="11"/>
        <v>7</v>
      </c>
      <c r="S80" s="17">
        <f t="shared" si="12"/>
        <v>10</v>
      </c>
      <c r="T80" s="17">
        <f t="shared" si="13"/>
        <v>14</v>
      </c>
      <c r="U80" s="17">
        <f t="shared" si="14"/>
        <v>3</v>
      </c>
      <c r="W80" s="7">
        <v>0</v>
      </c>
      <c r="X80" s="7">
        <v>0</v>
      </c>
      <c r="Y80" s="7">
        <v>0</v>
      </c>
      <c r="Z80" s="7">
        <v>20</v>
      </c>
      <c r="AA80" s="7">
        <v>33</v>
      </c>
      <c r="AB80" s="13"/>
    </row>
    <row r="81" spans="10:28" ht="15.6" customHeight="1" x14ac:dyDescent="0.3">
      <c r="J81" s="2">
        <v>77</v>
      </c>
      <c r="K81" s="41" t="s">
        <v>35</v>
      </c>
      <c r="L81" s="41" t="s">
        <v>29</v>
      </c>
      <c r="M81" s="41" t="s">
        <v>34</v>
      </c>
      <c r="N81" s="41" t="s">
        <v>44</v>
      </c>
      <c r="O81" s="41" t="s">
        <v>34</v>
      </c>
      <c r="Q81" s="17">
        <f t="shared" si="10"/>
        <v>10</v>
      </c>
      <c r="R81" s="17">
        <f t="shared" si="11"/>
        <v>4</v>
      </c>
      <c r="S81" s="17">
        <f t="shared" si="12"/>
        <v>9</v>
      </c>
      <c r="T81" s="17">
        <f t="shared" si="13"/>
        <v>15</v>
      </c>
      <c r="U81" s="17">
        <f t="shared" si="14"/>
        <v>9</v>
      </c>
      <c r="W81" s="7">
        <v>0</v>
      </c>
      <c r="X81" s="7">
        <v>0</v>
      </c>
      <c r="Y81" s="7">
        <v>0</v>
      </c>
      <c r="Z81" s="7">
        <v>86</v>
      </c>
      <c r="AA81" s="7">
        <v>65</v>
      </c>
      <c r="AB81" s="13"/>
    </row>
    <row r="82" spans="10:28" ht="15.6" customHeight="1" x14ac:dyDescent="0.3">
      <c r="J82" s="2">
        <v>78</v>
      </c>
      <c r="K82" s="41" t="s">
        <v>32</v>
      </c>
      <c r="L82" s="41" t="s">
        <v>42</v>
      </c>
      <c r="M82" s="41" t="s">
        <v>34</v>
      </c>
      <c r="N82" s="41" t="s">
        <v>46</v>
      </c>
      <c r="O82" s="41" t="s">
        <v>35</v>
      </c>
      <c r="Q82" s="17">
        <f t="shared" si="10"/>
        <v>7</v>
      </c>
      <c r="R82" s="17">
        <f t="shared" si="11"/>
        <v>14</v>
      </c>
      <c r="S82" s="17">
        <f t="shared" si="12"/>
        <v>9</v>
      </c>
      <c r="T82" s="17">
        <f t="shared" si="13"/>
        <v>16</v>
      </c>
      <c r="U82" s="17">
        <f t="shared" si="14"/>
        <v>10</v>
      </c>
      <c r="W82" s="7">
        <v>0</v>
      </c>
      <c r="X82" s="7">
        <v>0</v>
      </c>
      <c r="Y82" s="7">
        <v>0</v>
      </c>
      <c r="Z82" s="7">
        <v>25</v>
      </c>
      <c r="AA82" s="7">
        <v>70</v>
      </c>
      <c r="AB82" s="13"/>
    </row>
    <row r="83" spans="10:28" ht="15.6" customHeight="1" x14ac:dyDescent="0.3">
      <c r="J83" s="2">
        <v>79</v>
      </c>
      <c r="K83" s="41" t="s">
        <v>28</v>
      </c>
      <c r="L83" s="41" t="s">
        <v>38</v>
      </c>
      <c r="M83" s="41" t="s">
        <v>34</v>
      </c>
      <c r="N83" s="41" t="s">
        <v>34</v>
      </c>
      <c r="O83" s="41" t="s">
        <v>29</v>
      </c>
      <c r="Q83" s="17">
        <f t="shared" si="10"/>
        <v>3</v>
      </c>
      <c r="R83" s="17">
        <f t="shared" si="11"/>
        <v>12</v>
      </c>
      <c r="S83" s="17">
        <f t="shared" si="12"/>
        <v>9</v>
      </c>
      <c r="T83" s="17">
        <f t="shared" si="13"/>
        <v>9</v>
      </c>
      <c r="U83" s="17">
        <f t="shared" si="14"/>
        <v>4</v>
      </c>
      <c r="W83" s="7">
        <v>0</v>
      </c>
      <c r="X83" s="7">
        <v>0</v>
      </c>
      <c r="Y83" s="7">
        <v>0</v>
      </c>
      <c r="Z83" s="7">
        <v>40</v>
      </c>
      <c r="AA83" s="7">
        <v>40</v>
      </c>
      <c r="AB83" s="13"/>
    </row>
    <row r="84" spans="10:28" ht="15.6" customHeight="1" x14ac:dyDescent="0.3">
      <c r="J84" s="2">
        <v>80</v>
      </c>
      <c r="K84" s="41" t="s">
        <v>30</v>
      </c>
      <c r="L84" s="41" t="s">
        <v>42</v>
      </c>
      <c r="M84" s="41" t="s">
        <v>48</v>
      </c>
      <c r="N84" s="41" t="s">
        <v>35</v>
      </c>
      <c r="O84" s="41" t="s">
        <v>35</v>
      </c>
      <c r="Q84" s="17">
        <f t="shared" si="10"/>
        <v>5</v>
      </c>
      <c r="R84" s="17">
        <f t="shared" si="11"/>
        <v>14</v>
      </c>
      <c r="S84" s="17">
        <f t="shared" si="12"/>
        <v>17</v>
      </c>
      <c r="T84" s="17">
        <f t="shared" si="13"/>
        <v>10</v>
      </c>
      <c r="U84" s="17">
        <f t="shared" si="14"/>
        <v>10</v>
      </c>
      <c r="W84" s="7">
        <v>0</v>
      </c>
      <c r="X84" s="7">
        <v>0</v>
      </c>
      <c r="Y84" s="7">
        <v>0</v>
      </c>
      <c r="Z84" s="7">
        <v>95</v>
      </c>
      <c r="AA84" s="7">
        <v>69</v>
      </c>
      <c r="AB84" s="13"/>
    </row>
    <row r="85" spans="10:28" ht="15.6" customHeight="1" x14ac:dyDescent="0.3">
      <c r="J85" s="2">
        <v>81</v>
      </c>
      <c r="K85" s="41" t="s">
        <v>30</v>
      </c>
      <c r="L85" s="41" t="s">
        <v>30</v>
      </c>
      <c r="M85" s="41" t="s">
        <v>35</v>
      </c>
      <c r="N85" s="41" t="s">
        <v>31</v>
      </c>
      <c r="O85" s="41" t="s">
        <v>31</v>
      </c>
      <c r="Q85" s="17">
        <f t="shared" si="10"/>
        <v>5</v>
      </c>
      <c r="R85" s="17">
        <f t="shared" si="11"/>
        <v>5</v>
      </c>
      <c r="S85" s="17">
        <f t="shared" si="12"/>
        <v>10</v>
      </c>
      <c r="T85" s="17">
        <f t="shared" si="13"/>
        <v>6</v>
      </c>
      <c r="U85" s="17">
        <f t="shared" si="14"/>
        <v>6</v>
      </c>
      <c r="W85" s="7">
        <v>0</v>
      </c>
      <c r="X85" s="7">
        <v>0</v>
      </c>
      <c r="Y85" s="7">
        <v>0</v>
      </c>
      <c r="Z85" s="7">
        <v>33</v>
      </c>
      <c r="AA85" s="7">
        <v>63</v>
      </c>
      <c r="AB85" s="13"/>
    </row>
    <row r="86" spans="10:28" ht="15.6" customHeight="1" x14ac:dyDescent="0.3">
      <c r="J86" s="2">
        <v>82</v>
      </c>
      <c r="K86" s="41" t="s">
        <v>35</v>
      </c>
      <c r="L86" s="41" t="s">
        <v>32</v>
      </c>
      <c r="M86" s="41" t="s">
        <v>29</v>
      </c>
      <c r="N86" s="41" t="s">
        <v>31</v>
      </c>
      <c r="O86" s="41" t="s">
        <v>33</v>
      </c>
      <c r="Q86" s="17">
        <f t="shared" si="10"/>
        <v>10</v>
      </c>
      <c r="R86" s="17">
        <f t="shared" si="11"/>
        <v>7</v>
      </c>
      <c r="S86" s="17">
        <f t="shared" si="12"/>
        <v>4</v>
      </c>
      <c r="T86" s="17">
        <f t="shared" si="13"/>
        <v>6</v>
      </c>
      <c r="U86" s="17">
        <f t="shared" si="14"/>
        <v>8</v>
      </c>
      <c r="W86" s="7">
        <v>0</v>
      </c>
      <c r="X86" s="7">
        <v>0</v>
      </c>
      <c r="Y86" s="7">
        <v>0</v>
      </c>
      <c r="Z86" s="7">
        <v>33</v>
      </c>
      <c r="AA86" s="7">
        <v>55</v>
      </c>
      <c r="AB86" s="13"/>
    </row>
    <row r="87" spans="10:28" ht="15.6" customHeight="1" x14ac:dyDescent="0.3">
      <c r="J87" s="2">
        <v>83</v>
      </c>
      <c r="K87" s="41" t="s">
        <v>32</v>
      </c>
      <c r="L87" s="41" t="s">
        <v>31</v>
      </c>
      <c r="M87" s="41" t="s">
        <v>30</v>
      </c>
      <c r="N87" s="41" t="s">
        <v>33</v>
      </c>
      <c r="O87" s="41" t="s">
        <v>33</v>
      </c>
      <c r="Q87" s="17">
        <f t="shared" si="10"/>
        <v>7</v>
      </c>
      <c r="R87" s="17">
        <f t="shared" si="11"/>
        <v>6</v>
      </c>
      <c r="S87" s="17">
        <f t="shared" si="12"/>
        <v>5</v>
      </c>
      <c r="T87" s="17">
        <f t="shared" si="13"/>
        <v>8</v>
      </c>
      <c r="U87" s="17">
        <f t="shared" si="14"/>
        <v>8</v>
      </c>
      <c r="W87" s="7">
        <v>0</v>
      </c>
      <c r="X87" s="7">
        <v>0</v>
      </c>
      <c r="Y87" s="7">
        <v>0</v>
      </c>
      <c r="Z87" s="7">
        <v>40</v>
      </c>
      <c r="AA87" s="7">
        <v>56</v>
      </c>
      <c r="AB87" s="13"/>
    </row>
    <row r="88" spans="10:28" ht="15.6" customHeight="1" x14ac:dyDescent="0.3">
      <c r="J88" s="2">
        <v>84</v>
      </c>
      <c r="K88" s="41" t="s">
        <v>32</v>
      </c>
      <c r="L88" s="41" t="s">
        <v>50</v>
      </c>
      <c r="M88" s="41" t="s">
        <v>35</v>
      </c>
      <c r="N88" s="41" t="s">
        <v>35</v>
      </c>
      <c r="O88" s="41" t="s">
        <v>33</v>
      </c>
      <c r="Q88" s="17">
        <f t="shared" si="10"/>
        <v>7</v>
      </c>
      <c r="R88" s="17">
        <f t="shared" si="11"/>
        <v>18</v>
      </c>
      <c r="S88" s="17">
        <f t="shared" si="12"/>
        <v>10</v>
      </c>
      <c r="T88" s="17">
        <f t="shared" si="13"/>
        <v>10</v>
      </c>
      <c r="U88" s="17">
        <f t="shared" si="14"/>
        <v>8</v>
      </c>
      <c r="W88" s="7">
        <v>0</v>
      </c>
      <c r="X88" s="7">
        <v>0</v>
      </c>
      <c r="Y88" s="7">
        <v>0</v>
      </c>
      <c r="Z88" s="7">
        <v>95</v>
      </c>
      <c r="AA88" s="7">
        <v>55</v>
      </c>
      <c r="AB88" s="13"/>
    </row>
    <row r="89" spans="10:28" ht="15.6" customHeight="1" x14ac:dyDescent="0.3">
      <c r="J89" s="2">
        <v>85</v>
      </c>
      <c r="K89" s="41" t="s">
        <v>31</v>
      </c>
      <c r="L89" s="41" t="s">
        <v>30</v>
      </c>
      <c r="M89" s="41" t="s">
        <v>29</v>
      </c>
      <c r="N89" s="41" t="s">
        <v>30</v>
      </c>
      <c r="O89" s="41" t="s">
        <v>33</v>
      </c>
      <c r="Q89" s="17">
        <f t="shared" si="10"/>
        <v>6</v>
      </c>
      <c r="R89" s="17">
        <f t="shared" si="11"/>
        <v>5</v>
      </c>
      <c r="S89" s="17">
        <f t="shared" si="12"/>
        <v>4</v>
      </c>
      <c r="T89" s="17">
        <f t="shared" si="13"/>
        <v>5</v>
      </c>
      <c r="U89" s="17">
        <f t="shared" si="14"/>
        <v>8</v>
      </c>
      <c r="W89" s="7">
        <v>0</v>
      </c>
      <c r="X89" s="7">
        <v>0</v>
      </c>
      <c r="Y89" s="7">
        <v>0</v>
      </c>
      <c r="Z89" s="7">
        <v>50</v>
      </c>
      <c r="AA89" s="7">
        <v>55</v>
      </c>
      <c r="AB89" s="13"/>
    </row>
    <row r="90" spans="10:28" ht="15.6" customHeight="1" x14ac:dyDescent="0.3">
      <c r="J90" s="2">
        <v>86</v>
      </c>
      <c r="K90" s="41" t="s">
        <v>32</v>
      </c>
      <c r="L90" s="41" t="s">
        <v>29</v>
      </c>
      <c r="M90" s="41" t="s">
        <v>35</v>
      </c>
      <c r="N90" s="41" t="s">
        <v>32</v>
      </c>
      <c r="O90" s="41" t="s">
        <v>34</v>
      </c>
      <c r="Q90" s="17">
        <f t="shared" si="10"/>
        <v>7</v>
      </c>
      <c r="R90" s="17">
        <f t="shared" si="11"/>
        <v>4</v>
      </c>
      <c r="S90" s="17">
        <f t="shared" si="12"/>
        <v>10</v>
      </c>
      <c r="T90" s="17">
        <f t="shared" si="13"/>
        <v>7</v>
      </c>
      <c r="U90" s="17">
        <f t="shared" si="14"/>
        <v>9</v>
      </c>
      <c r="W90" s="7">
        <v>0</v>
      </c>
      <c r="X90" s="7">
        <v>0</v>
      </c>
      <c r="Y90" s="7">
        <v>0</v>
      </c>
      <c r="Z90" s="7">
        <v>157</v>
      </c>
      <c r="AA90" s="7">
        <v>65</v>
      </c>
      <c r="AB90" s="13"/>
    </row>
    <row r="91" spans="10:28" ht="15.6" customHeight="1" x14ac:dyDescent="0.3">
      <c r="J91" s="2">
        <v>87</v>
      </c>
      <c r="K91" s="41" t="s">
        <v>31</v>
      </c>
      <c r="L91" s="41" t="s">
        <v>29</v>
      </c>
      <c r="M91" s="41" t="s">
        <v>34</v>
      </c>
      <c r="N91" s="41" t="s">
        <v>31</v>
      </c>
      <c r="O91" s="41" t="s">
        <v>29</v>
      </c>
      <c r="Q91" s="17">
        <f t="shared" si="10"/>
        <v>6</v>
      </c>
      <c r="R91" s="17">
        <f t="shared" si="11"/>
        <v>4</v>
      </c>
      <c r="S91" s="17">
        <f t="shared" si="12"/>
        <v>9</v>
      </c>
      <c r="T91" s="17">
        <f t="shared" si="13"/>
        <v>6</v>
      </c>
      <c r="U91" s="17">
        <f t="shared" si="14"/>
        <v>4</v>
      </c>
      <c r="W91" s="7">
        <v>0</v>
      </c>
      <c r="X91" s="7">
        <v>0</v>
      </c>
      <c r="Y91" s="7">
        <v>0</v>
      </c>
      <c r="Z91" s="7">
        <v>32</v>
      </c>
      <c r="AA91" s="7">
        <v>41</v>
      </c>
      <c r="AB91" s="13"/>
    </row>
    <row r="92" spans="10:28" ht="15.6" customHeight="1" x14ac:dyDescent="0.3">
      <c r="J92" s="2">
        <v>88</v>
      </c>
      <c r="K92" s="41" t="s">
        <v>33</v>
      </c>
      <c r="L92" s="41" t="s">
        <v>29</v>
      </c>
      <c r="M92" s="41" t="s">
        <v>33</v>
      </c>
      <c r="N92" s="41" t="s">
        <v>31</v>
      </c>
      <c r="O92" s="41" t="s">
        <v>29</v>
      </c>
      <c r="Q92" s="17">
        <f t="shared" si="10"/>
        <v>8</v>
      </c>
      <c r="R92" s="17">
        <f t="shared" si="11"/>
        <v>4</v>
      </c>
      <c r="S92" s="17">
        <f t="shared" si="12"/>
        <v>8</v>
      </c>
      <c r="T92" s="17">
        <f t="shared" si="13"/>
        <v>6</v>
      </c>
      <c r="U92" s="17">
        <f t="shared" si="14"/>
        <v>4</v>
      </c>
      <c r="W92" s="7">
        <v>0</v>
      </c>
      <c r="X92" s="7">
        <v>0</v>
      </c>
      <c r="Y92" s="7">
        <v>0</v>
      </c>
      <c r="Z92" s="7">
        <v>33</v>
      </c>
      <c r="AA92" s="7">
        <v>40</v>
      </c>
      <c r="AB92" s="13"/>
    </row>
    <row r="93" spans="10:28" ht="15.6" customHeight="1" x14ac:dyDescent="0.3">
      <c r="J93" s="2">
        <v>89</v>
      </c>
      <c r="K93" s="41" t="s">
        <v>29</v>
      </c>
      <c r="L93" s="41" t="s">
        <v>31</v>
      </c>
      <c r="M93" s="41" t="s">
        <v>34</v>
      </c>
      <c r="N93" s="41" t="s">
        <v>31</v>
      </c>
      <c r="O93" s="41" t="s">
        <v>26</v>
      </c>
      <c r="Q93" s="17">
        <f t="shared" si="10"/>
        <v>4</v>
      </c>
      <c r="R93" s="17">
        <f t="shared" si="11"/>
        <v>6</v>
      </c>
      <c r="S93" s="17">
        <f t="shared" si="12"/>
        <v>9</v>
      </c>
      <c r="T93" s="17">
        <f t="shared" si="13"/>
        <v>6</v>
      </c>
      <c r="U93" s="17">
        <f t="shared" si="14"/>
        <v>2</v>
      </c>
      <c r="W93" s="7">
        <v>0</v>
      </c>
      <c r="X93" s="7">
        <v>0</v>
      </c>
      <c r="Y93" s="7">
        <v>0</v>
      </c>
      <c r="Z93" s="7">
        <v>33</v>
      </c>
      <c r="AA93" s="7">
        <v>33</v>
      </c>
      <c r="AB93" s="13"/>
    </row>
    <row r="94" spans="10:28" ht="15.6" customHeight="1" x14ac:dyDescent="0.3">
      <c r="J94" s="2">
        <v>90</v>
      </c>
      <c r="K94" s="41" t="s">
        <v>34</v>
      </c>
      <c r="L94" s="41" t="s">
        <v>32</v>
      </c>
      <c r="M94" s="41" t="s">
        <v>32</v>
      </c>
      <c r="N94" s="41" t="s">
        <v>31</v>
      </c>
      <c r="O94" s="41" t="s">
        <v>31</v>
      </c>
      <c r="Q94" s="17">
        <f t="shared" si="10"/>
        <v>9</v>
      </c>
      <c r="R94" s="17">
        <f t="shared" si="11"/>
        <v>7</v>
      </c>
      <c r="S94" s="17">
        <f t="shared" si="12"/>
        <v>7</v>
      </c>
      <c r="T94" s="17">
        <f t="shared" si="13"/>
        <v>6</v>
      </c>
      <c r="U94" s="17">
        <f t="shared" si="14"/>
        <v>6</v>
      </c>
      <c r="W94" s="7">
        <v>0</v>
      </c>
      <c r="X94" s="7">
        <v>100</v>
      </c>
      <c r="Y94" s="7">
        <v>0</v>
      </c>
      <c r="Z94" s="7">
        <v>33</v>
      </c>
      <c r="AA94" s="7">
        <v>64</v>
      </c>
      <c r="AB94" s="13"/>
    </row>
    <row r="95" spans="10:28" ht="15.6" customHeight="1" x14ac:dyDescent="0.3">
      <c r="J95" s="2">
        <v>91</v>
      </c>
      <c r="K95" s="41" t="s">
        <v>34</v>
      </c>
      <c r="L95" s="41" t="s">
        <v>29</v>
      </c>
      <c r="M95" s="41" t="s">
        <v>36</v>
      </c>
      <c r="N95" s="41" t="s">
        <v>29</v>
      </c>
      <c r="O95" s="41" t="s">
        <v>34</v>
      </c>
      <c r="Q95" s="17">
        <f t="shared" si="10"/>
        <v>9</v>
      </c>
      <c r="R95" s="17">
        <f t="shared" si="11"/>
        <v>4</v>
      </c>
      <c r="S95" s="17">
        <f t="shared" si="12"/>
        <v>11</v>
      </c>
      <c r="T95" s="17">
        <f t="shared" si="13"/>
        <v>4</v>
      </c>
      <c r="U95" s="17">
        <f t="shared" si="14"/>
        <v>9</v>
      </c>
      <c r="W95" s="7">
        <v>0</v>
      </c>
      <c r="X95" s="7">
        <v>100</v>
      </c>
      <c r="Y95" s="7">
        <v>0</v>
      </c>
      <c r="Z95" s="7">
        <v>35</v>
      </c>
      <c r="AA95" s="7">
        <v>64</v>
      </c>
      <c r="AB95" s="13"/>
    </row>
    <row r="96" spans="10:28" ht="15.6" customHeight="1" x14ac:dyDescent="0.3">
      <c r="J96" s="2">
        <v>92</v>
      </c>
      <c r="K96" s="41" t="s">
        <v>34</v>
      </c>
      <c r="L96" s="41" t="s">
        <v>44</v>
      </c>
      <c r="M96" s="41" t="s">
        <v>30</v>
      </c>
      <c r="N96" s="41" t="s">
        <v>28</v>
      </c>
      <c r="O96" s="41" t="s">
        <v>34</v>
      </c>
      <c r="Q96" s="17">
        <f t="shared" si="10"/>
        <v>9</v>
      </c>
      <c r="R96" s="17">
        <f t="shared" si="11"/>
        <v>15</v>
      </c>
      <c r="S96" s="17">
        <f t="shared" si="12"/>
        <v>5</v>
      </c>
      <c r="T96" s="17">
        <f t="shared" si="13"/>
        <v>3</v>
      </c>
      <c r="U96" s="17">
        <f t="shared" si="14"/>
        <v>9</v>
      </c>
      <c r="W96" s="7">
        <v>0</v>
      </c>
      <c r="X96" s="7">
        <v>100</v>
      </c>
      <c r="Y96" s="7">
        <v>0</v>
      </c>
      <c r="Z96" s="7">
        <v>88</v>
      </c>
      <c r="AA96" s="7">
        <v>65</v>
      </c>
      <c r="AB96" s="13"/>
    </row>
    <row r="97" spans="10:28" ht="15.6" customHeight="1" x14ac:dyDescent="0.3">
      <c r="J97" s="2">
        <v>93</v>
      </c>
      <c r="K97" s="41" t="s">
        <v>34</v>
      </c>
      <c r="L97" s="41" t="s">
        <v>26</v>
      </c>
      <c r="M97" s="41" t="s">
        <v>30</v>
      </c>
      <c r="N97" s="41" t="s">
        <v>28</v>
      </c>
      <c r="O97" s="41" t="s">
        <v>33</v>
      </c>
      <c r="Q97" s="17">
        <f t="shared" si="10"/>
        <v>9</v>
      </c>
      <c r="R97" s="17">
        <f t="shared" si="11"/>
        <v>2</v>
      </c>
      <c r="S97" s="17">
        <f t="shared" si="12"/>
        <v>5</v>
      </c>
      <c r="T97" s="17">
        <f t="shared" si="13"/>
        <v>3</v>
      </c>
      <c r="U97" s="17">
        <f t="shared" si="14"/>
        <v>8</v>
      </c>
      <c r="W97" s="7">
        <v>0</v>
      </c>
      <c r="X97" s="7">
        <v>100</v>
      </c>
      <c r="Y97" s="7">
        <v>0</v>
      </c>
      <c r="Z97" s="7">
        <v>88</v>
      </c>
      <c r="AA97" s="7">
        <v>56</v>
      </c>
      <c r="AB97" s="13"/>
    </row>
    <row r="98" spans="10:28" ht="15.6" customHeight="1" x14ac:dyDescent="0.3">
      <c r="J98" s="2">
        <v>94</v>
      </c>
      <c r="K98" s="41" t="s">
        <v>28</v>
      </c>
      <c r="L98" s="41" t="s">
        <v>32</v>
      </c>
      <c r="M98" s="41" t="s">
        <v>34</v>
      </c>
      <c r="N98" s="41" t="s">
        <v>34</v>
      </c>
      <c r="O98" s="41" t="s">
        <v>32</v>
      </c>
      <c r="Q98" s="17">
        <f t="shared" si="10"/>
        <v>3</v>
      </c>
      <c r="R98" s="17">
        <f t="shared" si="11"/>
        <v>7</v>
      </c>
      <c r="S98" s="17">
        <f t="shared" si="12"/>
        <v>9</v>
      </c>
      <c r="T98" s="17">
        <f t="shared" si="13"/>
        <v>9</v>
      </c>
      <c r="U98" s="17">
        <f t="shared" si="14"/>
        <v>7</v>
      </c>
      <c r="W98" s="7">
        <v>0</v>
      </c>
      <c r="X98" s="7">
        <v>0</v>
      </c>
      <c r="Y98" s="7">
        <v>0</v>
      </c>
      <c r="Z98" s="7">
        <v>40</v>
      </c>
      <c r="AA98" s="7">
        <v>50</v>
      </c>
      <c r="AB98" s="13"/>
    </row>
    <row r="99" spans="10:28" ht="15.6" customHeight="1" x14ac:dyDescent="0.3">
      <c r="J99" s="2">
        <v>95</v>
      </c>
      <c r="K99" s="41" t="s">
        <v>35</v>
      </c>
      <c r="L99" s="41" t="s">
        <v>32</v>
      </c>
      <c r="M99" s="41" t="s">
        <v>30</v>
      </c>
      <c r="N99" s="41" t="s">
        <v>29</v>
      </c>
      <c r="O99" s="41" t="s">
        <v>32</v>
      </c>
      <c r="Q99" s="17">
        <f t="shared" si="10"/>
        <v>10</v>
      </c>
      <c r="R99" s="17">
        <f t="shared" si="11"/>
        <v>7</v>
      </c>
      <c r="S99" s="17">
        <f t="shared" si="12"/>
        <v>5</v>
      </c>
      <c r="T99" s="17">
        <f t="shared" si="13"/>
        <v>4</v>
      </c>
      <c r="U99" s="17">
        <f t="shared" si="14"/>
        <v>7</v>
      </c>
      <c r="W99" s="7">
        <v>0</v>
      </c>
      <c r="X99" s="7">
        <v>0</v>
      </c>
      <c r="Y99" s="7">
        <v>0</v>
      </c>
      <c r="Z99" s="7">
        <v>35</v>
      </c>
      <c r="AA99" s="7">
        <v>51</v>
      </c>
      <c r="AB99" s="13"/>
    </row>
    <row r="100" spans="10:28" ht="15.6" customHeight="1" x14ac:dyDescent="0.3">
      <c r="J100" s="2">
        <v>96</v>
      </c>
      <c r="K100" s="41" t="s">
        <v>29</v>
      </c>
      <c r="L100" s="41" t="s">
        <v>29</v>
      </c>
      <c r="M100" s="41" t="s">
        <v>34</v>
      </c>
      <c r="N100" s="41" t="s">
        <v>34</v>
      </c>
      <c r="O100" s="41" t="s">
        <v>31</v>
      </c>
      <c r="Q100" s="17">
        <f t="shared" si="10"/>
        <v>4</v>
      </c>
      <c r="R100" s="17">
        <f t="shared" si="11"/>
        <v>4</v>
      </c>
      <c r="S100" s="17">
        <f t="shared" si="12"/>
        <v>9</v>
      </c>
      <c r="T100" s="17">
        <f t="shared" si="13"/>
        <v>9</v>
      </c>
      <c r="U100" s="17">
        <f t="shared" si="14"/>
        <v>6</v>
      </c>
      <c r="W100" s="7">
        <v>0</v>
      </c>
      <c r="X100" s="7">
        <v>0</v>
      </c>
      <c r="Y100" s="7">
        <v>0</v>
      </c>
      <c r="Z100" s="7">
        <v>40</v>
      </c>
      <c r="AA100" s="7">
        <v>64</v>
      </c>
      <c r="AB100" s="13"/>
    </row>
    <row r="101" spans="10:28" ht="15.6" customHeight="1" x14ac:dyDescent="0.3">
      <c r="J101" s="2">
        <v>97</v>
      </c>
      <c r="K101" s="41" t="s">
        <v>31</v>
      </c>
      <c r="L101" s="41" t="s">
        <v>31</v>
      </c>
      <c r="M101" s="41" t="s">
        <v>50</v>
      </c>
      <c r="N101" s="41" t="s">
        <v>34</v>
      </c>
      <c r="O101" s="41" t="s">
        <v>28</v>
      </c>
      <c r="Q101" s="17">
        <f t="shared" si="10"/>
        <v>6</v>
      </c>
      <c r="R101" s="17">
        <f t="shared" si="11"/>
        <v>6</v>
      </c>
      <c r="S101" s="17">
        <f t="shared" si="12"/>
        <v>18</v>
      </c>
      <c r="T101" s="17">
        <f t="shared" si="13"/>
        <v>9</v>
      </c>
      <c r="U101" s="17">
        <f t="shared" si="14"/>
        <v>3</v>
      </c>
      <c r="W101" s="7">
        <v>0</v>
      </c>
      <c r="X101" s="7">
        <v>0</v>
      </c>
      <c r="Y101" s="7">
        <v>0</v>
      </c>
      <c r="Z101" s="7">
        <v>40</v>
      </c>
      <c r="AA101" s="7">
        <v>33</v>
      </c>
      <c r="AB101" s="13"/>
    </row>
    <row r="102" spans="10:28" ht="15.6" customHeight="1" x14ac:dyDescent="0.3">
      <c r="J102" s="2">
        <v>98</v>
      </c>
      <c r="K102" s="41" t="s">
        <v>31</v>
      </c>
      <c r="L102" s="41" t="s">
        <v>31</v>
      </c>
      <c r="M102" s="41" t="s">
        <v>32</v>
      </c>
      <c r="N102" s="41" t="s">
        <v>32</v>
      </c>
      <c r="O102" s="41" t="s">
        <v>34</v>
      </c>
      <c r="Q102" s="17">
        <f t="shared" si="10"/>
        <v>6</v>
      </c>
      <c r="R102" s="17">
        <f t="shared" si="11"/>
        <v>6</v>
      </c>
      <c r="S102" s="17">
        <f t="shared" si="12"/>
        <v>7</v>
      </c>
      <c r="T102" s="17">
        <f t="shared" si="13"/>
        <v>7</v>
      </c>
      <c r="U102" s="17">
        <f t="shared" si="14"/>
        <v>9</v>
      </c>
      <c r="W102" s="7">
        <v>0</v>
      </c>
      <c r="X102" s="7">
        <v>0</v>
      </c>
      <c r="Y102" s="7">
        <v>0</v>
      </c>
      <c r="Z102" s="7">
        <v>157</v>
      </c>
      <c r="AA102" s="7">
        <v>64</v>
      </c>
      <c r="AB102" s="13"/>
    </row>
    <row r="103" spans="10:28" ht="15.6" customHeight="1" x14ac:dyDescent="0.3">
      <c r="J103" s="2">
        <v>99</v>
      </c>
      <c r="K103" s="41" t="s">
        <v>32</v>
      </c>
      <c r="L103" s="41" t="s">
        <v>31</v>
      </c>
      <c r="M103" s="41" t="s">
        <v>34</v>
      </c>
      <c r="N103" s="41" t="s">
        <v>32</v>
      </c>
      <c r="O103" s="41" t="s">
        <v>29</v>
      </c>
      <c r="Q103" s="17">
        <f t="shared" si="10"/>
        <v>7</v>
      </c>
      <c r="R103" s="17">
        <f t="shared" si="11"/>
        <v>6</v>
      </c>
      <c r="S103" s="17">
        <f t="shared" si="12"/>
        <v>9</v>
      </c>
      <c r="T103" s="17">
        <f t="shared" si="13"/>
        <v>7</v>
      </c>
      <c r="U103" s="17">
        <f t="shared" si="14"/>
        <v>4</v>
      </c>
      <c r="W103" s="7">
        <v>0</v>
      </c>
      <c r="X103" s="7">
        <v>0</v>
      </c>
      <c r="Y103" s="7">
        <v>0</v>
      </c>
      <c r="Z103" s="7">
        <v>158</v>
      </c>
      <c r="AA103" s="7">
        <v>40</v>
      </c>
      <c r="AB103" s="13"/>
    </row>
    <row r="104" spans="10:28" ht="15.6" customHeight="1" x14ac:dyDescent="0.3">
      <c r="J104" s="2">
        <v>100</v>
      </c>
      <c r="K104" s="41" t="s">
        <v>29</v>
      </c>
      <c r="L104" s="41" t="s">
        <v>38</v>
      </c>
      <c r="M104" s="41" t="s">
        <v>33</v>
      </c>
      <c r="N104" s="41" t="s">
        <v>30</v>
      </c>
      <c r="O104" s="41" t="s">
        <v>35</v>
      </c>
      <c r="Q104" s="17">
        <f t="shared" si="10"/>
        <v>4</v>
      </c>
      <c r="R104" s="17">
        <f t="shared" si="11"/>
        <v>12</v>
      </c>
      <c r="S104" s="17">
        <f t="shared" si="12"/>
        <v>8</v>
      </c>
      <c r="T104" s="17">
        <f t="shared" si="13"/>
        <v>5</v>
      </c>
      <c r="U104" s="17">
        <f t="shared" si="14"/>
        <v>10</v>
      </c>
      <c r="W104" s="7">
        <v>0</v>
      </c>
      <c r="X104" s="7">
        <v>0</v>
      </c>
      <c r="Y104" s="7">
        <v>0</v>
      </c>
      <c r="Z104" s="7">
        <v>50</v>
      </c>
      <c r="AA104" s="7">
        <v>69</v>
      </c>
      <c r="AB104" s="13"/>
    </row>
    <row r="105" spans="10:28" ht="15.6" customHeight="1" x14ac:dyDescent="0.3">
      <c r="J105" s="2">
        <v>101</v>
      </c>
      <c r="K105" s="41" t="s">
        <v>35</v>
      </c>
      <c r="L105" s="41" t="s">
        <v>31</v>
      </c>
      <c r="M105" s="41" t="s">
        <v>34</v>
      </c>
      <c r="N105" s="41" t="s">
        <v>42</v>
      </c>
      <c r="O105" s="41" t="s">
        <v>35</v>
      </c>
      <c r="Q105" s="17">
        <f t="shared" si="10"/>
        <v>10</v>
      </c>
      <c r="R105" s="17">
        <f t="shared" si="11"/>
        <v>6</v>
      </c>
      <c r="S105" s="17">
        <f t="shared" si="12"/>
        <v>9</v>
      </c>
      <c r="T105" s="17">
        <f t="shared" si="13"/>
        <v>14</v>
      </c>
      <c r="U105" s="17">
        <f t="shared" si="14"/>
        <v>10</v>
      </c>
      <c r="W105" s="7">
        <v>0</v>
      </c>
      <c r="X105" s="7">
        <v>0</v>
      </c>
      <c r="Y105" s="7">
        <v>0</v>
      </c>
      <c r="Z105" s="7">
        <v>21</v>
      </c>
      <c r="AA105" s="7">
        <v>70</v>
      </c>
      <c r="AB105" s="13"/>
    </row>
    <row r="106" spans="10:28" ht="15.6" customHeight="1" x14ac:dyDescent="0.3">
      <c r="J106" s="2">
        <v>102</v>
      </c>
      <c r="K106" s="41" t="s">
        <v>31</v>
      </c>
      <c r="L106" s="41" t="s">
        <v>32</v>
      </c>
      <c r="M106" s="41" t="s">
        <v>35</v>
      </c>
      <c r="N106" s="41" t="s">
        <v>33</v>
      </c>
      <c r="O106" s="41" t="s">
        <v>31</v>
      </c>
      <c r="Q106" s="17">
        <f t="shared" si="10"/>
        <v>6</v>
      </c>
      <c r="R106" s="17">
        <f t="shared" si="11"/>
        <v>7</v>
      </c>
      <c r="S106" s="17">
        <f t="shared" si="12"/>
        <v>10</v>
      </c>
      <c r="T106" s="17">
        <f t="shared" si="13"/>
        <v>8</v>
      </c>
      <c r="U106" s="17">
        <f t="shared" si="14"/>
        <v>6</v>
      </c>
      <c r="W106" s="7">
        <v>0</v>
      </c>
      <c r="X106" s="7">
        <v>0</v>
      </c>
      <c r="Y106" s="7">
        <v>0</v>
      </c>
      <c r="Z106" s="7">
        <v>40</v>
      </c>
      <c r="AA106" s="7">
        <v>64</v>
      </c>
      <c r="AB106" s="13"/>
    </row>
    <row r="107" spans="10:28" ht="15.6" customHeight="1" x14ac:dyDescent="0.3">
      <c r="J107" s="2">
        <v>103</v>
      </c>
      <c r="K107" s="41" t="s">
        <v>32</v>
      </c>
      <c r="L107" s="41" t="s">
        <v>31</v>
      </c>
      <c r="M107" s="41" t="s">
        <v>32</v>
      </c>
      <c r="N107" s="41" t="s">
        <v>33</v>
      </c>
      <c r="O107" s="41" t="s">
        <v>30</v>
      </c>
      <c r="Q107" s="17">
        <f t="shared" si="10"/>
        <v>7</v>
      </c>
      <c r="R107" s="17">
        <f t="shared" si="11"/>
        <v>6</v>
      </c>
      <c r="S107" s="17">
        <f t="shared" si="12"/>
        <v>7</v>
      </c>
      <c r="T107" s="17">
        <f t="shared" si="13"/>
        <v>8</v>
      </c>
      <c r="U107" s="17">
        <f t="shared" si="14"/>
        <v>5</v>
      </c>
      <c r="W107" s="7">
        <v>0</v>
      </c>
      <c r="X107" s="7">
        <v>0</v>
      </c>
      <c r="Y107" s="7">
        <v>0</v>
      </c>
      <c r="Z107" s="7">
        <v>40</v>
      </c>
      <c r="AA107" s="7">
        <v>26</v>
      </c>
      <c r="AB107" s="13"/>
    </row>
    <row r="108" spans="10:28" ht="15.6" customHeight="1" x14ac:dyDescent="0.3">
      <c r="J108" s="2">
        <v>104</v>
      </c>
      <c r="K108" s="41" t="s">
        <v>34</v>
      </c>
      <c r="L108" s="41" t="s">
        <v>32</v>
      </c>
      <c r="M108" s="41" t="s">
        <v>31</v>
      </c>
      <c r="N108" s="41" t="s">
        <v>33</v>
      </c>
      <c r="O108" s="41" t="s">
        <v>30</v>
      </c>
      <c r="Q108" s="17">
        <f t="shared" si="10"/>
        <v>9</v>
      </c>
      <c r="R108" s="17">
        <f t="shared" si="11"/>
        <v>7</v>
      </c>
      <c r="S108" s="17">
        <f t="shared" si="12"/>
        <v>6</v>
      </c>
      <c r="T108" s="17">
        <f t="shared" si="13"/>
        <v>8</v>
      </c>
      <c r="U108" s="17">
        <f t="shared" si="14"/>
        <v>5</v>
      </c>
      <c r="W108" s="7">
        <v>0</v>
      </c>
      <c r="X108" s="7">
        <v>0</v>
      </c>
      <c r="Y108" s="7">
        <v>0</v>
      </c>
      <c r="Z108" s="7">
        <v>40</v>
      </c>
      <c r="AA108" s="7">
        <v>27</v>
      </c>
      <c r="AB108" s="13"/>
    </row>
    <row r="109" spans="10:28" ht="15.6" customHeight="1" x14ac:dyDescent="0.3">
      <c r="J109" s="2">
        <v>105</v>
      </c>
      <c r="K109" s="41" t="s">
        <v>34</v>
      </c>
      <c r="L109" s="41" t="s">
        <v>31</v>
      </c>
      <c r="M109" s="41" t="s">
        <v>33</v>
      </c>
      <c r="N109" s="41" t="s">
        <v>33</v>
      </c>
      <c r="O109" s="41" t="s">
        <v>30</v>
      </c>
      <c r="Q109" s="17">
        <f t="shared" si="10"/>
        <v>9</v>
      </c>
      <c r="R109" s="17">
        <f t="shared" si="11"/>
        <v>6</v>
      </c>
      <c r="S109" s="17">
        <f t="shared" si="12"/>
        <v>8</v>
      </c>
      <c r="T109" s="17">
        <f t="shared" si="13"/>
        <v>8</v>
      </c>
      <c r="U109" s="17">
        <f t="shared" si="14"/>
        <v>5</v>
      </c>
      <c r="W109" s="7">
        <v>0</v>
      </c>
      <c r="X109" s="7">
        <v>0</v>
      </c>
      <c r="Y109" s="7">
        <v>0</v>
      </c>
      <c r="Z109" s="7">
        <v>40</v>
      </c>
      <c r="AA109" s="7">
        <v>26</v>
      </c>
      <c r="AB109" s="13"/>
    </row>
    <row r="110" spans="10:28" ht="15.6" customHeight="1" x14ac:dyDescent="0.3">
      <c r="J110" s="2">
        <v>106</v>
      </c>
      <c r="K110" s="41" t="s">
        <v>30</v>
      </c>
      <c r="L110" s="41" t="s">
        <v>34</v>
      </c>
      <c r="M110" s="41" t="s">
        <v>42</v>
      </c>
      <c r="N110" s="41" t="s">
        <v>31</v>
      </c>
      <c r="O110" s="41" t="s">
        <v>30</v>
      </c>
      <c r="Q110" s="17">
        <f t="shared" si="10"/>
        <v>5</v>
      </c>
      <c r="R110" s="17">
        <f t="shared" si="11"/>
        <v>9</v>
      </c>
      <c r="S110" s="17">
        <f t="shared" si="12"/>
        <v>14</v>
      </c>
      <c r="T110" s="17">
        <f t="shared" si="13"/>
        <v>6</v>
      </c>
      <c r="U110" s="17">
        <f t="shared" si="14"/>
        <v>5</v>
      </c>
      <c r="W110" s="7">
        <v>0</v>
      </c>
      <c r="X110" s="7">
        <v>0</v>
      </c>
      <c r="Y110" s="7">
        <v>0</v>
      </c>
      <c r="Z110" s="7">
        <v>32</v>
      </c>
      <c r="AA110" s="7">
        <v>27</v>
      </c>
      <c r="AB110" s="13"/>
    </row>
    <row r="111" spans="10:28" ht="15.6" customHeight="1" x14ac:dyDescent="0.3">
      <c r="J111" s="2">
        <v>107</v>
      </c>
      <c r="K111" s="41" t="s">
        <v>33</v>
      </c>
      <c r="L111" s="41" t="s">
        <v>30</v>
      </c>
      <c r="M111" s="41" t="s">
        <v>28</v>
      </c>
      <c r="N111" s="41" t="s">
        <v>34</v>
      </c>
      <c r="O111" s="41" t="s">
        <v>33</v>
      </c>
      <c r="Q111" s="17">
        <f t="shared" si="10"/>
        <v>8</v>
      </c>
      <c r="R111" s="17">
        <f t="shared" si="11"/>
        <v>5</v>
      </c>
      <c r="S111" s="17">
        <f t="shared" si="12"/>
        <v>3</v>
      </c>
      <c r="T111" s="17">
        <f t="shared" si="13"/>
        <v>9</v>
      </c>
      <c r="U111" s="17">
        <f t="shared" si="14"/>
        <v>8</v>
      </c>
      <c r="W111" s="7">
        <v>0</v>
      </c>
      <c r="X111" s="7">
        <v>0</v>
      </c>
      <c r="Y111" s="7">
        <v>0</v>
      </c>
      <c r="Z111" s="7">
        <v>40</v>
      </c>
      <c r="AA111" s="7">
        <v>55</v>
      </c>
      <c r="AB111" s="13"/>
    </row>
    <row r="112" spans="10:28" ht="15.6" customHeight="1" x14ac:dyDescent="0.3">
      <c r="J112" s="2">
        <v>108</v>
      </c>
      <c r="K112" s="41" t="s">
        <v>29</v>
      </c>
      <c r="L112" s="41" t="s">
        <v>28</v>
      </c>
      <c r="M112" s="41" t="s">
        <v>35</v>
      </c>
      <c r="N112" s="41" t="s">
        <v>50</v>
      </c>
      <c r="O112" s="41" t="s">
        <v>28</v>
      </c>
      <c r="Q112" s="17">
        <f t="shared" si="10"/>
        <v>4</v>
      </c>
      <c r="R112" s="17">
        <f t="shared" si="11"/>
        <v>3</v>
      </c>
      <c r="S112" s="17">
        <f t="shared" si="12"/>
        <v>10</v>
      </c>
      <c r="T112" s="17">
        <f t="shared" si="13"/>
        <v>18</v>
      </c>
      <c r="U112" s="17">
        <f t="shared" si="14"/>
        <v>3</v>
      </c>
      <c r="W112" s="7">
        <v>0</v>
      </c>
      <c r="X112" s="7">
        <v>0</v>
      </c>
      <c r="Y112" s="7">
        <v>0</v>
      </c>
      <c r="Z112" s="7">
        <v>50</v>
      </c>
      <c r="AA112" s="7">
        <v>33</v>
      </c>
      <c r="AB112" s="13"/>
    </row>
    <row r="113" spans="10:28" ht="15.6" customHeight="1" x14ac:dyDescent="0.3">
      <c r="J113" s="2">
        <v>109</v>
      </c>
      <c r="K113" s="41" t="s">
        <v>28</v>
      </c>
      <c r="L113" s="41" t="s">
        <v>31</v>
      </c>
      <c r="M113" s="41" t="s">
        <v>35</v>
      </c>
      <c r="N113" s="41" t="s">
        <v>34</v>
      </c>
      <c r="O113" s="41" t="s">
        <v>33</v>
      </c>
      <c r="Q113" s="17">
        <f t="shared" si="10"/>
        <v>3</v>
      </c>
      <c r="R113" s="17">
        <f t="shared" si="11"/>
        <v>6</v>
      </c>
      <c r="S113" s="17">
        <f t="shared" si="12"/>
        <v>10</v>
      </c>
      <c r="T113" s="17">
        <f t="shared" si="13"/>
        <v>9</v>
      </c>
      <c r="U113" s="17">
        <f t="shared" si="14"/>
        <v>8</v>
      </c>
      <c r="W113" s="7">
        <v>0</v>
      </c>
      <c r="X113" s="7">
        <v>0</v>
      </c>
      <c r="Y113" s="7">
        <v>0</v>
      </c>
      <c r="Z113" s="7">
        <v>40</v>
      </c>
      <c r="AA113" s="7">
        <v>55</v>
      </c>
      <c r="AB113" s="13"/>
    </row>
    <row r="114" spans="10:28" ht="15.6" customHeight="1" x14ac:dyDescent="0.3">
      <c r="J114" s="2">
        <v>110</v>
      </c>
      <c r="K114" s="41" t="s">
        <v>28</v>
      </c>
      <c r="L114" s="41" t="s">
        <v>34</v>
      </c>
      <c r="M114" s="41" t="s">
        <v>46</v>
      </c>
      <c r="N114" s="41" t="s">
        <v>48</v>
      </c>
      <c r="O114" s="41" t="s">
        <v>33</v>
      </c>
      <c r="Q114" s="17">
        <f t="shared" si="10"/>
        <v>3</v>
      </c>
      <c r="R114" s="17">
        <f t="shared" si="11"/>
        <v>9</v>
      </c>
      <c r="S114" s="17">
        <f t="shared" si="12"/>
        <v>16</v>
      </c>
      <c r="T114" s="17">
        <f t="shared" si="13"/>
        <v>17</v>
      </c>
      <c r="U114" s="17">
        <f t="shared" si="14"/>
        <v>8</v>
      </c>
      <c r="W114" s="7">
        <v>0</v>
      </c>
      <c r="X114" s="7">
        <v>0</v>
      </c>
      <c r="Y114" s="7">
        <v>0</v>
      </c>
      <c r="Z114" s="7">
        <v>26</v>
      </c>
      <c r="AA114" s="7">
        <v>55</v>
      </c>
      <c r="AB114" s="13"/>
    </row>
    <row r="115" spans="10:28" ht="15.6" customHeight="1" x14ac:dyDescent="0.3">
      <c r="J115" s="2">
        <v>111</v>
      </c>
      <c r="K115" s="41" t="s">
        <v>35</v>
      </c>
      <c r="L115" s="41" t="s">
        <v>32</v>
      </c>
      <c r="M115" s="41" t="s">
        <v>32</v>
      </c>
      <c r="N115" s="41" t="s">
        <v>33</v>
      </c>
      <c r="O115" s="41" t="s">
        <v>30</v>
      </c>
      <c r="Q115" s="17">
        <f t="shared" si="10"/>
        <v>10</v>
      </c>
      <c r="R115" s="17">
        <f t="shared" si="11"/>
        <v>7</v>
      </c>
      <c r="S115" s="17">
        <f t="shared" si="12"/>
        <v>7</v>
      </c>
      <c r="T115" s="17">
        <f t="shared" si="13"/>
        <v>8</v>
      </c>
      <c r="U115" s="17">
        <f t="shared" si="14"/>
        <v>5</v>
      </c>
      <c r="W115" s="7">
        <v>0</v>
      </c>
      <c r="X115" s="7">
        <v>0</v>
      </c>
      <c r="Y115" s="7">
        <v>0</v>
      </c>
      <c r="Z115" s="7">
        <v>39</v>
      </c>
      <c r="AA115" s="7">
        <v>26</v>
      </c>
      <c r="AB115" s="13"/>
    </row>
    <row r="116" spans="10:28" ht="15.6" customHeight="1" x14ac:dyDescent="0.3">
      <c r="J116" s="2">
        <v>112</v>
      </c>
      <c r="K116" s="41" t="s">
        <v>29</v>
      </c>
      <c r="L116" s="41" t="s">
        <v>31</v>
      </c>
      <c r="M116" s="41" t="s">
        <v>44</v>
      </c>
      <c r="N116" s="41" t="s">
        <v>29</v>
      </c>
      <c r="O116" s="41" t="s">
        <v>35</v>
      </c>
      <c r="Q116" s="17">
        <f t="shared" si="10"/>
        <v>4</v>
      </c>
      <c r="R116" s="17">
        <f t="shared" si="11"/>
        <v>6</v>
      </c>
      <c r="S116" s="17">
        <f t="shared" si="12"/>
        <v>15</v>
      </c>
      <c r="T116" s="17">
        <f t="shared" si="13"/>
        <v>4</v>
      </c>
      <c r="U116" s="17">
        <f t="shared" si="14"/>
        <v>10</v>
      </c>
      <c r="W116" s="7">
        <v>0</v>
      </c>
      <c r="X116" s="7">
        <v>0</v>
      </c>
      <c r="Y116" s="7">
        <v>0</v>
      </c>
      <c r="Z116" s="7">
        <v>35</v>
      </c>
      <c r="AA116" s="7">
        <v>69</v>
      </c>
      <c r="AB116" s="13"/>
    </row>
    <row r="117" spans="10:28" ht="15.6" customHeight="1" x14ac:dyDescent="0.3">
      <c r="J117" s="2">
        <v>113</v>
      </c>
      <c r="K117" s="41" t="s">
        <v>30</v>
      </c>
      <c r="L117" s="41" t="s">
        <v>30</v>
      </c>
      <c r="M117" s="41" t="s">
        <v>31</v>
      </c>
      <c r="N117" s="41" t="s">
        <v>35</v>
      </c>
      <c r="O117" s="41" t="s">
        <v>32</v>
      </c>
      <c r="Q117" s="17">
        <f t="shared" si="10"/>
        <v>5</v>
      </c>
      <c r="R117" s="17">
        <f t="shared" si="11"/>
        <v>5</v>
      </c>
      <c r="S117" s="17">
        <f t="shared" si="12"/>
        <v>6</v>
      </c>
      <c r="T117" s="17">
        <f t="shared" si="13"/>
        <v>10</v>
      </c>
      <c r="U117" s="17">
        <f t="shared" si="14"/>
        <v>7</v>
      </c>
      <c r="W117" s="7">
        <v>0</v>
      </c>
      <c r="X117" s="7">
        <v>0</v>
      </c>
      <c r="Y117" s="7">
        <v>0</v>
      </c>
      <c r="Z117" s="7">
        <v>96</v>
      </c>
      <c r="AA117" s="7">
        <v>50</v>
      </c>
      <c r="AB117" s="13"/>
    </row>
    <row r="118" spans="10:28" ht="15.6" customHeight="1" x14ac:dyDescent="0.3">
      <c r="J118" s="2">
        <v>114</v>
      </c>
      <c r="K118" s="41" t="s">
        <v>34</v>
      </c>
      <c r="L118" s="41" t="s">
        <v>40</v>
      </c>
      <c r="M118" s="41" t="s">
        <v>31</v>
      </c>
      <c r="N118" s="41" t="s">
        <v>35</v>
      </c>
      <c r="O118" s="41" t="s">
        <v>33</v>
      </c>
      <c r="Q118" s="17">
        <f t="shared" si="10"/>
        <v>9</v>
      </c>
      <c r="R118" s="17">
        <f t="shared" si="11"/>
        <v>13</v>
      </c>
      <c r="S118" s="17">
        <f t="shared" si="12"/>
        <v>6</v>
      </c>
      <c r="T118" s="17">
        <f t="shared" si="13"/>
        <v>10</v>
      </c>
      <c r="U118" s="17">
        <f t="shared" si="14"/>
        <v>8</v>
      </c>
      <c r="W118" s="7">
        <v>0</v>
      </c>
      <c r="X118" s="7">
        <v>0</v>
      </c>
      <c r="Y118" s="7">
        <v>0</v>
      </c>
      <c r="Z118" s="7">
        <v>95</v>
      </c>
      <c r="AA118" s="7">
        <v>56</v>
      </c>
      <c r="AB118" s="13"/>
    </row>
    <row r="119" spans="10:28" ht="15.6" customHeight="1" x14ac:dyDescent="0.3">
      <c r="J119" s="2">
        <v>115</v>
      </c>
      <c r="K119" s="41" t="s">
        <v>33</v>
      </c>
      <c r="L119" s="41" t="s">
        <v>31</v>
      </c>
      <c r="M119" s="41" t="s">
        <v>31</v>
      </c>
      <c r="N119" s="41" t="s">
        <v>46</v>
      </c>
      <c r="O119" s="41" t="s">
        <v>34</v>
      </c>
      <c r="Q119" s="17">
        <f t="shared" si="10"/>
        <v>8</v>
      </c>
      <c r="R119" s="17">
        <f t="shared" si="11"/>
        <v>6</v>
      </c>
      <c r="S119" s="17">
        <f t="shared" si="12"/>
        <v>6</v>
      </c>
      <c r="T119" s="17">
        <f t="shared" si="13"/>
        <v>16</v>
      </c>
      <c r="U119" s="17">
        <f t="shared" si="14"/>
        <v>9</v>
      </c>
      <c r="W119" s="7">
        <v>0</v>
      </c>
      <c r="X119" s="7">
        <v>0</v>
      </c>
      <c r="Y119" s="7">
        <v>0</v>
      </c>
      <c r="Z119" s="7">
        <v>24</v>
      </c>
      <c r="AA119" s="7">
        <v>65</v>
      </c>
      <c r="AB119" s="13"/>
    </row>
    <row r="120" spans="10:28" ht="15.6" customHeight="1" x14ac:dyDescent="0.3">
      <c r="J120" s="2">
        <v>116</v>
      </c>
      <c r="K120" s="41" t="s">
        <v>35</v>
      </c>
      <c r="L120" s="41" t="s">
        <v>29</v>
      </c>
      <c r="M120" s="41" t="s">
        <v>30</v>
      </c>
      <c r="N120" s="41" t="s">
        <v>31</v>
      </c>
      <c r="O120" s="41" t="s">
        <v>35</v>
      </c>
      <c r="Q120" s="17">
        <f t="shared" si="10"/>
        <v>10</v>
      </c>
      <c r="R120" s="17">
        <f t="shared" si="11"/>
        <v>4</v>
      </c>
      <c r="S120" s="17">
        <f t="shared" si="12"/>
        <v>5</v>
      </c>
      <c r="T120" s="17">
        <f t="shared" si="13"/>
        <v>6</v>
      </c>
      <c r="U120" s="17">
        <f t="shared" si="14"/>
        <v>10</v>
      </c>
      <c r="W120" s="7">
        <v>0</v>
      </c>
      <c r="X120" s="7">
        <v>0</v>
      </c>
      <c r="Y120" s="7">
        <v>0</v>
      </c>
      <c r="Z120" s="7">
        <v>33</v>
      </c>
      <c r="AA120" s="7">
        <v>70</v>
      </c>
      <c r="AB120" s="13"/>
    </row>
    <row r="121" spans="10:28" ht="15.6" customHeight="1" x14ac:dyDescent="0.3">
      <c r="J121" s="2">
        <v>117</v>
      </c>
      <c r="K121" s="41" t="s">
        <v>28</v>
      </c>
      <c r="L121" s="41" t="s">
        <v>34</v>
      </c>
      <c r="M121" s="41" t="s">
        <v>30</v>
      </c>
      <c r="N121" s="41" t="s">
        <v>31</v>
      </c>
      <c r="O121" s="41" t="s">
        <v>35</v>
      </c>
      <c r="Q121" s="17">
        <f t="shared" si="10"/>
        <v>3</v>
      </c>
      <c r="R121" s="17">
        <f t="shared" si="11"/>
        <v>9</v>
      </c>
      <c r="S121" s="17">
        <f t="shared" si="12"/>
        <v>5</v>
      </c>
      <c r="T121" s="17">
        <f t="shared" si="13"/>
        <v>6</v>
      </c>
      <c r="U121" s="17">
        <f t="shared" si="14"/>
        <v>10</v>
      </c>
      <c r="W121" s="7">
        <v>100</v>
      </c>
      <c r="X121" s="7">
        <v>0</v>
      </c>
      <c r="Y121" s="7">
        <v>0</v>
      </c>
      <c r="Z121" s="7">
        <v>33</v>
      </c>
      <c r="AA121" s="7">
        <v>69</v>
      </c>
      <c r="AB121" s="13"/>
    </row>
    <row r="122" spans="10:28" ht="15.6" customHeight="1" x14ac:dyDescent="0.3">
      <c r="J122" s="2">
        <v>118</v>
      </c>
      <c r="K122" s="41" t="s">
        <v>35</v>
      </c>
      <c r="L122" s="41" t="s">
        <v>33</v>
      </c>
      <c r="M122" s="41" t="s">
        <v>30</v>
      </c>
      <c r="N122" s="41" t="s">
        <v>31</v>
      </c>
      <c r="O122" s="41" t="s">
        <v>34</v>
      </c>
      <c r="Q122" s="17">
        <f t="shared" si="10"/>
        <v>10</v>
      </c>
      <c r="R122" s="17">
        <f t="shared" si="11"/>
        <v>8</v>
      </c>
      <c r="S122" s="17">
        <f t="shared" si="12"/>
        <v>5</v>
      </c>
      <c r="T122" s="17">
        <f t="shared" si="13"/>
        <v>6</v>
      </c>
      <c r="U122" s="17">
        <f t="shared" si="14"/>
        <v>9</v>
      </c>
      <c r="W122" s="7">
        <v>100</v>
      </c>
      <c r="X122" s="7">
        <v>0</v>
      </c>
      <c r="Y122" s="7">
        <v>0</v>
      </c>
      <c r="Z122" s="7">
        <v>33</v>
      </c>
      <c r="AA122" s="7">
        <v>65</v>
      </c>
      <c r="AB122" s="13"/>
    </row>
    <row r="123" spans="10:28" ht="15.6" customHeight="1" x14ac:dyDescent="0.3">
      <c r="J123" s="2">
        <v>119</v>
      </c>
      <c r="K123" s="41" t="s">
        <v>28</v>
      </c>
      <c r="L123" s="41" t="s">
        <v>31</v>
      </c>
      <c r="M123" s="41" t="s">
        <v>33</v>
      </c>
      <c r="N123" s="41" t="s">
        <v>33</v>
      </c>
      <c r="O123" s="41" t="s">
        <v>34</v>
      </c>
      <c r="Q123" s="17">
        <f t="shared" si="10"/>
        <v>3</v>
      </c>
      <c r="R123" s="17">
        <f t="shared" si="11"/>
        <v>6</v>
      </c>
      <c r="S123" s="17">
        <f t="shared" si="12"/>
        <v>8</v>
      </c>
      <c r="T123" s="17">
        <f t="shared" si="13"/>
        <v>8</v>
      </c>
      <c r="U123" s="17">
        <f t="shared" si="14"/>
        <v>9</v>
      </c>
      <c r="W123" s="7">
        <v>100</v>
      </c>
      <c r="X123" s="7">
        <v>0</v>
      </c>
      <c r="Y123" s="7">
        <v>0</v>
      </c>
      <c r="Z123" s="7">
        <v>40</v>
      </c>
      <c r="AA123" s="7">
        <v>64</v>
      </c>
      <c r="AB123" s="13"/>
    </row>
    <row r="124" spans="10:28" ht="15.6" customHeight="1" x14ac:dyDescent="0.3">
      <c r="J124" s="2">
        <v>120</v>
      </c>
      <c r="K124" s="41" t="s">
        <v>26</v>
      </c>
      <c r="L124" s="41" t="s">
        <v>32</v>
      </c>
      <c r="M124" s="41" t="s">
        <v>35</v>
      </c>
      <c r="N124" s="41" t="s">
        <v>34</v>
      </c>
      <c r="O124" s="41" t="s">
        <v>33</v>
      </c>
      <c r="Q124" s="17">
        <f t="shared" si="10"/>
        <v>2</v>
      </c>
      <c r="R124" s="17">
        <f t="shared" si="11"/>
        <v>7</v>
      </c>
      <c r="S124" s="17">
        <f t="shared" si="12"/>
        <v>10</v>
      </c>
      <c r="T124" s="17">
        <f t="shared" si="13"/>
        <v>9</v>
      </c>
      <c r="U124" s="17">
        <f t="shared" si="14"/>
        <v>8</v>
      </c>
      <c r="W124" s="7">
        <v>0</v>
      </c>
      <c r="X124" s="7">
        <v>0</v>
      </c>
      <c r="Y124" s="7">
        <v>0</v>
      </c>
      <c r="Z124" s="7">
        <v>40</v>
      </c>
      <c r="AA124" s="7">
        <v>55</v>
      </c>
      <c r="AB124" s="13"/>
    </row>
    <row r="125" spans="10:28" ht="15.6" customHeight="1" x14ac:dyDescent="0.3">
      <c r="J125" s="2">
        <v>121</v>
      </c>
      <c r="K125" s="41" t="s">
        <v>30</v>
      </c>
      <c r="L125" s="41" t="s">
        <v>32</v>
      </c>
      <c r="M125" s="41" t="s">
        <v>31</v>
      </c>
      <c r="N125" s="41" t="s">
        <v>33</v>
      </c>
      <c r="O125" s="41" t="s">
        <v>32</v>
      </c>
      <c r="Q125" s="17">
        <f t="shared" si="10"/>
        <v>5</v>
      </c>
      <c r="R125" s="17">
        <f t="shared" si="11"/>
        <v>7</v>
      </c>
      <c r="S125" s="17">
        <f t="shared" si="12"/>
        <v>6</v>
      </c>
      <c r="T125" s="17">
        <f t="shared" si="13"/>
        <v>8</v>
      </c>
      <c r="U125" s="17">
        <f t="shared" si="14"/>
        <v>7</v>
      </c>
      <c r="W125" s="7">
        <v>0</v>
      </c>
      <c r="X125" s="7">
        <v>0</v>
      </c>
      <c r="Y125" s="7">
        <v>0</v>
      </c>
      <c r="Z125" s="7">
        <v>40</v>
      </c>
      <c r="AA125" s="7">
        <v>51</v>
      </c>
      <c r="AB125" s="13"/>
    </row>
    <row r="126" spans="10:28" ht="15.6" customHeight="1" x14ac:dyDescent="0.3">
      <c r="J126" s="2">
        <v>122</v>
      </c>
      <c r="K126" s="41" t="s">
        <v>35</v>
      </c>
      <c r="L126" s="41" t="s">
        <v>48</v>
      </c>
      <c r="M126" s="41" t="s">
        <v>48</v>
      </c>
      <c r="N126" s="41" t="s">
        <v>34</v>
      </c>
      <c r="O126" s="41" t="s">
        <v>35</v>
      </c>
      <c r="Q126" s="17">
        <f t="shared" si="10"/>
        <v>10</v>
      </c>
      <c r="R126" s="17">
        <f t="shared" si="11"/>
        <v>17</v>
      </c>
      <c r="S126" s="17">
        <f t="shared" si="12"/>
        <v>17</v>
      </c>
      <c r="T126" s="17">
        <f t="shared" si="13"/>
        <v>9</v>
      </c>
      <c r="U126" s="17">
        <f t="shared" si="14"/>
        <v>10</v>
      </c>
      <c r="W126" s="7">
        <v>0</v>
      </c>
      <c r="X126" s="7">
        <v>0</v>
      </c>
      <c r="Y126" s="7">
        <v>0</v>
      </c>
      <c r="Z126" s="7">
        <v>41</v>
      </c>
      <c r="AA126" s="7">
        <v>70</v>
      </c>
      <c r="AB126" s="13"/>
    </row>
    <row r="127" spans="10:28" ht="15.6" customHeight="1" x14ac:dyDescent="0.3">
      <c r="J127" s="2">
        <v>123</v>
      </c>
      <c r="K127" s="41" t="s">
        <v>33</v>
      </c>
      <c r="L127" s="41" t="s">
        <v>31</v>
      </c>
      <c r="M127" s="41" t="s">
        <v>35</v>
      </c>
      <c r="N127" s="41" t="s">
        <v>34</v>
      </c>
      <c r="O127" s="41" t="s">
        <v>30</v>
      </c>
      <c r="Q127" s="17">
        <f t="shared" si="10"/>
        <v>8</v>
      </c>
      <c r="R127" s="17">
        <f t="shared" si="11"/>
        <v>6</v>
      </c>
      <c r="S127" s="17">
        <f t="shared" si="12"/>
        <v>10</v>
      </c>
      <c r="T127" s="17">
        <f t="shared" si="13"/>
        <v>9</v>
      </c>
      <c r="U127" s="17">
        <f t="shared" si="14"/>
        <v>5</v>
      </c>
      <c r="W127" s="7">
        <v>0</v>
      </c>
      <c r="X127" s="7">
        <v>100</v>
      </c>
      <c r="Y127" s="7">
        <v>0</v>
      </c>
      <c r="Z127" s="7">
        <v>40</v>
      </c>
      <c r="AA127" s="7">
        <v>27</v>
      </c>
      <c r="AB127" s="13"/>
    </row>
    <row r="128" spans="10:28" ht="15.6" customHeight="1" x14ac:dyDescent="0.3">
      <c r="J128" s="2">
        <v>124</v>
      </c>
      <c r="K128" s="41" t="s">
        <v>33</v>
      </c>
      <c r="L128" s="41" t="s">
        <v>26</v>
      </c>
      <c r="M128" s="41" t="s">
        <v>32</v>
      </c>
      <c r="N128" s="41" t="s">
        <v>34</v>
      </c>
      <c r="O128" s="41" t="s">
        <v>33</v>
      </c>
      <c r="Q128" s="17">
        <f t="shared" si="10"/>
        <v>8</v>
      </c>
      <c r="R128" s="17">
        <f t="shared" si="11"/>
        <v>2</v>
      </c>
      <c r="S128" s="17">
        <f t="shared" si="12"/>
        <v>7</v>
      </c>
      <c r="T128" s="17">
        <f t="shared" si="13"/>
        <v>9</v>
      </c>
      <c r="U128" s="17">
        <f t="shared" si="14"/>
        <v>8</v>
      </c>
      <c r="W128" s="7">
        <v>0</v>
      </c>
      <c r="X128" s="7">
        <v>100</v>
      </c>
      <c r="Y128" s="7">
        <v>0</v>
      </c>
      <c r="Z128" s="7">
        <v>40</v>
      </c>
      <c r="AA128" s="7">
        <v>55</v>
      </c>
      <c r="AB128" s="13"/>
    </row>
    <row r="129" spans="10:28" ht="15.6" customHeight="1" x14ac:dyDescent="0.3">
      <c r="J129" s="2">
        <v>125</v>
      </c>
      <c r="K129" s="41" t="s">
        <v>32</v>
      </c>
      <c r="L129" s="41" t="s">
        <v>33</v>
      </c>
      <c r="M129" s="41" t="s">
        <v>35</v>
      </c>
      <c r="N129" s="41" t="s">
        <v>32</v>
      </c>
      <c r="O129" s="41" t="s">
        <v>29</v>
      </c>
      <c r="Q129" s="17">
        <f t="shared" si="10"/>
        <v>7</v>
      </c>
      <c r="R129" s="17">
        <f t="shared" si="11"/>
        <v>8</v>
      </c>
      <c r="S129" s="17">
        <f t="shared" si="12"/>
        <v>10</v>
      </c>
      <c r="T129" s="17">
        <f t="shared" si="13"/>
        <v>7</v>
      </c>
      <c r="U129" s="17">
        <f t="shared" si="14"/>
        <v>4</v>
      </c>
      <c r="W129" s="7">
        <v>0</v>
      </c>
      <c r="X129" s="7">
        <v>0</v>
      </c>
      <c r="Y129" s="7">
        <v>0</v>
      </c>
      <c r="Z129" s="7">
        <v>157</v>
      </c>
      <c r="AA129" s="7">
        <v>41</v>
      </c>
      <c r="AB129" s="13"/>
    </row>
    <row r="130" spans="10:28" ht="15.6" customHeight="1" x14ac:dyDescent="0.3">
      <c r="J130" s="2">
        <v>126</v>
      </c>
      <c r="K130" s="41" t="s">
        <v>29</v>
      </c>
      <c r="L130" s="41" t="s">
        <v>32</v>
      </c>
      <c r="M130" s="41" t="s">
        <v>40</v>
      </c>
      <c r="N130" s="41" t="s">
        <v>30</v>
      </c>
      <c r="O130" s="41" t="s">
        <v>29</v>
      </c>
      <c r="Q130" s="17">
        <f t="shared" si="10"/>
        <v>4</v>
      </c>
      <c r="R130" s="17">
        <f t="shared" si="11"/>
        <v>7</v>
      </c>
      <c r="S130" s="17">
        <f t="shared" si="12"/>
        <v>13</v>
      </c>
      <c r="T130" s="17">
        <f t="shared" si="13"/>
        <v>5</v>
      </c>
      <c r="U130" s="17">
        <f t="shared" si="14"/>
        <v>4</v>
      </c>
      <c r="W130" s="7">
        <v>0</v>
      </c>
      <c r="X130" s="7">
        <v>0</v>
      </c>
      <c r="Y130" s="7">
        <v>0</v>
      </c>
      <c r="Z130" s="7">
        <v>50</v>
      </c>
      <c r="AA130" s="7">
        <v>40</v>
      </c>
      <c r="AB130" s="13"/>
    </row>
    <row r="131" spans="10:28" ht="15.6" customHeight="1" x14ac:dyDescent="0.3">
      <c r="J131" s="2">
        <v>127</v>
      </c>
      <c r="K131" s="41" t="s">
        <v>33</v>
      </c>
      <c r="L131" s="41" t="s">
        <v>32</v>
      </c>
      <c r="M131" s="41" t="s">
        <v>28</v>
      </c>
      <c r="N131" s="41" t="s">
        <v>30</v>
      </c>
      <c r="O131" s="41" t="s">
        <v>28</v>
      </c>
      <c r="Q131" s="17">
        <f t="shared" si="10"/>
        <v>8</v>
      </c>
      <c r="R131" s="17">
        <f t="shared" si="11"/>
        <v>7</v>
      </c>
      <c r="S131" s="17">
        <f t="shared" si="12"/>
        <v>3</v>
      </c>
      <c r="T131" s="17">
        <f t="shared" si="13"/>
        <v>5</v>
      </c>
      <c r="U131" s="17">
        <f t="shared" si="14"/>
        <v>3</v>
      </c>
      <c r="W131" s="7">
        <v>0</v>
      </c>
      <c r="X131" s="7">
        <v>0</v>
      </c>
      <c r="Y131" s="7">
        <v>0</v>
      </c>
      <c r="Z131" s="7">
        <v>50</v>
      </c>
      <c r="AA131" s="7">
        <v>33</v>
      </c>
      <c r="AB131" s="13"/>
    </row>
    <row r="132" spans="10:28" ht="15.6" customHeight="1" x14ac:dyDescent="0.3">
      <c r="J132" s="2">
        <v>128</v>
      </c>
      <c r="K132" s="41" t="s">
        <v>29</v>
      </c>
      <c r="L132" s="41" t="s">
        <v>28</v>
      </c>
      <c r="M132" s="41" t="s">
        <v>29</v>
      </c>
      <c r="N132" s="41" t="s">
        <v>36</v>
      </c>
      <c r="O132" s="41" t="s">
        <v>35</v>
      </c>
      <c r="Q132" s="17">
        <f t="shared" ref="Q132:Q195" si="15">IF(K132="","",VLOOKUP(K132,$A$4:$H$22,8,FALSE))</f>
        <v>4</v>
      </c>
      <c r="R132" s="17">
        <f t="shared" ref="R132:R195" si="16">IF(L132="","",VLOOKUP(L132,$A$4:$H$22,8,FALSE))</f>
        <v>3</v>
      </c>
      <c r="S132" s="17">
        <f t="shared" ref="S132:S195" si="17">IF(M132="","",VLOOKUP(M132,$A$4:$H$22,8,FALSE))</f>
        <v>4</v>
      </c>
      <c r="T132" s="17">
        <f t="shared" ref="T132:T195" si="18">IF(N132="","",VLOOKUP(N132,$A$4:$H$22,8,FALSE))</f>
        <v>11</v>
      </c>
      <c r="U132" s="17">
        <f t="shared" ref="U132:U195" si="19">IF(O132="","",VLOOKUP(O132,$A$4:$H$22,8,FALSE))</f>
        <v>10</v>
      </c>
      <c r="W132" s="7">
        <v>0</v>
      </c>
      <c r="X132" s="7">
        <v>0</v>
      </c>
      <c r="Y132" s="7">
        <v>0</v>
      </c>
      <c r="Z132" s="7">
        <v>49</v>
      </c>
      <c r="AA132" s="7">
        <v>69</v>
      </c>
      <c r="AB132" s="13"/>
    </row>
    <row r="133" spans="10:28" ht="15.6" customHeight="1" x14ac:dyDescent="0.3">
      <c r="J133" s="2">
        <v>129</v>
      </c>
      <c r="K133" s="41" t="s">
        <v>35</v>
      </c>
      <c r="L133" s="41" t="s">
        <v>34</v>
      </c>
      <c r="M133" s="41" t="s">
        <v>42</v>
      </c>
      <c r="N133" s="41" t="s">
        <v>33</v>
      </c>
      <c r="O133" s="41" t="s">
        <v>33</v>
      </c>
      <c r="Q133" s="17">
        <f t="shared" si="15"/>
        <v>10</v>
      </c>
      <c r="R133" s="17">
        <f t="shared" si="16"/>
        <v>9</v>
      </c>
      <c r="S133" s="17">
        <f t="shared" si="17"/>
        <v>14</v>
      </c>
      <c r="T133" s="17">
        <f t="shared" si="18"/>
        <v>8</v>
      </c>
      <c r="U133" s="17">
        <f t="shared" si="19"/>
        <v>8</v>
      </c>
      <c r="W133" s="7">
        <v>0</v>
      </c>
      <c r="X133" s="7">
        <v>0</v>
      </c>
      <c r="Y133" s="7">
        <v>0</v>
      </c>
      <c r="Z133" s="7">
        <v>40</v>
      </c>
      <c r="AA133" s="7">
        <v>56</v>
      </c>
      <c r="AB133" s="13"/>
    </row>
    <row r="134" spans="10:28" ht="15.6" customHeight="1" x14ac:dyDescent="0.3">
      <c r="J134" s="2">
        <v>130</v>
      </c>
      <c r="K134" s="41" t="s">
        <v>32</v>
      </c>
      <c r="L134" s="41" t="s">
        <v>35</v>
      </c>
      <c r="M134" s="41" t="s">
        <v>31</v>
      </c>
      <c r="N134" s="41" t="s">
        <v>33</v>
      </c>
      <c r="O134" s="41" t="s">
        <v>31</v>
      </c>
      <c r="Q134" s="17">
        <f t="shared" si="15"/>
        <v>7</v>
      </c>
      <c r="R134" s="17">
        <f t="shared" si="16"/>
        <v>10</v>
      </c>
      <c r="S134" s="17">
        <f t="shared" si="17"/>
        <v>6</v>
      </c>
      <c r="T134" s="17">
        <f t="shared" si="18"/>
        <v>8</v>
      </c>
      <c r="U134" s="17">
        <f t="shared" si="19"/>
        <v>6</v>
      </c>
      <c r="W134" s="7">
        <v>0</v>
      </c>
      <c r="X134" s="7">
        <v>0</v>
      </c>
      <c r="Y134" s="7">
        <v>0</v>
      </c>
      <c r="Z134" s="7">
        <v>40</v>
      </c>
      <c r="AA134" s="7">
        <v>64</v>
      </c>
      <c r="AB134" s="13"/>
    </row>
    <row r="135" spans="10:28" ht="15.6" customHeight="1" x14ac:dyDescent="0.3">
      <c r="J135" s="2">
        <v>131</v>
      </c>
      <c r="K135" s="41" t="s">
        <v>32</v>
      </c>
      <c r="L135" s="41" t="s">
        <v>35</v>
      </c>
      <c r="M135" s="41" t="s">
        <v>31</v>
      </c>
      <c r="N135" s="41" t="s">
        <v>32</v>
      </c>
      <c r="O135" s="41" t="s">
        <v>32</v>
      </c>
      <c r="Q135" s="17">
        <f t="shared" si="15"/>
        <v>7</v>
      </c>
      <c r="R135" s="17">
        <f t="shared" si="16"/>
        <v>10</v>
      </c>
      <c r="S135" s="17">
        <f t="shared" si="17"/>
        <v>6</v>
      </c>
      <c r="T135" s="17">
        <f t="shared" si="18"/>
        <v>7</v>
      </c>
      <c r="U135" s="17">
        <f t="shared" si="19"/>
        <v>7</v>
      </c>
      <c r="W135" s="7">
        <v>0</v>
      </c>
      <c r="X135" s="7">
        <v>0</v>
      </c>
      <c r="Y135" s="7">
        <v>0</v>
      </c>
      <c r="Z135" s="7">
        <v>157</v>
      </c>
      <c r="AA135" s="7">
        <v>50</v>
      </c>
      <c r="AB135" s="13"/>
    </row>
    <row r="136" spans="10:28" ht="15.6" customHeight="1" x14ac:dyDescent="0.3">
      <c r="J136" s="2">
        <v>132</v>
      </c>
      <c r="K136" s="41" t="s">
        <v>33</v>
      </c>
      <c r="L136" s="41" t="s">
        <v>48</v>
      </c>
      <c r="M136" s="41" t="s">
        <v>32</v>
      </c>
      <c r="N136" s="41" t="s">
        <v>26</v>
      </c>
      <c r="O136" s="41" t="s">
        <v>30</v>
      </c>
      <c r="Q136" s="17">
        <f t="shared" si="15"/>
        <v>8</v>
      </c>
      <c r="R136" s="17">
        <f t="shared" si="16"/>
        <v>17</v>
      </c>
      <c r="S136" s="17">
        <f t="shared" si="17"/>
        <v>7</v>
      </c>
      <c r="T136" s="17">
        <f t="shared" si="18"/>
        <v>2</v>
      </c>
      <c r="U136" s="17">
        <f t="shared" si="19"/>
        <v>5</v>
      </c>
      <c r="W136" s="7">
        <v>0</v>
      </c>
      <c r="X136" s="7">
        <v>0</v>
      </c>
      <c r="Y136" s="7">
        <v>0</v>
      </c>
      <c r="Z136" s="7">
        <v>31</v>
      </c>
      <c r="AA136" s="7">
        <v>26</v>
      </c>
      <c r="AB136" s="13"/>
    </row>
    <row r="137" spans="10:28" ht="15.6" customHeight="1" x14ac:dyDescent="0.3">
      <c r="J137" s="2">
        <v>133</v>
      </c>
      <c r="K137" s="41" t="s">
        <v>33</v>
      </c>
      <c r="L137" s="41" t="s">
        <v>36</v>
      </c>
      <c r="M137" s="41" t="s">
        <v>38</v>
      </c>
      <c r="N137" s="41" t="s">
        <v>29</v>
      </c>
      <c r="O137" s="41" t="s">
        <v>30</v>
      </c>
      <c r="Q137" s="17">
        <f t="shared" si="15"/>
        <v>8</v>
      </c>
      <c r="R137" s="17">
        <f t="shared" si="16"/>
        <v>11</v>
      </c>
      <c r="S137" s="17">
        <f t="shared" si="17"/>
        <v>12</v>
      </c>
      <c r="T137" s="17">
        <f t="shared" si="18"/>
        <v>4</v>
      </c>
      <c r="U137" s="17">
        <f t="shared" si="19"/>
        <v>5</v>
      </c>
      <c r="W137" s="7">
        <v>0</v>
      </c>
      <c r="X137" s="7">
        <v>0</v>
      </c>
      <c r="Y137" s="7">
        <v>0</v>
      </c>
      <c r="Z137" s="7">
        <v>35</v>
      </c>
      <c r="AA137" s="7">
        <v>27</v>
      </c>
      <c r="AB137" s="13"/>
    </row>
    <row r="138" spans="10:28" ht="15.6" customHeight="1" x14ac:dyDescent="0.3">
      <c r="J138" s="2">
        <v>134</v>
      </c>
      <c r="K138" s="41" t="s">
        <v>32</v>
      </c>
      <c r="L138" s="41" t="s">
        <v>44</v>
      </c>
      <c r="M138" s="41" t="s">
        <v>48</v>
      </c>
      <c r="N138" s="41" t="s">
        <v>29</v>
      </c>
      <c r="O138" s="41" t="s">
        <v>33</v>
      </c>
      <c r="Q138" s="17">
        <f t="shared" si="15"/>
        <v>7</v>
      </c>
      <c r="R138" s="17">
        <f t="shared" si="16"/>
        <v>15</v>
      </c>
      <c r="S138" s="17">
        <f t="shared" si="17"/>
        <v>17</v>
      </c>
      <c r="T138" s="17">
        <f t="shared" si="18"/>
        <v>4</v>
      </c>
      <c r="U138" s="17">
        <f t="shared" si="19"/>
        <v>8</v>
      </c>
      <c r="W138" s="7">
        <v>0</v>
      </c>
      <c r="X138" s="7">
        <v>0</v>
      </c>
      <c r="Y138" s="7">
        <v>0</v>
      </c>
      <c r="Z138" s="7">
        <v>35</v>
      </c>
      <c r="AA138" s="7">
        <v>55</v>
      </c>
      <c r="AB138" s="13"/>
    </row>
    <row r="139" spans="10:28" ht="15.6" customHeight="1" x14ac:dyDescent="0.3">
      <c r="J139" s="2">
        <v>135</v>
      </c>
      <c r="K139" s="41" t="s">
        <v>33</v>
      </c>
      <c r="L139" s="41" t="s">
        <v>31</v>
      </c>
      <c r="M139" s="41" t="s">
        <v>31</v>
      </c>
      <c r="N139" s="41" t="s">
        <v>31</v>
      </c>
      <c r="O139" s="41" t="s">
        <v>33</v>
      </c>
      <c r="Q139" s="17">
        <f t="shared" si="15"/>
        <v>8</v>
      </c>
      <c r="R139" s="17">
        <f t="shared" si="16"/>
        <v>6</v>
      </c>
      <c r="S139" s="17">
        <f t="shared" si="17"/>
        <v>6</v>
      </c>
      <c r="T139" s="17">
        <f t="shared" si="18"/>
        <v>6</v>
      </c>
      <c r="U139" s="17">
        <f t="shared" si="19"/>
        <v>8</v>
      </c>
      <c r="W139" s="7">
        <v>0</v>
      </c>
      <c r="X139" s="7">
        <v>0</v>
      </c>
      <c r="Y139" s="7">
        <v>0</v>
      </c>
      <c r="Z139" s="7">
        <v>32</v>
      </c>
      <c r="AA139" s="7">
        <v>55</v>
      </c>
      <c r="AB139" s="13"/>
    </row>
    <row r="140" spans="10:28" ht="15.6" customHeight="1" x14ac:dyDescent="0.3">
      <c r="J140" s="2">
        <v>136</v>
      </c>
      <c r="K140" s="41" t="s">
        <v>29</v>
      </c>
      <c r="L140" s="41" t="s">
        <v>32</v>
      </c>
      <c r="M140" s="41" t="s">
        <v>30</v>
      </c>
      <c r="N140" s="41" t="s">
        <v>35</v>
      </c>
      <c r="O140" s="41" t="s">
        <v>34</v>
      </c>
      <c r="Q140" s="17">
        <f t="shared" si="15"/>
        <v>4</v>
      </c>
      <c r="R140" s="17">
        <f t="shared" si="16"/>
        <v>7</v>
      </c>
      <c r="S140" s="17">
        <f t="shared" si="17"/>
        <v>5</v>
      </c>
      <c r="T140" s="17">
        <f t="shared" si="18"/>
        <v>10</v>
      </c>
      <c r="U140" s="17">
        <f t="shared" si="19"/>
        <v>9</v>
      </c>
      <c r="W140" s="7">
        <v>0</v>
      </c>
      <c r="X140" s="7">
        <v>0</v>
      </c>
      <c r="Y140" s="7">
        <v>0</v>
      </c>
      <c r="Z140" s="7">
        <v>96</v>
      </c>
      <c r="AA140" s="7">
        <v>65</v>
      </c>
      <c r="AB140" s="13"/>
    </row>
    <row r="141" spans="10:28" ht="15.6" customHeight="1" x14ac:dyDescent="0.3">
      <c r="J141" s="2">
        <v>137</v>
      </c>
      <c r="K141" s="41" t="s">
        <v>31</v>
      </c>
      <c r="L141" s="41" t="s">
        <v>30</v>
      </c>
      <c r="M141" s="41" t="s">
        <v>28</v>
      </c>
      <c r="N141" s="41" t="s">
        <v>34</v>
      </c>
      <c r="O141" s="41" t="s">
        <v>29</v>
      </c>
      <c r="Q141" s="17">
        <f t="shared" si="15"/>
        <v>6</v>
      </c>
      <c r="R141" s="17">
        <f t="shared" si="16"/>
        <v>5</v>
      </c>
      <c r="S141" s="17">
        <f t="shared" si="17"/>
        <v>3</v>
      </c>
      <c r="T141" s="17">
        <f t="shared" si="18"/>
        <v>9</v>
      </c>
      <c r="U141" s="17">
        <f t="shared" si="19"/>
        <v>4</v>
      </c>
      <c r="W141" s="7">
        <v>0</v>
      </c>
      <c r="X141" s="7">
        <v>0</v>
      </c>
      <c r="Y141" s="7">
        <v>0</v>
      </c>
      <c r="Z141" s="7">
        <v>40</v>
      </c>
      <c r="AA141" s="7">
        <v>40</v>
      </c>
      <c r="AB141" s="13"/>
    </row>
    <row r="142" spans="10:28" ht="15.6" customHeight="1" x14ac:dyDescent="0.3">
      <c r="J142" s="2">
        <v>138</v>
      </c>
      <c r="K142" s="41" t="s">
        <v>29</v>
      </c>
      <c r="L142" s="41" t="s">
        <v>30</v>
      </c>
      <c r="M142" s="41" t="s">
        <v>35</v>
      </c>
      <c r="N142" s="41" t="s">
        <v>34</v>
      </c>
      <c r="O142" s="41" t="s">
        <v>29</v>
      </c>
      <c r="Q142" s="17">
        <f t="shared" si="15"/>
        <v>4</v>
      </c>
      <c r="R142" s="17">
        <f t="shared" si="16"/>
        <v>5</v>
      </c>
      <c r="S142" s="17">
        <f t="shared" si="17"/>
        <v>10</v>
      </c>
      <c r="T142" s="17">
        <f t="shared" si="18"/>
        <v>9</v>
      </c>
      <c r="U142" s="17">
        <f t="shared" si="19"/>
        <v>4</v>
      </c>
      <c r="W142" s="7">
        <v>0</v>
      </c>
      <c r="X142" s="7">
        <v>0</v>
      </c>
      <c r="Y142" s="7">
        <v>0</v>
      </c>
      <c r="Z142" s="7">
        <v>40</v>
      </c>
      <c r="AA142" s="7">
        <v>41</v>
      </c>
      <c r="AB142" s="13"/>
    </row>
    <row r="143" spans="10:28" ht="15.6" customHeight="1" x14ac:dyDescent="0.3">
      <c r="J143" s="2">
        <v>139</v>
      </c>
      <c r="K143" s="41" t="s">
        <v>30</v>
      </c>
      <c r="L143" s="41" t="s">
        <v>34</v>
      </c>
      <c r="M143" s="41" t="s">
        <v>28</v>
      </c>
      <c r="N143" s="41" t="s">
        <v>48</v>
      </c>
      <c r="O143" s="41" t="s">
        <v>32</v>
      </c>
      <c r="Q143" s="17">
        <f t="shared" si="15"/>
        <v>5</v>
      </c>
      <c r="R143" s="17">
        <f t="shared" si="16"/>
        <v>9</v>
      </c>
      <c r="S143" s="17">
        <f t="shared" si="17"/>
        <v>3</v>
      </c>
      <c r="T143" s="17">
        <f t="shared" si="18"/>
        <v>17</v>
      </c>
      <c r="U143" s="17">
        <f t="shared" si="19"/>
        <v>7</v>
      </c>
      <c r="W143" s="7">
        <v>0</v>
      </c>
      <c r="X143" s="7">
        <v>0</v>
      </c>
      <c r="Y143" s="7">
        <v>0</v>
      </c>
      <c r="Z143" s="7">
        <v>25</v>
      </c>
      <c r="AA143" s="7">
        <v>50</v>
      </c>
      <c r="AB143" s="13"/>
    </row>
    <row r="144" spans="10:28" ht="15.6" customHeight="1" x14ac:dyDescent="0.3">
      <c r="J144" s="2">
        <v>140</v>
      </c>
      <c r="K144" s="41" t="s">
        <v>28</v>
      </c>
      <c r="L144" s="41" t="s">
        <v>44</v>
      </c>
      <c r="M144" s="41" t="s">
        <v>28</v>
      </c>
      <c r="N144" s="41" t="s">
        <v>34</v>
      </c>
      <c r="O144" s="41" t="s">
        <v>33</v>
      </c>
      <c r="Q144" s="17">
        <f t="shared" si="15"/>
        <v>3</v>
      </c>
      <c r="R144" s="17">
        <f t="shared" si="16"/>
        <v>15</v>
      </c>
      <c r="S144" s="17">
        <f t="shared" si="17"/>
        <v>3</v>
      </c>
      <c r="T144" s="17">
        <f t="shared" si="18"/>
        <v>9</v>
      </c>
      <c r="U144" s="17">
        <f t="shared" si="19"/>
        <v>8</v>
      </c>
      <c r="W144" s="7">
        <v>0</v>
      </c>
      <c r="X144" s="7">
        <v>0</v>
      </c>
      <c r="Y144" s="7">
        <v>0</v>
      </c>
      <c r="Z144" s="7">
        <v>40</v>
      </c>
      <c r="AA144" s="7">
        <v>56</v>
      </c>
      <c r="AB144" s="13"/>
    </row>
    <row r="145" spans="10:28" ht="15.6" customHeight="1" x14ac:dyDescent="0.3">
      <c r="J145" s="2">
        <v>141</v>
      </c>
      <c r="K145" s="41" t="s">
        <v>31</v>
      </c>
      <c r="L145" s="41" t="s">
        <v>29</v>
      </c>
      <c r="M145" s="41" t="s">
        <v>35</v>
      </c>
      <c r="N145" s="41" t="s">
        <v>44</v>
      </c>
      <c r="O145" s="41" t="s">
        <v>30</v>
      </c>
      <c r="Q145" s="17">
        <f t="shared" si="15"/>
        <v>6</v>
      </c>
      <c r="R145" s="17">
        <f t="shared" si="16"/>
        <v>4</v>
      </c>
      <c r="S145" s="17">
        <f t="shared" si="17"/>
        <v>10</v>
      </c>
      <c r="T145" s="17">
        <f t="shared" si="18"/>
        <v>15</v>
      </c>
      <c r="U145" s="17">
        <f t="shared" si="19"/>
        <v>5</v>
      </c>
      <c r="W145" s="7">
        <v>0</v>
      </c>
      <c r="X145" s="7">
        <v>0</v>
      </c>
      <c r="Y145" s="7">
        <v>0</v>
      </c>
      <c r="Z145" s="7">
        <v>87</v>
      </c>
      <c r="AA145" s="7">
        <v>26</v>
      </c>
      <c r="AB145" s="13"/>
    </row>
    <row r="146" spans="10:28" ht="15.6" customHeight="1" x14ac:dyDescent="0.3">
      <c r="J146" s="2">
        <v>142</v>
      </c>
      <c r="K146" s="41" t="s">
        <v>32</v>
      </c>
      <c r="L146" s="41" t="s">
        <v>33</v>
      </c>
      <c r="M146" s="41" t="s">
        <v>28</v>
      </c>
      <c r="N146" s="41" t="s">
        <v>29</v>
      </c>
      <c r="O146" s="41" t="s">
        <v>28</v>
      </c>
      <c r="Q146" s="17">
        <f t="shared" si="15"/>
        <v>7</v>
      </c>
      <c r="R146" s="17">
        <f t="shared" si="16"/>
        <v>8</v>
      </c>
      <c r="S146" s="17">
        <f t="shared" si="17"/>
        <v>3</v>
      </c>
      <c r="T146" s="17">
        <f t="shared" si="18"/>
        <v>4</v>
      </c>
      <c r="U146" s="17">
        <f t="shared" si="19"/>
        <v>3</v>
      </c>
      <c r="W146" s="7">
        <v>0</v>
      </c>
      <c r="X146" s="7">
        <v>0</v>
      </c>
      <c r="Y146" s="7">
        <v>0</v>
      </c>
      <c r="Z146" s="7">
        <v>34</v>
      </c>
      <c r="AA146" s="7">
        <v>33</v>
      </c>
      <c r="AB146" s="13"/>
    </row>
    <row r="147" spans="10:28" ht="15.6" customHeight="1" x14ac:dyDescent="0.3">
      <c r="J147" s="2">
        <v>143</v>
      </c>
      <c r="K147" s="41" t="s">
        <v>34</v>
      </c>
      <c r="L147" s="41" t="s">
        <v>33</v>
      </c>
      <c r="M147" s="41" t="s">
        <v>35</v>
      </c>
      <c r="N147" s="41" t="s">
        <v>38</v>
      </c>
      <c r="O147" s="41" t="s">
        <v>29</v>
      </c>
      <c r="Q147" s="17">
        <f t="shared" si="15"/>
        <v>9</v>
      </c>
      <c r="R147" s="17">
        <f t="shared" si="16"/>
        <v>8</v>
      </c>
      <c r="S147" s="17">
        <f t="shared" si="17"/>
        <v>10</v>
      </c>
      <c r="T147" s="17">
        <f t="shared" si="18"/>
        <v>12</v>
      </c>
      <c r="U147" s="17">
        <f t="shared" si="19"/>
        <v>4</v>
      </c>
      <c r="W147" s="7">
        <v>0</v>
      </c>
      <c r="X147" s="7">
        <v>0</v>
      </c>
      <c r="Y147" s="7">
        <v>0</v>
      </c>
      <c r="Z147" s="7">
        <v>25</v>
      </c>
      <c r="AA147" s="7">
        <v>40</v>
      </c>
      <c r="AB147" s="13"/>
    </row>
    <row r="148" spans="10:28" ht="15.6" customHeight="1" x14ac:dyDescent="0.3">
      <c r="J148" s="2">
        <v>144</v>
      </c>
      <c r="K148" s="41" t="s">
        <v>28</v>
      </c>
      <c r="L148" s="41" t="s">
        <v>31</v>
      </c>
      <c r="M148" s="41" t="s">
        <v>30</v>
      </c>
      <c r="N148" s="41" t="s">
        <v>30</v>
      </c>
      <c r="O148" s="41" t="s">
        <v>29</v>
      </c>
      <c r="Q148" s="17">
        <f t="shared" si="15"/>
        <v>3</v>
      </c>
      <c r="R148" s="17">
        <f t="shared" si="16"/>
        <v>6</v>
      </c>
      <c r="S148" s="17">
        <f t="shared" si="17"/>
        <v>5</v>
      </c>
      <c r="T148" s="17">
        <f t="shared" si="18"/>
        <v>5</v>
      </c>
      <c r="U148" s="17">
        <f t="shared" si="19"/>
        <v>4</v>
      </c>
      <c r="W148" s="7">
        <v>0</v>
      </c>
      <c r="X148" s="7">
        <v>0</v>
      </c>
      <c r="Y148" s="7">
        <v>0</v>
      </c>
      <c r="Z148" s="7">
        <v>51</v>
      </c>
      <c r="AA148" s="7">
        <v>40</v>
      </c>
      <c r="AB148" s="13"/>
    </row>
    <row r="149" spans="10:28" ht="15.6" customHeight="1" x14ac:dyDescent="0.3">
      <c r="J149" s="2">
        <v>145</v>
      </c>
      <c r="K149" s="41" t="s">
        <v>30</v>
      </c>
      <c r="L149" s="41" t="s">
        <v>38</v>
      </c>
      <c r="M149" s="41" t="s">
        <v>30</v>
      </c>
      <c r="N149" s="41" t="s">
        <v>35</v>
      </c>
      <c r="O149" s="41" t="s">
        <v>30</v>
      </c>
      <c r="Q149" s="17">
        <f t="shared" si="15"/>
        <v>5</v>
      </c>
      <c r="R149" s="17">
        <f t="shared" si="16"/>
        <v>12</v>
      </c>
      <c r="S149" s="17">
        <f t="shared" si="17"/>
        <v>5</v>
      </c>
      <c r="T149" s="17">
        <f t="shared" si="18"/>
        <v>10</v>
      </c>
      <c r="U149" s="17">
        <f t="shared" si="19"/>
        <v>5</v>
      </c>
      <c r="W149" s="7">
        <v>0</v>
      </c>
      <c r="X149" s="7">
        <v>0</v>
      </c>
      <c r="Y149" s="7">
        <v>0</v>
      </c>
      <c r="Z149" s="7">
        <v>95</v>
      </c>
      <c r="AA149" s="7">
        <v>27</v>
      </c>
      <c r="AB149" s="13"/>
    </row>
    <row r="150" spans="10:28" ht="15.6" customHeight="1" x14ac:dyDescent="0.3">
      <c r="J150" s="2">
        <v>146</v>
      </c>
      <c r="K150" s="41" t="s">
        <v>35</v>
      </c>
      <c r="L150" s="41" t="s">
        <v>28</v>
      </c>
      <c r="M150" s="41" t="s">
        <v>50</v>
      </c>
      <c r="N150" s="41" t="s">
        <v>35</v>
      </c>
      <c r="O150" s="41" t="s">
        <v>35</v>
      </c>
      <c r="Q150" s="17">
        <f t="shared" si="15"/>
        <v>10</v>
      </c>
      <c r="R150" s="17">
        <f t="shared" si="16"/>
        <v>3</v>
      </c>
      <c r="S150" s="17">
        <f t="shared" si="17"/>
        <v>18</v>
      </c>
      <c r="T150" s="17">
        <f t="shared" si="18"/>
        <v>10</v>
      </c>
      <c r="U150" s="17">
        <f t="shared" si="19"/>
        <v>10</v>
      </c>
      <c r="W150" s="7">
        <v>0</v>
      </c>
      <c r="X150" s="7">
        <v>0</v>
      </c>
      <c r="Y150" s="7">
        <v>0</v>
      </c>
      <c r="Z150" s="7">
        <v>95</v>
      </c>
      <c r="AA150" s="7">
        <v>70</v>
      </c>
      <c r="AB150" s="13"/>
    </row>
    <row r="151" spans="10:28" ht="15.6" customHeight="1" x14ac:dyDescent="0.3">
      <c r="J151" s="2">
        <v>147</v>
      </c>
      <c r="K151" s="41" t="s">
        <v>31</v>
      </c>
      <c r="L151" s="41" t="s">
        <v>44</v>
      </c>
      <c r="M151" s="41" t="s">
        <v>31</v>
      </c>
      <c r="N151" s="41" t="s">
        <v>33</v>
      </c>
      <c r="O151" s="41" t="s">
        <v>32</v>
      </c>
      <c r="Q151" s="17">
        <f t="shared" si="15"/>
        <v>6</v>
      </c>
      <c r="R151" s="17">
        <f t="shared" si="16"/>
        <v>15</v>
      </c>
      <c r="S151" s="17">
        <f t="shared" si="17"/>
        <v>6</v>
      </c>
      <c r="T151" s="17">
        <f t="shared" si="18"/>
        <v>8</v>
      </c>
      <c r="U151" s="17">
        <f t="shared" si="19"/>
        <v>7</v>
      </c>
      <c r="W151" s="7">
        <v>0</v>
      </c>
      <c r="X151" s="7">
        <v>0</v>
      </c>
      <c r="Y151" s="7">
        <v>0</v>
      </c>
      <c r="Z151" s="7">
        <v>40</v>
      </c>
      <c r="AA151" s="7">
        <v>51</v>
      </c>
      <c r="AB151" s="13"/>
    </row>
    <row r="152" spans="10:28" ht="15.6" customHeight="1" x14ac:dyDescent="0.3">
      <c r="J152" s="2">
        <v>148</v>
      </c>
      <c r="K152" s="41" t="s">
        <v>33</v>
      </c>
      <c r="L152" s="41" t="s">
        <v>33</v>
      </c>
      <c r="M152" s="41" t="s">
        <v>38</v>
      </c>
      <c r="N152" s="41" t="s">
        <v>28</v>
      </c>
      <c r="O152" s="41" t="s">
        <v>33</v>
      </c>
      <c r="Q152" s="17">
        <f t="shared" si="15"/>
        <v>8</v>
      </c>
      <c r="R152" s="17">
        <f t="shared" si="16"/>
        <v>8</v>
      </c>
      <c r="S152" s="17">
        <f t="shared" si="17"/>
        <v>12</v>
      </c>
      <c r="T152" s="17">
        <f t="shared" si="18"/>
        <v>3</v>
      </c>
      <c r="U152" s="17">
        <f t="shared" si="19"/>
        <v>8</v>
      </c>
      <c r="W152" s="7">
        <v>0</v>
      </c>
      <c r="X152" s="7">
        <v>0</v>
      </c>
      <c r="Y152" s="7">
        <v>0</v>
      </c>
      <c r="Z152" s="7">
        <v>87</v>
      </c>
      <c r="AA152" s="7">
        <v>55</v>
      </c>
      <c r="AB152" s="13"/>
    </row>
    <row r="153" spans="10:28" ht="15.6" customHeight="1" x14ac:dyDescent="0.3">
      <c r="J153" s="2">
        <v>149</v>
      </c>
      <c r="K153" s="41" t="s">
        <v>34</v>
      </c>
      <c r="L153" s="41" t="s">
        <v>32</v>
      </c>
      <c r="M153" s="41" t="s">
        <v>34</v>
      </c>
      <c r="N153" s="41" t="s">
        <v>31</v>
      </c>
      <c r="O153" s="41" t="s">
        <v>29</v>
      </c>
      <c r="Q153" s="17">
        <f t="shared" si="15"/>
        <v>9</v>
      </c>
      <c r="R153" s="17">
        <f t="shared" si="16"/>
        <v>7</v>
      </c>
      <c r="S153" s="17">
        <f t="shared" si="17"/>
        <v>9</v>
      </c>
      <c r="T153" s="17">
        <f t="shared" si="18"/>
        <v>6</v>
      </c>
      <c r="U153" s="17">
        <f t="shared" si="19"/>
        <v>4</v>
      </c>
      <c r="W153" s="7">
        <v>0</v>
      </c>
      <c r="X153" s="7">
        <v>0</v>
      </c>
      <c r="Y153" s="7">
        <v>0</v>
      </c>
      <c r="Z153" s="7">
        <v>33</v>
      </c>
      <c r="AA153" s="7">
        <v>41</v>
      </c>
      <c r="AB153" s="13"/>
    </row>
    <row r="154" spans="10:28" ht="15.6" customHeight="1" x14ac:dyDescent="0.3">
      <c r="J154" s="2">
        <v>150</v>
      </c>
      <c r="K154" s="41" t="s">
        <v>28</v>
      </c>
      <c r="L154" s="41" t="s">
        <v>32</v>
      </c>
      <c r="M154" s="41" t="s">
        <v>30</v>
      </c>
      <c r="N154" s="41" t="s">
        <v>40</v>
      </c>
      <c r="O154" s="41" t="s">
        <v>31</v>
      </c>
      <c r="Q154" s="17">
        <f t="shared" si="15"/>
        <v>3</v>
      </c>
      <c r="R154" s="17">
        <f t="shared" si="16"/>
        <v>7</v>
      </c>
      <c r="S154" s="17">
        <f t="shared" si="17"/>
        <v>5</v>
      </c>
      <c r="T154" s="17">
        <f t="shared" si="18"/>
        <v>13</v>
      </c>
      <c r="U154" s="17">
        <f t="shared" si="19"/>
        <v>6</v>
      </c>
      <c r="W154" s="7">
        <v>0</v>
      </c>
      <c r="X154" s="7">
        <v>0</v>
      </c>
      <c r="Y154" s="7">
        <v>0</v>
      </c>
      <c r="Z154" s="7">
        <v>36</v>
      </c>
      <c r="AA154" s="7">
        <v>64</v>
      </c>
      <c r="AB154" s="13"/>
    </row>
    <row r="155" spans="10:28" ht="15.6" customHeight="1" x14ac:dyDescent="0.3">
      <c r="J155" s="2">
        <v>151</v>
      </c>
      <c r="K155" s="41" t="s">
        <v>35</v>
      </c>
      <c r="L155" s="41" t="s">
        <v>31</v>
      </c>
      <c r="M155" s="41" t="s">
        <v>42</v>
      </c>
      <c r="N155" s="41" t="s">
        <v>50</v>
      </c>
      <c r="O155" s="41" t="s">
        <v>31</v>
      </c>
      <c r="Q155" s="17">
        <f t="shared" si="15"/>
        <v>10</v>
      </c>
      <c r="R155" s="17">
        <f t="shared" si="16"/>
        <v>6</v>
      </c>
      <c r="S155" s="17">
        <f t="shared" si="17"/>
        <v>14</v>
      </c>
      <c r="T155" s="17">
        <f t="shared" si="18"/>
        <v>18</v>
      </c>
      <c r="U155" s="17">
        <f t="shared" si="19"/>
        <v>6</v>
      </c>
      <c r="W155" s="7">
        <v>0</v>
      </c>
      <c r="X155" s="7">
        <v>0</v>
      </c>
      <c r="Y155" s="7">
        <v>0</v>
      </c>
      <c r="Z155" s="7">
        <v>49</v>
      </c>
      <c r="AA155" s="7">
        <v>63</v>
      </c>
      <c r="AB155" s="13"/>
    </row>
    <row r="156" spans="10:28" ht="15.6" customHeight="1" x14ac:dyDescent="0.3">
      <c r="J156" s="2">
        <v>152</v>
      </c>
      <c r="K156" s="41" t="s">
        <v>35</v>
      </c>
      <c r="L156" s="41" t="s">
        <v>32</v>
      </c>
      <c r="M156" s="41" t="s">
        <v>35</v>
      </c>
      <c r="N156" s="41" t="s">
        <v>35</v>
      </c>
      <c r="O156" s="41" t="s">
        <v>34</v>
      </c>
      <c r="Q156" s="17">
        <f t="shared" si="15"/>
        <v>10</v>
      </c>
      <c r="R156" s="17">
        <f t="shared" si="16"/>
        <v>7</v>
      </c>
      <c r="S156" s="17">
        <f t="shared" si="17"/>
        <v>10</v>
      </c>
      <c r="T156" s="17">
        <f t="shared" si="18"/>
        <v>10</v>
      </c>
      <c r="U156" s="17">
        <f t="shared" si="19"/>
        <v>9</v>
      </c>
      <c r="W156" s="7">
        <v>0</v>
      </c>
      <c r="X156" s="7">
        <v>0</v>
      </c>
      <c r="Y156" s="7">
        <v>0</v>
      </c>
      <c r="Z156" s="7">
        <v>96</v>
      </c>
      <c r="AA156" s="7">
        <v>65</v>
      </c>
      <c r="AB156" s="13"/>
    </row>
    <row r="157" spans="10:28" ht="15.6" customHeight="1" x14ac:dyDescent="0.3">
      <c r="J157" s="2">
        <v>153</v>
      </c>
      <c r="K157" s="41" t="s">
        <v>29</v>
      </c>
      <c r="L157" s="41" t="s">
        <v>40</v>
      </c>
      <c r="M157" s="41" t="s">
        <v>38</v>
      </c>
      <c r="N157" s="41" t="s">
        <v>35</v>
      </c>
      <c r="O157" s="41" t="s">
        <v>30</v>
      </c>
      <c r="Q157" s="17">
        <f t="shared" si="15"/>
        <v>4</v>
      </c>
      <c r="R157" s="17">
        <f t="shared" si="16"/>
        <v>13</v>
      </c>
      <c r="S157" s="17">
        <f t="shared" si="17"/>
        <v>12</v>
      </c>
      <c r="T157" s="17">
        <f t="shared" si="18"/>
        <v>10</v>
      </c>
      <c r="U157" s="17">
        <f t="shared" si="19"/>
        <v>5</v>
      </c>
      <c r="W157" s="7">
        <v>0</v>
      </c>
      <c r="X157" s="7">
        <v>0</v>
      </c>
      <c r="Y157" s="7">
        <v>0</v>
      </c>
      <c r="Z157" s="7">
        <v>95</v>
      </c>
      <c r="AA157" s="7">
        <v>26</v>
      </c>
      <c r="AB157" s="13"/>
    </row>
    <row r="158" spans="10:28" ht="15.6" customHeight="1" x14ac:dyDescent="0.3">
      <c r="J158" s="2">
        <v>154</v>
      </c>
      <c r="K158" s="41" t="s">
        <v>30</v>
      </c>
      <c r="L158" s="41" t="s">
        <v>35</v>
      </c>
      <c r="M158" s="41" t="s">
        <v>40</v>
      </c>
      <c r="N158" s="41" t="s">
        <v>29</v>
      </c>
      <c r="O158" s="41" t="s">
        <v>28</v>
      </c>
      <c r="Q158" s="17">
        <f t="shared" si="15"/>
        <v>5</v>
      </c>
      <c r="R158" s="17">
        <f t="shared" si="16"/>
        <v>10</v>
      </c>
      <c r="S158" s="17">
        <f t="shared" si="17"/>
        <v>13</v>
      </c>
      <c r="T158" s="17">
        <f t="shared" si="18"/>
        <v>4</v>
      </c>
      <c r="U158" s="17">
        <f t="shared" si="19"/>
        <v>3</v>
      </c>
      <c r="W158" s="7">
        <v>0</v>
      </c>
      <c r="X158" s="7">
        <v>0</v>
      </c>
      <c r="Y158" s="7">
        <v>0</v>
      </c>
      <c r="Z158" s="7">
        <v>35</v>
      </c>
      <c r="AA158" s="7">
        <v>33</v>
      </c>
      <c r="AB158" s="13"/>
    </row>
    <row r="159" spans="10:28" ht="15.6" customHeight="1" x14ac:dyDescent="0.3">
      <c r="J159" s="2">
        <v>155</v>
      </c>
      <c r="K159" s="41" t="s">
        <v>32</v>
      </c>
      <c r="L159" s="41" t="s">
        <v>28</v>
      </c>
      <c r="M159" s="41" t="s">
        <v>30</v>
      </c>
      <c r="N159" s="41" t="s">
        <v>28</v>
      </c>
      <c r="O159" s="41" t="s">
        <v>28</v>
      </c>
      <c r="Q159" s="17">
        <f t="shared" si="15"/>
        <v>7</v>
      </c>
      <c r="R159" s="17">
        <f t="shared" si="16"/>
        <v>3</v>
      </c>
      <c r="S159" s="17">
        <f t="shared" si="17"/>
        <v>5</v>
      </c>
      <c r="T159" s="17">
        <f t="shared" si="18"/>
        <v>3</v>
      </c>
      <c r="U159" s="17">
        <f t="shared" si="19"/>
        <v>3</v>
      </c>
      <c r="W159" s="7">
        <v>0</v>
      </c>
      <c r="X159" s="7">
        <v>0</v>
      </c>
      <c r="Y159" s="7">
        <v>0</v>
      </c>
      <c r="Z159" s="7">
        <v>88</v>
      </c>
      <c r="AA159" s="7">
        <v>33</v>
      </c>
      <c r="AB159" s="13"/>
    </row>
    <row r="160" spans="10:28" ht="15.6" customHeight="1" x14ac:dyDescent="0.3">
      <c r="J160" s="2">
        <v>156</v>
      </c>
      <c r="K160" s="41" t="s">
        <v>26</v>
      </c>
      <c r="L160" s="41" t="s">
        <v>28</v>
      </c>
      <c r="M160" s="41" t="s">
        <v>34</v>
      </c>
      <c r="N160" s="41" t="s">
        <v>32</v>
      </c>
      <c r="O160" s="41" t="s">
        <v>28</v>
      </c>
      <c r="Q160" s="17">
        <f t="shared" si="15"/>
        <v>2</v>
      </c>
      <c r="R160" s="17">
        <f t="shared" si="16"/>
        <v>3</v>
      </c>
      <c r="S160" s="17">
        <f t="shared" si="17"/>
        <v>9</v>
      </c>
      <c r="T160" s="17">
        <f t="shared" si="18"/>
        <v>7</v>
      </c>
      <c r="U160" s="17">
        <f t="shared" si="19"/>
        <v>3</v>
      </c>
      <c r="W160" s="7">
        <v>100</v>
      </c>
      <c r="X160" s="7">
        <v>0</v>
      </c>
      <c r="Y160" s="7">
        <v>0</v>
      </c>
      <c r="Z160" s="7">
        <v>157</v>
      </c>
      <c r="AA160" s="7">
        <v>33</v>
      </c>
      <c r="AB160" s="13"/>
    </row>
    <row r="161" spans="10:28" ht="15.6" customHeight="1" x14ac:dyDescent="0.3">
      <c r="J161" s="2">
        <v>157</v>
      </c>
      <c r="K161" s="41" t="s">
        <v>28</v>
      </c>
      <c r="L161" s="41" t="s">
        <v>29</v>
      </c>
      <c r="M161" s="41" t="s">
        <v>35</v>
      </c>
      <c r="N161" s="41" t="s">
        <v>29</v>
      </c>
      <c r="O161" s="41" t="s">
        <v>32</v>
      </c>
      <c r="Q161" s="17">
        <f t="shared" si="15"/>
        <v>3</v>
      </c>
      <c r="R161" s="17">
        <f t="shared" si="16"/>
        <v>4</v>
      </c>
      <c r="S161" s="17">
        <f t="shared" si="17"/>
        <v>10</v>
      </c>
      <c r="T161" s="17">
        <f t="shared" si="18"/>
        <v>4</v>
      </c>
      <c r="U161" s="17">
        <f t="shared" si="19"/>
        <v>7</v>
      </c>
      <c r="W161" s="7">
        <v>0</v>
      </c>
      <c r="X161" s="7">
        <v>0</v>
      </c>
      <c r="Y161" s="7">
        <v>0</v>
      </c>
      <c r="Z161" s="7">
        <v>35</v>
      </c>
      <c r="AA161" s="7">
        <v>50</v>
      </c>
      <c r="AB161" s="13"/>
    </row>
    <row r="162" spans="10:28" ht="15.6" customHeight="1" x14ac:dyDescent="0.3">
      <c r="J162" s="2">
        <v>158</v>
      </c>
      <c r="K162" s="41" t="s">
        <v>30</v>
      </c>
      <c r="L162" s="41" t="s">
        <v>30</v>
      </c>
      <c r="M162" s="41" t="s">
        <v>32</v>
      </c>
      <c r="N162" s="41" t="s">
        <v>46</v>
      </c>
      <c r="O162" s="41" t="s">
        <v>29</v>
      </c>
      <c r="Q162" s="17">
        <f t="shared" si="15"/>
        <v>5</v>
      </c>
      <c r="R162" s="17">
        <f t="shared" si="16"/>
        <v>5</v>
      </c>
      <c r="S162" s="17">
        <f t="shared" si="17"/>
        <v>7</v>
      </c>
      <c r="T162" s="17">
        <f t="shared" si="18"/>
        <v>16</v>
      </c>
      <c r="U162" s="17">
        <f t="shared" si="19"/>
        <v>4</v>
      </c>
      <c r="W162" s="7">
        <v>0</v>
      </c>
      <c r="X162" s="7">
        <v>0</v>
      </c>
      <c r="Y162" s="7">
        <v>0</v>
      </c>
      <c r="Z162" s="7">
        <v>25</v>
      </c>
      <c r="AA162" s="7">
        <v>40</v>
      </c>
      <c r="AB162" s="13"/>
    </row>
    <row r="163" spans="10:28" ht="15.6" customHeight="1" x14ac:dyDescent="0.3">
      <c r="J163" s="2">
        <v>159</v>
      </c>
      <c r="K163" s="41" t="s">
        <v>34</v>
      </c>
      <c r="L163" s="41" t="s">
        <v>31</v>
      </c>
      <c r="M163" s="41" t="s">
        <v>50</v>
      </c>
      <c r="N163" s="41" t="s">
        <v>33</v>
      </c>
      <c r="O163" s="41" t="s">
        <v>29</v>
      </c>
      <c r="Q163" s="17">
        <f t="shared" si="15"/>
        <v>9</v>
      </c>
      <c r="R163" s="17">
        <f t="shared" si="16"/>
        <v>6</v>
      </c>
      <c r="S163" s="17">
        <f t="shared" si="17"/>
        <v>18</v>
      </c>
      <c r="T163" s="17">
        <f t="shared" si="18"/>
        <v>8</v>
      </c>
      <c r="U163" s="17">
        <f t="shared" si="19"/>
        <v>4</v>
      </c>
      <c r="W163" s="7">
        <v>0</v>
      </c>
      <c r="X163" s="7">
        <v>0</v>
      </c>
      <c r="Y163" s="7">
        <v>0</v>
      </c>
      <c r="Z163" s="7">
        <v>40</v>
      </c>
      <c r="AA163" s="7">
        <v>40</v>
      </c>
      <c r="AB163" s="13"/>
    </row>
    <row r="164" spans="10:28" ht="15.6" customHeight="1" x14ac:dyDescent="0.3">
      <c r="J164" s="2">
        <v>160</v>
      </c>
      <c r="K164" s="41" t="s">
        <v>29</v>
      </c>
      <c r="L164" s="41" t="s">
        <v>44</v>
      </c>
      <c r="M164" s="41" t="s">
        <v>34</v>
      </c>
      <c r="N164" s="41" t="s">
        <v>33</v>
      </c>
      <c r="O164" s="41" t="s">
        <v>32</v>
      </c>
      <c r="Q164" s="17">
        <f t="shared" si="15"/>
        <v>4</v>
      </c>
      <c r="R164" s="17">
        <f t="shared" si="16"/>
        <v>15</v>
      </c>
      <c r="S164" s="17">
        <f t="shared" si="17"/>
        <v>9</v>
      </c>
      <c r="T164" s="17">
        <f t="shared" si="18"/>
        <v>8</v>
      </c>
      <c r="U164" s="17">
        <f t="shared" si="19"/>
        <v>7</v>
      </c>
      <c r="W164" s="7">
        <v>0</v>
      </c>
      <c r="X164" s="7">
        <v>0</v>
      </c>
      <c r="Y164" s="7">
        <v>0</v>
      </c>
      <c r="Z164" s="7">
        <v>40</v>
      </c>
      <c r="AA164" s="7">
        <v>51</v>
      </c>
      <c r="AB164" s="13"/>
    </row>
    <row r="165" spans="10:28" ht="15.6" customHeight="1" x14ac:dyDescent="0.3">
      <c r="J165" s="2">
        <v>161</v>
      </c>
      <c r="K165" s="41" t="s">
        <v>29</v>
      </c>
      <c r="L165" s="41" t="s">
        <v>32</v>
      </c>
      <c r="M165" s="41" t="s">
        <v>33</v>
      </c>
      <c r="N165" s="41" t="s">
        <v>33</v>
      </c>
      <c r="O165" s="41" t="s">
        <v>34</v>
      </c>
      <c r="Q165" s="17">
        <f t="shared" si="15"/>
        <v>4</v>
      </c>
      <c r="R165" s="17">
        <f t="shared" si="16"/>
        <v>7</v>
      </c>
      <c r="S165" s="17">
        <f t="shared" si="17"/>
        <v>8</v>
      </c>
      <c r="T165" s="17">
        <f t="shared" si="18"/>
        <v>8</v>
      </c>
      <c r="U165" s="17">
        <f t="shared" si="19"/>
        <v>9</v>
      </c>
      <c r="W165" s="7">
        <v>0</v>
      </c>
      <c r="X165" s="7">
        <v>0</v>
      </c>
      <c r="Y165" s="7">
        <v>100</v>
      </c>
      <c r="Z165" s="7">
        <v>40</v>
      </c>
      <c r="AA165" s="7">
        <v>64</v>
      </c>
      <c r="AB165" s="13"/>
    </row>
    <row r="166" spans="10:28" ht="15.6" customHeight="1" x14ac:dyDescent="0.3">
      <c r="J166" s="2">
        <v>162</v>
      </c>
      <c r="K166" s="41" t="s">
        <v>32</v>
      </c>
      <c r="L166" s="41" t="s">
        <v>31</v>
      </c>
      <c r="M166" s="41" t="s">
        <v>28</v>
      </c>
      <c r="N166" s="41" t="s">
        <v>26</v>
      </c>
      <c r="O166" s="41" t="s">
        <v>34</v>
      </c>
      <c r="Q166" s="17">
        <f t="shared" si="15"/>
        <v>7</v>
      </c>
      <c r="R166" s="17">
        <f t="shared" si="16"/>
        <v>6</v>
      </c>
      <c r="S166" s="17">
        <f t="shared" si="17"/>
        <v>3</v>
      </c>
      <c r="T166" s="17">
        <f t="shared" si="18"/>
        <v>2</v>
      </c>
      <c r="U166" s="17">
        <f t="shared" si="19"/>
        <v>9</v>
      </c>
      <c r="W166" s="7">
        <v>0</v>
      </c>
      <c r="X166" s="7">
        <v>0</v>
      </c>
      <c r="Y166" s="7">
        <v>100</v>
      </c>
      <c r="Z166" s="7">
        <v>30</v>
      </c>
      <c r="AA166" s="7">
        <v>65</v>
      </c>
      <c r="AB166" s="13"/>
    </row>
    <row r="167" spans="10:28" ht="15.6" customHeight="1" x14ac:dyDescent="0.3">
      <c r="J167" s="2">
        <v>163</v>
      </c>
      <c r="K167" s="41" t="s">
        <v>33</v>
      </c>
      <c r="L167" s="41" t="s">
        <v>42</v>
      </c>
      <c r="M167" s="41" t="s">
        <v>33</v>
      </c>
      <c r="N167" s="41" t="s">
        <v>33</v>
      </c>
      <c r="O167" s="41" t="s">
        <v>32</v>
      </c>
      <c r="Q167" s="17">
        <f t="shared" si="15"/>
        <v>8</v>
      </c>
      <c r="R167" s="17">
        <f t="shared" si="16"/>
        <v>14</v>
      </c>
      <c r="S167" s="17">
        <f t="shared" si="17"/>
        <v>8</v>
      </c>
      <c r="T167" s="17">
        <f t="shared" si="18"/>
        <v>8</v>
      </c>
      <c r="U167" s="17">
        <f t="shared" si="19"/>
        <v>7</v>
      </c>
      <c r="W167" s="7">
        <v>0</v>
      </c>
      <c r="X167" s="7">
        <v>0</v>
      </c>
      <c r="Y167" s="7">
        <v>100</v>
      </c>
      <c r="Z167" s="7">
        <v>40</v>
      </c>
      <c r="AA167" s="7">
        <v>50</v>
      </c>
      <c r="AB167" s="13"/>
    </row>
    <row r="168" spans="10:28" ht="15.6" customHeight="1" x14ac:dyDescent="0.3">
      <c r="J168" s="2">
        <v>164</v>
      </c>
      <c r="K168" s="41" t="s">
        <v>35</v>
      </c>
      <c r="L168" s="41" t="s">
        <v>46</v>
      </c>
      <c r="M168" s="41" t="s">
        <v>26</v>
      </c>
      <c r="N168" s="41" t="s">
        <v>30</v>
      </c>
      <c r="O168" s="41" t="s">
        <v>34</v>
      </c>
      <c r="Q168" s="17">
        <f t="shared" si="15"/>
        <v>10</v>
      </c>
      <c r="R168" s="17">
        <f t="shared" si="16"/>
        <v>16</v>
      </c>
      <c r="S168" s="17">
        <f t="shared" si="17"/>
        <v>2</v>
      </c>
      <c r="T168" s="17">
        <f t="shared" si="18"/>
        <v>5</v>
      </c>
      <c r="U168" s="17">
        <f t="shared" si="19"/>
        <v>9</v>
      </c>
      <c r="W168" s="7">
        <v>0</v>
      </c>
      <c r="X168" s="7">
        <v>0</v>
      </c>
      <c r="Y168" s="7">
        <v>100</v>
      </c>
      <c r="Z168" s="7">
        <v>50</v>
      </c>
      <c r="AA168" s="7">
        <v>65</v>
      </c>
      <c r="AB168" s="13"/>
    </row>
    <row r="169" spans="10:28" ht="15.6" customHeight="1" x14ac:dyDescent="0.3">
      <c r="J169" s="2">
        <v>165</v>
      </c>
      <c r="K169" s="41" t="s">
        <v>32</v>
      </c>
      <c r="L169" s="41" t="s">
        <v>29</v>
      </c>
      <c r="M169" s="41" t="s">
        <v>34</v>
      </c>
      <c r="N169" s="41" t="s">
        <v>30</v>
      </c>
      <c r="O169" s="41" t="s">
        <v>30</v>
      </c>
      <c r="Q169" s="17">
        <f t="shared" si="15"/>
        <v>7</v>
      </c>
      <c r="R169" s="17">
        <f t="shared" si="16"/>
        <v>4</v>
      </c>
      <c r="S169" s="17">
        <f t="shared" si="17"/>
        <v>9</v>
      </c>
      <c r="T169" s="17">
        <f t="shared" si="18"/>
        <v>5</v>
      </c>
      <c r="U169" s="17">
        <f t="shared" si="19"/>
        <v>5</v>
      </c>
      <c r="W169" s="7">
        <v>0</v>
      </c>
      <c r="X169" s="7">
        <v>0</v>
      </c>
      <c r="Y169" s="7">
        <v>0</v>
      </c>
      <c r="Z169" s="7">
        <v>50</v>
      </c>
      <c r="AA169" s="7">
        <v>27</v>
      </c>
      <c r="AB169" s="13"/>
    </row>
    <row r="170" spans="10:28" ht="15.6" customHeight="1" x14ac:dyDescent="0.3">
      <c r="J170" s="2">
        <v>166</v>
      </c>
      <c r="K170" s="41" t="s">
        <v>30</v>
      </c>
      <c r="L170" s="41" t="s">
        <v>32</v>
      </c>
      <c r="M170" s="41" t="s">
        <v>29</v>
      </c>
      <c r="N170" s="41" t="s">
        <v>33</v>
      </c>
      <c r="O170" s="41" t="s">
        <v>28</v>
      </c>
      <c r="Q170" s="17">
        <f t="shared" si="15"/>
        <v>5</v>
      </c>
      <c r="R170" s="17">
        <f t="shared" si="16"/>
        <v>7</v>
      </c>
      <c r="S170" s="17">
        <f t="shared" si="17"/>
        <v>4</v>
      </c>
      <c r="T170" s="17">
        <f t="shared" si="18"/>
        <v>8</v>
      </c>
      <c r="U170" s="17">
        <f t="shared" si="19"/>
        <v>3</v>
      </c>
      <c r="W170" s="7">
        <v>0</v>
      </c>
      <c r="X170" s="7">
        <v>0</v>
      </c>
      <c r="Y170" s="7">
        <v>0</v>
      </c>
      <c r="Z170" s="7">
        <v>40</v>
      </c>
      <c r="AA170" s="7">
        <v>33</v>
      </c>
      <c r="AB170" s="13"/>
    </row>
    <row r="171" spans="10:28" ht="15.6" customHeight="1" x14ac:dyDescent="0.3">
      <c r="J171" s="2">
        <v>167</v>
      </c>
      <c r="K171" s="41" t="s">
        <v>30</v>
      </c>
      <c r="L171" s="41" t="s">
        <v>31</v>
      </c>
      <c r="M171" s="41" t="s">
        <v>30</v>
      </c>
      <c r="N171" s="41" t="s">
        <v>32</v>
      </c>
      <c r="O171" s="41" t="s">
        <v>35</v>
      </c>
      <c r="Q171" s="17">
        <f t="shared" si="15"/>
        <v>5</v>
      </c>
      <c r="R171" s="17">
        <f t="shared" si="16"/>
        <v>6</v>
      </c>
      <c r="S171" s="17">
        <f t="shared" si="17"/>
        <v>5</v>
      </c>
      <c r="T171" s="17">
        <f t="shared" si="18"/>
        <v>7</v>
      </c>
      <c r="U171" s="17">
        <f t="shared" si="19"/>
        <v>10</v>
      </c>
      <c r="W171" s="7">
        <v>0</v>
      </c>
      <c r="X171" s="7">
        <v>0</v>
      </c>
      <c r="Y171" s="7">
        <v>0</v>
      </c>
      <c r="Z171" s="7">
        <v>157</v>
      </c>
      <c r="AA171" s="7">
        <v>69</v>
      </c>
      <c r="AB171" s="13"/>
    </row>
    <row r="172" spans="10:28" ht="15.6" customHeight="1" x14ac:dyDescent="0.3">
      <c r="J172" s="2">
        <v>168</v>
      </c>
      <c r="K172" s="41" t="s">
        <v>28</v>
      </c>
      <c r="L172" s="41" t="s">
        <v>32</v>
      </c>
      <c r="M172" s="41" t="s">
        <v>30</v>
      </c>
      <c r="N172" s="41" t="s">
        <v>34</v>
      </c>
      <c r="O172" s="41" t="s">
        <v>35</v>
      </c>
      <c r="Q172" s="17">
        <f t="shared" si="15"/>
        <v>3</v>
      </c>
      <c r="R172" s="17">
        <f t="shared" si="16"/>
        <v>7</v>
      </c>
      <c r="S172" s="17">
        <f t="shared" si="17"/>
        <v>5</v>
      </c>
      <c r="T172" s="17">
        <f t="shared" si="18"/>
        <v>9</v>
      </c>
      <c r="U172" s="17">
        <f t="shared" si="19"/>
        <v>10</v>
      </c>
      <c r="W172" s="7">
        <v>0</v>
      </c>
      <c r="X172" s="7">
        <v>0</v>
      </c>
      <c r="Y172" s="7">
        <v>0</v>
      </c>
      <c r="Z172" s="7">
        <v>40</v>
      </c>
      <c r="AA172" s="7">
        <v>70</v>
      </c>
      <c r="AB172" s="13"/>
    </row>
    <row r="173" spans="10:28" ht="15.6" customHeight="1" x14ac:dyDescent="0.3">
      <c r="J173" s="2">
        <v>169</v>
      </c>
      <c r="K173" s="41" t="s">
        <v>31</v>
      </c>
      <c r="L173" s="41" t="s">
        <v>34</v>
      </c>
      <c r="M173" s="41" t="s">
        <v>32</v>
      </c>
      <c r="N173" s="41" t="s">
        <v>34</v>
      </c>
      <c r="O173" s="41" t="s">
        <v>28</v>
      </c>
      <c r="Q173" s="17">
        <f t="shared" si="15"/>
        <v>6</v>
      </c>
      <c r="R173" s="17">
        <f t="shared" si="16"/>
        <v>9</v>
      </c>
      <c r="S173" s="17">
        <f t="shared" si="17"/>
        <v>7</v>
      </c>
      <c r="T173" s="17">
        <f t="shared" si="18"/>
        <v>9</v>
      </c>
      <c r="U173" s="17">
        <f t="shared" si="19"/>
        <v>3</v>
      </c>
      <c r="W173" s="7">
        <v>0</v>
      </c>
      <c r="X173" s="7">
        <v>0</v>
      </c>
      <c r="Y173" s="7">
        <v>0</v>
      </c>
      <c r="Z173" s="7">
        <v>40</v>
      </c>
      <c r="AA173" s="7">
        <v>33</v>
      </c>
      <c r="AB173" s="13"/>
    </row>
    <row r="174" spans="10:28" ht="15.6" customHeight="1" x14ac:dyDescent="0.3">
      <c r="J174" s="2">
        <v>170</v>
      </c>
      <c r="K174" s="41" t="s">
        <v>31</v>
      </c>
      <c r="L174" s="41" t="s">
        <v>29</v>
      </c>
      <c r="M174" s="41" t="s">
        <v>46</v>
      </c>
      <c r="N174" s="41" t="s">
        <v>29</v>
      </c>
      <c r="O174" s="41" t="s">
        <v>28</v>
      </c>
      <c r="Q174" s="17">
        <f t="shared" si="15"/>
        <v>6</v>
      </c>
      <c r="R174" s="17">
        <f t="shared" si="16"/>
        <v>4</v>
      </c>
      <c r="S174" s="17">
        <f t="shared" si="17"/>
        <v>16</v>
      </c>
      <c r="T174" s="17">
        <f t="shared" si="18"/>
        <v>4</v>
      </c>
      <c r="U174" s="17">
        <f t="shared" si="19"/>
        <v>3</v>
      </c>
      <c r="W174" s="7">
        <v>0</v>
      </c>
      <c r="X174" s="7">
        <v>0</v>
      </c>
      <c r="Y174" s="7">
        <v>0</v>
      </c>
      <c r="Z174" s="7">
        <v>35</v>
      </c>
      <c r="AA174" s="7">
        <v>33</v>
      </c>
      <c r="AB174" s="13"/>
    </row>
    <row r="175" spans="10:28" ht="15.6" customHeight="1" x14ac:dyDescent="0.3">
      <c r="J175" s="2">
        <v>171</v>
      </c>
      <c r="K175" s="41" t="s">
        <v>30</v>
      </c>
      <c r="L175" s="41" t="s">
        <v>31</v>
      </c>
      <c r="M175" s="41" t="s">
        <v>33</v>
      </c>
      <c r="N175" s="41" t="s">
        <v>46</v>
      </c>
      <c r="O175" s="41" t="s">
        <v>32</v>
      </c>
      <c r="Q175" s="17">
        <f t="shared" si="15"/>
        <v>5</v>
      </c>
      <c r="R175" s="17">
        <f t="shared" si="16"/>
        <v>6</v>
      </c>
      <c r="S175" s="17">
        <f t="shared" si="17"/>
        <v>8</v>
      </c>
      <c r="T175" s="17">
        <f t="shared" si="18"/>
        <v>16</v>
      </c>
      <c r="U175" s="17">
        <f t="shared" si="19"/>
        <v>7</v>
      </c>
      <c r="W175" s="7">
        <v>0</v>
      </c>
      <c r="X175" s="7">
        <v>0</v>
      </c>
      <c r="Y175" s="7">
        <v>0</v>
      </c>
      <c r="Z175" s="7">
        <v>24</v>
      </c>
      <c r="AA175" s="7">
        <v>50</v>
      </c>
      <c r="AB175" s="13"/>
    </row>
    <row r="176" spans="10:28" ht="15.6" customHeight="1" x14ac:dyDescent="0.3">
      <c r="J176" s="2">
        <v>172</v>
      </c>
      <c r="K176" s="41" t="s">
        <v>31</v>
      </c>
      <c r="L176" s="41" t="s">
        <v>28</v>
      </c>
      <c r="M176" s="41" t="s">
        <v>34</v>
      </c>
      <c r="N176" s="41" t="s">
        <v>34</v>
      </c>
      <c r="O176" s="41" t="s">
        <v>30</v>
      </c>
      <c r="Q176" s="17">
        <f t="shared" si="15"/>
        <v>6</v>
      </c>
      <c r="R176" s="17">
        <f t="shared" si="16"/>
        <v>3</v>
      </c>
      <c r="S176" s="17">
        <f t="shared" si="17"/>
        <v>9</v>
      </c>
      <c r="T176" s="17">
        <f t="shared" si="18"/>
        <v>9</v>
      </c>
      <c r="U176" s="17">
        <f t="shared" si="19"/>
        <v>5</v>
      </c>
      <c r="W176" s="7">
        <v>0</v>
      </c>
      <c r="X176" s="7">
        <v>0</v>
      </c>
      <c r="Y176" s="7">
        <v>0</v>
      </c>
      <c r="Z176" s="7">
        <v>41</v>
      </c>
      <c r="AA176" s="7">
        <v>26</v>
      </c>
      <c r="AB176" s="13"/>
    </row>
    <row r="177" spans="10:28" ht="15.6" customHeight="1" x14ac:dyDescent="0.3">
      <c r="J177" s="2">
        <v>173</v>
      </c>
      <c r="K177" s="41" t="s">
        <v>35</v>
      </c>
      <c r="L177" s="41" t="s">
        <v>34</v>
      </c>
      <c r="M177" s="41" t="s">
        <v>35</v>
      </c>
      <c r="N177" s="41" t="s">
        <v>34</v>
      </c>
      <c r="O177" s="41" t="s">
        <v>31</v>
      </c>
      <c r="Q177" s="17">
        <f t="shared" si="15"/>
        <v>10</v>
      </c>
      <c r="R177" s="17">
        <f t="shared" si="16"/>
        <v>9</v>
      </c>
      <c r="S177" s="17">
        <f t="shared" si="17"/>
        <v>10</v>
      </c>
      <c r="T177" s="17">
        <f t="shared" si="18"/>
        <v>9</v>
      </c>
      <c r="U177" s="17">
        <f t="shared" si="19"/>
        <v>6</v>
      </c>
      <c r="W177" s="7">
        <v>0</v>
      </c>
      <c r="X177" s="7">
        <v>0</v>
      </c>
      <c r="Y177" s="7">
        <v>0</v>
      </c>
      <c r="Z177" s="7">
        <v>40</v>
      </c>
      <c r="AA177" s="7">
        <v>64</v>
      </c>
      <c r="AB177" s="13"/>
    </row>
    <row r="178" spans="10:28" ht="15.6" customHeight="1" x14ac:dyDescent="0.3">
      <c r="J178" s="2">
        <v>174</v>
      </c>
      <c r="K178" s="41" t="s">
        <v>33</v>
      </c>
      <c r="L178" s="41" t="s">
        <v>38</v>
      </c>
      <c r="M178" s="41" t="s">
        <v>35</v>
      </c>
      <c r="N178" s="41" t="s">
        <v>48</v>
      </c>
      <c r="O178" s="41" t="s">
        <v>32</v>
      </c>
      <c r="Q178" s="17">
        <f t="shared" si="15"/>
        <v>8</v>
      </c>
      <c r="R178" s="17">
        <f t="shared" si="16"/>
        <v>12</v>
      </c>
      <c r="S178" s="17">
        <f t="shared" si="17"/>
        <v>10</v>
      </c>
      <c r="T178" s="17">
        <f t="shared" si="18"/>
        <v>17</v>
      </c>
      <c r="U178" s="17">
        <f t="shared" si="19"/>
        <v>7</v>
      </c>
      <c r="W178" s="7">
        <v>0</v>
      </c>
      <c r="X178" s="7">
        <v>0</v>
      </c>
      <c r="Y178" s="7">
        <v>0</v>
      </c>
      <c r="Z178" s="7">
        <v>25</v>
      </c>
      <c r="AA178" s="7">
        <v>51</v>
      </c>
      <c r="AB178" s="13"/>
    </row>
    <row r="179" spans="10:28" ht="15.6" customHeight="1" x14ac:dyDescent="0.3">
      <c r="J179" s="2">
        <v>175</v>
      </c>
      <c r="K179" s="41" t="s">
        <v>29</v>
      </c>
      <c r="L179" s="41" t="s">
        <v>33</v>
      </c>
      <c r="M179" s="41" t="s">
        <v>31</v>
      </c>
      <c r="N179" s="41" t="s">
        <v>33</v>
      </c>
      <c r="O179" s="41" t="s">
        <v>33</v>
      </c>
      <c r="Q179" s="17">
        <f t="shared" si="15"/>
        <v>4</v>
      </c>
      <c r="R179" s="17">
        <f t="shared" si="16"/>
        <v>8</v>
      </c>
      <c r="S179" s="17">
        <f t="shared" si="17"/>
        <v>6</v>
      </c>
      <c r="T179" s="17">
        <f t="shared" si="18"/>
        <v>8</v>
      </c>
      <c r="U179" s="17">
        <f t="shared" si="19"/>
        <v>8</v>
      </c>
      <c r="W179" s="7">
        <v>0</v>
      </c>
      <c r="X179" s="7">
        <v>100</v>
      </c>
      <c r="Y179" s="7">
        <v>0</v>
      </c>
      <c r="Z179" s="7">
        <v>40</v>
      </c>
      <c r="AA179" s="7">
        <v>55</v>
      </c>
      <c r="AB179" s="13"/>
    </row>
    <row r="180" spans="10:28" ht="15.6" customHeight="1" x14ac:dyDescent="0.3">
      <c r="J180" s="2">
        <v>176</v>
      </c>
      <c r="K180" s="41" t="s">
        <v>28</v>
      </c>
      <c r="L180" s="41" t="s">
        <v>42</v>
      </c>
      <c r="M180" s="41" t="s">
        <v>31</v>
      </c>
      <c r="N180" s="41" t="s">
        <v>42</v>
      </c>
      <c r="O180" s="41" t="s">
        <v>33</v>
      </c>
      <c r="Q180" s="17">
        <f t="shared" si="15"/>
        <v>3</v>
      </c>
      <c r="R180" s="17">
        <f t="shared" si="16"/>
        <v>14</v>
      </c>
      <c r="S180" s="17">
        <f t="shared" si="17"/>
        <v>6</v>
      </c>
      <c r="T180" s="17">
        <f t="shared" si="18"/>
        <v>14</v>
      </c>
      <c r="U180" s="17">
        <f t="shared" si="19"/>
        <v>8</v>
      </c>
      <c r="W180" s="7">
        <v>0</v>
      </c>
      <c r="X180" s="7">
        <v>0</v>
      </c>
      <c r="Y180" s="7">
        <v>0</v>
      </c>
      <c r="Z180" s="7">
        <v>20</v>
      </c>
      <c r="AA180" s="7">
        <v>55</v>
      </c>
      <c r="AB180" s="13"/>
    </row>
    <row r="181" spans="10:28" ht="15.6" customHeight="1" x14ac:dyDescent="0.3">
      <c r="J181" s="2">
        <v>177</v>
      </c>
      <c r="K181" s="41" t="s">
        <v>31</v>
      </c>
      <c r="L181" s="41" t="s">
        <v>32</v>
      </c>
      <c r="M181" s="41" t="s">
        <v>44</v>
      </c>
      <c r="N181" s="41" t="s">
        <v>33</v>
      </c>
      <c r="O181" s="41" t="s">
        <v>35</v>
      </c>
      <c r="Q181" s="17">
        <f t="shared" si="15"/>
        <v>6</v>
      </c>
      <c r="R181" s="17">
        <f t="shared" si="16"/>
        <v>7</v>
      </c>
      <c r="S181" s="17">
        <f t="shared" si="17"/>
        <v>15</v>
      </c>
      <c r="T181" s="17">
        <f t="shared" si="18"/>
        <v>8</v>
      </c>
      <c r="U181" s="17">
        <f t="shared" si="19"/>
        <v>10</v>
      </c>
      <c r="W181" s="7">
        <v>0</v>
      </c>
      <c r="X181" s="7">
        <v>0</v>
      </c>
      <c r="Y181" s="7">
        <v>0</v>
      </c>
      <c r="Z181" s="7">
        <v>40</v>
      </c>
      <c r="AA181" s="7">
        <v>69</v>
      </c>
      <c r="AB181" s="13"/>
    </row>
    <row r="182" spans="10:28" ht="15.6" customHeight="1" x14ac:dyDescent="0.3">
      <c r="J182" s="2">
        <v>178</v>
      </c>
      <c r="K182" s="41" t="s">
        <v>31</v>
      </c>
      <c r="L182" s="41" t="s">
        <v>26</v>
      </c>
      <c r="M182" s="41" t="s">
        <v>32</v>
      </c>
      <c r="N182" s="41" t="s">
        <v>33</v>
      </c>
      <c r="O182" s="41" t="s">
        <v>28</v>
      </c>
      <c r="Q182" s="17">
        <f t="shared" si="15"/>
        <v>6</v>
      </c>
      <c r="R182" s="17">
        <f t="shared" si="16"/>
        <v>2</v>
      </c>
      <c r="S182" s="17">
        <f t="shared" si="17"/>
        <v>7</v>
      </c>
      <c r="T182" s="17">
        <f t="shared" si="18"/>
        <v>8</v>
      </c>
      <c r="U182" s="17">
        <f t="shared" si="19"/>
        <v>3</v>
      </c>
      <c r="W182" s="7">
        <v>0</v>
      </c>
      <c r="X182" s="7">
        <v>0</v>
      </c>
      <c r="Y182" s="7">
        <v>0</v>
      </c>
      <c r="Z182" s="7">
        <v>39</v>
      </c>
      <c r="AA182" s="7">
        <v>33</v>
      </c>
      <c r="AB182" s="13"/>
    </row>
    <row r="183" spans="10:28" ht="15.6" customHeight="1" x14ac:dyDescent="0.3">
      <c r="J183" s="2">
        <v>179</v>
      </c>
      <c r="K183" s="41" t="s">
        <v>34</v>
      </c>
      <c r="L183" s="41" t="s">
        <v>28</v>
      </c>
      <c r="M183" s="41" t="s">
        <v>32</v>
      </c>
      <c r="N183" s="41" t="s">
        <v>33</v>
      </c>
      <c r="O183" s="41" t="s">
        <v>34</v>
      </c>
      <c r="Q183" s="17">
        <f t="shared" si="15"/>
        <v>9</v>
      </c>
      <c r="R183" s="17">
        <f t="shared" si="16"/>
        <v>3</v>
      </c>
      <c r="S183" s="17">
        <f t="shared" si="17"/>
        <v>7</v>
      </c>
      <c r="T183" s="17">
        <f t="shared" si="18"/>
        <v>8</v>
      </c>
      <c r="U183" s="17">
        <f t="shared" si="19"/>
        <v>9</v>
      </c>
      <c r="W183" s="7">
        <v>0</v>
      </c>
      <c r="X183" s="7">
        <v>0</v>
      </c>
      <c r="Y183" s="7">
        <v>0</v>
      </c>
      <c r="Z183" s="7">
        <v>40</v>
      </c>
      <c r="AA183" s="7">
        <v>64</v>
      </c>
      <c r="AB183" s="13"/>
    </row>
    <row r="184" spans="10:28" ht="15.6" customHeight="1" x14ac:dyDescent="0.3">
      <c r="J184" s="2">
        <v>180</v>
      </c>
      <c r="K184" s="41" t="s">
        <v>33</v>
      </c>
      <c r="L184" s="41" t="s">
        <v>36</v>
      </c>
      <c r="M184" s="41" t="s">
        <v>29</v>
      </c>
      <c r="N184" s="41" t="s">
        <v>30</v>
      </c>
      <c r="O184" s="41" t="s">
        <v>29</v>
      </c>
      <c r="Q184" s="17">
        <f t="shared" si="15"/>
        <v>8</v>
      </c>
      <c r="R184" s="17">
        <f t="shared" si="16"/>
        <v>11</v>
      </c>
      <c r="S184" s="17">
        <f t="shared" si="17"/>
        <v>4</v>
      </c>
      <c r="T184" s="17">
        <f t="shared" si="18"/>
        <v>5</v>
      </c>
      <c r="U184" s="17">
        <f t="shared" si="19"/>
        <v>4</v>
      </c>
      <c r="W184" s="7">
        <v>0</v>
      </c>
      <c r="X184" s="7">
        <v>0</v>
      </c>
      <c r="Y184" s="7">
        <v>0</v>
      </c>
      <c r="Z184" s="7">
        <v>50</v>
      </c>
      <c r="AA184" s="7">
        <v>41</v>
      </c>
      <c r="AB184" s="13"/>
    </row>
    <row r="185" spans="10:28" ht="15.6" customHeight="1" x14ac:dyDescent="0.3">
      <c r="J185" s="2">
        <v>181</v>
      </c>
      <c r="K185" s="41" t="s">
        <v>32</v>
      </c>
      <c r="L185" s="41" t="s">
        <v>48</v>
      </c>
      <c r="M185" s="41" t="s">
        <v>33</v>
      </c>
      <c r="N185" s="41" t="s">
        <v>33</v>
      </c>
      <c r="O185" s="41" t="s">
        <v>28</v>
      </c>
      <c r="Q185" s="17">
        <f t="shared" si="15"/>
        <v>7</v>
      </c>
      <c r="R185" s="17">
        <f t="shared" si="16"/>
        <v>17</v>
      </c>
      <c r="S185" s="17">
        <f t="shared" si="17"/>
        <v>8</v>
      </c>
      <c r="T185" s="17">
        <f t="shared" si="18"/>
        <v>8</v>
      </c>
      <c r="U185" s="17">
        <f t="shared" si="19"/>
        <v>3</v>
      </c>
      <c r="W185" s="7">
        <v>0</v>
      </c>
      <c r="X185" s="7">
        <v>0</v>
      </c>
      <c r="Y185" s="7">
        <v>0</v>
      </c>
      <c r="Z185" s="7">
        <v>40</v>
      </c>
      <c r="AA185" s="7">
        <v>33</v>
      </c>
      <c r="AB185" s="13"/>
    </row>
    <row r="186" spans="10:28" ht="15.6" customHeight="1" x14ac:dyDescent="0.3">
      <c r="J186" s="2">
        <v>182</v>
      </c>
      <c r="K186" s="41" t="s">
        <v>35</v>
      </c>
      <c r="L186" s="41" t="s">
        <v>31</v>
      </c>
      <c r="M186" s="41" t="s">
        <v>34</v>
      </c>
      <c r="N186" s="41" t="s">
        <v>26</v>
      </c>
      <c r="O186" s="41" t="s">
        <v>28</v>
      </c>
      <c r="Q186" s="17">
        <f t="shared" si="15"/>
        <v>10</v>
      </c>
      <c r="R186" s="17">
        <f t="shared" si="16"/>
        <v>6</v>
      </c>
      <c r="S186" s="17">
        <f t="shared" si="17"/>
        <v>9</v>
      </c>
      <c r="T186" s="17">
        <f t="shared" si="18"/>
        <v>2</v>
      </c>
      <c r="U186" s="17">
        <f t="shared" si="19"/>
        <v>3</v>
      </c>
      <c r="W186" s="7">
        <v>0</v>
      </c>
      <c r="X186" s="7">
        <v>0</v>
      </c>
      <c r="Y186" s="7">
        <v>0</v>
      </c>
      <c r="Z186" s="7">
        <v>31</v>
      </c>
      <c r="AA186" s="7">
        <v>33</v>
      </c>
      <c r="AB186" s="13"/>
    </row>
    <row r="187" spans="10:28" ht="15.6" customHeight="1" x14ac:dyDescent="0.3">
      <c r="J187" s="2">
        <v>183</v>
      </c>
      <c r="K187" s="41" t="s">
        <v>34</v>
      </c>
      <c r="L187" s="41" t="s">
        <v>42</v>
      </c>
      <c r="M187" s="41" t="s">
        <v>35</v>
      </c>
      <c r="N187" s="41" t="s">
        <v>34</v>
      </c>
      <c r="O187" s="41" t="s">
        <v>32</v>
      </c>
      <c r="Q187" s="17">
        <f t="shared" si="15"/>
        <v>9</v>
      </c>
      <c r="R187" s="17">
        <f t="shared" si="16"/>
        <v>14</v>
      </c>
      <c r="S187" s="17">
        <f t="shared" si="17"/>
        <v>10</v>
      </c>
      <c r="T187" s="17">
        <f t="shared" si="18"/>
        <v>9</v>
      </c>
      <c r="U187" s="17">
        <f t="shared" si="19"/>
        <v>7</v>
      </c>
      <c r="W187" s="7">
        <v>0</v>
      </c>
      <c r="X187" s="7">
        <v>0</v>
      </c>
      <c r="Y187" s="7">
        <v>0</v>
      </c>
      <c r="Z187" s="7">
        <v>40</v>
      </c>
      <c r="AA187" s="7">
        <v>50</v>
      </c>
      <c r="AB187" s="13"/>
    </row>
    <row r="188" spans="10:28" ht="15.6" customHeight="1" x14ac:dyDescent="0.3">
      <c r="J188" s="2">
        <v>184</v>
      </c>
      <c r="K188" s="41" t="s">
        <v>35</v>
      </c>
      <c r="L188" s="41" t="s">
        <v>50</v>
      </c>
      <c r="M188" s="41" t="s">
        <v>29</v>
      </c>
      <c r="N188" s="41" t="s">
        <v>33</v>
      </c>
      <c r="O188" s="41" t="s">
        <v>32</v>
      </c>
      <c r="Q188" s="17">
        <f t="shared" si="15"/>
        <v>10</v>
      </c>
      <c r="R188" s="17">
        <f t="shared" si="16"/>
        <v>18</v>
      </c>
      <c r="S188" s="17">
        <f t="shared" si="17"/>
        <v>4</v>
      </c>
      <c r="T188" s="17">
        <f t="shared" si="18"/>
        <v>8</v>
      </c>
      <c r="U188" s="17">
        <f t="shared" si="19"/>
        <v>7</v>
      </c>
      <c r="W188" s="7">
        <v>0</v>
      </c>
      <c r="X188" s="7">
        <v>0</v>
      </c>
      <c r="Y188" s="7">
        <v>100</v>
      </c>
      <c r="Z188" s="7">
        <v>40</v>
      </c>
      <c r="AA188" s="7">
        <v>51</v>
      </c>
      <c r="AB188" s="13"/>
    </row>
    <row r="189" spans="10:28" ht="15.6" customHeight="1" x14ac:dyDescent="0.3">
      <c r="J189" s="2">
        <v>185</v>
      </c>
      <c r="K189" s="41" t="s">
        <v>35</v>
      </c>
      <c r="L189" s="41" t="s">
        <v>35</v>
      </c>
      <c r="M189" s="41" t="s">
        <v>30</v>
      </c>
      <c r="N189" s="41" t="s">
        <v>31</v>
      </c>
      <c r="O189" s="41" t="s">
        <v>29</v>
      </c>
      <c r="Q189" s="17">
        <f t="shared" si="15"/>
        <v>10</v>
      </c>
      <c r="R189" s="17">
        <f t="shared" si="16"/>
        <v>10</v>
      </c>
      <c r="S189" s="17">
        <f t="shared" si="17"/>
        <v>5</v>
      </c>
      <c r="T189" s="17">
        <f t="shared" si="18"/>
        <v>6</v>
      </c>
      <c r="U189" s="17">
        <f t="shared" si="19"/>
        <v>4</v>
      </c>
      <c r="W189" s="7">
        <v>0</v>
      </c>
      <c r="X189" s="7">
        <v>0</v>
      </c>
      <c r="Y189" s="7">
        <v>100</v>
      </c>
      <c r="Z189" s="7">
        <v>33</v>
      </c>
      <c r="AA189" s="7">
        <v>40</v>
      </c>
      <c r="AB189" s="13"/>
    </row>
    <row r="190" spans="10:28" ht="15.6" customHeight="1" x14ac:dyDescent="0.3">
      <c r="J190" s="2">
        <v>186</v>
      </c>
      <c r="K190" s="41" t="s">
        <v>28</v>
      </c>
      <c r="L190" s="41" t="s">
        <v>35</v>
      </c>
      <c r="M190" s="41" t="s">
        <v>34</v>
      </c>
      <c r="N190" s="41" t="s">
        <v>31</v>
      </c>
      <c r="O190" s="41" t="s">
        <v>30</v>
      </c>
      <c r="Q190" s="17">
        <f t="shared" si="15"/>
        <v>3</v>
      </c>
      <c r="R190" s="17">
        <f t="shared" si="16"/>
        <v>10</v>
      </c>
      <c r="S190" s="17">
        <f t="shared" si="17"/>
        <v>9</v>
      </c>
      <c r="T190" s="17">
        <f t="shared" si="18"/>
        <v>6</v>
      </c>
      <c r="U190" s="17">
        <f t="shared" si="19"/>
        <v>5</v>
      </c>
      <c r="W190" s="7">
        <v>0</v>
      </c>
      <c r="X190" s="7">
        <v>0</v>
      </c>
      <c r="Y190" s="7">
        <v>100</v>
      </c>
      <c r="Z190" s="7">
        <v>33</v>
      </c>
      <c r="AA190" s="7">
        <v>27</v>
      </c>
      <c r="AB190" s="13"/>
    </row>
    <row r="191" spans="10:28" ht="15.6" customHeight="1" x14ac:dyDescent="0.3">
      <c r="J191" s="2">
        <v>187</v>
      </c>
      <c r="K191" s="41" t="s">
        <v>29</v>
      </c>
      <c r="L191" s="41" t="s">
        <v>34</v>
      </c>
      <c r="M191" s="41" t="s">
        <v>26</v>
      </c>
      <c r="N191" s="41" t="s">
        <v>31</v>
      </c>
      <c r="O191" s="41" t="s">
        <v>30</v>
      </c>
      <c r="Q191" s="17">
        <f t="shared" si="15"/>
        <v>4</v>
      </c>
      <c r="R191" s="17">
        <f t="shared" si="16"/>
        <v>9</v>
      </c>
      <c r="S191" s="17">
        <f t="shared" si="17"/>
        <v>2</v>
      </c>
      <c r="T191" s="17">
        <f t="shared" si="18"/>
        <v>6</v>
      </c>
      <c r="U191" s="17">
        <f t="shared" si="19"/>
        <v>5</v>
      </c>
      <c r="W191" s="7">
        <v>0</v>
      </c>
      <c r="X191" s="7">
        <v>0</v>
      </c>
      <c r="Y191" s="7">
        <v>100</v>
      </c>
      <c r="Z191" s="7">
        <v>32</v>
      </c>
      <c r="AA191" s="7">
        <v>26</v>
      </c>
      <c r="AB191" s="13"/>
    </row>
    <row r="192" spans="10:28" ht="15.6" customHeight="1" x14ac:dyDescent="0.3">
      <c r="J192" s="2">
        <v>188</v>
      </c>
      <c r="K192" s="41" t="s">
        <v>33</v>
      </c>
      <c r="L192" s="41" t="s">
        <v>30</v>
      </c>
      <c r="M192" s="41" t="s">
        <v>29</v>
      </c>
      <c r="N192" s="41" t="s">
        <v>46</v>
      </c>
      <c r="O192" s="41" t="s">
        <v>31</v>
      </c>
      <c r="Q192" s="17">
        <f t="shared" si="15"/>
        <v>8</v>
      </c>
      <c r="R192" s="17">
        <f t="shared" si="16"/>
        <v>5</v>
      </c>
      <c r="S192" s="17">
        <f t="shared" si="17"/>
        <v>4</v>
      </c>
      <c r="T192" s="17">
        <f t="shared" si="18"/>
        <v>16</v>
      </c>
      <c r="U192" s="17">
        <f t="shared" si="19"/>
        <v>6</v>
      </c>
      <c r="W192" s="7">
        <v>0</v>
      </c>
      <c r="X192" s="7">
        <v>0</v>
      </c>
      <c r="Y192" s="7">
        <v>0</v>
      </c>
      <c r="Z192" s="7">
        <v>25</v>
      </c>
      <c r="AA192" s="7">
        <v>64</v>
      </c>
      <c r="AB192" s="13"/>
    </row>
    <row r="193" spans="10:28" ht="15.6" customHeight="1" x14ac:dyDescent="0.3">
      <c r="J193" s="2">
        <v>189</v>
      </c>
      <c r="K193" s="41" t="s">
        <v>30</v>
      </c>
      <c r="L193" s="41" t="s">
        <v>44</v>
      </c>
      <c r="M193" s="41" t="s">
        <v>33</v>
      </c>
      <c r="N193" s="41" t="s">
        <v>33</v>
      </c>
      <c r="O193" s="41" t="s">
        <v>32</v>
      </c>
      <c r="Q193" s="17">
        <f t="shared" si="15"/>
        <v>5</v>
      </c>
      <c r="R193" s="17">
        <f t="shared" si="16"/>
        <v>15</v>
      </c>
      <c r="S193" s="17">
        <f t="shared" si="17"/>
        <v>8</v>
      </c>
      <c r="T193" s="17">
        <f t="shared" si="18"/>
        <v>8</v>
      </c>
      <c r="U193" s="17">
        <f t="shared" si="19"/>
        <v>7</v>
      </c>
      <c r="W193" s="7">
        <v>0</v>
      </c>
      <c r="X193" s="7">
        <v>0</v>
      </c>
      <c r="Y193" s="7">
        <v>0</v>
      </c>
      <c r="Z193" s="7">
        <v>40</v>
      </c>
      <c r="AA193" s="7">
        <v>50</v>
      </c>
      <c r="AB193" s="13"/>
    </row>
    <row r="194" spans="10:28" ht="15.6" customHeight="1" x14ac:dyDescent="0.3">
      <c r="J194" s="2">
        <v>190</v>
      </c>
      <c r="K194" s="41" t="s">
        <v>31</v>
      </c>
      <c r="L194" s="41" t="s">
        <v>31</v>
      </c>
      <c r="M194" s="41" t="s">
        <v>35</v>
      </c>
      <c r="N194" s="41" t="s">
        <v>31</v>
      </c>
      <c r="O194" s="41" t="s">
        <v>33</v>
      </c>
      <c r="Q194" s="17">
        <f t="shared" si="15"/>
        <v>6</v>
      </c>
      <c r="R194" s="17">
        <f t="shared" si="16"/>
        <v>6</v>
      </c>
      <c r="S194" s="17">
        <f t="shared" si="17"/>
        <v>10</v>
      </c>
      <c r="T194" s="17">
        <f t="shared" si="18"/>
        <v>6</v>
      </c>
      <c r="U194" s="17">
        <f t="shared" si="19"/>
        <v>8</v>
      </c>
      <c r="W194" s="7">
        <v>0</v>
      </c>
      <c r="X194" s="7">
        <v>0</v>
      </c>
      <c r="Y194" s="7">
        <v>0</v>
      </c>
      <c r="Z194" s="7">
        <v>33</v>
      </c>
      <c r="AA194" s="7">
        <v>56</v>
      </c>
      <c r="AB194" s="13"/>
    </row>
    <row r="195" spans="10:28" ht="15.6" customHeight="1" x14ac:dyDescent="0.3">
      <c r="J195" s="2">
        <v>191</v>
      </c>
      <c r="K195" s="41" t="s">
        <v>32</v>
      </c>
      <c r="L195" s="41" t="s">
        <v>28</v>
      </c>
      <c r="M195" s="41" t="s">
        <v>36</v>
      </c>
      <c r="N195" s="41" t="s">
        <v>34</v>
      </c>
      <c r="O195" s="41" t="s">
        <v>34</v>
      </c>
      <c r="Q195" s="17">
        <f t="shared" si="15"/>
        <v>7</v>
      </c>
      <c r="R195" s="17">
        <f t="shared" si="16"/>
        <v>3</v>
      </c>
      <c r="S195" s="17">
        <f t="shared" si="17"/>
        <v>11</v>
      </c>
      <c r="T195" s="17">
        <f t="shared" si="18"/>
        <v>9</v>
      </c>
      <c r="U195" s="17">
        <f t="shared" si="19"/>
        <v>9</v>
      </c>
      <c r="W195" s="7">
        <v>0</v>
      </c>
      <c r="X195" s="7">
        <v>0</v>
      </c>
      <c r="Y195" s="7">
        <v>0</v>
      </c>
      <c r="Z195" s="7">
        <v>40</v>
      </c>
      <c r="AA195" s="7">
        <v>65</v>
      </c>
      <c r="AB195" s="13"/>
    </row>
    <row r="196" spans="10:28" ht="15.6" customHeight="1" x14ac:dyDescent="0.3">
      <c r="J196" s="2">
        <v>192</v>
      </c>
      <c r="K196" s="41" t="s">
        <v>33</v>
      </c>
      <c r="L196" s="41" t="s">
        <v>30</v>
      </c>
      <c r="M196" s="41" t="s">
        <v>29</v>
      </c>
      <c r="N196" s="41" t="s">
        <v>34</v>
      </c>
      <c r="O196" s="41" t="s">
        <v>34</v>
      </c>
      <c r="Q196" s="17">
        <f t="shared" ref="Q196:Q259" si="20">IF(K196="","",VLOOKUP(K196,$A$4:$H$22,8,FALSE))</f>
        <v>8</v>
      </c>
      <c r="R196" s="17">
        <f t="shared" ref="R196:R259" si="21">IF(L196="","",VLOOKUP(L196,$A$4:$H$22,8,FALSE))</f>
        <v>5</v>
      </c>
      <c r="S196" s="17">
        <f t="shared" ref="S196:S259" si="22">IF(M196="","",VLOOKUP(M196,$A$4:$H$22,8,FALSE))</f>
        <v>4</v>
      </c>
      <c r="T196" s="17">
        <f t="shared" ref="T196:T259" si="23">IF(N196="","",VLOOKUP(N196,$A$4:$H$22,8,FALSE))</f>
        <v>9</v>
      </c>
      <c r="U196" s="17">
        <f t="shared" ref="U196:U259" si="24">IF(O196="","",VLOOKUP(O196,$A$4:$H$22,8,FALSE))</f>
        <v>9</v>
      </c>
      <c r="W196" s="7">
        <v>0</v>
      </c>
      <c r="X196" s="7">
        <v>0</v>
      </c>
      <c r="Y196" s="7">
        <v>0</v>
      </c>
      <c r="Z196" s="7">
        <v>40</v>
      </c>
      <c r="AA196" s="7">
        <v>65</v>
      </c>
      <c r="AB196" s="13"/>
    </row>
    <row r="197" spans="10:28" ht="15.6" customHeight="1" x14ac:dyDescent="0.3">
      <c r="J197" s="2">
        <v>193</v>
      </c>
      <c r="K197" s="41" t="s">
        <v>34</v>
      </c>
      <c r="L197" s="41" t="s">
        <v>29</v>
      </c>
      <c r="M197" s="41" t="s">
        <v>34</v>
      </c>
      <c r="N197" s="41" t="s">
        <v>33</v>
      </c>
      <c r="O197" s="41" t="s">
        <v>35</v>
      </c>
      <c r="Q197" s="17">
        <f t="shared" si="20"/>
        <v>9</v>
      </c>
      <c r="R197" s="17">
        <f t="shared" si="21"/>
        <v>4</v>
      </c>
      <c r="S197" s="17">
        <f t="shared" si="22"/>
        <v>9</v>
      </c>
      <c r="T197" s="17">
        <f t="shared" si="23"/>
        <v>8</v>
      </c>
      <c r="U197" s="17">
        <f t="shared" si="24"/>
        <v>10</v>
      </c>
      <c r="W197" s="7">
        <v>0</v>
      </c>
      <c r="X197" s="7">
        <v>0</v>
      </c>
      <c r="Y197" s="7">
        <v>0</v>
      </c>
      <c r="Z197" s="7">
        <v>40</v>
      </c>
      <c r="AA197" s="7">
        <v>70</v>
      </c>
      <c r="AB197" s="13"/>
    </row>
    <row r="198" spans="10:28" ht="15.6" customHeight="1" x14ac:dyDescent="0.3">
      <c r="J198" s="2">
        <v>194</v>
      </c>
      <c r="K198" s="41" t="s">
        <v>35</v>
      </c>
      <c r="L198" s="41" t="s">
        <v>33</v>
      </c>
      <c r="M198" s="41" t="s">
        <v>50</v>
      </c>
      <c r="N198" s="41" t="s">
        <v>31</v>
      </c>
      <c r="O198" s="41" t="s">
        <v>31</v>
      </c>
      <c r="Q198" s="17">
        <f t="shared" si="20"/>
        <v>10</v>
      </c>
      <c r="R198" s="17">
        <f t="shared" si="21"/>
        <v>8</v>
      </c>
      <c r="S198" s="17">
        <f t="shared" si="22"/>
        <v>18</v>
      </c>
      <c r="T198" s="17">
        <f t="shared" si="23"/>
        <v>6</v>
      </c>
      <c r="U198" s="17">
        <f t="shared" si="24"/>
        <v>6</v>
      </c>
      <c r="W198" s="7">
        <v>0</v>
      </c>
      <c r="X198" s="7">
        <v>0</v>
      </c>
      <c r="Y198" s="7">
        <v>0</v>
      </c>
      <c r="Z198" s="7">
        <v>33</v>
      </c>
      <c r="AA198" s="7">
        <v>64</v>
      </c>
      <c r="AB198" s="13"/>
    </row>
    <row r="199" spans="10:28" ht="15.6" customHeight="1" x14ac:dyDescent="0.3">
      <c r="J199" s="2">
        <v>195</v>
      </c>
      <c r="K199" s="41" t="s">
        <v>35</v>
      </c>
      <c r="L199" s="41" t="s">
        <v>29</v>
      </c>
      <c r="M199" s="41" t="s">
        <v>34</v>
      </c>
      <c r="N199" s="41" t="s">
        <v>42</v>
      </c>
      <c r="O199" s="41" t="s">
        <v>35</v>
      </c>
      <c r="Q199" s="17">
        <f t="shared" si="20"/>
        <v>10</v>
      </c>
      <c r="R199" s="17">
        <f t="shared" si="21"/>
        <v>4</v>
      </c>
      <c r="S199" s="17">
        <f t="shared" si="22"/>
        <v>9</v>
      </c>
      <c r="T199" s="17">
        <f t="shared" si="23"/>
        <v>14</v>
      </c>
      <c r="U199" s="17">
        <f t="shared" si="24"/>
        <v>10</v>
      </c>
      <c r="W199" s="7">
        <v>0</v>
      </c>
      <c r="X199" s="7">
        <v>0</v>
      </c>
      <c r="Y199" s="7">
        <v>0</v>
      </c>
      <c r="Z199" s="7">
        <v>21</v>
      </c>
      <c r="AA199" s="7">
        <v>69</v>
      </c>
      <c r="AB199" s="13"/>
    </row>
    <row r="200" spans="10:28" ht="15.6" customHeight="1" x14ac:dyDescent="0.3">
      <c r="J200" s="2">
        <v>196</v>
      </c>
      <c r="K200" s="41" t="s">
        <v>33</v>
      </c>
      <c r="L200" s="41" t="s">
        <v>44</v>
      </c>
      <c r="M200" s="41" t="s">
        <v>30</v>
      </c>
      <c r="N200" s="41" t="s">
        <v>31</v>
      </c>
      <c r="O200" s="41" t="s">
        <v>34</v>
      </c>
      <c r="Q200" s="17">
        <f t="shared" si="20"/>
        <v>8</v>
      </c>
      <c r="R200" s="17">
        <f t="shared" si="21"/>
        <v>15</v>
      </c>
      <c r="S200" s="17">
        <f t="shared" si="22"/>
        <v>5</v>
      </c>
      <c r="T200" s="17">
        <f t="shared" si="23"/>
        <v>6</v>
      </c>
      <c r="U200" s="17">
        <f t="shared" si="24"/>
        <v>9</v>
      </c>
      <c r="W200" s="7">
        <v>0</v>
      </c>
      <c r="X200" s="7">
        <v>0</v>
      </c>
      <c r="Y200" s="7">
        <v>0</v>
      </c>
      <c r="Z200" s="7">
        <v>33</v>
      </c>
      <c r="AA200" s="7">
        <v>64</v>
      </c>
      <c r="AB200" s="13"/>
    </row>
    <row r="201" spans="10:28" ht="15.6" customHeight="1" x14ac:dyDescent="0.3">
      <c r="J201" s="2">
        <v>197</v>
      </c>
      <c r="K201" s="41" t="s">
        <v>32</v>
      </c>
      <c r="L201" s="41" t="s">
        <v>32</v>
      </c>
      <c r="M201" s="41" t="s">
        <v>30</v>
      </c>
      <c r="N201" s="41" t="s">
        <v>31</v>
      </c>
      <c r="O201" s="41" t="s">
        <v>34</v>
      </c>
      <c r="Q201" s="17">
        <f t="shared" si="20"/>
        <v>7</v>
      </c>
      <c r="R201" s="17">
        <f t="shared" si="21"/>
        <v>7</v>
      </c>
      <c r="S201" s="17">
        <f t="shared" si="22"/>
        <v>5</v>
      </c>
      <c r="T201" s="17">
        <f t="shared" si="23"/>
        <v>6</v>
      </c>
      <c r="U201" s="17">
        <f t="shared" si="24"/>
        <v>9</v>
      </c>
      <c r="W201" s="7">
        <v>0</v>
      </c>
      <c r="X201" s="7">
        <v>0</v>
      </c>
      <c r="Y201" s="7">
        <v>0</v>
      </c>
      <c r="Z201" s="7">
        <v>32</v>
      </c>
      <c r="AA201" s="7">
        <v>65</v>
      </c>
      <c r="AB201" s="13"/>
    </row>
    <row r="202" spans="10:28" ht="15.6" customHeight="1" x14ac:dyDescent="0.3">
      <c r="J202" s="2">
        <v>198</v>
      </c>
      <c r="K202" s="41" t="s">
        <v>29</v>
      </c>
      <c r="L202" s="41" t="s">
        <v>31</v>
      </c>
      <c r="M202" s="41" t="s">
        <v>31</v>
      </c>
      <c r="N202" s="41" t="s">
        <v>33</v>
      </c>
      <c r="O202" s="41" t="s">
        <v>33</v>
      </c>
      <c r="Q202" s="17">
        <f t="shared" si="20"/>
        <v>4</v>
      </c>
      <c r="R202" s="17">
        <f t="shared" si="21"/>
        <v>6</v>
      </c>
      <c r="S202" s="17">
        <f t="shared" si="22"/>
        <v>6</v>
      </c>
      <c r="T202" s="17">
        <f t="shared" si="23"/>
        <v>8</v>
      </c>
      <c r="U202" s="17">
        <f t="shared" si="24"/>
        <v>8</v>
      </c>
      <c r="W202" s="7">
        <v>0</v>
      </c>
      <c r="X202" s="7">
        <v>0</v>
      </c>
      <c r="Y202" s="7">
        <v>0</v>
      </c>
      <c r="Z202" s="7">
        <v>40</v>
      </c>
      <c r="AA202" s="7">
        <v>55</v>
      </c>
      <c r="AB202" s="13"/>
    </row>
    <row r="203" spans="10:28" ht="15.6" customHeight="1" x14ac:dyDescent="0.3">
      <c r="J203" s="2">
        <v>199</v>
      </c>
      <c r="K203" s="41" t="s">
        <v>30</v>
      </c>
      <c r="L203" s="41" t="s">
        <v>32</v>
      </c>
      <c r="M203" s="41" t="s">
        <v>35</v>
      </c>
      <c r="N203" s="41" t="s">
        <v>31</v>
      </c>
      <c r="O203" s="41" t="s">
        <v>26</v>
      </c>
      <c r="Q203" s="17">
        <f t="shared" si="20"/>
        <v>5</v>
      </c>
      <c r="R203" s="17">
        <f t="shared" si="21"/>
        <v>7</v>
      </c>
      <c r="S203" s="17">
        <f t="shared" si="22"/>
        <v>10</v>
      </c>
      <c r="T203" s="17">
        <f t="shared" si="23"/>
        <v>6</v>
      </c>
      <c r="U203" s="17">
        <f t="shared" si="24"/>
        <v>2</v>
      </c>
      <c r="W203" s="7">
        <v>0</v>
      </c>
      <c r="X203" s="7">
        <v>0</v>
      </c>
      <c r="Y203" s="7">
        <v>0</v>
      </c>
      <c r="Z203" s="7">
        <v>33</v>
      </c>
      <c r="AA203" s="7">
        <v>33</v>
      </c>
      <c r="AB203" s="13"/>
    </row>
    <row r="204" spans="10:28" ht="15.6" customHeight="1" x14ac:dyDescent="0.3">
      <c r="J204" s="13">
        <v>200</v>
      </c>
      <c r="Q204" s="13" t="str">
        <f t="shared" si="20"/>
        <v/>
      </c>
      <c r="R204" s="6" t="str">
        <f t="shared" si="21"/>
        <v/>
      </c>
      <c r="S204" s="6" t="str">
        <f t="shared" si="22"/>
        <v/>
      </c>
      <c r="T204" s="6" t="str">
        <f t="shared" si="23"/>
        <v/>
      </c>
      <c r="U204" s="6" t="str">
        <f t="shared" si="24"/>
        <v/>
      </c>
      <c r="AB204" s="13"/>
    </row>
    <row r="205" spans="10:28" ht="15.6" customHeight="1" x14ac:dyDescent="0.3">
      <c r="J205" s="13">
        <v>201</v>
      </c>
      <c r="Q205" s="13" t="str">
        <f t="shared" si="20"/>
        <v/>
      </c>
      <c r="R205" s="6" t="str">
        <f t="shared" si="21"/>
        <v/>
      </c>
      <c r="S205" s="6" t="str">
        <f t="shared" si="22"/>
        <v/>
      </c>
      <c r="T205" s="6" t="str">
        <f t="shared" si="23"/>
        <v/>
      </c>
      <c r="U205" s="6" t="str">
        <f t="shared" si="24"/>
        <v/>
      </c>
      <c r="AB205" s="13"/>
    </row>
    <row r="206" spans="10:28" ht="15.6" customHeight="1" x14ac:dyDescent="0.3">
      <c r="J206" s="13">
        <v>202</v>
      </c>
      <c r="Q206" s="13" t="str">
        <f t="shared" si="20"/>
        <v/>
      </c>
      <c r="R206" s="6" t="str">
        <f t="shared" si="21"/>
        <v/>
      </c>
      <c r="S206" s="6" t="str">
        <f t="shared" si="22"/>
        <v/>
      </c>
      <c r="T206" s="6" t="str">
        <f t="shared" si="23"/>
        <v/>
      </c>
      <c r="U206" s="6" t="str">
        <f t="shared" si="24"/>
        <v/>
      </c>
      <c r="AB206" s="13"/>
    </row>
    <row r="207" spans="10:28" ht="15.6" customHeight="1" x14ac:dyDescent="0.3">
      <c r="J207" s="13">
        <v>203</v>
      </c>
      <c r="Q207" s="13" t="str">
        <f t="shared" si="20"/>
        <v/>
      </c>
      <c r="R207" s="6" t="str">
        <f t="shared" si="21"/>
        <v/>
      </c>
      <c r="S207" s="6" t="str">
        <f t="shared" si="22"/>
        <v/>
      </c>
      <c r="T207" s="6" t="str">
        <f t="shared" si="23"/>
        <v/>
      </c>
      <c r="U207" s="6" t="str">
        <f t="shared" si="24"/>
        <v/>
      </c>
      <c r="AB207" s="13"/>
    </row>
    <row r="208" spans="10:28" ht="15.6" customHeight="1" x14ac:dyDescent="0.3">
      <c r="J208" s="13">
        <v>204</v>
      </c>
      <c r="Q208" s="13" t="str">
        <f t="shared" si="20"/>
        <v/>
      </c>
      <c r="R208" s="6" t="str">
        <f t="shared" si="21"/>
        <v/>
      </c>
      <c r="S208" s="6" t="str">
        <f t="shared" si="22"/>
        <v/>
      </c>
      <c r="T208" s="6" t="str">
        <f t="shared" si="23"/>
        <v/>
      </c>
      <c r="U208" s="6" t="str">
        <f t="shared" si="24"/>
        <v/>
      </c>
      <c r="AB208" s="13"/>
    </row>
    <row r="209" spans="10:28" ht="15.6" customHeight="1" x14ac:dyDescent="0.3">
      <c r="J209" s="13">
        <v>205</v>
      </c>
      <c r="Q209" s="13" t="str">
        <f t="shared" si="20"/>
        <v/>
      </c>
      <c r="R209" s="6" t="str">
        <f t="shared" si="21"/>
        <v/>
      </c>
      <c r="S209" s="6" t="str">
        <f t="shared" si="22"/>
        <v/>
      </c>
      <c r="T209" s="6" t="str">
        <f t="shared" si="23"/>
        <v/>
      </c>
      <c r="U209" s="6" t="str">
        <f t="shared" si="24"/>
        <v/>
      </c>
      <c r="AB209" s="13"/>
    </row>
    <row r="210" spans="10:28" ht="15.6" customHeight="1" x14ac:dyDescent="0.3">
      <c r="J210" s="13">
        <v>206</v>
      </c>
      <c r="Q210" s="13" t="str">
        <f t="shared" si="20"/>
        <v/>
      </c>
      <c r="R210" s="6" t="str">
        <f t="shared" si="21"/>
        <v/>
      </c>
      <c r="S210" s="6" t="str">
        <f t="shared" si="22"/>
        <v/>
      </c>
      <c r="T210" s="6" t="str">
        <f t="shared" si="23"/>
        <v/>
      </c>
      <c r="U210" s="6" t="str">
        <f t="shared" si="24"/>
        <v/>
      </c>
      <c r="AB210" s="13"/>
    </row>
    <row r="211" spans="10:28" ht="15.6" customHeight="1" x14ac:dyDescent="0.3">
      <c r="J211" s="13">
        <v>207</v>
      </c>
      <c r="Q211" s="13" t="str">
        <f t="shared" si="20"/>
        <v/>
      </c>
      <c r="R211" s="6" t="str">
        <f t="shared" si="21"/>
        <v/>
      </c>
      <c r="S211" s="6" t="str">
        <f t="shared" si="22"/>
        <v/>
      </c>
      <c r="T211" s="6" t="str">
        <f t="shared" si="23"/>
        <v/>
      </c>
      <c r="U211" s="6" t="str">
        <f t="shared" si="24"/>
        <v/>
      </c>
      <c r="AB211" s="13"/>
    </row>
    <row r="212" spans="10:28" ht="15.6" customHeight="1" x14ac:dyDescent="0.3">
      <c r="J212" s="13">
        <v>208</v>
      </c>
      <c r="Q212" s="13" t="str">
        <f t="shared" si="20"/>
        <v/>
      </c>
      <c r="R212" s="6" t="str">
        <f t="shared" si="21"/>
        <v/>
      </c>
      <c r="S212" s="6" t="str">
        <f t="shared" si="22"/>
        <v/>
      </c>
      <c r="T212" s="6" t="str">
        <f t="shared" si="23"/>
        <v/>
      </c>
      <c r="U212" s="6" t="str">
        <f t="shared" si="24"/>
        <v/>
      </c>
      <c r="AB212" s="13"/>
    </row>
    <row r="213" spans="10:28" ht="15.6" customHeight="1" x14ac:dyDescent="0.3">
      <c r="J213" s="13">
        <v>209</v>
      </c>
      <c r="Q213" s="13" t="str">
        <f t="shared" si="20"/>
        <v/>
      </c>
      <c r="R213" s="6" t="str">
        <f t="shared" si="21"/>
        <v/>
      </c>
      <c r="S213" s="6" t="str">
        <f t="shared" si="22"/>
        <v/>
      </c>
      <c r="T213" s="6" t="str">
        <f t="shared" si="23"/>
        <v/>
      </c>
      <c r="U213" s="6" t="str">
        <f t="shared" si="24"/>
        <v/>
      </c>
      <c r="AB213" s="13"/>
    </row>
    <row r="214" spans="10:28" ht="15.6" customHeight="1" x14ac:dyDescent="0.3">
      <c r="J214" s="13">
        <v>210</v>
      </c>
      <c r="Q214" s="13" t="str">
        <f t="shared" si="20"/>
        <v/>
      </c>
      <c r="R214" s="6" t="str">
        <f t="shared" si="21"/>
        <v/>
      </c>
      <c r="S214" s="6" t="str">
        <f t="shared" si="22"/>
        <v/>
      </c>
      <c r="T214" s="6" t="str">
        <f t="shared" si="23"/>
        <v/>
      </c>
      <c r="U214" s="6" t="str">
        <f t="shared" si="24"/>
        <v/>
      </c>
      <c r="AB214" s="13"/>
    </row>
    <row r="215" spans="10:28" ht="15.6" customHeight="1" x14ac:dyDescent="0.3">
      <c r="J215" s="13">
        <v>211</v>
      </c>
      <c r="Q215" s="13" t="str">
        <f t="shared" si="20"/>
        <v/>
      </c>
      <c r="R215" s="6" t="str">
        <f t="shared" si="21"/>
        <v/>
      </c>
      <c r="S215" s="6" t="str">
        <f t="shared" si="22"/>
        <v/>
      </c>
      <c r="T215" s="6" t="str">
        <f t="shared" si="23"/>
        <v/>
      </c>
      <c r="U215" s="6" t="str">
        <f t="shared" si="24"/>
        <v/>
      </c>
      <c r="AB215" s="13"/>
    </row>
    <row r="216" spans="10:28" ht="15.6" customHeight="1" x14ac:dyDescent="0.3">
      <c r="J216" s="13">
        <v>212</v>
      </c>
      <c r="Q216" s="13" t="str">
        <f t="shared" si="20"/>
        <v/>
      </c>
      <c r="R216" s="6" t="str">
        <f t="shared" si="21"/>
        <v/>
      </c>
      <c r="S216" s="6" t="str">
        <f t="shared" si="22"/>
        <v/>
      </c>
      <c r="T216" s="6" t="str">
        <f t="shared" si="23"/>
        <v/>
      </c>
      <c r="U216" s="6" t="str">
        <f t="shared" si="24"/>
        <v/>
      </c>
      <c r="AB216" s="13"/>
    </row>
    <row r="217" spans="10:28" ht="15.6" customHeight="1" x14ac:dyDescent="0.3">
      <c r="J217" s="13">
        <v>213</v>
      </c>
      <c r="Q217" s="13" t="str">
        <f t="shared" si="20"/>
        <v/>
      </c>
      <c r="R217" s="6" t="str">
        <f t="shared" si="21"/>
        <v/>
      </c>
      <c r="S217" s="6" t="str">
        <f t="shared" si="22"/>
        <v/>
      </c>
      <c r="T217" s="6" t="str">
        <f t="shared" si="23"/>
        <v/>
      </c>
      <c r="U217" s="6" t="str">
        <f t="shared" si="24"/>
        <v/>
      </c>
      <c r="AB217" s="13"/>
    </row>
    <row r="218" spans="10:28" ht="15.6" customHeight="1" x14ac:dyDescent="0.3">
      <c r="J218" s="13">
        <v>214</v>
      </c>
      <c r="Q218" s="13" t="str">
        <f t="shared" si="20"/>
        <v/>
      </c>
      <c r="R218" s="6" t="str">
        <f t="shared" si="21"/>
        <v/>
      </c>
      <c r="S218" s="6" t="str">
        <f t="shared" si="22"/>
        <v/>
      </c>
      <c r="T218" s="6" t="str">
        <f t="shared" si="23"/>
        <v/>
      </c>
      <c r="U218" s="6" t="str">
        <f t="shared" si="24"/>
        <v/>
      </c>
      <c r="AB218" s="13"/>
    </row>
    <row r="219" spans="10:28" ht="15.6" customHeight="1" x14ac:dyDescent="0.3">
      <c r="J219" s="13">
        <v>215</v>
      </c>
      <c r="Q219" s="13" t="str">
        <f t="shared" si="20"/>
        <v/>
      </c>
      <c r="R219" s="6" t="str">
        <f t="shared" si="21"/>
        <v/>
      </c>
      <c r="S219" s="6" t="str">
        <f t="shared" si="22"/>
        <v/>
      </c>
      <c r="T219" s="6" t="str">
        <f t="shared" si="23"/>
        <v/>
      </c>
      <c r="U219" s="6" t="str">
        <f t="shared" si="24"/>
        <v/>
      </c>
      <c r="AB219" s="13"/>
    </row>
    <row r="220" spans="10:28" ht="15.6" customHeight="1" x14ac:dyDescent="0.3">
      <c r="J220" s="13">
        <v>216</v>
      </c>
      <c r="Q220" s="13" t="str">
        <f t="shared" si="20"/>
        <v/>
      </c>
      <c r="R220" s="6" t="str">
        <f t="shared" si="21"/>
        <v/>
      </c>
      <c r="S220" s="6" t="str">
        <f t="shared" si="22"/>
        <v/>
      </c>
      <c r="T220" s="6" t="str">
        <f t="shared" si="23"/>
        <v/>
      </c>
      <c r="U220" s="6" t="str">
        <f t="shared" si="24"/>
        <v/>
      </c>
      <c r="AB220" s="13"/>
    </row>
    <row r="221" spans="10:28" ht="15.6" customHeight="1" x14ac:dyDescent="0.3">
      <c r="J221" s="13">
        <v>217</v>
      </c>
      <c r="Q221" s="13" t="str">
        <f t="shared" si="20"/>
        <v/>
      </c>
      <c r="R221" s="6" t="str">
        <f t="shared" si="21"/>
        <v/>
      </c>
      <c r="S221" s="6" t="str">
        <f t="shared" si="22"/>
        <v/>
      </c>
      <c r="T221" s="6" t="str">
        <f t="shared" si="23"/>
        <v/>
      </c>
      <c r="U221" s="6" t="str">
        <f t="shared" si="24"/>
        <v/>
      </c>
      <c r="AB221" s="13"/>
    </row>
    <row r="222" spans="10:28" ht="15.6" customHeight="1" x14ac:dyDescent="0.3">
      <c r="J222" s="13">
        <v>218</v>
      </c>
      <c r="Q222" s="13" t="str">
        <f t="shared" si="20"/>
        <v/>
      </c>
      <c r="R222" s="6" t="str">
        <f t="shared" si="21"/>
        <v/>
      </c>
      <c r="S222" s="6" t="str">
        <f t="shared" si="22"/>
        <v/>
      </c>
      <c r="T222" s="6" t="str">
        <f t="shared" si="23"/>
        <v/>
      </c>
      <c r="U222" s="6" t="str">
        <f t="shared" si="24"/>
        <v/>
      </c>
      <c r="AB222" s="13"/>
    </row>
    <row r="223" spans="10:28" ht="15.6" customHeight="1" x14ac:dyDescent="0.3">
      <c r="J223" s="13">
        <v>219</v>
      </c>
      <c r="Q223" s="13" t="str">
        <f t="shared" si="20"/>
        <v/>
      </c>
      <c r="R223" s="6" t="str">
        <f t="shared" si="21"/>
        <v/>
      </c>
      <c r="S223" s="6" t="str">
        <f t="shared" si="22"/>
        <v/>
      </c>
      <c r="T223" s="6" t="str">
        <f t="shared" si="23"/>
        <v/>
      </c>
      <c r="U223" s="6" t="str">
        <f t="shared" si="24"/>
        <v/>
      </c>
      <c r="AB223" s="13"/>
    </row>
    <row r="224" spans="10:28" ht="15.6" customHeight="1" x14ac:dyDescent="0.3">
      <c r="J224" s="13">
        <v>220</v>
      </c>
      <c r="Q224" s="13" t="str">
        <f t="shared" si="20"/>
        <v/>
      </c>
      <c r="R224" s="6" t="str">
        <f t="shared" si="21"/>
        <v/>
      </c>
      <c r="S224" s="6" t="str">
        <f t="shared" si="22"/>
        <v/>
      </c>
      <c r="T224" s="6" t="str">
        <f t="shared" si="23"/>
        <v/>
      </c>
      <c r="U224" s="6" t="str">
        <f t="shared" si="24"/>
        <v/>
      </c>
      <c r="AB224" s="13"/>
    </row>
    <row r="225" spans="10:28" ht="15.6" customHeight="1" x14ac:dyDescent="0.3">
      <c r="J225" s="13">
        <v>221</v>
      </c>
      <c r="Q225" s="13" t="str">
        <f t="shared" si="20"/>
        <v/>
      </c>
      <c r="R225" s="6" t="str">
        <f t="shared" si="21"/>
        <v/>
      </c>
      <c r="S225" s="6" t="str">
        <f t="shared" si="22"/>
        <v/>
      </c>
      <c r="T225" s="6" t="str">
        <f t="shared" si="23"/>
        <v/>
      </c>
      <c r="U225" s="6" t="str">
        <f t="shared" si="24"/>
        <v/>
      </c>
      <c r="AB225" s="13"/>
    </row>
    <row r="226" spans="10:28" ht="15.6" customHeight="1" x14ac:dyDescent="0.3">
      <c r="J226" s="13">
        <v>222</v>
      </c>
      <c r="Q226" s="13" t="str">
        <f t="shared" si="20"/>
        <v/>
      </c>
      <c r="R226" s="6" t="str">
        <f t="shared" si="21"/>
        <v/>
      </c>
      <c r="S226" s="6" t="str">
        <f t="shared" si="22"/>
        <v/>
      </c>
      <c r="T226" s="6" t="str">
        <f t="shared" si="23"/>
        <v/>
      </c>
      <c r="U226" s="6" t="str">
        <f t="shared" si="24"/>
        <v/>
      </c>
      <c r="AB226" s="13"/>
    </row>
    <row r="227" spans="10:28" ht="15.6" customHeight="1" x14ac:dyDescent="0.3">
      <c r="J227" s="13">
        <v>223</v>
      </c>
      <c r="Q227" s="13" t="str">
        <f t="shared" si="20"/>
        <v/>
      </c>
      <c r="R227" s="6" t="str">
        <f t="shared" si="21"/>
        <v/>
      </c>
      <c r="S227" s="6" t="str">
        <f t="shared" si="22"/>
        <v/>
      </c>
      <c r="T227" s="6" t="str">
        <f t="shared" si="23"/>
        <v/>
      </c>
      <c r="U227" s="6" t="str">
        <f t="shared" si="24"/>
        <v/>
      </c>
      <c r="AB227" s="13"/>
    </row>
    <row r="228" spans="10:28" ht="15.6" customHeight="1" x14ac:dyDescent="0.3">
      <c r="J228" s="13">
        <v>224</v>
      </c>
      <c r="Q228" s="13" t="str">
        <f t="shared" si="20"/>
        <v/>
      </c>
      <c r="R228" s="6" t="str">
        <f t="shared" si="21"/>
        <v/>
      </c>
      <c r="S228" s="6" t="str">
        <f t="shared" si="22"/>
        <v/>
      </c>
      <c r="T228" s="6" t="str">
        <f t="shared" si="23"/>
        <v/>
      </c>
      <c r="U228" s="6" t="str">
        <f t="shared" si="24"/>
        <v/>
      </c>
      <c r="AB228" s="13"/>
    </row>
    <row r="229" spans="10:28" ht="15.6" customHeight="1" x14ac:dyDescent="0.3">
      <c r="J229" s="13">
        <v>225</v>
      </c>
      <c r="Q229" s="13" t="str">
        <f t="shared" si="20"/>
        <v/>
      </c>
      <c r="R229" s="6" t="str">
        <f t="shared" si="21"/>
        <v/>
      </c>
      <c r="S229" s="6" t="str">
        <f t="shared" si="22"/>
        <v/>
      </c>
      <c r="T229" s="6" t="str">
        <f t="shared" si="23"/>
        <v/>
      </c>
      <c r="U229" s="6" t="str">
        <f t="shared" si="24"/>
        <v/>
      </c>
      <c r="AB229" s="13"/>
    </row>
    <row r="230" spans="10:28" ht="15.6" customHeight="1" x14ac:dyDescent="0.3">
      <c r="J230" s="13">
        <v>226</v>
      </c>
      <c r="Q230" s="13" t="str">
        <f t="shared" si="20"/>
        <v/>
      </c>
      <c r="R230" s="6" t="str">
        <f t="shared" si="21"/>
        <v/>
      </c>
      <c r="S230" s="6" t="str">
        <f t="shared" si="22"/>
        <v/>
      </c>
      <c r="T230" s="6" t="str">
        <f t="shared" si="23"/>
        <v/>
      </c>
      <c r="U230" s="6" t="str">
        <f t="shared" si="24"/>
        <v/>
      </c>
      <c r="AB230" s="13"/>
    </row>
    <row r="231" spans="10:28" ht="15.6" customHeight="1" x14ac:dyDescent="0.3">
      <c r="J231" s="13">
        <v>227</v>
      </c>
      <c r="Q231" s="13" t="str">
        <f t="shared" si="20"/>
        <v/>
      </c>
      <c r="R231" s="6" t="str">
        <f t="shared" si="21"/>
        <v/>
      </c>
      <c r="S231" s="6" t="str">
        <f t="shared" si="22"/>
        <v/>
      </c>
      <c r="T231" s="6" t="str">
        <f t="shared" si="23"/>
        <v/>
      </c>
      <c r="U231" s="6" t="str">
        <f t="shared" si="24"/>
        <v/>
      </c>
      <c r="AB231" s="13"/>
    </row>
    <row r="232" spans="10:28" ht="15.6" customHeight="1" x14ac:dyDescent="0.3">
      <c r="J232" s="13">
        <v>228</v>
      </c>
      <c r="Q232" s="13" t="str">
        <f t="shared" si="20"/>
        <v/>
      </c>
      <c r="R232" s="6" t="str">
        <f t="shared" si="21"/>
        <v/>
      </c>
      <c r="S232" s="6" t="str">
        <f t="shared" si="22"/>
        <v/>
      </c>
      <c r="T232" s="6" t="str">
        <f t="shared" si="23"/>
        <v/>
      </c>
      <c r="U232" s="6" t="str">
        <f t="shared" si="24"/>
        <v/>
      </c>
      <c r="AB232" s="13"/>
    </row>
    <row r="233" spans="10:28" ht="15.6" customHeight="1" x14ac:dyDescent="0.3">
      <c r="J233" s="13">
        <v>229</v>
      </c>
      <c r="Q233" s="13" t="str">
        <f t="shared" si="20"/>
        <v/>
      </c>
      <c r="R233" s="6" t="str">
        <f t="shared" si="21"/>
        <v/>
      </c>
      <c r="S233" s="6" t="str">
        <f t="shared" si="22"/>
        <v/>
      </c>
      <c r="T233" s="6" t="str">
        <f t="shared" si="23"/>
        <v/>
      </c>
      <c r="U233" s="6" t="str">
        <f t="shared" si="24"/>
        <v/>
      </c>
      <c r="AB233" s="13"/>
    </row>
    <row r="234" spans="10:28" ht="15.6" customHeight="1" x14ac:dyDescent="0.3">
      <c r="J234" s="13">
        <v>230</v>
      </c>
      <c r="Q234" s="13" t="str">
        <f t="shared" si="20"/>
        <v/>
      </c>
      <c r="R234" s="6" t="str">
        <f t="shared" si="21"/>
        <v/>
      </c>
      <c r="S234" s="6" t="str">
        <f t="shared" si="22"/>
        <v/>
      </c>
      <c r="T234" s="6" t="str">
        <f t="shared" si="23"/>
        <v/>
      </c>
      <c r="U234" s="6" t="str">
        <f t="shared" si="24"/>
        <v/>
      </c>
      <c r="AB234" s="13"/>
    </row>
    <row r="235" spans="10:28" ht="15.6" customHeight="1" x14ac:dyDescent="0.3">
      <c r="J235" s="13">
        <v>231</v>
      </c>
      <c r="Q235" s="13" t="str">
        <f t="shared" si="20"/>
        <v/>
      </c>
      <c r="R235" s="6" t="str">
        <f t="shared" si="21"/>
        <v/>
      </c>
      <c r="S235" s="6" t="str">
        <f t="shared" si="22"/>
        <v/>
      </c>
      <c r="T235" s="6" t="str">
        <f t="shared" si="23"/>
        <v/>
      </c>
      <c r="U235" s="6" t="str">
        <f t="shared" si="24"/>
        <v/>
      </c>
      <c r="AB235" s="13"/>
    </row>
    <row r="236" spans="10:28" ht="15.6" customHeight="1" x14ac:dyDescent="0.3">
      <c r="J236" s="13">
        <v>232</v>
      </c>
      <c r="Q236" s="13" t="str">
        <f t="shared" si="20"/>
        <v/>
      </c>
      <c r="R236" s="6" t="str">
        <f t="shared" si="21"/>
        <v/>
      </c>
      <c r="S236" s="6" t="str">
        <f t="shared" si="22"/>
        <v/>
      </c>
      <c r="T236" s="6" t="str">
        <f t="shared" si="23"/>
        <v/>
      </c>
      <c r="U236" s="6" t="str">
        <f t="shared" si="24"/>
        <v/>
      </c>
      <c r="AB236" s="13"/>
    </row>
    <row r="237" spans="10:28" ht="15.6" customHeight="1" x14ac:dyDescent="0.3">
      <c r="J237" s="13">
        <v>233</v>
      </c>
      <c r="Q237" s="13" t="str">
        <f t="shared" si="20"/>
        <v/>
      </c>
      <c r="R237" s="6" t="str">
        <f t="shared" si="21"/>
        <v/>
      </c>
      <c r="S237" s="6" t="str">
        <f t="shared" si="22"/>
        <v/>
      </c>
      <c r="T237" s="6" t="str">
        <f t="shared" si="23"/>
        <v/>
      </c>
      <c r="U237" s="6" t="str">
        <f t="shared" si="24"/>
        <v/>
      </c>
      <c r="AB237" s="13"/>
    </row>
    <row r="238" spans="10:28" ht="15.6" customHeight="1" x14ac:dyDescent="0.3">
      <c r="J238" s="13">
        <v>234</v>
      </c>
      <c r="Q238" s="13" t="str">
        <f t="shared" si="20"/>
        <v/>
      </c>
      <c r="R238" s="6" t="str">
        <f t="shared" si="21"/>
        <v/>
      </c>
      <c r="S238" s="6" t="str">
        <f t="shared" si="22"/>
        <v/>
      </c>
      <c r="T238" s="6" t="str">
        <f t="shared" si="23"/>
        <v/>
      </c>
      <c r="U238" s="6" t="str">
        <f t="shared" si="24"/>
        <v/>
      </c>
      <c r="AB238" s="13"/>
    </row>
    <row r="239" spans="10:28" ht="15.6" customHeight="1" x14ac:dyDescent="0.3">
      <c r="J239" s="13">
        <v>235</v>
      </c>
      <c r="Q239" s="13" t="str">
        <f t="shared" si="20"/>
        <v/>
      </c>
      <c r="R239" s="6" t="str">
        <f t="shared" si="21"/>
        <v/>
      </c>
      <c r="S239" s="6" t="str">
        <f t="shared" si="22"/>
        <v/>
      </c>
      <c r="T239" s="6" t="str">
        <f t="shared" si="23"/>
        <v/>
      </c>
      <c r="U239" s="6" t="str">
        <f t="shared" si="24"/>
        <v/>
      </c>
      <c r="AB239" s="13"/>
    </row>
    <row r="240" spans="10:28" ht="15.6" customHeight="1" x14ac:dyDescent="0.3">
      <c r="J240" s="13">
        <v>236</v>
      </c>
      <c r="Q240" s="13" t="str">
        <f t="shared" si="20"/>
        <v/>
      </c>
      <c r="R240" s="6" t="str">
        <f t="shared" si="21"/>
        <v/>
      </c>
      <c r="S240" s="6" t="str">
        <f t="shared" si="22"/>
        <v/>
      </c>
      <c r="T240" s="6" t="str">
        <f t="shared" si="23"/>
        <v/>
      </c>
      <c r="U240" s="6" t="str">
        <f t="shared" si="24"/>
        <v/>
      </c>
      <c r="AB240" s="13"/>
    </row>
    <row r="241" spans="10:28" ht="15.6" customHeight="1" x14ac:dyDescent="0.3">
      <c r="J241" s="13">
        <v>237</v>
      </c>
      <c r="Q241" s="13" t="str">
        <f t="shared" si="20"/>
        <v/>
      </c>
      <c r="R241" s="6" t="str">
        <f t="shared" si="21"/>
        <v/>
      </c>
      <c r="S241" s="6" t="str">
        <f t="shared" si="22"/>
        <v/>
      </c>
      <c r="T241" s="6" t="str">
        <f t="shared" si="23"/>
        <v/>
      </c>
      <c r="U241" s="6" t="str">
        <f t="shared" si="24"/>
        <v/>
      </c>
      <c r="AB241" s="13"/>
    </row>
    <row r="242" spans="10:28" ht="15.6" customHeight="1" x14ac:dyDescent="0.3">
      <c r="J242" s="13">
        <v>238</v>
      </c>
      <c r="Q242" s="13" t="str">
        <f t="shared" si="20"/>
        <v/>
      </c>
      <c r="R242" s="6" t="str">
        <f t="shared" si="21"/>
        <v/>
      </c>
      <c r="S242" s="6" t="str">
        <f t="shared" si="22"/>
        <v/>
      </c>
      <c r="T242" s="6" t="str">
        <f t="shared" si="23"/>
        <v/>
      </c>
      <c r="U242" s="6" t="str">
        <f t="shared" si="24"/>
        <v/>
      </c>
      <c r="AB242" s="13"/>
    </row>
    <row r="243" spans="10:28" ht="15.6" customHeight="1" x14ac:dyDescent="0.3">
      <c r="J243" s="13">
        <v>239</v>
      </c>
      <c r="Q243" s="13" t="str">
        <f t="shared" si="20"/>
        <v/>
      </c>
      <c r="R243" s="6" t="str">
        <f t="shared" si="21"/>
        <v/>
      </c>
      <c r="S243" s="6" t="str">
        <f t="shared" si="22"/>
        <v/>
      </c>
      <c r="T243" s="6" t="str">
        <f t="shared" si="23"/>
        <v/>
      </c>
      <c r="U243" s="6" t="str">
        <f t="shared" si="24"/>
        <v/>
      </c>
      <c r="AB243" s="13"/>
    </row>
    <row r="244" spans="10:28" ht="15.6" customHeight="1" x14ac:dyDescent="0.3">
      <c r="J244" s="13">
        <v>240</v>
      </c>
      <c r="Q244" s="13" t="str">
        <f t="shared" si="20"/>
        <v/>
      </c>
      <c r="R244" s="6" t="str">
        <f t="shared" si="21"/>
        <v/>
      </c>
      <c r="S244" s="6" t="str">
        <f t="shared" si="22"/>
        <v/>
      </c>
      <c r="T244" s="6" t="str">
        <f t="shared" si="23"/>
        <v/>
      </c>
      <c r="U244" s="6" t="str">
        <f t="shared" si="24"/>
        <v/>
      </c>
      <c r="AB244" s="13"/>
    </row>
    <row r="245" spans="10:28" ht="15.6" customHeight="1" x14ac:dyDescent="0.3">
      <c r="J245" s="13">
        <v>241</v>
      </c>
      <c r="Q245" s="13" t="str">
        <f t="shared" si="20"/>
        <v/>
      </c>
      <c r="R245" s="6" t="str">
        <f t="shared" si="21"/>
        <v/>
      </c>
      <c r="S245" s="6" t="str">
        <f t="shared" si="22"/>
        <v/>
      </c>
      <c r="T245" s="6" t="str">
        <f t="shared" si="23"/>
        <v/>
      </c>
      <c r="U245" s="6" t="str">
        <f t="shared" si="24"/>
        <v/>
      </c>
      <c r="AB245" s="13"/>
    </row>
    <row r="246" spans="10:28" ht="15.6" customHeight="1" x14ac:dyDescent="0.3">
      <c r="J246" s="13">
        <v>242</v>
      </c>
      <c r="Q246" s="13" t="str">
        <f t="shared" si="20"/>
        <v/>
      </c>
      <c r="R246" s="6" t="str">
        <f t="shared" si="21"/>
        <v/>
      </c>
      <c r="S246" s="6" t="str">
        <f t="shared" si="22"/>
        <v/>
      </c>
      <c r="T246" s="6" t="str">
        <f t="shared" si="23"/>
        <v/>
      </c>
      <c r="U246" s="6" t="str">
        <f t="shared" si="24"/>
        <v/>
      </c>
      <c r="AB246" s="13"/>
    </row>
    <row r="247" spans="10:28" ht="15.6" customHeight="1" x14ac:dyDescent="0.3">
      <c r="J247" s="13">
        <v>243</v>
      </c>
      <c r="Q247" s="13" t="str">
        <f t="shared" si="20"/>
        <v/>
      </c>
      <c r="R247" s="6" t="str">
        <f t="shared" si="21"/>
        <v/>
      </c>
      <c r="S247" s="6" t="str">
        <f t="shared" si="22"/>
        <v/>
      </c>
      <c r="T247" s="6" t="str">
        <f t="shared" si="23"/>
        <v/>
      </c>
      <c r="U247" s="6" t="str">
        <f t="shared" si="24"/>
        <v/>
      </c>
      <c r="AB247" s="13"/>
    </row>
    <row r="248" spans="10:28" ht="15.6" customHeight="1" x14ac:dyDescent="0.3">
      <c r="J248" s="13">
        <v>244</v>
      </c>
      <c r="Q248" s="13" t="str">
        <f t="shared" si="20"/>
        <v/>
      </c>
      <c r="R248" s="6" t="str">
        <f t="shared" si="21"/>
        <v/>
      </c>
      <c r="S248" s="6" t="str">
        <f t="shared" si="22"/>
        <v/>
      </c>
      <c r="T248" s="6" t="str">
        <f t="shared" si="23"/>
        <v/>
      </c>
      <c r="U248" s="6" t="str">
        <f t="shared" si="24"/>
        <v/>
      </c>
      <c r="AB248" s="13"/>
    </row>
    <row r="249" spans="10:28" ht="15.6" customHeight="1" x14ac:dyDescent="0.3">
      <c r="J249" s="13">
        <v>245</v>
      </c>
      <c r="Q249" s="13" t="str">
        <f t="shared" si="20"/>
        <v/>
      </c>
      <c r="R249" s="6" t="str">
        <f t="shared" si="21"/>
        <v/>
      </c>
      <c r="S249" s="6" t="str">
        <f t="shared" si="22"/>
        <v/>
      </c>
      <c r="T249" s="6" t="str">
        <f t="shared" si="23"/>
        <v/>
      </c>
      <c r="U249" s="6" t="str">
        <f t="shared" si="24"/>
        <v/>
      </c>
      <c r="AB249" s="13"/>
    </row>
    <row r="250" spans="10:28" ht="15.6" customHeight="1" x14ac:dyDescent="0.3">
      <c r="J250" s="13">
        <v>246</v>
      </c>
      <c r="Q250" s="13" t="str">
        <f t="shared" si="20"/>
        <v/>
      </c>
      <c r="R250" s="6" t="str">
        <f t="shared" si="21"/>
        <v/>
      </c>
      <c r="S250" s="6" t="str">
        <f t="shared" si="22"/>
        <v/>
      </c>
      <c r="T250" s="6" t="str">
        <f t="shared" si="23"/>
        <v/>
      </c>
      <c r="U250" s="6" t="str">
        <f t="shared" si="24"/>
        <v/>
      </c>
      <c r="AB250" s="13"/>
    </row>
    <row r="251" spans="10:28" ht="15.6" customHeight="1" x14ac:dyDescent="0.3">
      <c r="J251" s="13">
        <v>247</v>
      </c>
      <c r="Q251" s="13" t="str">
        <f t="shared" si="20"/>
        <v/>
      </c>
      <c r="R251" s="6" t="str">
        <f t="shared" si="21"/>
        <v/>
      </c>
      <c r="S251" s="6" t="str">
        <f t="shared" si="22"/>
        <v/>
      </c>
      <c r="T251" s="6" t="str">
        <f t="shared" si="23"/>
        <v/>
      </c>
      <c r="U251" s="6" t="str">
        <f t="shared" si="24"/>
        <v/>
      </c>
      <c r="AB251" s="13"/>
    </row>
    <row r="252" spans="10:28" ht="15.6" customHeight="1" x14ac:dyDescent="0.3">
      <c r="J252" s="13">
        <v>248</v>
      </c>
      <c r="Q252" s="13" t="str">
        <f t="shared" si="20"/>
        <v/>
      </c>
      <c r="R252" s="6" t="str">
        <f t="shared" si="21"/>
        <v/>
      </c>
      <c r="S252" s="6" t="str">
        <f t="shared" si="22"/>
        <v/>
      </c>
      <c r="T252" s="6" t="str">
        <f t="shared" si="23"/>
        <v/>
      </c>
      <c r="U252" s="6" t="str">
        <f t="shared" si="24"/>
        <v/>
      </c>
      <c r="AB252" s="13"/>
    </row>
    <row r="253" spans="10:28" ht="15.6" customHeight="1" x14ac:dyDescent="0.3">
      <c r="J253" s="13">
        <v>249</v>
      </c>
      <c r="Q253" s="13" t="str">
        <f t="shared" si="20"/>
        <v/>
      </c>
      <c r="R253" s="6" t="str">
        <f t="shared" si="21"/>
        <v/>
      </c>
      <c r="S253" s="6" t="str">
        <f t="shared" si="22"/>
        <v/>
      </c>
      <c r="T253" s="6" t="str">
        <f t="shared" si="23"/>
        <v/>
      </c>
      <c r="U253" s="6" t="str">
        <f t="shared" si="24"/>
        <v/>
      </c>
      <c r="AB253" s="13"/>
    </row>
    <row r="254" spans="10:28" ht="15.6" customHeight="1" x14ac:dyDescent="0.3">
      <c r="J254" s="13">
        <v>250</v>
      </c>
      <c r="Q254" s="13" t="str">
        <f t="shared" si="20"/>
        <v/>
      </c>
      <c r="R254" s="6" t="str">
        <f t="shared" si="21"/>
        <v/>
      </c>
      <c r="S254" s="6" t="str">
        <f t="shared" si="22"/>
        <v/>
      </c>
      <c r="T254" s="6" t="str">
        <f t="shared" si="23"/>
        <v/>
      </c>
      <c r="U254" s="6" t="str">
        <f t="shared" si="24"/>
        <v/>
      </c>
      <c r="AB254" s="13"/>
    </row>
    <row r="255" spans="10:28" ht="15.6" customHeight="1" x14ac:dyDescent="0.3">
      <c r="J255" s="13">
        <v>251</v>
      </c>
      <c r="Q255" s="13" t="str">
        <f t="shared" si="20"/>
        <v/>
      </c>
      <c r="R255" s="6" t="str">
        <f t="shared" si="21"/>
        <v/>
      </c>
      <c r="S255" s="6" t="str">
        <f t="shared" si="22"/>
        <v/>
      </c>
      <c r="T255" s="6" t="str">
        <f t="shared" si="23"/>
        <v/>
      </c>
      <c r="U255" s="6" t="str">
        <f t="shared" si="24"/>
        <v/>
      </c>
      <c r="AB255" s="13"/>
    </row>
    <row r="256" spans="10:28" ht="15.6" customHeight="1" x14ac:dyDescent="0.3">
      <c r="J256" s="13">
        <v>252</v>
      </c>
      <c r="Q256" s="13" t="str">
        <f t="shared" si="20"/>
        <v/>
      </c>
      <c r="R256" s="6" t="str">
        <f t="shared" si="21"/>
        <v/>
      </c>
      <c r="S256" s="6" t="str">
        <f t="shared" si="22"/>
        <v/>
      </c>
      <c r="T256" s="6" t="str">
        <f t="shared" si="23"/>
        <v/>
      </c>
      <c r="U256" s="6" t="str">
        <f t="shared" si="24"/>
        <v/>
      </c>
      <c r="AB256" s="13"/>
    </row>
    <row r="257" spans="10:28" ht="15.6" customHeight="1" x14ac:dyDescent="0.3">
      <c r="J257" s="13">
        <v>253</v>
      </c>
      <c r="Q257" s="13" t="str">
        <f t="shared" si="20"/>
        <v/>
      </c>
      <c r="R257" s="6" t="str">
        <f t="shared" si="21"/>
        <v/>
      </c>
      <c r="S257" s="6" t="str">
        <f t="shared" si="22"/>
        <v/>
      </c>
      <c r="T257" s="6" t="str">
        <f t="shared" si="23"/>
        <v/>
      </c>
      <c r="U257" s="6" t="str">
        <f t="shared" si="24"/>
        <v/>
      </c>
      <c r="AB257" s="13"/>
    </row>
    <row r="258" spans="10:28" ht="15.6" customHeight="1" x14ac:dyDescent="0.3">
      <c r="J258" s="13">
        <v>254</v>
      </c>
      <c r="Q258" s="13" t="str">
        <f t="shared" si="20"/>
        <v/>
      </c>
      <c r="R258" s="6" t="str">
        <f t="shared" si="21"/>
        <v/>
      </c>
      <c r="S258" s="6" t="str">
        <f t="shared" si="22"/>
        <v/>
      </c>
      <c r="T258" s="6" t="str">
        <f t="shared" si="23"/>
        <v/>
      </c>
      <c r="U258" s="6" t="str">
        <f t="shared" si="24"/>
        <v/>
      </c>
      <c r="AB258" s="13"/>
    </row>
    <row r="259" spans="10:28" ht="15.6" customHeight="1" x14ac:dyDescent="0.3">
      <c r="J259" s="13">
        <v>255</v>
      </c>
      <c r="Q259" s="13" t="str">
        <f t="shared" si="20"/>
        <v/>
      </c>
      <c r="R259" s="6" t="str">
        <f t="shared" si="21"/>
        <v/>
      </c>
      <c r="S259" s="6" t="str">
        <f t="shared" si="22"/>
        <v/>
      </c>
      <c r="T259" s="6" t="str">
        <f t="shared" si="23"/>
        <v/>
      </c>
      <c r="U259" s="6" t="str">
        <f t="shared" si="24"/>
        <v/>
      </c>
      <c r="AB259" s="13"/>
    </row>
    <row r="260" spans="10:28" ht="15.6" customHeight="1" x14ac:dyDescent="0.3">
      <c r="J260" s="13">
        <v>256</v>
      </c>
      <c r="Q260" s="13" t="str">
        <f t="shared" ref="Q260:Q323" si="25">IF(K260="","",VLOOKUP(K260,$A$4:$H$22,8,FALSE))</f>
        <v/>
      </c>
      <c r="R260" s="6" t="str">
        <f t="shared" ref="R260:R323" si="26">IF(L260="","",VLOOKUP(L260,$A$4:$H$22,8,FALSE))</f>
        <v/>
      </c>
      <c r="S260" s="6" t="str">
        <f t="shared" ref="S260:S323" si="27">IF(M260="","",VLOOKUP(M260,$A$4:$H$22,8,FALSE))</f>
        <v/>
      </c>
      <c r="T260" s="6" t="str">
        <f t="shared" ref="T260:T323" si="28">IF(N260="","",VLOOKUP(N260,$A$4:$H$22,8,FALSE))</f>
        <v/>
      </c>
      <c r="U260" s="6" t="str">
        <f t="shared" ref="U260:U323" si="29">IF(O260="","",VLOOKUP(O260,$A$4:$H$22,8,FALSE))</f>
        <v/>
      </c>
      <c r="AB260" s="13"/>
    </row>
    <row r="261" spans="10:28" ht="15.6" customHeight="1" x14ac:dyDescent="0.3">
      <c r="J261" s="13">
        <v>257</v>
      </c>
      <c r="Q261" s="13" t="str">
        <f t="shared" si="25"/>
        <v/>
      </c>
      <c r="R261" s="6" t="str">
        <f t="shared" si="26"/>
        <v/>
      </c>
      <c r="S261" s="6" t="str">
        <f t="shared" si="27"/>
        <v/>
      </c>
      <c r="T261" s="6" t="str">
        <f t="shared" si="28"/>
        <v/>
      </c>
      <c r="U261" s="6" t="str">
        <f t="shared" si="29"/>
        <v/>
      </c>
      <c r="AB261" s="13"/>
    </row>
    <row r="262" spans="10:28" ht="15.6" customHeight="1" x14ac:dyDescent="0.3">
      <c r="J262" s="13">
        <v>258</v>
      </c>
      <c r="Q262" s="13" t="str">
        <f t="shared" si="25"/>
        <v/>
      </c>
      <c r="R262" s="6" t="str">
        <f t="shared" si="26"/>
        <v/>
      </c>
      <c r="S262" s="6" t="str">
        <f t="shared" si="27"/>
        <v/>
      </c>
      <c r="T262" s="6" t="str">
        <f t="shared" si="28"/>
        <v/>
      </c>
      <c r="U262" s="6" t="str">
        <f t="shared" si="29"/>
        <v/>
      </c>
      <c r="AB262" s="13"/>
    </row>
    <row r="263" spans="10:28" ht="15.6" customHeight="1" x14ac:dyDescent="0.3">
      <c r="J263" s="13">
        <v>259</v>
      </c>
      <c r="Q263" s="13" t="str">
        <f t="shared" si="25"/>
        <v/>
      </c>
      <c r="R263" s="6" t="str">
        <f t="shared" si="26"/>
        <v/>
      </c>
      <c r="S263" s="6" t="str">
        <f t="shared" si="27"/>
        <v/>
      </c>
      <c r="T263" s="6" t="str">
        <f t="shared" si="28"/>
        <v/>
      </c>
      <c r="U263" s="6" t="str">
        <f t="shared" si="29"/>
        <v/>
      </c>
      <c r="AB263" s="13"/>
    </row>
    <row r="264" spans="10:28" ht="15.6" customHeight="1" x14ac:dyDescent="0.3">
      <c r="J264" s="13">
        <v>260</v>
      </c>
      <c r="Q264" s="13" t="str">
        <f t="shared" si="25"/>
        <v/>
      </c>
      <c r="R264" s="6" t="str">
        <f t="shared" si="26"/>
        <v/>
      </c>
      <c r="S264" s="6" t="str">
        <f t="shared" si="27"/>
        <v/>
      </c>
      <c r="T264" s="6" t="str">
        <f t="shared" si="28"/>
        <v/>
      </c>
      <c r="U264" s="6" t="str">
        <f t="shared" si="29"/>
        <v/>
      </c>
      <c r="AB264" s="13"/>
    </row>
    <row r="265" spans="10:28" ht="15.6" customHeight="1" x14ac:dyDescent="0.3">
      <c r="J265" s="13">
        <v>261</v>
      </c>
      <c r="Q265" s="13" t="str">
        <f t="shared" si="25"/>
        <v/>
      </c>
      <c r="R265" s="6" t="str">
        <f t="shared" si="26"/>
        <v/>
      </c>
      <c r="S265" s="6" t="str">
        <f t="shared" si="27"/>
        <v/>
      </c>
      <c r="T265" s="6" t="str">
        <f t="shared" si="28"/>
        <v/>
      </c>
      <c r="U265" s="6" t="str">
        <f t="shared" si="29"/>
        <v/>
      </c>
      <c r="AB265" s="13"/>
    </row>
    <row r="266" spans="10:28" ht="15.6" customHeight="1" x14ac:dyDescent="0.3">
      <c r="J266" s="13">
        <v>262</v>
      </c>
      <c r="Q266" s="13" t="str">
        <f t="shared" si="25"/>
        <v/>
      </c>
      <c r="R266" s="6" t="str">
        <f t="shared" si="26"/>
        <v/>
      </c>
      <c r="S266" s="6" t="str">
        <f t="shared" si="27"/>
        <v/>
      </c>
      <c r="T266" s="6" t="str">
        <f t="shared" si="28"/>
        <v/>
      </c>
      <c r="U266" s="6" t="str">
        <f t="shared" si="29"/>
        <v/>
      </c>
      <c r="AB266" s="13"/>
    </row>
    <row r="267" spans="10:28" ht="15.6" customHeight="1" x14ac:dyDescent="0.3">
      <c r="J267" s="13">
        <v>263</v>
      </c>
      <c r="Q267" s="13" t="str">
        <f t="shared" si="25"/>
        <v/>
      </c>
      <c r="R267" s="6" t="str">
        <f t="shared" si="26"/>
        <v/>
      </c>
      <c r="S267" s="6" t="str">
        <f t="shared" si="27"/>
        <v/>
      </c>
      <c r="T267" s="6" t="str">
        <f t="shared" si="28"/>
        <v/>
      </c>
      <c r="U267" s="6" t="str">
        <f t="shared" si="29"/>
        <v/>
      </c>
      <c r="AB267" s="13"/>
    </row>
    <row r="268" spans="10:28" ht="15.6" customHeight="1" x14ac:dyDescent="0.3">
      <c r="J268" s="13">
        <v>264</v>
      </c>
      <c r="Q268" s="13" t="str">
        <f t="shared" si="25"/>
        <v/>
      </c>
      <c r="R268" s="6" t="str">
        <f t="shared" si="26"/>
        <v/>
      </c>
      <c r="S268" s="6" t="str">
        <f t="shared" si="27"/>
        <v/>
      </c>
      <c r="T268" s="6" t="str">
        <f t="shared" si="28"/>
        <v/>
      </c>
      <c r="U268" s="6" t="str">
        <f t="shared" si="29"/>
        <v/>
      </c>
      <c r="AB268" s="13"/>
    </row>
    <row r="269" spans="10:28" ht="15.6" customHeight="1" x14ac:dyDescent="0.3">
      <c r="J269" s="13">
        <v>265</v>
      </c>
      <c r="Q269" s="13" t="str">
        <f t="shared" si="25"/>
        <v/>
      </c>
      <c r="R269" s="6" t="str">
        <f t="shared" si="26"/>
        <v/>
      </c>
      <c r="S269" s="6" t="str">
        <f t="shared" si="27"/>
        <v/>
      </c>
      <c r="T269" s="6" t="str">
        <f t="shared" si="28"/>
        <v/>
      </c>
      <c r="U269" s="6" t="str">
        <f t="shared" si="29"/>
        <v/>
      </c>
      <c r="AB269" s="13"/>
    </row>
    <row r="270" spans="10:28" ht="15.6" customHeight="1" x14ac:dyDescent="0.3">
      <c r="J270" s="13">
        <v>266</v>
      </c>
      <c r="Q270" s="13" t="str">
        <f t="shared" si="25"/>
        <v/>
      </c>
      <c r="R270" s="6" t="str">
        <f t="shared" si="26"/>
        <v/>
      </c>
      <c r="S270" s="6" t="str">
        <f t="shared" si="27"/>
        <v/>
      </c>
      <c r="T270" s="6" t="str">
        <f t="shared" si="28"/>
        <v/>
      </c>
      <c r="U270" s="6" t="str">
        <f t="shared" si="29"/>
        <v/>
      </c>
      <c r="AB270" s="13"/>
    </row>
    <row r="271" spans="10:28" ht="15.6" customHeight="1" x14ac:dyDescent="0.3">
      <c r="J271" s="13">
        <v>267</v>
      </c>
      <c r="Q271" s="13" t="str">
        <f t="shared" si="25"/>
        <v/>
      </c>
      <c r="R271" s="6" t="str">
        <f t="shared" si="26"/>
        <v/>
      </c>
      <c r="S271" s="6" t="str">
        <f t="shared" si="27"/>
        <v/>
      </c>
      <c r="T271" s="6" t="str">
        <f t="shared" si="28"/>
        <v/>
      </c>
      <c r="U271" s="6" t="str">
        <f t="shared" si="29"/>
        <v/>
      </c>
      <c r="AB271" s="13"/>
    </row>
    <row r="272" spans="10:28" ht="15.6" customHeight="1" x14ac:dyDescent="0.3">
      <c r="J272" s="13">
        <v>268</v>
      </c>
      <c r="Q272" s="13" t="str">
        <f t="shared" si="25"/>
        <v/>
      </c>
      <c r="R272" s="6" t="str">
        <f t="shared" si="26"/>
        <v/>
      </c>
      <c r="S272" s="6" t="str">
        <f t="shared" si="27"/>
        <v/>
      </c>
      <c r="T272" s="6" t="str">
        <f t="shared" si="28"/>
        <v/>
      </c>
      <c r="U272" s="6" t="str">
        <f t="shared" si="29"/>
        <v/>
      </c>
      <c r="AB272" s="13"/>
    </row>
    <row r="273" spans="10:28" ht="15.6" customHeight="1" x14ac:dyDescent="0.3">
      <c r="J273" s="13">
        <v>269</v>
      </c>
      <c r="Q273" s="13" t="str">
        <f t="shared" si="25"/>
        <v/>
      </c>
      <c r="R273" s="6" t="str">
        <f t="shared" si="26"/>
        <v/>
      </c>
      <c r="S273" s="6" t="str">
        <f t="shared" si="27"/>
        <v/>
      </c>
      <c r="T273" s="6" t="str">
        <f t="shared" si="28"/>
        <v/>
      </c>
      <c r="U273" s="6" t="str">
        <f t="shared" si="29"/>
        <v/>
      </c>
      <c r="AB273" s="13"/>
    </row>
    <row r="274" spans="10:28" ht="15.6" customHeight="1" x14ac:dyDescent="0.3">
      <c r="J274" s="13">
        <v>270</v>
      </c>
      <c r="Q274" s="13" t="str">
        <f t="shared" si="25"/>
        <v/>
      </c>
      <c r="R274" s="6" t="str">
        <f t="shared" si="26"/>
        <v/>
      </c>
      <c r="S274" s="6" t="str">
        <f t="shared" si="27"/>
        <v/>
      </c>
      <c r="T274" s="6" t="str">
        <f t="shared" si="28"/>
        <v/>
      </c>
      <c r="U274" s="6" t="str">
        <f t="shared" si="29"/>
        <v/>
      </c>
      <c r="AB274" s="13"/>
    </row>
    <row r="275" spans="10:28" ht="15.6" customHeight="1" x14ac:dyDescent="0.3">
      <c r="J275" s="13">
        <v>271</v>
      </c>
      <c r="Q275" s="13" t="str">
        <f t="shared" si="25"/>
        <v/>
      </c>
      <c r="R275" s="6" t="str">
        <f t="shared" si="26"/>
        <v/>
      </c>
      <c r="S275" s="6" t="str">
        <f t="shared" si="27"/>
        <v/>
      </c>
      <c r="T275" s="6" t="str">
        <f t="shared" si="28"/>
        <v/>
      </c>
      <c r="U275" s="6" t="str">
        <f t="shared" si="29"/>
        <v/>
      </c>
      <c r="AB275" s="13"/>
    </row>
    <row r="276" spans="10:28" ht="15.6" customHeight="1" x14ac:dyDescent="0.3">
      <c r="J276" s="13">
        <v>272</v>
      </c>
      <c r="Q276" s="13" t="str">
        <f t="shared" si="25"/>
        <v/>
      </c>
      <c r="R276" s="6" t="str">
        <f t="shared" si="26"/>
        <v/>
      </c>
      <c r="S276" s="6" t="str">
        <f t="shared" si="27"/>
        <v/>
      </c>
      <c r="T276" s="6" t="str">
        <f t="shared" si="28"/>
        <v/>
      </c>
      <c r="U276" s="6" t="str">
        <f t="shared" si="29"/>
        <v/>
      </c>
      <c r="AB276" s="13"/>
    </row>
    <row r="277" spans="10:28" ht="15.6" customHeight="1" x14ac:dyDescent="0.3">
      <c r="J277" s="13">
        <v>273</v>
      </c>
      <c r="Q277" s="13" t="str">
        <f t="shared" si="25"/>
        <v/>
      </c>
      <c r="R277" s="6" t="str">
        <f t="shared" si="26"/>
        <v/>
      </c>
      <c r="S277" s="6" t="str">
        <f t="shared" si="27"/>
        <v/>
      </c>
      <c r="T277" s="6" t="str">
        <f t="shared" si="28"/>
        <v/>
      </c>
      <c r="U277" s="6" t="str">
        <f t="shared" si="29"/>
        <v/>
      </c>
      <c r="AB277" s="13"/>
    </row>
    <row r="278" spans="10:28" ht="15.6" customHeight="1" x14ac:dyDescent="0.3">
      <c r="J278" s="13">
        <v>274</v>
      </c>
      <c r="Q278" s="13" t="str">
        <f t="shared" si="25"/>
        <v/>
      </c>
      <c r="R278" s="6" t="str">
        <f t="shared" si="26"/>
        <v/>
      </c>
      <c r="S278" s="6" t="str">
        <f t="shared" si="27"/>
        <v/>
      </c>
      <c r="T278" s="6" t="str">
        <f t="shared" si="28"/>
        <v/>
      </c>
      <c r="U278" s="6" t="str">
        <f t="shared" si="29"/>
        <v/>
      </c>
      <c r="AB278" s="13"/>
    </row>
    <row r="279" spans="10:28" ht="15.6" customHeight="1" x14ac:dyDescent="0.3">
      <c r="J279" s="13">
        <v>275</v>
      </c>
      <c r="Q279" s="13" t="str">
        <f t="shared" si="25"/>
        <v/>
      </c>
      <c r="R279" s="6" t="str">
        <f t="shared" si="26"/>
        <v/>
      </c>
      <c r="S279" s="6" t="str">
        <f t="shared" si="27"/>
        <v/>
      </c>
      <c r="T279" s="6" t="str">
        <f t="shared" si="28"/>
        <v/>
      </c>
      <c r="U279" s="6" t="str">
        <f t="shared" si="29"/>
        <v/>
      </c>
      <c r="AB279" s="13"/>
    </row>
    <row r="280" spans="10:28" ht="15.6" customHeight="1" x14ac:dyDescent="0.3">
      <c r="J280" s="13">
        <v>276</v>
      </c>
      <c r="Q280" s="13" t="str">
        <f t="shared" si="25"/>
        <v/>
      </c>
      <c r="R280" s="6" t="str">
        <f t="shared" si="26"/>
        <v/>
      </c>
      <c r="S280" s="6" t="str">
        <f t="shared" si="27"/>
        <v/>
      </c>
      <c r="T280" s="6" t="str">
        <f t="shared" si="28"/>
        <v/>
      </c>
      <c r="U280" s="6" t="str">
        <f t="shared" si="29"/>
        <v/>
      </c>
      <c r="AB280" s="13"/>
    </row>
    <row r="281" spans="10:28" ht="15.6" customHeight="1" x14ac:dyDescent="0.3">
      <c r="J281" s="13">
        <v>277</v>
      </c>
      <c r="Q281" s="13" t="str">
        <f t="shared" si="25"/>
        <v/>
      </c>
      <c r="R281" s="6" t="str">
        <f t="shared" si="26"/>
        <v/>
      </c>
      <c r="S281" s="6" t="str">
        <f t="shared" si="27"/>
        <v/>
      </c>
      <c r="T281" s="6" t="str">
        <f t="shared" si="28"/>
        <v/>
      </c>
      <c r="U281" s="6" t="str">
        <f t="shared" si="29"/>
        <v/>
      </c>
      <c r="AB281" s="13"/>
    </row>
    <row r="282" spans="10:28" ht="15.6" customHeight="1" x14ac:dyDescent="0.3">
      <c r="J282" s="13">
        <v>278</v>
      </c>
      <c r="Q282" s="13" t="str">
        <f t="shared" si="25"/>
        <v/>
      </c>
      <c r="R282" s="6" t="str">
        <f t="shared" si="26"/>
        <v/>
      </c>
      <c r="S282" s="6" t="str">
        <f t="shared" si="27"/>
        <v/>
      </c>
      <c r="T282" s="6" t="str">
        <f t="shared" si="28"/>
        <v/>
      </c>
      <c r="U282" s="6" t="str">
        <f t="shared" si="29"/>
        <v/>
      </c>
      <c r="AB282" s="13"/>
    </row>
    <row r="283" spans="10:28" ht="15.6" customHeight="1" x14ac:dyDescent="0.3">
      <c r="J283" s="13">
        <v>279</v>
      </c>
      <c r="Q283" s="13" t="str">
        <f t="shared" si="25"/>
        <v/>
      </c>
      <c r="R283" s="6" t="str">
        <f t="shared" si="26"/>
        <v/>
      </c>
      <c r="S283" s="6" t="str">
        <f t="shared" si="27"/>
        <v/>
      </c>
      <c r="T283" s="6" t="str">
        <f t="shared" si="28"/>
        <v/>
      </c>
      <c r="U283" s="6" t="str">
        <f t="shared" si="29"/>
        <v/>
      </c>
      <c r="AB283" s="13"/>
    </row>
    <row r="284" spans="10:28" ht="15.6" customHeight="1" x14ac:dyDescent="0.3">
      <c r="J284" s="13">
        <v>280</v>
      </c>
      <c r="Q284" s="13" t="str">
        <f t="shared" si="25"/>
        <v/>
      </c>
      <c r="R284" s="6" t="str">
        <f t="shared" si="26"/>
        <v/>
      </c>
      <c r="S284" s="6" t="str">
        <f t="shared" si="27"/>
        <v/>
      </c>
      <c r="T284" s="6" t="str">
        <f t="shared" si="28"/>
        <v/>
      </c>
      <c r="U284" s="6" t="str">
        <f t="shared" si="29"/>
        <v/>
      </c>
      <c r="AB284" s="13"/>
    </row>
    <row r="285" spans="10:28" ht="15.6" customHeight="1" x14ac:dyDescent="0.3">
      <c r="J285" s="13">
        <v>281</v>
      </c>
      <c r="Q285" s="13" t="str">
        <f t="shared" si="25"/>
        <v/>
      </c>
      <c r="R285" s="6" t="str">
        <f t="shared" si="26"/>
        <v/>
      </c>
      <c r="S285" s="6" t="str">
        <f t="shared" si="27"/>
        <v/>
      </c>
      <c r="T285" s="6" t="str">
        <f t="shared" si="28"/>
        <v/>
      </c>
      <c r="U285" s="6" t="str">
        <f t="shared" si="29"/>
        <v/>
      </c>
      <c r="AB285" s="13"/>
    </row>
    <row r="286" spans="10:28" ht="15.6" customHeight="1" x14ac:dyDescent="0.3">
      <c r="J286" s="13">
        <v>282</v>
      </c>
      <c r="Q286" s="13" t="str">
        <f t="shared" si="25"/>
        <v/>
      </c>
      <c r="R286" s="6" t="str">
        <f t="shared" si="26"/>
        <v/>
      </c>
      <c r="S286" s="6" t="str">
        <f t="shared" si="27"/>
        <v/>
      </c>
      <c r="T286" s="6" t="str">
        <f t="shared" si="28"/>
        <v/>
      </c>
      <c r="U286" s="6" t="str">
        <f t="shared" si="29"/>
        <v/>
      </c>
      <c r="AB286" s="13"/>
    </row>
    <row r="287" spans="10:28" ht="15.6" customHeight="1" x14ac:dyDescent="0.3">
      <c r="J287" s="13">
        <v>283</v>
      </c>
      <c r="Q287" s="13" t="str">
        <f t="shared" si="25"/>
        <v/>
      </c>
      <c r="R287" s="6" t="str">
        <f t="shared" si="26"/>
        <v/>
      </c>
      <c r="S287" s="6" t="str">
        <f t="shared" si="27"/>
        <v/>
      </c>
      <c r="T287" s="6" t="str">
        <f t="shared" si="28"/>
        <v/>
      </c>
      <c r="U287" s="6" t="str">
        <f t="shared" si="29"/>
        <v/>
      </c>
      <c r="AB287" s="13"/>
    </row>
    <row r="288" spans="10:28" ht="15.6" customHeight="1" x14ac:dyDescent="0.3">
      <c r="J288" s="13">
        <v>284</v>
      </c>
      <c r="Q288" s="13" t="str">
        <f t="shared" si="25"/>
        <v/>
      </c>
      <c r="R288" s="6" t="str">
        <f t="shared" si="26"/>
        <v/>
      </c>
      <c r="S288" s="6" t="str">
        <f t="shared" si="27"/>
        <v/>
      </c>
      <c r="T288" s="6" t="str">
        <f t="shared" si="28"/>
        <v/>
      </c>
      <c r="U288" s="6" t="str">
        <f t="shared" si="29"/>
        <v/>
      </c>
      <c r="AB288" s="13"/>
    </row>
    <row r="289" spans="10:28" ht="15.6" customHeight="1" x14ac:dyDescent="0.3">
      <c r="J289" s="13">
        <v>285</v>
      </c>
      <c r="Q289" s="13" t="str">
        <f t="shared" si="25"/>
        <v/>
      </c>
      <c r="R289" s="6" t="str">
        <f t="shared" si="26"/>
        <v/>
      </c>
      <c r="S289" s="6" t="str">
        <f t="shared" si="27"/>
        <v/>
      </c>
      <c r="T289" s="6" t="str">
        <f t="shared" si="28"/>
        <v/>
      </c>
      <c r="U289" s="6" t="str">
        <f t="shared" si="29"/>
        <v/>
      </c>
      <c r="AB289" s="13"/>
    </row>
    <row r="290" spans="10:28" ht="15.6" customHeight="1" x14ac:dyDescent="0.3">
      <c r="J290" s="13">
        <v>286</v>
      </c>
      <c r="Q290" s="13" t="str">
        <f t="shared" si="25"/>
        <v/>
      </c>
      <c r="R290" s="6" t="str">
        <f t="shared" si="26"/>
        <v/>
      </c>
      <c r="S290" s="6" t="str">
        <f t="shared" si="27"/>
        <v/>
      </c>
      <c r="T290" s="6" t="str">
        <f t="shared" si="28"/>
        <v/>
      </c>
      <c r="U290" s="6" t="str">
        <f t="shared" si="29"/>
        <v/>
      </c>
      <c r="AB290" s="13"/>
    </row>
    <row r="291" spans="10:28" ht="15.6" customHeight="1" x14ac:dyDescent="0.3">
      <c r="J291" s="13">
        <v>287</v>
      </c>
      <c r="Q291" s="13" t="str">
        <f t="shared" si="25"/>
        <v/>
      </c>
      <c r="R291" s="6" t="str">
        <f t="shared" si="26"/>
        <v/>
      </c>
      <c r="S291" s="6" t="str">
        <f t="shared" si="27"/>
        <v/>
      </c>
      <c r="T291" s="6" t="str">
        <f t="shared" si="28"/>
        <v/>
      </c>
      <c r="U291" s="6" t="str">
        <f t="shared" si="29"/>
        <v/>
      </c>
      <c r="AB291" s="13"/>
    </row>
    <row r="292" spans="10:28" ht="15.6" customHeight="1" x14ac:dyDescent="0.3">
      <c r="J292" s="13">
        <v>288</v>
      </c>
      <c r="Q292" s="13" t="str">
        <f t="shared" si="25"/>
        <v/>
      </c>
      <c r="R292" s="6" t="str">
        <f t="shared" si="26"/>
        <v/>
      </c>
      <c r="S292" s="6" t="str">
        <f t="shared" si="27"/>
        <v/>
      </c>
      <c r="T292" s="6" t="str">
        <f t="shared" si="28"/>
        <v/>
      </c>
      <c r="U292" s="6" t="str">
        <f t="shared" si="29"/>
        <v/>
      </c>
      <c r="AB292" s="13"/>
    </row>
    <row r="293" spans="10:28" ht="15.6" customHeight="1" x14ac:dyDescent="0.3">
      <c r="J293" s="13">
        <v>289</v>
      </c>
      <c r="Q293" s="13" t="str">
        <f t="shared" si="25"/>
        <v/>
      </c>
      <c r="R293" s="6" t="str">
        <f t="shared" si="26"/>
        <v/>
      </c>
      <c r="S293" s="6" t="str">
        <f t="shared" si="27"/>
        <v/>
      </c>
      <c r="T293" s="6" t="str">
        <f t="shared" si="28"/>
        <v/>
      </c>
      <c r="U293" s="6" t="str">
        <f t="shared" si="29"/>
        <v/>
      </c>
      <c r="AB293" s="13"/>
    </row>
    <row r="294" spans="10:28" ht="15.6" customHeight="1" x14ac:dyDescent="0.3">
      <c r="J294" s="13">
        <v>290</v>
      </c>
      <c r="Q294" s="13" t="str">
        <f t="shared" si="25"/>
        <v/>
      </c>
      <c r="R294" s="6" t="str">
        <f t="shared" si="26"/>
        <v/>
      </c>
      <c r="S294" s="6" t="str">
        <f t="shared" si="27"/>
        <v/>
      </c>
      <c r="T294" s="6" t="str">
        <f t="shared" si="28"/>
        <v/>
      </c>
      <c r="U294" s="6" t="str">
        <f t="shared" si="29"/>
        <v/>
      </c>
      <c r="AB294" s="13"/>
    </row>
    <row r="295" spans="10:28" ht="15.6" customHeight="1" x14ac:dyDescent="0.3">
      <c r="J295" s="13">
        <v>291</v>
      </c>
      <c r="Q295" s="13" t="str">
        <f t="shared" si="25"/>
        <v/>
      </c>
      <c r="R295" s="6" t="str">
        <f t="shared" si="26"/>
        <v/>
      </c>
      <c r="S295" s="6" t="str">
        <f t="shared" si="27"/>
        <v/>
      </c>
      <c r="T295" s="6" t="str">
        <f t="shared" si="28"/>
        <v/>
      </c>
      <c r="U295" s="6" t="str">
        <f t="shared" si="29"/>
        <v/>
      </c>
      <c r="AB295" s="13"/>
    </row>
    <row r="296" spans="10:28" ht="15.6" customHeight="1" x14ac:dyDescent="0.3">
      <c r="J296" s="13">
        <v>292</v>
      </c>
      <c r="Q296" s="13" t="str">
        <f t="shared" si="25"/>
        <v/>
      </c>
      <c r="R296" s="6" t="str">
        <f t="shared" si="26"/>
        <v/>
      </c>
      <c r="S296" s="6" t="str">
        <f t="shared" si="27"/>
        <v/>
      </c>
      <c r="T296" s="6" t="str">
        <f t="shared" si="28"/>
        <v/>
      </c>
      <c r="U296" s="6" t="str">
        <f t="shared" si="29"/>
        <v/>
      </c>
      <c r="AB296" s="13"/>
    </row>
    <row r="297" spans="10:28" ht="15.6" customHeight="1" x14ac:dyDescent="0.3">
      <c r="J297" s="13">
        <v>293</v>
      </c>
      <c r="Q297" s="13" t="str">
        <f t="shared" si="25"/>
        <v/>
      </c>
      <c r="R297" s="6" t="str">
        <f t="shared" si="26"/>
        <v/>
      </c>
      <c r="S297" s="6" t="str">
        <f t="shared" si="27"/>
        <v/>
      </c>
      <c r="T297" s="6" t="str">
        <f t="shared" si="28"/>
        <v/>
      </c>
      <c r="U297" s="6" t="str">
        <f t="shared" si="29"/>
        <v/>
      </c>
      <c r="AB297" s="13"/>
    </row>
    <row r="298" spans="10:28" ht="15.6" customHeight="1" x14ac:dyDescent="0.3">
      <c r="J298" s="13">
        <v>294</v>
      </c>
      <c r="Q298" s="13" t="str">
        <f t="shared" si="25"/>
        <v/>
      </c>
      <c r="R298" s="6" t="str">
        <f t="shared" si="26"/>
        <v/>
      </c>
      <c r="S298" s="6" t="str">
        <f t="shared" si="27"/>
        <v/>
      </c>
      <c r="T298" s="6" t="str">
        <f t="shared" si="28"/>
        <v/>
      </c>
      <c r="U298" s="6" t="str">
        <f t="shared" si="29"/>
        <v/>
      </c>
      <c r="AB298" s="13"/>
    </row>
    <row r="299" spans="10:28" ht="15.6" customHeight="1" x14ac:dyDescent="0.3">
      <c r="J299" s="13">
        <v>295</v>
      </c>
      <c r="Q299" s="13" t="str">
        <f t="shared" si="25"/>
        <v/>
      </c>
      <c r="R299" s="6" t="str">
        <f t="shared" si="26"/>
        <v/>
      </c>
      <c r="S299" s="6" t="str">
        <f t="shared" si="27"/>
        <v/>
      </c>
      <c r="T299" s="6" t="str">
        <f t="shared" si="28"/>
        <v/>
      </c>
      <c r="U299" s="6" t="str">
        <f t="shared" si="29"/>
        <v/>
      </c>
      <c r="AB299" s="13"/>
    </row>
    <row r="300" spans="10:28" ht="15.6" customHeight="1" x14ac:dyDescent="0.3">
      <c r="J300" s="13">
        <v>296</v>
      </c>
      <c r="Q300" s="13" t="str">
        <f t="shared" si="25"/>
        <v/>
      </c>
      <c r="R300" s="6" t="str">
        <f t="shared" si="26"/>
        <v/>
      </c>
      <c r="S300" s="6" t="str">
        <f t="shared" si="27"/>
        <v/>
      </c>
      <c r="T300" s="6" t="str">
        <f t="shared" si="28"/>
        <v/>
      </c>
      <c r="U300" s="6" t="str">
        <f t="shared" si="29"/>
        <v/>
      </c>
      <c r="AB300" s="13"/>
    </row>
    <row r="301" spans="10:28" ht="15.6" customHeight="1" x14ac:dyDescent="0.3">
      <c r="J301" s="13">
        <v>297</v>
      </c>
      <c r="Q301" s="13" t="str">
        <f t="shared" si="25"/>
        <v/>
      </c>
      <c r="R301" s="6" t="str">
        <f t="shared" si="26"/>
        <v/>
      </c>
      <c r="S301" s="6" t="str">
        <f t="shared" si="27"/>
        <v/>
      </c>
      <c r="T301" s="6" t="str">
        <f t="shared" si="28"/>
        <v/>
      </c>
      <c r="U301" s="6" t="str">
        <f t="shared" si="29"/>
        <v/>
      </c>
      <c r="AB301" s="13"/>
    </row>
    <row r="302" spans="10:28" ht="15.6" customHeight="1" x14ac:dyDescent="0.3">
      <c r="J302" s="13">
        <v>298</v>
      </c>
      <c r="Q302" s="13" t="str">
        <f t="shared" si="25"/>
        <v/>
      </c>
      <c r="R302" s="6" t="str">
        <f t="shared" si="26"/>
        <v/>
      </c>
      <c r="S302" s="6" t="str">
        <f t="shared" si="27"/>
        <v/>
      </c>
      <c r="T302" s="6" t="str">
        <f t="shared" si="28"/>
        <v/>
      </c>
      <c r="U302" s="6" t="str">
        <f t="shared" si="29"/>
        <v/>
      </c>
      <c r="AB302" s="13"/>
    </row>
    <row r="303" spans="10:28" ht="15.6" customHeight="1" x14ac:dyDescent="0.3">
      <c r="J303" s="13">
        <v>299</v>
      </c>
      <c r="Q303" s="13" t="str">
        <f t="shared" si="25"/>
        <v/>
      </c>
      <c r="R303" s="6" t="str">
        <f t="shared" si="26"/>
        <v/>
      </c>
      <c r="S303" s="6" t="str">
        <f t="shared" si="27"/>
        <v/>
      </c>
      <c r="T303" s="6" t="str">
        <f t="shared" si="28"/>
        <v/>
      </c>
      <c r="U303" s="6" t="str">
        <f t="shared" si="29"/>
        <v/>
      </c>
      <c r="AB303" s="13"/>
    </row>
    <row r="304" spans="10:28" ht="15.6" customHeight="1" x14ac:dyDescent="0.3">
      <c r="J304" s="13">
        <v>300</v>
      </c>
      <c r="Q304" s="13" t="str">
        <f t="shared" si="25"/>
        <v/>
      </c>
      <c r="R304" s="6" t="str">
        <f t="shared" si="26"/>
        <v/>
      </c>
      <c r="S304" s="6" t="str">
        <f t="shared" si="27"/>
        <v/>
      </c>
      <c r="T304" s="6" t="str">
        <f t="shared" si="28"/>
        <v/>
      </c>
      <c r="U304" s="6" t="str">
        <f t="shared" si="29"/>
        <v/>
      </c>
      <c r="AB304" s="13"/>
    </row>
    <row r="305" spans="10:28" ht="15.6" customHeight="1" x14ac:dyDescent="0.3">
      <c r="J305" s="13">
        <v>301</v>
      </c>
      <c r="Q305" s="13" t="str">
        <f t="shared" si="25"/>
        <v/>
      </c>
      <c r="R305" s="6" t="str">
        <f t="shared" si="26"/>
        <v/>
      </c>
      <c r="S305" s="6" t="str">
        <f t="shared" si="27"/>
        <v/>
      </c>
      <c r="T305" s="6" t="str">
        <f t="shared" si="28"/>
        <v/>
      </c>
      <c r="U305" s="6" t="str">
        <f t="shared" si="29"/>
        <v/>
      </c>
      <c r="AB305" s="13"/>
    </row>
    <row r="306" spans="10:28" ht="15.6" customHeight="1" x14ac:dyDescent="0.3">
      <c r="J306" s="13">
        <v>302</v>
      </c>
      <c r="Q306" s="13" t="str">
        <f t="shared" si="25"/>
        <v/>
      </c>
      <c r="R306" s="6" t="str">
        <f t="shared" si="26"/>
        <v/>
      </c>
      <c r="S306" s="6" t="str">
        <f t="shared" si="27"/>
        <v/>
      </c>
      <c r="T306" s="6" t="str">
        <f t="shared" si="28"/>
        <v/>
      </c>
      <c r="U306" s="6" t="str">
        <f t="shared" si="29"/>
        <v/>
      </c>
      <c r="AB306" s="13"/>
    </row>
    <row r="307" spans="10:28" ht="15.6" customHeight="1" x14ac:dyDescent="0.3">
      <c r="J307" s="13">
        <v>303</v>
      </c>
      <c r="Q307" s="13" t="str">
        <f t="shared" si="25"/>
        <v/>
      </c>
      <c r="R307" s="6" t="str">
        <f t="shared" si="26"/>
        <v/>
      </c>
      <c r="S307" s="6" t="str">
        <f t="shared" si="27"/>
        <v/>
      </c>
      <c r="T307" s="6" t="str">
        <f t="shared" si="28"/>
        <v/>
      </c>
      <c r="U307" s="6" t="str">
        <f t="shared" si="29"/>
        <v/>
      </c>
      <c r="AB307" s="13"/>
    </row>
    <row r="308" spans="10:28" ht="15.6" customHeight="1" x14ac:dyDescent="0.3">
      <c r="J308" s="13">
        <v>304</v>
      </c>
      <c r="Q308" s="13" t="str">
        <f t="shared" si="25"/>
        <v/>
      </c>
      <c r="R308" s="6" t="str">
        <f t="shared" si="26"/>
        <v/>
      </c>
      <c r="S308" s="6" t="str">
        <f t="shared" si="27"/>
        <v/>
      </c>
      <c r="T308" s="6" t="str">
        <f t="shared" si="28"/>
        <v/>
      </c>
      <c r="U308" s="6" t="str">
        <f t="shared" si="29"/>
        <v/>
      </c>
      <c r="AB308" s="13"/>
    </row>
    <row r="309" spans="10:28" ht="15.6" customHeight="1" x14ac:dyDescent="0.3">
      <c r="J309" s="13">
        <v>305</v>
      </c>
      <c r="Q309" s="13" t="str">
        <f t="shared" si="25"/>
        <v/>
      </c>
      <c r="R309" s="6" t="str">
        <f t="shared" si="26"/>
        <v/>
      </c>
      <c r="S309" s="6" t="str">
        <f t="shared" si="27"/>
        <v/>
      </c>
      <c r="T309" s="6" t="str">
        <f t="shared" si="28"/>
        <v/>
      </c>
      <c r="U309" s="6" t="str">
        <f t="shared" si="29"/>
        <v/>
      </c>
      <c r="AB309" s="13"/>
    </row>
    <row r="310" spans="10:28" ht="15.6" customHeight="1" x14ac:dyDescent="0.3">
      <c r="J310" s="13">
        <v>306</v>
      </c>
      <c r="Q310" s="13" t="str">
        <f t="shared" si="25"/>
        <v/>
      </c>
      <c r="R310" s="6" t="str">
        <f t="shared" si="26"/>
        <v/>
      </c>
      <c r="S310" s="6" t="str">
        <f t="shared" si="27"/>
        <v/>
      </c>
      <c r="T310" s="6" t="str">
        <f t="shared" si="28"/>
        <v/>
      </c>
      <c r="U310" s="6" t="str">
        <f t="shared" si="29"/>
        <v/>
      </c>
      <c r="AB310" s="13"/>
    </row>
    <row r="311" spans="10:28" ht="15.6" customHeight="1" x14ac:dyDescent="0.3">
      <c r="J311" s="13">
        <v>307</v>
      </c>
      <c r="Q311" s="13" t="str">
        <f t="shared" si="25"/>
        <v/>
      </c>
      <c r="R311" s="6" t="str">
        <f t="shared" si="26"/>
        <v/>
      </c>
      <c r="S311" s="6" t="str">
        <f t="shared" si="27"/>
        <v/>
      </c>
      <c r="T311" s="6" t="str">
        <f t="shared" si="28"/>
        <v/>
      </c>
      <c r="U311" s="6" t="str">
        <f t="shared" si="29"/>
        <v/>
      </c>
      <c r="AB311" s="13"/>
    </row>
    <row r="312" spans="10:28" ht="15.6" customHeight="1" x14ac:dyDescent="0.3">
      <c r="J312" s="13">
        <v>308</v>
      </c>
      <c r="Q312" s="13" t="str">
        <f t="shared" si="25"/>
        <v/>
      </c>
      <c r="R312" s="6" t="str">
        <f t="shared" si="26"/>
        <v/>
      </c>
      <c r="S312" s="6" t="str">
        <f t="shared" si="27"/>
        <v/>
      </c>
      <c r="T312" s="6" t="str">
        <f t="shared" si="28"/>
        <v/>
      </c>
      <c r="U312" s="6" t="str">
        <f t="shared" si="29"/>
        <v/>
      </c>
      <c r="AB312" s="13"/>
    </row>
    <row r="313" spans="10:28" ht="15.6" customHeight="1" x14ac:dyDescent="0.3">
      <c r="J313" s="13">
        <v>309</v>
      </c>
      <c r="Q313" s="13" t="str">
        <f t="shared" si="25"/>
        <v/>
      </c>
      <c r="R313" s="6" t="str">
        <f t="shared" si="26"/>
        <v/>
      </c>
      <c r="S313" s="6" t="str">
        <f t="shared" si="27"/>
        <v/>
      </c>
      <c r="T313" s="6" t="str">
        <f t="shared" si="28"/>
        <v/>
      </c>
      <c r="U313" s="6" t="str">
        <f t="shared" si="29"/>
        <v/>
      </c>
      <c r="AB313" s="13"/>
    </row>
    <row r="314" spans="10:28" ht="15.6" customHeight="1" x14ac:dyDescent="0.3">
      <c r="J314" s="13">
        <v>310</v>
      </c>
      <c r="Q314" s="13" t="str">
        <f t="shared" si="25"/>
        <v/>
      </c>
      <c r="R314" s="6" t="str">
        <f t="shared" si="26"/>
        <v/>
      </c>
      <c r="S314" s="6" t="str">
        <f t="shared" si="27"/>
        <v/>
      </c>
      <c r="T314" s="6" t="str">
        <f t="shared" si="28"/>
        <v/>
      </c>
      <c r="U314" s="6" t="str">
        <f t="shared" si="29"/>
        <v/>
      </c>
      <c r="AB314" s="13"/>
    </row>
    <row r="315" spans="10:28" ht="15.6" customHeight="1" x14ac:dyDescent="0.3">
      <c r="J315" s="13">
        <v>311</v>
      </c>
      <c r="Q315" s="13" t="str">
        <f t="shared" si="25"/>
        <v/>
      </c>
      <c r="R315" s="6" t="str">
        <f t="shared" si="26"/>
        <v/>
      </c>
      <c r="S315" s="6" t="str">
        <f t="shared" si="27"/>
        <v/>
      </c>
      <c r="T315" s="6" t="str">
        <f t="shared" si="28"/>
        <v/>
      </c>
      <c r="U315" s="6" t="str">
        <f t="shared" si="29"/>
        <v/>
      </c>
      <c r="AB315" s="13"/>
    </row>
    <row r="316" spans="10:28" ht="15.6" customHeight="1" x14ac:dyDescent="0.3">
      <c r="J316" s="13">
        <v>312</v>
      </c>
      <c r="Q316" s="13" t="str">
        <f t="shared" si="25"/>
        <v/>
      </c>
      <c r="R316" s="6" t="str">
        <f t="shared" si="26"/>
        <v/>
      </c>
      <c r="S316" s="6" t="str">
        <f t="shared" si="27"/>
        <v/>
      </c>
      <c r="T316" s="6" t="str">
        <f t="shared" si="28"/>
        <v/>
      </c>
      <c r="U316" s="6" t="str">
        <f t="shared" si="29"/>
        <v/>
      </c>
      <c r="AB316" s="13"/>
    </row>
    <row r="317" spans="10:28" ht="15.6" customHeight="1" x14ac:dyDescent="0.3">
      <c r="J317" s="13">
        <v>313</v>
      </c>
      <c r="Q317" s="13" t="str">
        <f t="shared" si="25"/>
        <v/>
      </c>
      <c r="R317" s="6" t="str">
        <f t="shared" si="26"/>
        <v/>
      </c>
      <c r="S317" s="6" t="str">
        <f t="shared" si="27"/>
        <v/>
      </c>
      <c r="T317" s="6" t="str">
        <f t="shared" si="28"/>
        <v/>
      </c>
      <c r="U317" s="6" t="str">
        <f t="shared" si="29"/>
        <v/>
      </c>
      <c r="AB317" s="13"/>
    </row>
    <row r="318" spans="10:28" ht="15.6" customHeight="1" x14ac:dyDescent="0.3">
      <c r="J318" s="13">
        <v>314</v>
      </c>
      <c r="Q318" s="13" t="str">
        <f t="shared" si="25"/>
        <v/>
      </c>
      <c r="R318" s="6" t="str">
        <f t="shared" si="26"/>
        <v/>
      </c>
      <c r="S318" s="6" t="str">
        <f t="shared" si="27"/>
        <v/>
      </c>
      <c r="T318" s="6" t="str">
        <f t="shared" si="28"/>
        <v/>
      </c>
      <c r="U318" s="6" t="str">
        <f t="shared" si="29"/>
        <v/>
      </c>
      <c r="AB318" s="13"/>
    </row>
    <row r="319" spans="10:28" ht="15.6" customHeight="1" x14ac:dyDescent="0.3">
      <c r="J319" s="13">
        <v>315</v>
      </c>
      <c r="Q319" s="13" t="str">
        <f t="shared" si="25"/>
        <v/>
      </c>
      <c r="R319" s="6" t="str">
        <f t="shared" si="26"/>
        <v/>
      </c>
      <c r="S319" s="6" t="str">
        <f t="shared" si="27"/>
        <v/>
      </c>
      <c r="T319" s="6" t="str">
        <f t="shared" si="28"/>
        <v/>
      </c>
      <c r="U319" s="6" t="str">
        <f t="shared" si="29"/>
        <v/>
      </c>
      <c r="AB319" s="13"/>
    </row>
    <row r="320" spans="10:28" ht="15.6" customHeight="1" x14ac:dyDescent="0.3">
      <c r="J320" s="13">
        <v>316</v>
      </c>
      <c r="Q320" s="13" t="str">
        <f t="shared" si="25"/>
        <v/>
      </c>
      <c r="R320" s="6" t="str">
        <f t="shared" si="26"/>
        <v/>
      </c>
      <c r="S320" s="6" t="str">
        <f t="shared" si="27"/>
        <v/>
      </c>
      <c r="T320" s="6" t="str">
        <f t="shared" si="28"/>
        <v/>
      </c>
      <c r="U320" s="6" t="str">
        <f t="shared" si="29"/>
        <v/>
      </c>
      <c r="AB320" s="13"/>
    </row>
    <row r="321" spans="10:28" ht="15.6" customHeight="1" x14ac:dyDescent="0.3">
      <c r="J321" s="13">
        <v>317</v>
      </c>
      <c r="Q321" s="13" t="str">
        <f t="shared" si="25"/>
        <v/>
      </c>
      <c r="R321" s="6" t="str">
        <f t="shared" si="26"/>
        <v/>
      </c>
      <c r="S321" s="6" t="str">
        <f t="shared" si="27"/>
        <v/>
      </c>
      <c r="T321" s="6" t="str">
        <f t="shared" si="28"/>
        <v/>
      </c>
      <c r="U321" s="6" t="str">
        <f t="shared" si="29"/>
        <v/>
      </c>
      <c r="AB321" s="13"/>
    </row>
    <row r="322" spans="10:28" ht="15.6" customHeight="1" x14ac:dyDescent="0.3">
      <c r="J322" s="13">
        <v>318</v>
      </c>
      <c r="Q322" s="13" t="str">
        <f t="shared" si="25"/>
        <v/>
      </c>
      <c r="R322" s="6" t="str">
        <f t="shared" si="26"/>
        <v/>
      </c>
      <c r="S322" s="6" t="str">
        <f t="shared" si="27"/>
        <v/>
      </c>
      <c r="T322" s="6" t="str">
        <f t="shared" si="28"/>
        <v/>
      </c>
      <c r="U322" s="6" t="str">
        <f t="shared" si="29"/>
        <v/>
      </c>
      <c r="AB322" s="13"/>
    </row>
    <row r="323" spans="10:28" ht="15.6" customHeight="1" x14ac:dyDescent="0.3">
      <c r="J323" s="13">
        <v>319</v>
      </c>
      <c r="Q323" s="13" t="str">
        <f t="shared" si="25"/>
        <v/>
      </c>
      <c r="R323" s="6" t="str">
        <f t="shared" si="26"/>
        <v/>
      </c>
      <c r="S323" s="6" t="str">
        <f t="shared" si="27"/>
        <v/>
      </c>
      <c r="T323" s="6" t="str">
        <f t="shared" si="28"/>
        <v/>
      </c>
      <c r="U323" s="6" t="str">
        <f t="shared" si="29"/>
        <v/>
      </c>
      <c r="AB323" s="13"/>
    </row>
    <row r="324" spans="10:28" ht="15.6" customHeight="1" x14ac:dyDescent="0.3">
      <c r="J324" s="13">
        <v>320</v>
      </c>
      <c r="Q324" s="13" t="str">
        <f t="shared" ref="Q324:Q387" si="30">IF(K324="","",VLOOKUP(K324,$A$4:$H$22,8,FALSE))</f>
        <v/>
      </c>
      <c r="R324" s="6" t="str">
        <f t="shared" ref="R324:R387" si="31">IF(L324="","",VLOOKUP(L324,$A$4:$H$22,8,FALSE))</f>
        <v/>
      </c>
      <c r="S324" s="6" t="str">
        <f t="shared" ref="S324:S387" si="32">IF(M324="","",VLOOKUP(M324,$A$4:$H$22,8,FALSE))</f>
        <v/>
      </c>
      <c r="T324" s="6" t="str">
        <f t="shared" ref="T324:T387" si="33">IF(N324="","",VLOOKUP(N324,$A$4:$H$22,8,FALSE))</f>
        <v/>
      </c>
      <c r="U324" s="6" t="str">
        <f t="shared" ref="U324:U387" si="34">IF(O324="","",VLOOKUP(O324,$A$4:$H$22,8,FALSE))</f>
        <v/>
      </c>
      <c r="AB324" s="13"/>
    </row>
    <row r="325" spans="10:28" ht="15.6" customHeight="1" x14ac:dyDescent="0.3">
      <c r="J325" s="13">
        <v>321</v>
      </c>
      <c r="Q325" s="13" t="str">
        <f t="shared" si="30"/>
        <v/>
      </c>
      <c r="R325" s="6" t="str">
        <f t="shared" si="31"/>
        <v/>
      </c>
      <c r="S325" s="6" t="str">
        <f t="shared" si="32"/>
        <v/>
      </c>
      <c r="T325" s="6" t="str">
        <f t="shared" si="33"/>
        <v/>
      </c>
      <c r="U325" s="6" t="str">
        <f t="shared" si="34"/>
        <v/>
      </c>
      <c r="AB325" s="13"/>
    </row>
    <row r="326" spans="10:28" ht="15.6" customHeight="1" x14ac:dyDescent="0.3">
      <c r="J326" s="13">
        <v>322</v>
      </c>
      <c r="Q326" s="13" t="str">
        <f t="shared" si="30"/>
        <v/>
      </c>
      <c r="R326" s="6" t="str">
        <f t="shared" si="31"/>
        <v/>
      </c>
      <c r="S326" s="6" t="str">
        <f t="shared" si="32"/>
        <v/>
      </c>
      <c r="T326" s="6" t="str">
        <f t="shared" si="33"/>
        <v/>
      </c>
      <c r="U326" s="6" t="str">
        <f t="shared" si="34"/>
        <v/>
      </c>
      <c r="AB326" s="13"/>
    </row>
    <row r="327" spans="10:28" ht="15.6" customHeight="1" x14ac:dyDescent="0.3">
      <c r="J327" s="13">
        <v>323</v>
      </c>
      <c r="Q327" s="13" t="str">
        <f t="shared" si="30"/>
        <v/>
      </c>
      <c r="R327" s="6" t="str">
        <f t="shared" si="31"/>
        <v/>
      </c>
      <c r="S327" s="6" t="str">
        <f t="shared" si="32"/>
        <v/>
      </c>
      <c r="T327" s="6" t="str">
        <f t="shared" si="33"/>
        <v/>
      </c>
      <c r="U327" s="6" t="str">
        <f t="shared" si="34"/>
        <v/>
      </c>
      <c r="AB327" s="13"/>
    </row>
    <row r="328" spans="10:28" ht="15.6" customHeight="1" x14ac:dyDescent="0.3">
      <c r="J328" s="13">
        <v>324</v>
      </c>
      <c r="Q328" s="13" t="str">
        <f t="shared" si="30"/>
        <v/>
      </c>
      <c r="R328" s="6" t="str">
        <f t="shared" si="31"/>
        <v/>
      </c>
      <c r="S328" s="6" t="str">
        <f t="shared" si="32"/>
        <v/>
      </c>
      <c r="T328" s="6" t="str">
        <f t="shared" si="33"/>
        <v/>
      </c>
      <c r="U328" s="6" t="str">
        <f t="shared" si="34"/>
        <v/>
      </c>
      <c r="AB328" s="13"/>
    </row>
    <row r="329" spans="10:28" ht="15.6" customHeight="1" x14ac:dyDescent="0.3">
      <c r="J329" s="13">
        <v>325</v>
      </c>
      <c r="Q329" s="13" t="str">
        <f t="shared" si="30"/>
        <v/>
      </c>
      <c r="R329" s="6" t="str">
        <f t="shared" si="31"/>
        <v/>
      </c>
      <c r="S329" s="6" t="str">
        <f t="shared" si="32"/>
        <v/>
      </c>
      <c r="T329" s="6" t="str">
        <f t="shared" si="33"/>
        <v/>
      </c>
      <c r="U329" s="6" t="str">
        <f t="shared" si="34"/>
        <v/>
      </c>
      <c r="AB329" s="13"/>
    </row>
    <row r="330" spans="10:28" ht="15.6" customHeight="1" x14ac:dyDescent="0.3">
      <c r="J330" s="13">
        <v>326</v>
      </c>
      <c r="Q330" s="13" t="str">
        <f t="shared" si="30"/>
        <v/>
      </c>
      <c r="R330" s="6" t="str">
        <f t="shared" si="31"/>
        <v/>
      </c>
      <c r="S330" s="6" t="str">
        <f t="shared" si="32"/>
        <v/>
      </c>
      <c r="T330" s="6" t="str">
        <f t="shared" si="33"/>
        <v/>
      </c>
      <c r="U330" s="6" t="str">
        <f t="shared" si="34"/>
        <v/>
      </c>
      <c r="AB330" s="13"/>
    </row>
    <row r="331" spans="10:28" ht="15.6" customHeight="1" x14ac:dyDescent="0.3">
      <c r="J331" s="13">
        <v>327</v>
      </c>
      <c r="Q331" s="13" t="str">
        <f t="shared" si="30"/>
        <v/>
      </c>
      <c r="R331" s="6" t="str">
        <f t="shared" si="31"/>
        <v/>
      </c>
      <c r="S331" s="6" t="str">
        <f t="shared" si="32"/>
        <v/>
      </c>
      <c r="T331" s="6" t="str">
        <f t="shared" si="33"/>
        <v/>
      </c>
      <c r="U331" s="6" t="str">
        <f t="shared" si="34"/>
        <v/>
      </c>
      <c r="AB331" s="13"/>
    </row>
    <row r="332" spans="10:28" ht="15.6" customHeight="1" x14ac:dyDescent="0.3">
      <c r="J332" s="13">
        <v>328</v>
      </c>
      <c r="Q332" s="13" t="str">
        <f t="shared" si="30"/>
        <v/>
      </c>
      <c r="R332" s="6" t="str">
        <f t="shared" si="31"/>
        <v/>
      </c>
      <c r="S332" s="6" t="str">
        <f t="shared" si="32"/>
        <v/>
      </c>
      <c r="T332" s="6" t="str">
        <f t="shared" si="33"/>
        <v/>
      </c>
      <c r="U332" s="6" t="str">
        <f t="shared" si="34"/>
        <v/>
      </c>
      <c r="AB332" s="13"/>
    </row>
    <row r="333" spans="10:28" ht="15.6" customHeight="1" x14ac:dyDescent="0.3">
      <c r="J333" s="13">
        <v>329</v>
      </c>
      <c r="Q333" s="13" t="str">
        <f t="shared" si="30"/>
        <v/>
      </c>
      <c r="R333" s="6" t="str">
        <f t="shared" si="31"/>
        <v/>
      </c>
      <c r="S333" s="6" t="str">
        <f t="shared" si="32"/>
        <v/>
      </c>
      <c r="T333" s="6" t="str">
        <f t="shared" si="33"/>
        <v/>
      </c>
      <c r="U333" s="6" t="str">
        <f t="shared" si="34"/>
        <v/>
      </c>
      <c r="AB333" s="13"/>
    </row>
    <row r="334" spans="10:28" ht="15.6" customHeight="1" x14ac:dyDescent="0.3">
      <c r="J334" s="13">
        <v>330</v>
      </c>
      <c r="Q334" s="13" t="str">
        <f t="shared" si="30"/>
        <v/>
      </c>
      <c r="R334" s="6" t="str">
        <f t="shared" si="31"/>
        <v/>
      </c>
      <c r="S334" s="6" t="str">
        <f t="shared" si="32"/>
        <v/>
      </c>
      <c r="T334" s="6" t="str">
        <f t="shared" si="33"/>
        <v/>
      </c>
      <c r="U334" s="6" t="str">
        <f t="shared" si="34"/>
        <v/>
      </c>
      <c r="AB334" s="13"/>
    </row>
    <row r="335" spans="10:28" ht="15.6" customHeight="1" x14ac:dyDescent="0.3">
      <c r="J335" s="13">
        <v>331</v>
      </c>
      <c r="Q335" s="13" t="str">
        <f t="shared" si="30"/>
        <v/>
      </c>
      <c r="R335" s="6" t="str">
        <f t="shared" si="31"/>
        <v/>
      </c>
      <c r="S335" s="6" t="str">
        <f t="shared" si="32"/>
        <v/>
      </c>
      <c r="T335" s="6" t="str">
        <f t="shared" si="33"/>
        <v/>
      </c>
      <c r="U335" s="6" t="str">
        <f t="shared" si="34"/>
        <v/>
      </c>
      <c r="AB335" s="13"/>
    </row>
    <row r="336" spans="10:28" ht="15.6" customHeight="1" x14ac:dyDescent="0.3">
      <c r="J336" s="13">
        <v>332</v>
      </c>
      <c r="Q336" s="13" t="str">
        <f t="shared" si="30"/>
        <v/>
      </c>
      <c r="R336" s="6" t="str">
        <f t="shared" si="31"/>
        <v/>
      </c>
      <c r="S336" s="6" t="str">
        <f t="shared" si="32"/>
        <v/>
      </c>
      <c r="T336" s="6" t="str">
        <f t="shared" si="33"/>
        <v/>
      </c>
      <c r="U336" s="6" t="str">
        <f t="shared" si="34"/>
        <v/>
      </c>
      <c r="AB336" s="13"/>
    </row>
    <row r="337" spans="10:28" ht="15.6" customHeight="1" x14ac:dyDescent="0.3">
      <c r="J337" s="13">
        <v>333</v>
      </c>
      <c r="Q337" s="13" t="str">
        <f t="shared" si="30"/>
        <v/>
      </c>
      <c r="R337" s="6" t="str">
        <f t="shared" si="31"/>
        <v/>
      </c>
      <c r="S337" s="6" t="str">
        <f t="shared" si="32"/>
        <v/>
      </c>
      <c r="T337" s="6" t="str">
        <f t="shared" si="33"/>
        <v/>
      </c>
      <c r="U337" s="6" t="str">
        <f t="shared" si="34"/>
        <v/>
      </c>
      <c r="AB337" s="13"/>
    </row>
    <row r="338" spans="10:28" ht="15.6" customHeight="1" x14ac:dyDescent="0.3">
      <c r="J338" s="13">
        <v>334</v>
      </c>
      <c r="Q338" s="13" t="str">
        <f t="shared" si="30"/>
        <v/>
      </c>
      <c r="R338" s="6" t="str">
        <f t="shared" si="31"/>
        <v/>
      </c>
      <c r="S338" s="6" t="str">
        <f t="shared" si="32"/>
        <v/>
      </c>
      <c r="T338" s="6" t="str">
        <f t="shared" si="33"/>
        <v/>
      </c>
      <c r="U338" s="6" t="str">
        <f t="shared" si="34"/>
        <v/>
      </c>
      <c r="AB338" s="13"/>
    </row>
    <row r="339" spans="10:28" ht="15.6" customHeight="1" x14ac:dyDescent="0.3">
      <c r="J339" s="13">
        <v>335</v>
      </c>
      <c r="Q339" s="13" t="str">
        <f t="shared" si="30"/>
        <v/>
      </c>
      <c r="R339" s="6" t="str">
        <f t="shared" si="31"/>
        <v/>
      </c>
      <c r="S339" s="6" t="str">
        <f t="shared" si="32"/>
        <v/>
      </c>
      <c r="T339" s="6" t="str">
        <f t="shared" si="33"/>
        <v/>
      </c>
      <c r="U339" s="6" t="str">
        <f t="shared" si="34"/>
        <v/>
      </c>
      <c r="AB339" s="13"/>
    </row>
    <row r="340" spans="10:28" ht="15.6" customHeight="1" x14ac:dyDescent="0.3">
      <c r="J340" s="13">
        <v>336</v>
      </c>
      <c r="Q340" s="13" t="str">
        <f t="shared" si="30"/>
        <v/>
      </c>
      <c r="R340" s="6" t="str">
        <f t="shared" si="31"/>
        <v/>
      </c>
      <c r="S340" s="6" t="str">
        <f t="shared" si="32"/>
        <v/>
      </c>
      <c r="T340" s="6" t="str">
        <f t="shared" si="33"/>
        <v/>
      </c>
      <c r="U340" s="6" t="str">
        <f t="shared" si="34"/>
        <v/>
      </c>
      <c r="AB340" s="13"/>
    </row>
    <row r="341" spans="10:28" ht="15.6" customHeight="1" x14ac:dyDescent="0.3">
      <c r="J341" s="13">
        <v>337</v>
      </c>
      <c r="Q341" s="13" t="str">
        <f t="shared" si="30"/>
        <v/>
      </c>
      <c r="R341" s="6" t="str">
        <f t="shared" si="31"/>
        <v/>
      </c>
      <c r="S341" s="6" t="str">
        <f t="shared" si="32"/>
        <v/>
      </c>
      <c r="T341" s="6" t="str">
        <f t="shared" si="33"/>
        <v/>
      </c>
      <c r="U341" s="6" t="str">
        <f t="shared" si="34"/>
        <v/>
      </c>
      <c r="AB341" s="13"/>
    </row>
    <row r="342" spans="10:28" ht="15.6" customHeight="1" x14ac:dyDescent="0.3">
      <c r="J342" s="13">
        <v>338</v>
      </c>
      <c r="Q342" s="13" t="str">
        <f t="shared" si="30"/>
        <v/>
      </c>
      <c r="R342" s="6" t="str">
        <f t="shared" si="31"/>
        <v/>
      </c>
      <c r="S342" s="6" t="str">
        <f t="shared" si="32"/>
        <v/>
      </c>
      <c r="T342" s="6" t="str">
        <f t="shared" si="33"/>
        <v/>
      </c>
      <c r="U342" s="6" t="str">
        <f t="shared" si="34"/>
        <v/>
      </c>
      <c r="AB342" s="13"/>
    </row>
    <row r="343" spans="10:28" ht="15.6" customHeight="1" x14ac:dyDescent="0.3">
      <c r="J343" s="13">
        <v>339</v>
      </c>
      <c r="Q343" s="13" t="str">
        <f t="shared" si="30"/>
        <v/>
      </c>
      <c r="R343" s="6" t="str">
        <f t="shared" si="31"/>
        <v/>
      </c>
      <c r="S343" s="6" t="str">
        <f t="shared" si="32"/>
        <v/>
      </c>
      <c r="T343" s="6" t="str">
        <f t="shared" si="33"/>
        <v/>
      </c>
      <c r="U343" s="6" t="str">
        <f t="shared" si="34"/>
        <v/>
      </c>
      <c r="AB343" s="13"/>
    </row>
    <row r="344" spans="10:28" ht="15.6" customHeight="1" x14ac:dyDescent="0.3">
      <c r="J344" s="13">
        <v>340</v>
      </c>
      <c r="Q344" s="13" t="str">
        <f t="shared" si="30"/>
        <v/>
      </c>
      <c r="R344" s="6" t="str">
        <f t="shared" si="31"/>
        <v/>
      </c>
      <c r="S344" s="6" t="str">
        <f t="shared" si="32"/>
        <v/>
      </c>
      <c r="T344" s="6" t="str">
        <f t="shared" si="33"/>
        <v/>
      </c>
      <c r="U344" s="6" t="str">
        <f t="shared" si="34"/>
        <v/>
      </c>
      <c r="AB344" s="13"/>
    </row>
    <row r="345" spans="10:28" ht="15.6" customHeight="1" x14ac:dyDescent="0.3">
      <c r="J345" s="13">
        <v>341</v>
      </c>
      <c r="Q345" s="13" t="str">
        <f t="shared" si="30"/>
        <v/>
      </c>
      <c r="R345" s="6" t="str">
        <f t="shared" si="31"/>
        <v/>
      </c>
      <c r="S345" s="6" t="str">
        <f t="shared" si="32"/>
        <v/>
      </c>
      <c r="T345" s="6" t="str">
        <f t="shared" si="33"/>
        <v/>
      </c>
      <c r="U345" s="6" t="str">
        <f t="shared" si="34"/>
        <v/>
      </c>
      <c r="AB345" s="13"/>
    </row>
    <row r="346" spans="10:28" ht="15.6" customHeight="1" x14ac:dyDescent="0.3">
      <c r="J346" s="13">
        <v>342</v>
      </c>
      <c r="Q346" s="13" t="str">
        <f t="shared" si="30"/>
        <v/>
      </c>
      <c r="R346" s="6" t="str">
        <f t="shared" si="31"/>
        <v/>
      </c>
      <c r="S346" s="6" t="str">
        <f t="shared" si="32"/>
        <v/>
      </c>
      <c r="T346" s="6" t="str">
        <f t="shared" si="33"/>
        <v/>
      </c>
      <c r="U346" s="6" t="str">
        <f t="shared" si="34"/>
        <v/>
      </c>
      <c r="AB346" s="13"/>
    </row>
    <row r="347" spans="10:28" ht="15.6" customHeight="1" x14ac:dyDescent="0.3">
      <c r="J347" s="13">
        <v>343</v>
      </c>
      <c r="Q347" s="13" t="str">
        <f t="shared" si="30"/>
        <v/>
      </c>
      <c r="R347" s="6" t="str">
        <f t="shared" si="31"/>
        <v/>
      </c>
      <c r="S347" s="6" t="str">
        <f t="shared" si="32"/>
        <v/>
      </c>
      <c r="T347" s="6" t="str">
        <f t="shared" si="33"/>
        <v/>
      </c>
      <c r="U347" s="6" t="str">
        <f t="shared" si="34"/>
        <v/>
      </c>
      <c r="AB347" s="13"/>
    </row>
    <row r="348" spans="10:28" ht="15.6" customHeight="1" x14ac:dyDescent="0.3">
      <c r="J348" s="13">
        <v>344</v>
      </c>
      <c r="Q348" s="13" t="str">
        <f t="shared" si="30"/>
        <v/>
      </c>
      <c r="R348" s="6" t="str">
        <f t="shared" si="31"/>
        <v/>
      </c>
      <c r="S348" s="6" t="str">
        <f t="shared" si="32"/>
        <v/>
      </c>
      <c r="T348" s="6" t="str">
        <f t="shared" si="33"/>
        <v/>
      </c>
      <c r="U348" s="6" t="str">
        <f t="shared" si="34"/>
        <v/>
      </c>
      <c r="AB348" s="13"/>
    </row>
    <row r="349" spans="10:28" ht="15.6" customHeight="1" x14ac:dyDescent="0.3">
      <c r="J349" s="13">
        <v>345</v>
      </c>
      <c r="Q349" s="13" t="str">
        <f t="shared" si="30"/>
        <v/>
      </c>
      <c r="R349" s="6" t="str">
        <f t="shared" si="31"/>
        <v/>
      </c>
      <c r="S349" s="6" t="str">
        <f t="shared" si="32"/>
        <v/>
      </c>
      <c r="T349" s="6" t="str">
        <f t="shared" si="33"/>
        <v/>
      </c>
      <c r="U349" s="6" t="str">
        <f t="shared" si="34"/>
        <v/>
      </c>
      <c r="AB349" s="13"/>
    </row>
    <row r="350" spans="10:28" ht="15.6" customHeight="1" x14ac:dyDescent="0.3">
      <c r="J350" s="13">
        <v>346</v>
      </c>
      <c r="Q350" s="13" t="str">
        <f t="shared" si="30"/>
        <v/>
      </c>
      <c r="R350" s="6" t="str">
        <f t="shared" si="31"/>
        <v/>
      </c>
      <c r="S350" s="6" t="str">
        <f t="shared" si="32"/>
        <v/>
      </c>
      <c r="T350" s="6" t="str">
        <f t="shared" si="33"/>
        <v/>
      </c>
      <c r="U350" s="6" t="str">
        <f t="shared" si="34"/>
        <v/>
      </c>
      <c r="AB350" s="13"/>
    </row>
    <row r="351" spans="10:28" ht="15.6" customHeight="1" x14ac:dyDescent="0.3">
      <c r="J351" s="13">
        <v>347</v>
      </c>
      <c r="Q351" s="13" t="str">
        <f t="shared" si="30"/>
        <v/>
      </c>
      <c r="R351" s="6" t="str">
        <f t="shared" si="31"/>
        <v/>
      </c>
      <c r="S351" s="6" t="str">
        <f t="shared" si="32"/>
        <v/>
      </c>
      <c r="T351" s="6" t="str">
        <f t="shared" si="33"/>
        <v/>
      </c>
      <c r="U351" s="6" t="str">
        <f t="shared" si="34"/>
        <v/>
      </c>
      <c r="AB351" s="13"/>
    </row>
    <row r="352" spans="10:28" ht="15.6" customHeight="1" x14ac:dyDescent="0.3">
      <c r="J352" s="13">
        <v>348</v>
      </c>
      <c r="Q352" s="13" t="str">
        <f t="shared" si="30"/>
        <v/>
      </c>
      <c r="R352" s="6" t="str">
        <f t="shared" si="31"/>
        <v/>
      </c>
      <c r="S352" s="6" t="str">
        <f t="shared" si="32"/>
        <v/>
      </c>
      <c r="T352" s="6" t="str">
        <f t="shared" si="33"/>
        <v/>
      </c>
      <c r="U352" s="6" t="str">
        <f t="shared" si="34"/>
        <v/>
      </c>
      <c r="AB352" s="13"/>
    </row>
    <row r="353" spans="10:28" ht="15.6" customHeight="1" x14ac:dyDescent="0.3">
      <c r="J353" s="13">
        <v>349</v>
      </c>
      <c r="Q353" s="13" t="str">
        <f t="shared" si="30"/>
        <v/>
      </c>
      <c r="R353" s="6" t="str">
        <f t="shared" si="31"/>
        <v/>
      </c>
      <c r="S353" s="6" t="str">
        <f t="shared" si="32"/>
        <v/>
      </c>
      <c r="T353" s="6" t="str">
        <f t="shared" si="33"/>
        <v/>
      </c>
      <c r="U353" s="6" t="str">
        <f t="shared" si="34"/>
        <v/>
      </c>
      <c r="AB353" s="13"/>
    </row>
    <row r="354" spans="10:28" ht="15.6" customHeight="1" x14ac:dyDescent="0.3">
      <c r="J354" s="13">
        <v>350</v>
      </c>
      <c r="Q354" s="13" t="str">
        <f t="shared" si="30"/>
        <v/>
      </c>
      <c r="R354" s="6" t="str">
        <f t="shared" si="31"/>
        <v/>
      </c>
      <c r="S354" s="6" t="str">
        <f t="shared" si="32"/>
        <v/>
      </c>
      <c r="T354" s="6" t="str">
        <f t="shared" si="33"/>
        <v/>
      </c>
      <c r="U354" s="6" t="str">
        <f t="shared" si="34"/>
        <v/>
      </c>
      <c r="AB354" s="13"/>
    </row>
    <row r="355" spans="10:28" ht="15.6" customHeight="1" x14ac:dyDescent="0.3">
      <c r="J355" s="13">
        <v>351</v>
      </c>
      <c r="Q355" s="13" t="str">
        <f t="shared" si="30"/>
        <v/>
      </c>
      <c r="R355" s="6" t="str">
        <f t="shared" si="31"/>
        <v/>
      </c>
      <c r="S355" s="6" t="str">
        <f t="shared" si="32"/>
        <v/>
      </c>
      <c r="T355" s="6" t="str">
        <f t="shared" si="33"/>
        <v/>
      </c>
      <c r="U355" s="6" t="str">
        <f t="shared" si="34"/>
        <v/>
      </c>
      <c r="AB355" s="13"/>
    </row>
    <row r="356" spans="10:28" ht="15.6" customHeight="1" x14ac:dyDescent="0.3">
      <c r="J356" s="13">
        <v>352</v>
      </c>
      <c r="Q356" s="13" t="str">
        <f t="shared" si="30"/>
        <v/>
      </c>
      <c r="R356" s="6" t="str">
        <f t="shared" si="31"/>
        <v/>
      </c>
      <c r="S356" s="6" t="str">
        <f t="shared" si="32"/>
        <v/>
      </c>
      <c r="T356" s="6" t="str">
        <f t="shared" si="33"/>
        <v/>
      </c>
      <c r="U356" s="6" t="str">
        <f t="shared" si="34"/>
        <v/>
      </c>
      <c r="AB356" s="13"/>
    </row>
    <row r="357" spans="10:28" ht="15.6" customHeight="1" x14ac:dyDescent="0.3">
      <c r="J357" s="13">
        <v>353</v>
      </c>
      <c r="Q357" s="13" t="str">
        <f t="shared" si="30"/>
        <v/>
      </c>
      <c r="R357" s="6" t="str">
        <f t="shared" si="31"/>
        <v/>
      </c>
      <c r="S357" s="6" t="str">
        <f t="shared" si="32"/>
        <v/>
      </c>
      <c r="T357" s="6" t="str">
        <f t="shared" si="33"/>
        <v/>
      </c>
      <c r="U357" s="6" t="str">
        <f t="shared" si="34"/>
        <v/>
      </c>
      <c r="AB357" s="13"/>
    </row>
    <row r="358" spans="10:28" ht="15.6" customHeight="1" x14ac:dyDescent="0.3">
      <c r="J358" s="13">
        <v>354</v>
      </c>
      <c r="Q358" s="13" t="str">
        <f t="shared" si="30"/>
        <v/>
      </c>
      <c r="R358" s="6" t="str">
        <f t="shared" si="31"/>
        <v/>
      </c>
      <c r="S358" s="6" t="str">
        <f t="shared" si="32"/>
        <v/>
      </c>
      <c r="T358" s="6" t="str">
        <f t="shared" si="33"/>
        <v/>
      </c>
      <c r="U358" s="6" t="str">
        <f t="shared" si="34"/>
        <v/>
      </c>
      <c r="AB358" s="13"/>
    </row>
    <row r="359" spans="10:28" ht="15.6" customHeight="1" x14ac:dyDescent="0.3">
      <c r="J359" s="13">
        <v>355</v>
      </c>
      <c r="Q359" s="13" t="str">
        <f t="shared" si="30"/>
        <v/>
      </c>
      <c r="R359" s="6" t="str">
        <f t="shared" si="31"/>
        <v/>
      </c>
      <c r="S359" s="6" t="str">
        <f t="shared" si="32"/>
        <v/>
      </c>
      <c r="T359" s="6" t="str">
        <f t="shared" si="33"/>
        <v/>
      </c>
      <c r="U359" s="6" t="str">
        <f t="shared" si="34"/>
        <v/>
      </c>
      <c r="AB359" s="13"/>
    </row>
    <row r="360" spans="10:28" ht="15.6" customHeight="1" x14ac:dyDescent="0.3">
      <c r="J360" s="13">
        <v>356</v>
      </c>
      <c r="Q360" s="13" t="str">
        <f t="shared" si="30"/>
        <v/>
      </c>
      <c r="R360" s="6" t="str">
        <f t="shared" si="31"/>
        <v/>
      </c>
      <c r="S360" s="6" t="str">
        <f t="shared" si="32"/>
        <v/>
      </c>
      <c r="T360" s="6" t="str">
        <f t="shared" si="33"/>
        <v/>
      </c>
      <c r="U360" s="6" t="str">
        <f t="shared" si="34"/>
        <v/>
      </c>
      <c r="AB360" s="13"/>
    </row>
    <row r="361" spans="10:28" ht="15.6" customHeight="1" x14ac:dyDescent="0.3">
      <c r="J361" s="13">
        <v>357</v>
      </c>
      <c r="Q361" s="13" t="str">
        <f t="shared" si="30"/>
        <v/>
      </c>
      <c r="R361" s="6" t="str">
        <f t="shared" si="31"/>
        <v/>
      </c>
      <c r="S361" s="6" t="str">
        <f t="shared" si="32"/>
        <v/>
      </c>
      <c r="T361" s="6" t="str">
        <f t="shared" si="33"/>
        <v/>
      </c>
      <c r="U361" s="6" t="str">
        <f t="shared" si="34"/>
        <v/>
      </c>
      <c r="AB361" s="13"/>
    </row>
    <row r="362" spans="10:28" ht="15.6" customHeight="1" x14ac:dyDescent="0.3">
      <c r="J362" s="13">
        <v>358</v>
      </c>
      <c r="Q362" s="13" t="str">
        <f t="shared" si="30"/>
        <v/>
      </c>
      <c r="R362" s="6" t="str">
        <f t="shared" si="31"/>
        <v/>
      </c>
      <c r="S362" s="6" t="str">
        <f t="shared" si="32"/>
        <v/>
      </c>
      <c r="T362" s="6" t="str">
        <f t="shared" si="33"/>
        <v/>
      </c>
      <c r="U362" s="6" t="str">
        <f t="shared" si="34"/>
        <v/>
      </c>
      <c r="AB362" s="13"/>
    </row>
    <row r="363" spans="10:28" ht="15.6" customHeight="1" x14ac:dyDescent="0.3">
      <c r="J363" s="13">
        <v>359</v>
      </c>
      <c r="Q363" s="13" t="str">
        <f t="shared" si="30"/>
        <v/>
      </c>
      <c r="R363" s="6" t="str">
        <f t="shared" si="31"/>
        <v/>
      </c>
      <c r="S363" s="6" t="str">
        <f t="shared" si="32"/>
        <v/>
      </c>
      <c r="T363" s="6" t="str">
        <f t="shared" si="33"/>
        <v/>
      </c>
      <c r="U363" s="6" t="str">
        <f t="shared" si="34"/>
        <v/>
      </c>
      <c r="AB363" s="13"/>
    </row>
    <row r="364" spans="10:28" ht="15.6" customHeight="1" x14ac:dyDescent="0.3">
      <c r="J364" s="13">
        <v>360</v>
      </c>
      <c r="Q364" s="13" t="str">
        <f t="shared" si="30"/>
        <v/>
      </c>
      <c r="R364" s="6" t="str">
        <f t="shared" si="31"/>
        <v/>
      </c>
      <c r="S364" s="6" t="str">
        <f t="shared" si="32"/>
        <v/>
      </c>
      <c r="T364" s="6" t="str">
        <f t="shared" si="33"/>
        <v/>
      </c>
      <c r="U364" s="6" t="str">
        <f t="shared" si="34"/>
        <v/>
      </c>
      <c r="AB364" s="13"/>
    </row>
    <row r="365" spans="10:28" ht="15.6" customHeight="1" x14ac:dyDescent="0.3">
      <c r="J365" s="13">
        <v>361</v>
      </c>
      <c r="Q365" s="13" t="str">
        <f t="shared" si="30"/>
        <v/>
      </c>
      <c r="R365" s="6" t="str">
        <f t="shared" si="31"/>
        <v/>
      </c>
      <c r="S365" s="6" t="str">
        <f t="shared" si="32"/>
        <v/>
      </c>
      <c r="T365" s="6" t="str">
        <f t="shared" si="33"/>
        <v/>
      </c>
      <c r="U365" s="6" t="str">
        <f t="shared" si="34"/>
        <v/>
      </c>
      <c r="AB365" s="13"/>
    </row>
    <row r="366" spans="10:28" ht="15.6" customHeight="1" x14ac:dyDescent="0.3">
      <c r="J366" s="13">
        <v>362</v>
      </c>
      <c r="Q366" s="13" t="str">
        <f t="shared" si="30"/>
        <v/>
      </c>
      <c r="R366" s="6" t="str">
        <f t="shared" si="31"/>
        <v/>
      </c>
      <c r="S366" s="6" t="str">
        <f t="shared" si="32"/>
        <v/>
      </c>
      <c r="T366" s="6" t="str">
        <f t="shared" si="33"/>
        <v/>
      </c>
      <c r="U366" s="6" t="str">
        <f t="shared" si="34"/>
        <v/>
      </c>
      <c r="AB366" s="13"/>
    </row>
    <row r="367" spans="10:28" ht="15.6" customHeight="1" x14ac:dyDescent="0.3">
      <c r="J367" s="13">
        <v>363</v>
      </c>
      <c r="Q367" s="13" t="str">
        <f t="shared" si="30"/>
        <v/>
      </c>
      <c r="R367" s="6" t="str">
        <f t="shared" si="31"/>
        <v/>
      </c>
      <c r="S367" s="6" t="str">
        <f t="shared" si="32"/>
        <v/>
      </c>
      <c r="T367" s="6" t="str">
        <f t="shared" si="33"/>
        <v/>
      </c>
      <c r="U367" s="6" t="str">
        <f t="shared" si="34"/>
        <v/>
      </c>
      <c r="AB367" s="13"/>
    </row>
    <row r="368" spans="10:28" ht="15.6" customHeight="1" x14ac:dyDescent="0.3">
      <c r="J368" s="13">
        <v>364</v>
      </c>
      <c r="Q368" s="13" t="str">
        <f t="shared" si="30"/>
        <v/>
      </c>
      <c r="R368" s="6" t="str">
        <f t="shared" si="31"/>
        <v/>
      </c>
      <c r="S368" s="6" t="str">
        <f t="shared" si="32"/>
        <v/>
      </c>
      <c r="T368" s="6" t="str">
        <f t="shared" si="33"/>
        <v/>
      </c>
      <c r="U368" s="6" t="str">
        <f t="shared" si="34"/>
        <v/>
      </c>
      <c r="AB368" s="13"/>
    </row>
    <row r="369" spans="10:28" ht="15.6" customHeight="1" x14ac:dyDescent="0.3">
      <c r="J369" s="13">
        <v>365</v>
      </c>
      <c r="Q369" s="13" t="str">
        <f t="shared" si="30"/>
        <v/>
      </c>
      <c r="R369" s="6" t="str">
        <f t="shared" si="31"/>
        <v/>
      </c>
      <c r="S369" s="6" t="str">
        <f t="shared" si="32"/>
        <v/>
      </c>
      <c r="T369" s="6" t="str">
        <f t="shared" si="33"/>
        <v/>
      </c>
      <c r="U369" s="6" t="str">
        <f t="shared" si="34"/>
        <v/>
      </c>
      <c r="AB369" s="13"/>
    </row>
    <row r="370" spans="10:28" ht="15.6" customHeight="1" x14ac:dyDescent="0.3">
      <c r="J370" s="13">
        <v>366</v>
      </c>
      <c r="Q370" s="13" t="str">
        <f t="shared" si="30"/>
        <v/>
      </c>
      <c r="R370" s="6" t="str">
        <f t="shared" si="31"/>
        <v/>
      </c>
      <c r="S370" s="6" t="str">
        <f t="shared" si="32"/>
        <v/>
      </c>
      <c r="T370" s="6" t="str">
        <f t="shared" si="33"/>
        <v/>
      </c>
      <c r="U370" s="6" t="str">
        <f t="shared" si="34"/>
        <v/>
      </c>
      <c r="AB370" s="13"/>
    </row>
    <row r="371" spans="10:28" ht="15.6" customHeight="1" x14ac:dyDescent="0.3">
      <c r="J371" s="13">
        <v>367</v>
      </c>
      <c r="Q371" s="13" t="str">
        <f t="shared" si="30"/>
        <v/>
      </c>
      <c r="R371" s="6" t="str">
        <f t="shared" si="31"/>
        <v/>
      </c>
      <c r="S371" s="6" t="str">
        <f t="shared" si="32"/>
        <v/>
      </c>
      <c r="T371" s="6" t="str">
        <f t="shared" si="33"/>
        <v/>
      </c>
      <c r="U371" s="6" t="str">
        <f t="shared" si="34"/>
        <v/>
      </c>
      <c r="AB371" s="13"/>
    </row>
    <row r="372" spans="10:28" ht="15.6" customHeight="1" x14ac:dyDescent="0.3">
      <c r="J372" s="13">
        <v>368</v>
      </c>
      <c r="Q372" s="13" t="str">
        <f t="shared" si="30"/>
        <v/>
      </c>
      <c r="R372" s="6" t="str">
        <f t="shared" si="31"/>
        <v/>
      </c>
      <c r="S372" s="6" t="str">
        <f t="shared" si="32"/>
        <v/>
      </c>
      <c r="T372" s="6" t="str">
        <f t="shared" si="33"/>
        <v/>
      </c>
      <c r="U372" s="6" t="str">
        <f t="shared" si="34"/>
        <v/>
      </c>
      <c r="AB372" s="13"/>
    </row>
    <row r="373" spans="10:28" ht="15.6" customHeight="1" x14ac:dyDescent="0.3">
      <c r="J373" s="13">
        <v>369</v>
      </c>
      <c r="Q373" s="13" t="str">
        <f t="shared" si="30"/>
        <v/>
      </c>
      <c r="R373" s="6" t="str">
        <f t="shared" si="31"/>
        <v/>
      </c>
      <c r="S373" s="6" t="str">
        <f t="shared" si="32"/>
        <v/>
      </c>
      <c r="T373" s="6" t="str">
        <f t="shared" si="33"/>
        <v/>
      </c>
      <c r="U373" s="6" t="str">
        <f t="shared" si="34"/>
        <v/>
      </c>
      <c r="AB373" s="13"/>
    </row>
    <row r="374" spans="10:28" ht="15.6" customHeight="1" x14ac:dyDescent="0.3">
      <c r="J374" s="13">
        <v>370</v>
      </c>
      <c r="Q374" s="13" t="str">
        <f t="shared" si="30"/>
        <v/>
      </c>
      <c r="R374" s="6" t="str">
        <f t="shared" si="31"/>
        <v/>
      </c>
      <c r="S374" s="6" t="str">
        <f t="shared" si="32"/>
        <v/>
      </c>
      <c r="T374" s="6" t="str">
        <f t="shared" si="33"/>
        <v/>
      </c>
      <c r="U374" s="6" t="str">
        <f t="shared" si="34"/>
        <v/>
      </c>
      <c r="AB374" s="13"/>
    </row>
    <row r="375" spans="10:28" ht="15.6" customHeight="1" x14ac:dyDescent="0.3">
      <c r="J375" s="13">
        <v>371</v>
      </c>
      <c r="Q375" s="13" t="str">
        <f t="shared" si="30"/>
        <v/>
      </c>
      <c r="R375" s="6" t="str">
        <f t="shared" si="31"/>
        <v/>
      </c>
      <c r="S375" s="6" t="str">
        <f t="shared" si="32"/>
        <v/>
      </c>
      <c r="T375" s="6" t="str">
        <f t="shared" si="33"/>
        <v/>
      </c>
      <c r="U375" s="6" t="str">
        <f t="shared" si="34"/>
        <v/>
      </c>
      <c r="AB375" s="13"/>
    </row>
    <row r="376" spans="10:28" ht="15.6" customHeight="1" x14ac:dyDescent="0.3">
      <c r="J376" s="13">
        <v>372</v>
      </c>
      <c r="Q376" s="13" t="str">
        <f t="shared" si="30"/>
        <v/>
      </c>
      <c r="R376" s="6" t="str">
        <f t="shared" si="31"/>
        <v/>
      </c>
      <c r="S376" s="6" t="str">
        <f t="shared" si="32"/>
        <v/>
      </c>
      <c r="T376" s="6" t="str">
        <f t="shared" si="33"/>
        <v/>
      </c>
      <c r="U376" s="6" t="str">
        <f t="shared" si="34"/>
        <v/>
      </c>
      <c r="AB376" s="13"/>
    </row>
    <row r="377" spans="10:28" ht="15.6" customHeight="1" x14ac:dyDescent="0.3">
      <c r="J377" s="13">
        <v>373</v>
      </c>
      <c r="Q377" s="13" t="str">
        <f t="shared" si="30"/>
        <v/>
      </c>
      <c r="R377" s="6" t="str">
        <f t="shared" si="31"/>
        <v/>
      </c>
      <c r="S377" s="6" t="str">
        <f t="shared" si="32"/>
        <v/>
      </c>
      <c r="T377" s="6" t="str">
        <f t="shared" si="33"/>
        <v/>
      </c>
      <c r="U377" s="6" t="str">
        <f t="shared" si="34"/>
        <v/>
      </c>
      <c r="AB377" s="13"/>
    </row>
    <row r="378" spans="10:28" ht="15.6" customHeight="1" x14ac:dyDescent="0.3">
      <c r="J378" s="13">
        <v>374</v>
      </c>
      <c r="Q378" s="13" t="str">
        <f t="shared" si="30"/>
        <v/>
      </c>
      <c r="R378" s="6" t="str">
        <f t="shared" si="31"/>
        <v/>
      </c>
      <c r="S378" s="6" t="str">
        <f t="shared" si="32"/>
        <v/>
      </c>
      <c r="T378" s="6" t="str">
        <f t="shared" si="33"/>
        <v/>
      </c>
      <c r="U378" s="6" t="str">
        <f t="shared" si="34"/>
        <v/>
      </c>
      <c r="AB378" s="13"/>
    </row>
    <row r="379" spans="10:28" ht="15.6" customHeight="1" x14ac:dyDescent="0.3">
      <c r="J379" s="13">
        <v>375</v>
      </c>
      <c r="Q379" s="13" t="str">
        <f t="shared" si="30"/>
        <v/>
      </c>
      <c r="R379" s="6" t="str">
        <f t="shared" si="31"/>
        <v/>
      </c>
      <c r="S379" s="6" t="str">
        <f t="shared" si="32"/>
        <v/>
      </c>
      <c r="T379" s="6" t="str">
        <f t="shared" si="33"/>
        <v/>
      </c>
      <c r="U379" s="6" t="str">
        <f t="shared" si="34"/>
        <v/>
      </c>
      <c r="AB379" s="13"/>
    </row>
    <row r="380" spans="10:28" ht="15.6" customHeight="1" x14ac:dyDescent="0.3">
      <c r="J380" s="13">
        <v>376</v>
      </c>
      <c r="Q380" s="13" t="str">
        <f t="shared" si="30"/>
        <v/>
      </c>
      <c r="R380" s="6" t="str">
        <f t="shared" si="31"/>
        <v/>
      </c>
      <c r="S380" s="6" t="str">
        <f t="shared" si="32"/>
        <v/>
      </c>
      <c r="T380" s="6" t="str">
        <f t="shared" si="33"/>
        <v/>
      </c>
      <c r="U380" s="6" t="str">
        <f t="shared" si="34"/>
        <v/>
      </c>
      <c r="AB380" s="13"/>
    </row>
    <row r="381" spans="10:28" ht="15.6" customHeight="1" x14ac:dyDescent="0.3">
      <c r="J381" s="13">
        <v>377</v>
      </c>
      <c r="Q381" s="13" t="str">
        <f t="shared" si="30"/>
        <v/>
      </c>
      <c r="R381" s="6" t="str">
        <f t="shared" si="31"/>
        <v/>
      </c>
      <c r="S381" s="6" t="str">
        <f t="shared" si="32"/>
        <v/>
      </c>
      <c r="T381" s="6" t="str">
        <f t="shared" si="33"/>
        <v/>
      </c>
      <c r="U381" s="6" t="str">
        <f t="shared" si="34"/>
        <v/>
      </c>
      <c r="AB381" s="13"/>
    </row>
    <row r="382" spans="10:28" ht="15.6" customHeight="1" x14ac:dyDescent="0.3">
      <c r="J382" s="13">
        <v>378</v>
      </c>
      <c r="Q382" s="13" t="str">
        <f t="shared" si="30"/>
        <v/>
      </c>
      <c r="R382" s="6" t="str">
        <f t="shared" si="31"/>
        <v/>
      </c>
      <c r="S382" s="6" t="str">
        <f t="shared" si="32"/>
        <v/>
      </c>
      <c r="T382" s="6" t="str">
        <f t="shared" si="33"/>
        <v/>
      </c>
      <c r="U382" s="6" t="str">
        <f t="shared" si="34"/>
        <v/>
      </c>
      <c r="AB382" s="13"/>
    </row>
    <row r="383" spans="10:28" ht="15.6" customHeight="1" x14ac:dyDescent="0.3">
      <c r="J383" s="13">
        <v>379</v>
      </c>
      <c r="Q383" s="13" t="str">
        <f t="shared" si="30"/>
        <v/>
      </c>
      <c r="R383" s="6" t="str">
        <f t="shared" si="31"/>
        <v/>
      </c>
      <c r="S383" s="6" t="str">
        <f t="shared" si="32"/>
        <v/>
      </c>
      <c r="T383" s="6" t="str">
        <f t="shared" si="33"/>
        <v/>
      </c>
      <c r="U383" s="6" t="str">
        <f t="shared" si="34"/>
        <v/>
      </c>
      <c r="AB383" s="13"/>
    </row>
    <row r="384" spans="10:28" ht="15.6" customHeight="1" x14ac:dyDescent="0.3">
      <c r="J384" s="13">
        <v>380</v>
      </c>
      <c r="Q384" s="13" t="str">
        <f t="shared" si="30"/>
        <v/>
      </c>
      <c r="R384" s="6" t="str">
        <f t="shared" si="31"/>
        <v/>
      </c>
      <c r="S384" s="6" t="str">
        <f t="shared" si="32"/>
        <v/>
      </c>
      <c r="T384" s="6" t="str">
        <f t="shared" si="33"/>
        <v/>
      </c>
      <c r="U384" s="6" t="str">
        <f t="shared" si="34"/>
        <v/>
      </c>
      <c r="AB384" s="13"/>
    </row>
    <row r="385" spans="10:28" ht="15.6" customHeight="1" x14ac:dyDescent="0.3">
      <c r="J385" s="13">
        <v>381</v>
      </c>
      <c r="Q385" s="13" t="str">
        <f t="shared" si="30"/>
        <v/>
      </c>
      <c r="R385" s="6" t="str">
        <f t="shared" si="31"/>
        <v/>
      </c>
      <c r="S385" s="6" t="str">
        <f t="shared" si="32"/>
        <v/>
      </c>
      <c r="T385" s="6" t="str">
        <f t="shared" si="33"/>
        <v/>
      </c>
      <c r="U385" s="6" t="str">
        <f t="shared" si="34"/>
        <v/>
      </c>
      <c r="AB385" s="13"/>
    </row>
    <row r="386" spans="10:28" ht="15.6" customHeight="1" x14ac:dyDescent="0.3">
      <c r="J386" s="13">
        <v>382</v>
      </c>
      <c r="Q386" s="13" t="str">
        <f t="shared" si="30"/>
        <v/>
      </c>
      <c r="R386" s="6" t="str">
        <f t="shared" si="31"/>
        <v/>
      </c>
      <c r="S386" s="6" t="str">
        <f t="shared" si="32"/>
        <v/>
      </c>
      <c r="T386" s="6" t="str">
        <f t="shared" si="33"/>
        <v/>
      </c>
      <c r="U386" s="6" t="str">
        <f t="shared" si="34"/>
        <v/>
      </c>
      <c r="AB386" s="13"/>
    </row>
    <row r="387" spans="10:28" ht="15.6" customHeight="1" x14ac:dyDescent="0.3">
      <c r="J387" s="13">
        <v>383</v>
      </c>
      <c r="Q387" s="13" t="str">
        <f t="shared" si="30"/>
        <v/>
      </c>
      <c r="R387" s="6" t="str">
        <f t="shared" si="31"/>
        <v/>
      </c>
      <c r="S387" s="6" t="str">
        <f t="shared" si="32"/>
        <v/>
      </c>
      <c r="T387" s="6" t="str">
        <f t="shared" si="33"/>
        <v/>
      </c>
      <c r="U387" s="6" t="str">
        <f t="shared" si="34"/>
        <v/>
      </c>
      <c r="AB387" s="13"/>
    </row>
    <row r="388" spans="10:28" ht="15.6" customHeight="1" x14ac:dyDescent="0.3">
      <c r="J388" s="13">
        <v>384</v>
      </c>
      <c r="Q388" s="13" t="str">
        <f t="shared" ref="Q388:Q403" si="35">IF(K388="","",VLOOKUP(K388,$A$4:$H$22,8,FALSE))</f>
        <v/>
      </c>
      <c r="R388" s="6" t="str">
        <f t="shared" ref="R388:R403" si="36">IF(L388="","",VLOOKUP(L388,$A$4:$H$22,8,FALSE))</f>
        <v/>
      </c>
      <c r="S388" s="6" t="str">
        <f t="shared" ref="S388:S403" si="37">IF(M388="","",VLOOKUP(M388,$A$4:$H$22,8,FALSE))</f>
        <v/>
      </c>
      <c r="T388" s="6" t="str">
        <f t="shared" ref="T388:T403" si="38">IF(N388="","",VLOOKUP(N388,$A$4:$H$22,8,FALSE))</f>
        <v/>
      </c>
      <c r="U388" s="6" t="str">
        <f t="shared" ref="U388:U403" si="39">IF(O388="","",VLOOKUP(O388,$A$4:$H$22,8,FALSE))</f>
        <v/>
      </c>
      <c r="AB388" s="13"/>
    </row>
    <row r="389" spans="10:28" ht="15.6" customHeight="1" x14ac:dyDescent="0.3">
      <c r="J389" s="13">
        <v>385</v>
      </c>
      <c r="Q389" s="13" t="str">
        <f t="shared" si="35"/>
        <v/>
      </c>
      <c r="R389" s="6" t="str">
        <f t="shared" si="36"/>
        <v/>
      </c>
      <c r="S389" s="6" t="str">
        <f t="shared" si="37"/>
        <v/>
      </c>
      <c r="T389" s="6" t="str">
        <f t="shared" si="38"/>
        <v/>
      </c>
      <c r="U389" s="6" t="str">
        <f t="shared" si="39"/>
        <v/>
      </c>
      <c r="AB389" s="13"/>
    </row>
    <row r="390" spans="10:28" ht="15.6" customHeight="1" x14ac:dyDescent="0.3">
      <c r="J390" s="13">
        <v>386</v>
      </c>
      <c r="Q390" s="13" t="str">
        <f t="shared" si="35"/>
        <v/>
      </c>
      <c r="R390" s="6" t="str">
        <f t="shared" si="36"/>
        <v/>
      </c>
      <c r="S390" s="6" t="str">
        <f t="shared" si="37"/>
        <v/>
      </c>
      <c r="T390" s="6" t="str">
        <f t="shared" si="38"/>
        <v/>
      </c>
      <c r="U390" s="6" t="str">
        <f t="shared" si="39"/>
        <v/>
      </c>
      <c r="AB390" s="13"/>
    </row>
    <row r="391" spans="10:28" ht="15.6" customHeight="1" x14ac:dyDescent="0.3">
      <c r="J391" s="13">
        <v>387</v>
      </c>
      <c r="Q391" s="13" t="str">
        <f t="shared" si="35"/>
        <v/>
      </c>
      <c r="R391" s="6" t="str">
        <f t="shared" si="36"/>
        <v/>
      </c>
      <c r="S391" s="6" t="str">
        <f t="shared" si="37"/>
        <v/>
      </c>
      <c r="T391" s="6" t="str">
        <f t="shared" si="38"/>
        <v/>
      </c>
      <c r="U391" s="6" t="str">
        <f t="shared" si="39"/>
        <v/>
      </c>
      <c r="AB391" s="13"/>
    </row>
    <row r="392" spans="10:28" ht="15.6" customHeight="1" x14ac:dyDescent="0.3">
      <c r="J392" s="13">
        <v>388</v>
      </c>
      <c r="Q392" s="13" t="str">
        <f t="shared" si="35"/>
        <v/>
      </c>
      <c r="R392" s="6" t="str">
        <f t="shared" si="36"/>
        <v/>
      </c>
      <c r="S392" s="6" t="str">
        <f t="shared" si="37"/>
        <v/>
      </c>
      <c r="T392" s="6" t="str">
        <f t="shared" si="38"/>
        <v/>
      </c>
      <c r="U392" s="6" t="str">
        <f t="shared" si="39"/>
        <v/>
      </c>
      <c r="AB392" s="13"/>
    </row>
    <row r="393" spans="10:28" ht="15.6" customHeight="1" x14ac:dyDescent="0.3">
      <c r="J393" s="13">
        <v>389</v>
      </c>
      <c r="Q393" s="13" t="str">
        <f t="shared" si="35"/>
        <v/>
      </c>
      <c r="R393" s="6" t="str">
        <f t="shared" si="36"/>
        <v/>
      </c>
      <c r="S393" s="6" t="str">
        <f t="shared" si="37"/>
        <v/>
      </c>
      <c r="T393" s="6" t="str">
        <f t="shared" si="38"/>
        <v/>
      </c>
      <c r="U393" s="6" t="str">
        <f t="shared" si="39"/>
        <v/>
      </c>
      <c r="AB393" s="13"/>
    </row>
    <row r="394" spans="10:28" ht="15.6" customHeight="1" x14ac:dyDescent="0.3">
      <c r="J394" s="13">
        <v>390</v>
      </c>
      <c r="Q394" s="13" t="str">
        <f t="shared" si="35"/>
        <v/>
      </c>
      <c r="R394" s="6" t="str">
        <f t="shared" si="36"/>
        <v/>
      </c>
      <c r="S394" s="6" t="str">
        <f t="shared" si="37"/>
        <v/>
      </c>
      <c r="T394" s="6" t="str">
        <f t="shared" si="38"/>
        <v/>
      </c>
      <c r="U394" s="6" t="str">
        <f t="shared" si="39"/>
        <v/>
      </c>
      <c r="AB394" s="13"/>
    </row>
    <row r="395" spans="10:28" ht="15.6" customHeight="1" x14ac:dyDescent="0.3">
      <c r="J395" s="13">
        <v>391</v>
      </c>
      <c r="Q395" s="13" t="str">
        <f t="shared" si="35"/>
        <v/>
      </c>
      <c r="R395" s="6" t="str">
        <f t="shared" si="36"/>
        <v/>
      </c>
      <c r="S395" s="6" t="str">
        <f t="shared" si="37"/>
        <v/>
      </c>
      <c r="T395" s="6" t="str">
        <f t="shared" si="38"/>
        <v/>
      </c>
      <c r="U395" s="6" t="str">
        <f t="shared" si="39"/>
        <v/>
      </c>
      <c r="AB395" s="13"/>
    </row>
    <row r="396" spans="10:28" ht="15.6" customHeight="1" x14ac:dyDescent="0.3">
      <c r="J396" s="13">
        <v>392</v>
      </c>
      <c r="Q396" s="13" t="str">
        <f t="shared" si="35"/>
        <v/>
      </c>
      <c r="R396" s="6" t="str">
        <f t="shared" si="36"/>
        <v/>
      </c>
      <c r="S396" s="6" t="str">
        <f t="shared" si="37"/>
        <v/>
      </c>
      <c r="T396" s="6" t="str">
        <f t="shared" si="38"/>
        <v/>
      </c>
      <c r="U396" s="6" t="str">
        <f t="shared" si="39"/>
        <v/>
      </c>
      <c r="AB396" s="13"/>
    </row>
    <row r="397" spans="10:28" ht="15.6" customHeight="1" x14ac:dyDescent="0.3">
      <c r="J397" s="13">
        <v>393</v>
      </c>
      <c r="Q397" s="13" t="str">
        <f t="shared" si="35"/>
        <v/>
      </c>
      <c r="R397" s="6" t="str">
        <f t="shared" si="36"/>
        <v/>
      </c>
      <c r="S397" s="6" t="str">
        <f t="shared" si="37"/>
        <v/>
      </c>
      <c r="T397" s="6" t="str">
        <f t="shared" si="38"/>
        <v/>
      </c>
      <c r="U397" s="6" t="str">
        <f t="shared" si="39"/>
        <v/>
      </c>
      <c r="AB397" s="13"/>
    </row>
    <row r="398" spans="10:28" ht="15.6" customHeight="1" x14ac:dyDescent="0.3">
      <c r="J398" s="13">
        <v>394</v>
      </c>
      <c r="Q398" s="13" t="str">
        <f t="shared" si="35"/>
        <v/>
      </c>
      <c r="R398" s="6" t="str">
        <f t="shared" si="36"/>
        <v/>
      </c>
      <c r="S398" s="6" t="str">
        <f t="shared" si="37"/>
        <v/>
      </c>
      <c r="T398" s="6" t="str">
        <f t="shared" si="38"/>
        <v/>
      </c>
      <c r="U398" s="6" t="str">
        <f t="shared" si="39"/>
        <v/>
      </c>
      <c r="AB398" s="13"/>
    </row>
    <row r="399" spans="10:28" ht="15.6" customHeight="1" x14ac:dyDescent="0.3">
      <c r="J399" s="13">
        <v>395</v>
      </c>
      <c r="Q399" s="13" t="str">
        <f t="shared" si="35"/>
        <v/>
      </c>
      <c r="R399" s="6" t="str">
        <f t="shared" si="36"/>
        <v/>
      </c>
      <c r="S399" s="6" t="str">
        <f t="shared" si="37"/>
        <v/>
      </c>
      <c r="T399" s="6" t="str">
        <f t="shared" si="38"/>
        <v/>
      </c>
      <c r="U399" s="6" t="str">
        <f t="shared" si="39"/>
        <v/>
      </c>
      <c r="AB399" s="13"/>
    </row>
    <row r="400" spans="10:28" ht="15.6" customHeight="1" x14ac:dyDescent="0.3">
      <c r="J400" s="13">
        <v>396</v>
      </c>
      <c r="Q400" s="13" t="str">
        <f t="shared" si="35"/>
        <v/>
      </c>
      <c r="R400" s="6" t="str">
        <f t="shared" si="36"/>
        <v/>
      </c>
      <c r="S400" s="6" t="str">
        <f t="shared" si="37"/>
        <v/>
      </c>
      <c r="T400" s="6" t="str">
        <f t="shared" si="38"/>
        <v/>
      </c>
      <c r="U400" s="6" t="str">
        <f t="shared" si="39"/>
        <v/>
      </c>
      <c r="AB400" s="13"/>
    </row>
    <row r="401" spans="10:28" ht="15.6" customHeight="1" x14ac:dyDescent="0.3">
      <c r="J401" s="13">
        <v>397</v>
      </c>
      <c r="Q401" s="13" t="str">
        <f t="shared" si="35"/>
        <v/>
      </c>
      <c r="R401" s="6" t="str">
        <f t="shared" si="36"/>
        <v/>
      </c>
      <c r="S401" s="6" t="str">
        <f t="shared" si="37"/>
        <v/>
      </c>
      <c r="T401" s="6" t="str">
        <f t="shared" si="38"/>
        <v/>
      </c>
      <c r="U401" s="6" t="str">
        <f t="shared" si="39"/>
        <v/>
      </c>
      <c r="AB401" s="13"/>
    </row>
    <row r="402" spans="10:28" ht="15.6" customHeight="1" x14ac:dyDescent="0.3">
      <c r="J402" s="13">
        <v>398</v>
      </c>
      <c r="Q402" s="13" t="str">
        <f t="shared" si="35"/>
        <v/>
      </c>
      <c r="R402" s="6" t="str">
        <f t="shared" si="36"/>
        <v/>
      </c>
      <c r="S402" s="6" t="str">
        <f t="shared" si="37"/>
        <v/>
      </c>
      <c r="T402" s="6" t="str">
        <f t="shared" si="38"/>
        <v/>
      </c>
      <c r="U402" s="6" t="str">
        <f t="shared" si="39"/>
        <v/>
      </c>
      <c r="AB402" s="13"/>
    </row>
    <row r="403" spans="10:28" ht="15.6" customHeight="1" x14ac:dyDescent="0.3">
      <c r="J403" s="13">
        <v>399</v>
      </c>
      <c r="Q403" s="13" t="str">
        <f t="shared" si="35"/>
        <v/>
      </c>
      <c r="R403" s="6" t="str">
        <f t="shared" si="36"/>
        <v/>
      </c>
      <c r="S403" s="6" t="str">
        <f t="shared" si="37"/>
        <v/>
      </c>
      <c r="T403" s="6" t="str">
        <f t="shared" si="38"/>
        <v/>
      </c>
      <c r="U403" s="6" t="str">
        <f t="shared" si="39"/>
        <v/>
      </c>
      <c r="AB403" s="13"/>
    </row>
  </sheetData>
  <phoneticPr fontId="20" type="noConversion"/>
  <conditionalFormatting sqref="K1:O3 K198:O1048576">
    <cfRule type="cellIs" dxfId="87" priority="16" operator="equal">
      <formula>$A$10</formula>
    </cfRule>
    <cfRule type="cellIs" dxfId="86" priority="17" operator="equal">
      <formula>$A$9</formula>
    </cfRule>
    <cfRule type="cellIs" dxfId="85" priority="18" operator="equal">
      <formula>$A$8</formula>
    </cfRule>
    <cfRule type="cellIs" dxfId="84" priority="19" operator="equal">
      <formula>$A$7</formula>
    </cfRule>
    <cfRule type="cellIs" dxfId="83" priority="20" operator="equal">
      <formula>$A$6</formula>
    </cfRule>
    <cfRule type="cellIs" dxfId="82" priority="21" operator="equal">
      <formula>$A$5</formula>
    </cfRule>
    <cfRule type="cellIs" dxfId="81" priority="22" operator="equal">
      <formula>$A$4</formula>
    </cfRule>
  </conditionalFormatting>
  <conditionalFormatting sqref="K4:O197">
    <cfRule type="cellIs" dxfId="80" priority="9" operator="equal">
      <formula>$A$10</formula>
    </cfRule>
    <cfRule type="cellIs" dxfId="79" priority="10" operator="equal">
      <formula>$A$9</formula>
    </cfRule>
    <cfRule type="cellIs" dxfId="78" priority="11" operator="equal">
      <formula>$A$8</formula>
    </cfRule>
    <cfRule type="cellIs" dxfId="77" priority="12" operator="equal">
      <formula>$A$7</formula>
    </cfRule>
    <cfRule type="cellIs" dxfId="76" priority="13" operator="equal">
      <formula>$A$6</formula>
    </cfRule>
    <cfRule type="cellIs" dxfId="75" priority="14" operator="equal">
      <formula>$A$5</formula>
    </cfRule>
    <cfRule type="cellIs" dxfId="74" priority="15" operator="equal">
      <formula>$A$4</formula>
    </cfRule>
  </conditionalFormatting>
  <conditionalFormatting sqref="AA1">
    <cfRule type="cellIs" dxfId="73" priority="2" operator="equal">
      <formula>$A$10</formula>
    </cfRule>
    <cfRule type="cellIs" dxfId="72" priority="3" operator="equal">
      <formula>$A$9</formula>
    </cfRule>
    <cfRule type="cellIs" dxfId="71" priority="4" operator="equal">
      <formula>$A$8</formula>
    </cfRule>
    <cfRule type="cellIs" dxfId="70" priority="5" operator="equal">
      <formula>$A$7</formula>
    </cfRule>
    <cfRule type="cellIs" dxfId="69" priority="6" operator="equal">
      <formula>$A$6</formula>
    </cfRule>
    <cfRule type="cellIs" dxfId="68" priority="7" operator="equal">
      <formula>$A$5</formula>
    </cfRule>
    <cfRule type="cellIs" dxfId="67" priority="8" operator="equal">
      <formula>$A$4</formula>
    </cfRule>
  </conditionalFormatting>
  <conditionalFormatting sqref="W4:AA203">
    <cfRule type="expression" dxfId="66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U403"/>
  <sheetViews>
    <sheetView workbookViewId="0">
      <selection activeCell="W1" sqref="W1:AA1048576"/>
    </sheetView>
  </sheetViews>
  <sheetFormatPr defaultColWidth="9" defaultRowHeight="16.2" x14ac:dyDescent="0.3"/>
  <cols>
    <col min="1" max="1" width="10.21875" style="13" bestFit="1" customWidth="1"/>
    <col min="2" max="2" width="17.88671875" style="13" bestFit="1" customWidth="1"/>
    <col min="3" max="7" width="6.109375" style="13" bestFit="1" customWidth="1"/>
    <col min="8" max="8" width="4.6640625" style="13" bestFit="1" customWidth="1"/>
    <col min="9" max="9" width="4.33203125" style="13" customWidth="1"/>
    <col min="10" max="10" width="10.21875" style="13" bestFit="1" customWidth="1"/>
    <col min="11" max="15" width="4.6640625" style="13" bestFit="1" customWidth="1"/>
    <col min="16" max="16" width="4.33203125" style="13" customWidth="1"/>
    <col min="17" max="17" width="14.6640625" style="13" bestFit="1" customWidth="1"/>
    <col min="18" max="21" width="4.6640625" style="6" bestFit="1" customWidth="1"/>
    <col min="22" max="22" width="4.33203125" style="13" customWidth="1"/>
    <col min="23" max="23" width="19.77734375" style="13" bestFit="1" customWidth="1"/>
    <col min="24" max="27" width="8.21875" style="6" bestFit="1" customWidth="1"/>
    <col min="28" max="28" width="9" style="11" customWidth="1"/>
    <col min="29" max="29" width="41" style="13" bestFit="1" customWidth="1"/>
    <col min="30" max="30" width="10.21875" style="13" bestFit="1" customWidth="1"/>
    <col min="31" max="31" width="9" style="13" customWidth="1"/>
    <col min="32" max="32" width="28.5546875" style="6" bestFit="1" customWidth="1"/>
    <col min="33" max="37" width="10.21875" style="13" bestFit="1" customWidth="1"/>
    <col min="38" max="38" width="9" style="13" customWidth="1"/>
    <col min="39" max="39" width="32" style="18" customWidth="1"/>
    <col min="40" max="45" width="9" style="13" customWidth="1"/>
    <col min="46" max="46" width="28" style="18" customWidth="1"/>
    <col min="47" max="47" width="34" style="18" customWidth="1"/>
    <col min="48" max="59" width="9" style="13" customWidth="1"/>
    <col min="60" max="16384" width="9" style="13"/>
  </cols>
  <sheetData>
    <row r="1" spans="1:37" ht="15.6" customHeight="1" x14ac:dyDescent="0.3"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3"/>
    </row>
    <row r="2" spans="1:37" ht="15.9" customHeight="1" x14ac:dyDescent="0.3">
      <c r="I2" s="4"/>
      <c r="J2" s="16" t="s">
        <v>19</v>
      </c>
      <c r="K2" s="16"/>
      <c r="L2" s="16"/>
      <c r="M2" s="16"/>
      <c r="N2" s="16"/>
      <c r="O2" s="16"/>
      <c r="P2" s="16"/>
      <c r="Q2" s="16" t="s">
        <v>68</v>
      </c>
      <c r="R2" s="46"/>
      <c r="S2" s="46"/>
      <c r="T2" s="46"/>
      <c r="U2" s="46"/>
      <c r="V2" s="16"/>
      <c r="W2" s="16" t="s">
        <v>69</v>
      </c>
      <c r="X2" s="46"/>
      <c r="AB2" s="13"/>
      <c r="AC2" s="16" t="s">
        <v>70</v>
      </c>
      <c r="AF2" s="6" t="s">
        <v>71</v>
      </c>
    </row>
    <row r="3" spans="1:37" ht="15.9" customHeight="1" x14ac:dyDescent="0.3">
      <c r="A3" s="5" t="s">
        <v>19</v>
      </c>
      <c r="B3" s="5" t="s">
        <v>20</v>
      </c>
      <c r="C3" s="5" t="s">
        <v>72</v>
      </c>
      <c r="D3" s="5" t="s">
        <v>73</v>
      </c>
      <c r="E3" s="5" t="s">
        <v>74</v>
      </c>
      <c r="F3" s="5" t="s">
        <v>75</v>
      </c>
      <c r="G3" s="5" t="s">
        <v>76</v>
      </c>
      <c r="H3" s="5" t="s">
        <v>77</v>
      </c>
      <c r="I3" s="4"/>
      <c r="J3" s="5" t="s">
        <v>78</v>
      </c>
      <c r="K3" s="5" t="s">
        <v>72</v>
      </c>
      <c r="L3" s="5" t="s">
        <v>73</v>
      </c>
      <c r="M3" s="5" t="s">
        <v>74</v>
      </c>
      <c r="N3" s="5" t="s">
        <v>75</v>
      </c>
      <c r="O3" s="5" t="s">
        <v>76</v>
      </c>
      <c r="Q3" s="5" t="s">
        <v>72</v>
      </c>
      <c r="R3" s="5" t="s">
        <v>73</v>
      </c>
      <c r="S3" s="5" t="s">
        <v>74</v>
      </c>
      <c r="T3" s="5" t="s">
        <v>75</v>
      </c>
      <c r="U3" s="5" t="s">
        <v>76</v>
      </c>
      <c r="W3" s="5" t="s">
        <v>72</v>
      </c>
      <c r="X3" s="5" t="s">
        <v>73</v>
      </c>
      <c r="Y3" s="5" t="s">
        <v>74</v>
      </c>
      <c r="Z3" s="5" t="s">
        <v>75</v>
      </c>
      <c r="AA3" s="5" t="s">
        <v>76</v>
      </c>
      <c r="AB3" s="13"/>
      <c r="AC3" s="5" t="s">
        <v>79</v>
      </c>
      <c r="AD3" s="5" t="s">
        <v>54</v>
      </c>
      <c r="AF3" s="5" t="s">
        <v>19</v>
      </c>
      <c r="AG3" s="5" t="s">
        <v>72</v>
      </c>
      <c r="AH3" s="5" t="s">
        <v>73</v>
      </c>
      <c r="AI3" s="5" t="s">
        <v>74</v>
      </c>
      <c r="AJ3" s="5" t="s">
        <v>75</v>
      </c>
      <c r="AK3" s="5" t="s">
        <v>76</v>
      </c>
    </row>
    <row r="4" spans="1:37" ht="15.9" customHeight="1" x14ac:dyDescent="0.3">
      <c r="A4" s="9" t="str">
        <f t="array" ref="A4:A22">Overview!A30:A48</f>
        <v>WW</v>
      </c>
      <c r="B4" s="38" t="str">
        <f t="array" ref="B4:B22">Overview!B30:B48</f>
        <v>Wild</v>
      </c>
      <c r="C4" s="9">
        <f t="shared" ref="C4:C22" si="0">COUNTIF(K:K,$A4)</f>
        <v>0</v>
      </c>
      <c r="D4" s="9">
        <f t="shared" ref="D4:D22" si="1">COUNTIF(L:L,$A4)</f>
        <v>0</v>
      </c>
      <c r="E4" s="9">
        <f t="shared" ref="E4:E22" si="2">COUNTIF(M:M,$A4)</f>
        <v>0</v>
      </c>
      <c r="F4" s="9">
        <f t="shared" ref="F4:F22" si="3">COUNTIF(N:N,$A4)</f>
        <v>0</v>
      </c>
      <c r="G4" s="9">
        <f t="shared" ref="G4:G22" si="4">COUNTIF(O:O,$A4)</f>
        <v>0</v>
      </c>
      <c r="H4" s="38">
        <f t="array" ref="H4:H22">Overview!H30:H48</f>
        <v>0</v>
      </c>
      <c r="I4" s="52"/>
      <c r="J4" s="7">
        <v>0</v>
      </c>
      <c r="K4" s="41" t="s">
        <v>35</v>
      </c>
      <c r="L4" s="8" t="s">
        <v>38</v>
      </c>
      <c r="M4" s="8" t="s">
        <v>48</v>
      </c>
      <c r="N4" s="8" t="s">
        <v>48</v>
      </c>
      <c r="O4" s="8" t="s">
        <v>32</v>
      </c>
      <c r="Q4" s="17">
        <f t="shared" ref="Q4:Q67" si="5">IF(K4="","",VLOOKUP(K4,$A$4:$H$22,8,FALSE))</f>
        <v>10</v>
      </c>
      <c r="R4" s="17">
        <f t="shared" ref="R4:R67" si="6">IF(L4="","",VLOOKUP(L4,$A$4:$H$22,8,FALSE))</f>
        <v>12</v>
      </c>
      <c r="S4" s="17">
        <f t="shared" ref="S4:S67" si="7">IF(M4="","",VLOOKUP(M4,$A$4:$H$22,8,FALSE))</f>
        <v>17</v>
      </c>
      <c r="T4" s="17">
        <f t="shared" ref="T4:T67" si="8">IF(N4="","",VLOOKUP(N4,$A$4:$H$22,8,FALSE))</f>
        <v>17</v>
      </c>
      <c r="U4" s="17">
        <f t="shared" ref="U4:U67" si="9">IF(O4="","",VLOOKUP(O4,$A$4:$H$22,8,FALSE))</f>
        <v>7</v>
      </c>
      <c r="W4" s="7">
        <v>3410</v>
      </c>
      <c r="X4" s="7">
        <v>13266</v>
      </c>
      <c r="Y4" s="7">
        <v>7364</v>
      </c>
      <c r="Z4" s="7">
        <v>5550</v>
      </c>
      <c r="AA4" s="7">
        <v>13285</v>
      </c>
      <c r="AB4" s="13"/>
      <c r="AC4" s="38">
        <v>0</v>
      </c>
      <c r="AD4" s="10">
        <v>0</v>
      </c>
      <c r="AF4" s="9" t="s">
        <v>22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</row>
    <row r="5" spans="1:37" ht="15.9" customHeight="1" x14ac:dyDescent="0.3">
      <c r="A5" s="2" t="str">
        <v>W2</v>
      </c>
      <c r="B5" s="38" t="str">
        <v>Super Wild</v>
      </c>
      <c r="C5" s="9">
        <f t="shared" si="0"/>
        <v>0</v>
      </c>
      <c r="D5" s="9">
        <f t="shared" si="1"/>
        <v>0</v>
      </c>
      <c r="E5" s="9">
        <f t="shared" si="2"/>
        <v>0</v>
      </c>
      <c r="F5" s="9">
        <f t="shared" si="3"/>
        <v>0</v>
      </c>
      <c r="G5" s="9">
        <f t="shared" si="4"/>
        <v>0</v>
      </c>
      <c r="H5" s="38">
        <v>1</v>
      </c>
      <c r="I5" s="52"/>
      <c r="J5" s="2">
        <v>1</v>
      </c>
      <c r="K5" s="41" t="s">
        <v>30</v>
      </c>
      <c r="L5" s="41" t="s">
        <v>44</v>
      </c>
      <c r="M5" s="41" t="s">
        <v>30</v>
      </c>
      <c r="N5" s="41" t="s">
        <v>31</v>
      </c>
      <c r="O5" s="41" t="s">
        <v>33</v>
      </c>
      <c r="Q5" s="17">
        <f t="shared" si="5"/>
        <v>5</v>
      </c>
      <c r="R5" s="17">
        <f t="shared" si="6"/>
        <v>15</v>
      </c>
      <c r="S5" s="17">
        <f t="shared" si="7"/>
        <v>5</v>
      </c>
      <c r="T5" s="17">
        <f t="shared" si="8"/>
        <v>6</v>
      </c>
      <c r="U5" s="17">
        <f t="shared" si="9"/>
        <v>8</v>
      </c>
      <c r="W5" s="7">
        <v>3515</v>
      </c>
      <c r="X5" s="7">
        <v>12693</v>
      </c>
      <c r="Y5" s="7">
        <v>5341</v>
      </c>
      <c r="Z5" s="7">
        <v>3793</v>
      </c>
      <c r="AA5" s="7">
        <v>13191</v>
      </c>
      <c r="AB5" s="13"/>
      <c r="AC5" s="38">
        <v>2</v>
      </c>
      <c r="AD5" s="10">
        <v>1000</v>
      </c>
      <c r="AF5" s="2" t="s">
        <v>24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</row>
    <row r="6" spans="1:37" ht="15.9" customHeight="1" x14ac:dyDescent="0.3">
      <c r="A6" s="2" t="str">
        <v>C1</v>
      </c>
      <c r="B6" s="38" t="str">
        <v>Scatter</v>
      </c>
      <c r="C6" s="9">
        <f t="shared" si="0"/>
        <v>2</v>
      </c>
      <c r="D6" s="9">
        <f t="shared" si="1"/>
        <v>3</v>
      </c>
      <c r="E6" s="9">
        <f t="shared" si="2"/>
        <v>2</v>
      </c>
      <c r="F6" s="9">
        <f t="shared" si="3"/>
        <v>3</v>
      </c>
      <c r="G6" s="9">
        <f t="shared" si="4"/>
        <v>3</v>
      </c>
      <c r="H6" s="38">
        <v>2</v>
      </c>
      <c r="I6" s="52"/>
      <c r="J6" s="2">
        <v>2</v>
      </c>
      <c r="K6" s="41" t="s">
        <v>33</v>
      </c>
      <c r="L6" s="41" t="s">
        <v>29</v>
      </c>
      <c r="M6" s="41" t="s">
        <v>30</v>
      </c>
      <c r="N6" s="41" t="s">
        <v>31</v>
      </c>
      <c r="O6" s="41" t="s">
        <v>29</v>
      </c>
      <c r="Q6" s="17">
        <f t="shared" si="5"/>
        <v>8</v>
      </c>
      <c r="R6" s="17">
        <f t="shared" si="6"/>
        <v>4</v>
      </c>
      <c r="S6" s="17">
        <f t="shared" si="7"/>
        <v>5</v>
      </c>
      <c r="T6" s="17">
        <f t="shared" si="8"/>
        <v>6</v>
      </c>
      <c r="U6" s="17">
        <f t="shared" si="9"/>
        <v>4</v>
      </c>
      <c r="W6" s="7">
        <v>3437</v>
      </c>
      <c r="X6" s="7">
        <v>12263</v>
      </c>
      <c r="Y6" s="7">
        <v>11247</v>
      </c>
      <c r="Z6" s="7">
        <v>11060</v>
      </c>
      <c r="AA6" s="7">
        <v>11212</v>
      </c>
      <c r="AB6" s="13"/>
      <c r="AC6" s="38">
        <v>3</v>
      </c>
      <c r="AD6" s="10">
        <v>300</v>
      </c>
      <c r="AF6" s="2" t="s">
        <v>26</v>
      </c>
      <c r="AG6" s="9">
        <v>5677</v>
      </c>
      <c r="AH6" s="9">
        <v>5615</v>
      </c>
      <c r="AI6" s="9">
        <v>7924</v>
      </c>
      <c r="AJ6" s="9">
        <v>12225</v>
      </c>
      <c r="AK6" s="9">
        <v>16358</v>
      </c>
    </row>
    <row r="7" spans="1:37" ht="15.9" customHeight="1" x14ac:dyDescent="0.3">
      <c r="A7" s="2" t="str">
        <v>M1</v>
      </c>
      <c r="B7" s="38" t="str">
        <v>M1</v>
      </c>
      <c r="C7" s="9">
        <f t="shared" si="0"/>
        <v>14</v>
      </c>
      <c r="D7" s="9">
        <f t="shared" si="1"/>
        <v>7</v>
      </c>
      <c r="E7" s="9">
        <f t="shared" si="2"/>
        <v>7</v>
      </c>
      <c r="F7" s="9">
        <f t="shared" si="3"/>
        <v>6</v>
      </c>
      <c r="G7" s="9">
        <f t="shared" si="4"/>
        <v>15</v>
      </c>
      <c r="H7" s="38">
        <v>3</v>
      </c>
      <c r="I7" s="52"/>
      <c r="J7" s="2">
        <v>3</v>
      </c>
      <c r="K7" s="41" t="s">
        <v>33</v>
      </c>
      <c r="L7" s="41" t="s">
        <v>42</v>
      </c>
      <c r="M7" s="41" t="s">
        <v>34</v>
      </c>
      <c r="N7" s="41" t="s">
        <v>34</v>
      </c>
      <c r="O7" s="41" t="s">
        <v>30</v>
      </c>
      <c r="Q7" s="17">
        <f t="shared" si="5"/>
        <v>8</v>
      </c>
      <c r="R7" s="17">
        <f t="shared" si="6"/>
        <v>14</v>
      </c>
      <c r="S7" s="17">
        <f t="shared" si="7"/>
        <v>9</v>
      </c>
      <c r="T7" s="17">
        <f t="shared" si="8"/>
        <v>9</v>
      </c>
      <c r="U7" s="17">
        <f t="shared" si="9"/>
        <v>5</v>
      </c>
      <c r="W7" s="7">
        <v>4695</v>
      </c>
      <c r="X7" s="7">
        <v>12502</v>
      </c>
      <c r="Y7" s="7">
        <v>11490</v>
      </c>
      <c r="Z7" s="7">
        <v>13369</v>
      </c>
      <c r="AA7" s="7">
        <v>13097</v>
      </c>
      <c r="AB7" s="13"/>
      <c r="AC7" s="38">
        <v>4</v>
      </c>
      <c r="AD7" s="10">
        <v>100</v>
      </c>
      <c r="AF7" s="2" t="s">
        <v>28</v>
      </c>
      <c r="AG7" s="9">
        <v>36121</v>
      </c>
      <c r="AH7" s="9">
        <v>54875</v>
      </c>
      <c r="AI7" s="9">
        <v>33802</v>
      </c>
      <c r="AJ7" s="9">
        <v>121868</v>
      </c>
      <c r="AK7" s="9">
        <v>74781</v>
      </c>
    </row>
    <row r="8" spans="1:37" ht="15.9" customHeight="1" x14ac:dyDescent="0.3">
      <c r="A8" s="2" t="str">
        <v>M2</v>
      </c>
      <c r="B8" s="38" t="str">
        <v>M2</v>
      </c>
      <c r="C8" s="9">
        <f t="shared" si="0"/>
        <v>28</v>
      </c>
      <c r="D8" s="9">
        <f t="shared" si="1"/>
        <v>26</v>
      </c>
      <c r="E8" s="9">
        <f t="shared" si="2"/>
        <v>12</v>
      </c>
      <c r="F8" s="9">
        <f t="shared" si="3"/>
        <v>9</v>
      </c>
      <c r="G8" s="9">
        <f t="shared" si="4"/>
        <v>24</v>
      </c>
      <c r="H8" s="38">
        <v>4</v>
      </c>
      <c r="I8" s="52"/>
      <c r="J8" s="2">
        <v>4</v>
      </c>
      <c r="K8" s="41" t="s">
        <v>32</v>
      </c>
      <c r="L8" s="41" t="s">
        <v>48</v>
      </c>
      <c r="M8" s="41" t="s">
        <v>29</v>
      </c>
      <c r="N8" s="41" t="s">
        <v>32</v>
      </c>
      <c r="O8" s="41" t="s">
        <v>34</v>
      </c>
      <c r="Q8" s="17">
        <f t="shared" si="5"/>
        <v>7</v>
      </c>
      <c r="R8" s="17">
        <f t="shared" si="6"/>
        <v>17</v>
      </c>
      <c r="S8" s="17">
        <f t="shared" si="7"/>
        <v>4</v>
      </c>
      <c r="T8" s="17">
        <f t="shared" si="8"/>
        <v>7</v>
      </c>
      <c r="U8" s="17">
        <f t="shared" si="9"/>
        <v>9</v>
      </c>
      <c r="W8" s="7">
        <v>11038</v>
      </c>
      <c r="X8" s="7">
        <v>11055</v>
      </c>
      <c r="Y8" s="7">
        <v>12429</v>
      </c>
      <c r="Z8" s="7">
        <v>13753</v>
      </c>
      <c r="AA8" s="7">
        <v>10929</v>
      </c>
      <c r="AB8" s="13"/>
      <c r="AF8" s="2" t="s">
        <v>29</v>
      </c>
      <c r="AG8" s="9">
        <v>72704</v>
      </c>
      <c r="AH8" s="9">
        <v>27320</v>
      </c>
      <c r="AI8" s="9">
        <v>65799</v>
      </c>
      <c r="AJ8" s="9">
        <v>62874</v>
      </c>
      <c r="AK8" s="9">
        <v>163116</v>
      </c>
    </row>
    <row r="9" spans="1:37" ht="15.9" customHeight="1" x14ac:dyDescent="0.3">
      <c r="A9" s="2" t="str">
        <v>M3</v>
      </c>
      <c r="B9" s="38" t="str">
        <v>M3</v>
      </c>
      <c r="C9" s="9">
        <f t="shared" si="0"/>
        <v>18</v>
      </c>
      <c r="D9" s="9">
        <f t="shared" si="1"/>
        <v>7</v>
      </c>
      <c r="E9" s="9">
        <f t="shared" si="2"/>
        <v>22</v>
      </c>
      <c r="F9" s="9">
        <f t="shared" si="3"/>
        <v>11</v>
      </c>
      <c r="G9" s="9">
        <f t="shared" si="4"/>
        <v>30</v>
      </c>
      <c r="H9" s="38">
        <v>5</v>
      </c>
      <c r="I9" s="52"/>
      <c r="J9" s="2">
        <v>5</v>
      </c>
      <c r="K9" s="41" t="s">
        <v>33</v>
      </c>
      <c r="L9" s="41" t="s">
        <v>32</v>
      </c>
      <c r="M9" s="41" t="s">
        <v>34</v>
      </c>
      <c r="N9" s="41" t="s">
        <v>42</v>
      </c>
      <c r="O9" s="41" t="s">
        <v>31</v>
      </c>
      <c r="Q9" s="17">
        <f t="shared" si="5"/>
        <v>8</v>
      </c>
      <c r="R9" s="17">
        <f t="shared" si="6"/>
        <v>7</v>
      </c>
      <c r="S9" s="17">
        <f t="shared" si="7"/>
        <v>9</v>
      </c>
      <c r="T9" s="17">
        <f t="shared" si="8"/>
        <v>14</v>
      </c>
      <c r="U9" s="17">
        <f t="shared" si="9"/>
        <v>6</v>
      </c>
      <c r="W9" s="7">
        <v>11324</v>
      </c>
      <c r="X9" s="7">
        <v>10657</v>
      </c>
      <c r="Y9" s="7">
        <v>12429</v>
      </c>
      <c r="Z9" s="7">
        <v>13946</v>
      </c>
      <c r="AA9" s="7">
        <v>14416</v>
      </c>
      <c r="AB9" s="13"/>
      <c r="AF9" s="2" t="s">
        <v>30</v>
      </c>
      <c r="AG9" s="9">
        <v>73672</v>
      </c>
      <c r="AH9" s="9">
        <v>42465</v>
      </c>
      <c r="AI9" s="9">
        <v>48998</v>
      </c>
      <c r="AJ9" s="9">
        <v>89460</v>
      </c>
      <c r="AK9" s="9">
        <v>122921</v>
      </c>
    </row>
    <row r="10" spans="1:37" ht="15.9" customHeight="1" x14ac:dyDescent="0.3">
      <c r="A10" s="2" t="str">
        <v>M4</v>
      </c>
      <c r="B10" s="38" t="str">
        <v>M4</v>
      </c>
      <c r="C10" s="9">
        <f t="shared" si="0"/>
        <v>17</v>
      </c>
      <c r="D10" s="9">
        <f t="shared" si="1"/>
        <v>27</v>
      </c>
      <c r="E10" s="9">
        <f t="shared" si="2"/>
        <v>10</v>
      </c>
      <c r="F10" s="9">
        <f t="shared" si="3"/>
        <v>28</v>
      </c>
      <c r="G10" s="9">
        <f t="shared" si="4"/>
        <v>14</v>
      </c>
      <c r="H10" s="38">
        <v>6</v>
      </c>
      <c r="I10" s="52"/>
      <c r="J10" s="2">
        <v>6</v>
      </c>
      <c r="K10" s="41" t="s">
        <v>29</v>
      </c>
      <c r="L10" s="41" t="s">
        <v>33</v>
      </c>
      <c r="M10" s="41" t="s">
        <v>30</v>
      </c>
      <c r="N10" s="41" t="s">
        <v>34</v>
      </c>
      <c r="O10" s="41" t="s">
        <v>29</v>
      </c>
      <c r="Q10" s="17">
        <f t="shared" si="5"/>
        <v>4</v>
      </c>
      <c r="R10" s="17">
        <f t="shared" si="6"/>
        <v>8</v>
      </c>
      <c r="S10" s="17">
        <f t="shared" si="7"/>
        <v>5</v>
      </c>
      <c r="T10" s="17">
        <f t="shared" si="8"/>
        <v>9</v>
      </c>
      <c r="U10" s="17">
        <f t="shared" si="9"/>
        <v>4</v>
      </c>
      <c r="W10" s="7">
        <v>9801</v>
      </c>
      <c r="X10" s="7">
        <v>11055</v>
      </c>
      <c r="Y10" s="7">
        <v>14079</v>
      </c>
      <c r="Z10" s="7">
        <v>12984</v>
      </c>
      <c r="AA10" s="7">
        <v>12155</v>
      </c>
      <c r="AB10" s="13"/>
      <c r="AF10" s="2" t="s">
        <v>31</v>
      </c>
      <c r="AG10" s="9">
        <v>71779</v>
      </c>
      <c r="AH10" s="9">
        <v>71436</v>
      </c>
      <c r="AI10" s="9">
        <v>50101</v>
      </c>
      <c r="AJ10" s="9">
        <v>154081</v>
      </c>
      <c r="AK10" s="9">
        <v>122921</v>
      </c>
    </row>
    <row r="11" spans="1:37" ht="15.9" customHeight="1" x14ac:dyDescent="0.3">
      <c r="A11" s="2" t="str">
        <v>A</v>
      </c>
      <c r="B11" s="38" t="str">
        <v>A</v>
      </c>
      <c r="C11" s="9">
        <f t="shared" si="0"/>
        <v>33</v>
      </c>
      <c r="D11" s="9">
        <f t="shared" si="1"/>
        <v>30</v>
      </c>
      <c r="E11" s="9">
        <f t="shared" si="2"/>
        <v>11</v>
      </c>
      <c r="F11" s="9">
        <f t="shared" si="3"/>
        <v>6</v>
      </c>
      <c r="G11" s="9">
        <f t="shared" si="4"/>
        <v>29</v>
      </c>
      <c r="H11" s="38">
        <v>7</v>
      </c>
      <c r="I11" s="52"/>
      <c r="J11" s="2">
        <v>7</v>
      </c>
      <c r="K11" s="41" t="s">
        <v>33</v>
      </c>
      <c r="L11" s="41" t="s">
        <v>31</v>
      </c>
      <c r="M11" s="41" t="s">
        <v>28</v>
      </c>
      <c r="N11" s="41" t="s">
        <v>34</v>
      </c>
      <c r="O11" s="41" t="s">
        <v>30</v>
      </c>
      <c r="Q11" s="17">
        <f t="shared" si="5"/>
        <v>8</v>
      </c>
      <c r="R11" s="17">
        <f t="shared" si="6"/>
        <v>6</v>
      </c>
      <c r="S11" s="17">
        <f t="shared" si="7"/>
        <v>3</v>
      </c>
      <c r="T11" s="17">
        <f t="shared" si="8"/>
        <v>9</v>
      </c>
      <c r="U11" s="17">
        <f t="shared" si="9"/>
        <v>5</v>
      </c>
      <c r="W11" s="7">
        <v>12942</v>
      </c>
      <c r="X11" s="7">
        <v>13075</v>
      </c>
      <c r="Y11" s="7">
        <v>12914</v>
      </c>
      <c r="Z11" s="7">
        <v>12022</v>
      </c>
      <c r="AA11" s="7">
        <v>10175</v>
      </c>
      <c r="AB11" s="13"/>
      <c r="AF11" s="2" t="s">
        <v>32</v>
      </c>
      <c r="AG11" s="9">
        <v>109834</v>
      </c>
      <c r="AH11" s="9">
        <v>101634</v>
      </c>
      <c r="AI11" s="9">
        <v>110433</v>
      </c>
      <c r="AJ11" s="9">
        <v>219672</v>
      </c>
      <c r="AK11" s="9">
        <v>237430</v>
      </c>
    </row>
    <row r="12" spans="1:37" ht="15.9" customHeight="1" x14ac:dyDescent="0.3">
      <c r="A12" s="2" t="str">
        <v>K</v>
      </c>
      <c r="B12" s="38" t="str">
        <v>K</v>
      </c>
      <c r="C12" s="9">
        <f t="shared" si="0"/>
        <v>37</v>
      </c>
      <c r="D12" s="9">
        <f t="shared" si="1"/>
        <v>8</v>
      </c>
      <c r="E12" s="9">
        <f t="shared" si="2"/>
        <v>8</v>
      </c>
      <c r="F12" s="9">
        <f t="shared" si="3"/>
        <v>30</v>
      </c>
      <c r="G12" s="9">
        <f t="shared" si="4"/>
        <v>24</v>
      </c>
      <c r="H12" s="38">
        <v>8</v>
      </c>
      <c r="I12" s="52"/>
      <c r="J12" s="2">
        <v>8</v>
      </c>
      <c r="K12" s="41" t="s">
        <v>30</v>
      </c>
      <c r="L12" s="41" t="s">
        <v>30</v>
      </c>
      <c r="M12" s="41" t="s">
        <v>38</v>
      </c>
      <c r="N12" s="41" t="s">
        <v>31</v>
      </c>
      <c r="O12" s="41" t="s">
        <v>29</v>
      </c>
      <c r="Q12" s="17">
        <f t="shared" si="5"/>
        <v>5</v>
      </c>
      <c r="R12" s="17">
        <f t="shared" si="6"/>
        <v>5</v>
      </c>
      <c r="S12" s="17">
        <f t="shared" si="7"/>
        <v>12</v>
      </c>
      <c r="T12" s="17">
        <f t="shared" si="8"/>
        <v>6</v>
      </c>
      <c r="U12" s="17">
        <f t="shared" si="9"/>
        <v>4</v>
      </c>
      <c r="W12" s="7">
        <v>11991</v>
      </c>
      <c r="X12" s="7">
        <v>13361</v>
      </c>
      <c r="Y12" s="7">
        <v>12331</v>
      </c>
      <c r="Z12" s="7">
        <v>9698</v>
      </c>
      <c r="AA12" s="7">
        <v>10835</v>
      </c>
      <c r="AB12" s="13"/>
      <c r="AF12" s="2" t="s">
        <v>33</v>
      </c>
      <c r="AG12" s="9">
        <v>110213</v>
      </c>
      <c r="AH12" s="9">
        <v>100784</v>
      </c>
      <c r="AI12" s="9">
        <v>101255</v>
      </c>
      <c r="AJ12" s="9">
        <v>208417</v>
      </c>
      <c r="AK12" s="9">
        <v>222473</v>
      </c>
    </row>
    <row r="13" spans="1:37" ht="15.9" customHeight="1" x14ac:dyDescent="0.3">
      <c r="A13" s="2" t="str">
        <v>Q</v>
      </c>
      <c r="B13" s="38" t="str">
        <v>Q</v>
      </c>
      <c r="C13" s="9">
        <f t="shared" si="0"/>
        <v>18</v>
      </c>
      <c r="D13" s="9">
        <f t="shared" si="1"/>
        <v>8</v>
      </c>
      <c r="E13" s="9">
        <f t="shared" si="2"/>
        <v>34</v>
      </c>
      <c r="F13" s="9">
        <f t="shared" si="3"/>
        <v>25</v>
      </c>
      <c r="G13" s="9">
        <f t="shared" si="4"/>
        <v>31</v>
      </c>
      <c r="H13" s="38">
        <v>9</v>
      </c>
      <c r="I13" s="52"/>
      <c r="J13" s="2">
        <v>9</v>
      </c>
      <c r="K13" s="41" t="s">
        <v>33</v>
      </c>
      <c r="L13" s="41" t="s">
        <v>31</v>
      </c>
      <c r="M13" s="41" t="s">
        <v>26</v>
      </c>
      <c r="N13" s="41" t="s">
        <v>31</v>
      </c>
      <c r="O13" s="41" t="s">
        <v>33</v>
      </c>
      <c r="Q13" s="17">
        <f t="shared" si="5"/>
        <v>8</v>
      </c>
      <c r="R13" s="17">
        <f t="shared" si="6"/>
        <v>6</v>
      </c>
      <c r="S13" s="17">
        <f t="shared" si="7"/>
        <v>2</v>
      </c>
      <c r="T13" s="17">
        <f t="shared" si="8"/>
        <v>6</v>
      </c>
      <c r="U13" s="17">
        <f t="shared" si="9"/>
        <v>8</v>
      </c>
      <c r="W13" s="7">
        <v>12656</v>
      </c>
      <c r="X13" s="7">
        <v>13838</v>
      </c>
      <c r="Y13" s="7">
        <v>12785</v>
      </c>
      <c r="Z13" s="7">
        <v>7213</v>
      </c>
      <c r="AA13" s="7">
        <v>10678</v>
      </c>
      <c r="AB13" s="13"/>
      <c r="AF13" s="2" t="s">
        <v>34</v>
      </c>
      <c r="AG13" s="9">
        <v>260000</v>
      </c>
      <c r="AH13" s="9">
        <v>219500</v>
      </c>
      <c r="AI13" s="9">
        <v>226655</v>
      </c>
      <c r="AJ13" s="9">
        <v>18011</v>
      </c>
      <c r="AK13" s="9">
        <v>20000</v>
      </c>
    </row>
    <row r="14" spans="1:37" ht="15.9" customHeight="1" x14ac:dyDescent="0.3">
      <c r="A14" s="2" t="str">
        <v>J</v>
      </c>
      <c r="B14" s="38" t="str">
        <v>J</v>
      </c>
      <c r="C14" s="9">
        <f t="shared" si="0"/>
        <v>33</v>
      </c>
      <c r="D14" s="9">
        <f t="shared" si="1"/>
        <v>6</v>
      </c>
      <c r="E14" s="9">
        <f t="shared" si="2"/>
        <v>28</v>
      </c>
      <c r="F14" s="9">
        <f t="shared" si="3"/>
        <v>10</v>
      </c>
      <c r="G14" s="9">
        <f t="shared" si="4"/>
        <v>30</v>
      </c>
      <c r="H14" s="38">
        <v>10</v>
      </c>
      <c r="I14" s="52"/>
      <c r="J14" s="2">
        <v>10</v>
      </c>
      <c r="K14" s="41" t="s">
        <v>29</v>
      </c>
      <c r="L14" s="41" t="s">
        <v>44</v>
      </c>
      <c r="M14" s="41" t="s">
        <v>30</v>
      </c>
      <c r="N14" s="41" t="s">
        <v>31</v>
      </c>
      <c r="O14" s="41" t="s">
        <v>30</v>
      </c>
      <c r="Q14" s="17">
        <f t="shared" si="5"/>
        <v>4</v>
      </c>
      <c r="R14" s="17">
        <f t="shared" si="6"/>
        <v>15</v>
      </c>
      <c r="S14" s="17">
        <f t="shared" si="7"/>
        <v>5</v>
      </c>
      <c r="T14" s="17">
        <f t="shared" si="8"/>
        <v>6</v>
      </c>
      <c r="U14" s="17">
        <f t="shared" si="9"/>
        <v>5</v>
      </c>
      <c r="W14" s="7">
        <v>12656</v>
      </c>
      <c r="X14" s="7">
        <v>12693</v>
      </c>
      <c r="Y14" s="7">
        <v>10196</v>
      </c>
      <c r="Z14" s="7">
        <v>5109</v>
      </c>
      <c r="AA14" s="7">
        <v>10835</v>
      </c>
      <c r="AB14" s="13"/>
      <c r="AF14" s="2" t="s">
        <v>35</v>
      </c>
      <c r="AG14" s="9">
        <v>260000</v>
      </c>
      <c r="AH14" s="9">
        <v>218300</v>
      </c>
      <c r="AI14" s="9">
        <v>227898</v>
      </c>
      <c r="AJ14" s="9">
        <v>17724</v>
      </c>
      <c r="AK14" s="9">
        <v>20000</v>
      </c>
    </row>
    <row r="15" spans="1:37" ht="15.9" customHeight="1" x14ac:dyDescent="0.3">
      <c r="A15" s="2" t="str">
        <v>G1</v>
      </c>
      <c r="B15" s="38" t="str">
        <v>Golden M1</v>
      </c>
      <c r="C15" s="9">
        <f t="shared" si="0"/>
        <v>0</v>
      </c>
      <c r="D15" s="9">
        <f t="shared" si="1"/>
        <v>4</v>
      </c>
      <c r="E15" s="9">
        <f t="shared" si="2"/>
        <v>4</v>
      </c>
      <c r="F15" s="9">
        <f t="shared" si="3"/>
        <v>4</v>
      </c>
      <c r="G15" s="9">
        <f t="shared" si="4"/>
        <v>0</v>
      </c>
      <c r="H15" s="38">
        <v>11</v>
      </c>
      <c r="I15" s="52"/>
      <c r="J15" s="2">
        <v>11</v>
      </c>
      <c r="K15" s="41" t="s">
        <v>28</v>
      </c>
      <c r="L15" s="41" t="s">
        <v>42</v>
      </c>
      <c r="M15" s="41" t="s">
        <v>38</v>
      </c>
      <c r="N15" s="41" t="s">
        <v>34</v>
      </c>
      <c r="O15" s="41" t="s">
        <v>31</v>
      </c>
      <c r="Q15" s="17">
        <f t="shared" si="5"/>
        <v>3</v>
      </c>
      <c r="R15" s="17">
        <f t="shared" si="6"/>
        <v>14</v>
      </c>
      <c r="S15" s="17">
        <f t="shared" si="7"/>
        <v>12</v>
      </c>
      <c r="T15" s="17">
        <f t="shared" si="8"/>
        <v>9</v>
      </c>
      <c r="U15" s="17">
        <f t="shared" si="9"/>
        <v>6</v>
      </c>
      <c r="W15" s="7">
        <v>11609</v>
      </c>
      <c r="X15" s="7">
        <v>12263</v>
      </c>
      <c r="Y15" s="7">
        <v>11004</v>
      </c>
      <c r="Z15" s="7">
        <v>3527</v>
      </c>
      <c r="AA15" s="7">
        <v>10647</v>
      </c>
      <c r="AB15" s="13"/>
      <c r="AF15" s="2" t="s">
        <v>36</v>
      </c>
      <c r="AG15" s="9">
        <v>0</v>
      </c>
      <c r="AH15" s="9">
        <v>10994</v>
      </c>
      <c r="AI15" s="9">
        <v>5768</v>
      </c>
      <c r="AJ15" s="9">
        <v>13778</v>
      </c>
      <c r="AK15" s="9">
        <v>0</v>
      </c>
    </row>
    <row r="16" spans="1:37" ht="15.9" customHeight="1" x14ac:dyDescent="0.3">
      <c r="A16" s="2" t="str">
        <v>G2</v>
      </c>
      <c r="B16" s="38" t="str">
        <v>Golden M2</v>
      </c>
      <c r="C16" s="9">
        <f t="shared" si="0"/>
        <v>0</v>
      </c>
      <c r="D16" s="9">
        <f t="shared" si="1"/>
        <v>14</v>
      </c>
      <c r="E16" s="9">
        <f t="shared" si="2"/>
        <v>6</v>
      </c>
      <c r="F16" s="9">
        <f t="shared" si="3"/>
        <v>4</v>
      </c>
      <c r="G16" s="9">
        <f t="shared" si="4"/>
        <v>0</v>
      </c>
      <c r="H16" s="38">
        <v>12</v>
      </c>
      <c r="I16" s="52"/>
      <c r="J16" s="2">
        <v>12</v>
      </c>
      <c r="K16" s="41" t="s">
        <v>35</v>
      </c>
      <c r="L16" s="41" t="s">
        <v>31</v>
      </c>
      <c r="M16" s="41" t="s">
        <v>35</v>
      </c>
      <c r="N16" s="41" t="s">
        <v>31</v>
      </c>
      <c r="O16" s="41" t="s">
        <v>33</v>
      </c>
      <c r="Q16" s="17">
        <f t="shared" si="5"/>
        <v>10</v>
      </c>
      <c r="R16" s="17">
        <f t="shared" si="6"/>
        <v>6</v>
      </c>
      <c r="S16" s="17">
        <f t="shared" si="7"/>
        <v>10</v>
      </c>
      <c r="T16" s="17">
        <f t="shared" si="8"/>
        <v>6</v>
      </c>
      <c r="U16" s="17">
        <f t="shared" si="9"/>
        <v>8</v>
      </c>
      <c r="W16" s="7">
        <v>10943</v>
      </c>
      <c r="X16" s="7">
        <v>13456</v>
      </c>
      <c r="Y16" s="7">
        <v>10973</v>
      </c>
      <c r="Z16" s="7">
        <v>7213</v>
      </c>
      <c r="AA16" s="7">
        <v>12909</v>
      </c>
      <c r="AB16" s="13"/>
      <c r="AF16" s="2" t="s">
        <v>38</v>
      </c>
      <c r="AG16" s="9">
        <v>0</v>
      </c>
      <c r="AH16" s="9">
        <v>5285</v>
      </c>
      <c r="AI16" s="9">
        <v>10131</v>
      </c>
      <c r="AJ16" s="9">
        <v>6793</v>
      </c>
      <c r="AK16" s="9">
        <v>0</v>
      </c>
    </row>
    <row r="17" spans="1:37" ht="15.9" customHeight="1" x14ac:dyDescent="0.3">
      <c r="A17" s="2" t="str">
        <v>G3</v>
      </c>
      <c r="B17" s="38" t="str">
        <v>Golden M3</v>
      </c>
      <c r="C17" s="9">
        <f t="shared" si="0"/>
        <v>0</v>
      </c>
      <c r="D17" s="9">
        <f t="shared" si="1"/>
        <v>6</v>
      </c>
      <c r="E17" s="9">
        <f t="shared" si="2"/>
        <v>12</v>
      </c>
      <c r="F17" s="9">
        <f t="shared" si="3"/>
        <v>4</v>
      </c>
      <c r="G17" s="9">
        <f t="shared" si="4"/>
        <v>0</v>
      </c>
      <c r="H17" s="38">
        <v>13</v>
      </c>
      <c r="I17" s="52"/>
      <c r="J17" s="2">
        <v>13</v>
      </c>
      <c r="K17" s="41" t="s">
        <v>29</v>
      </c>
      <c r="L17" s="41" t="s">
        <v>34</v>
      </c>
      <c r="M17" s="41" t="s">
        <v>29</v>
      </c>
      <c r="N17" s="41" t="s">
        <v>33</v>
      </c>
      <c r="O17" s="41" t="s">
        <v>28</v>
      </c>
      <c r="Q17" s="17">
        <f t="shared" si="5"/>
        <v>4</v>
      </c>
      <c r="R17" s="17">
        <f t="shared" si="6"/>
        <v>9</v>
      </c>
      <c r="S17" s="17">
        <f t="shared" si="7"/>
        <v>4</v>
      </c>
      <c r="T17" s="17">
        <f t="shared" si="8"/>
        <v>8</v>
      </c>
      <c r="U17" s="17">
        <f t="shared" si="9"/>
        <v>3</v>
      </c>
      <c r="W17" s="7">
        <v>8802</v>
      </c>
      <c r="X17" s="7">
        <v>11452</v>
      </c>
      <c r="Y17" s="7">
        <v>13303</v>
      </c>
      <c r="Z17" s="7">
        <v>7213</v>
      </c>
      <c r="AA17" s="7">
        <v>11777</v>
      </c>
      <c r="AB17" s="13"/>
      <c r="AF17" s="2" t="s">
        <v>40</v>
      </c>
      <c r="AG17" s="9">
        <v>0</v>
      </c>
      <c r="AH17" s="9">
        <v>8304</v>
      </c>
      <c r="AI17" s="9">
        <v>7823</v>
      </c>
      <c r="AJ17" s="9">
        <v>11644</v>
      </c>
      <c r="AK17" s="9">
        <v>0</v>
      </c>
    </row>
    <row r="18" spans="1:37" ht="15.9" customHeight="1" x14ac:dyDescent="0.3">
      <c r="A18" s="2" t="str">
        <v>G4</v>
      </c>
      <c r="B18" s="38" t="str">
        <v>Golden M4</v>
      </c>
      <c r="C18" s="9">
        <f t="shared" si="0"/>
        <v>0</v>
      </c>
      <c r="D18" s="9">
        <f t="shared" si="1"/>
        <v>16</v>
      </c>
      <c r="E18" s="9">
        <f t="shared" si="2"/>
        <v>4</v>
      </c>
      <c r="F18" s="9">
        <f t="shared" si="3"/>
        <v>16</v>
      </c>
      <c r="G18" s="9">
        <f t="shared" si="4"/>
        <v>0</v>
      </c>
      <c r="H18" s="38">
        <v>14</v>
      </c>
      <c r="I18" s="52"/>
      <c r="J18" s="9">
        <v>14</v>
      </c>
      <c r="K18" s="41" t="s">
        <v>31</v>
      </c>
      <c r="L18" s="41" t="s">
        <v>29</v>
      </c>
      <c r="M18" s="41" t="s">
        <v>33</v>
      </c>
      <c r="N18" s="41" t="s">
        <v>31</v>
      </c>
      <c r="O18" s="41" t="s">
        <v>29</v>
      </c>
      <c r="Q18" s="17">
        <f t="shared" si="5"/>
        <v>6</v>
      </c>
      <c r="R18" s="17">
        <f t="shared" si="6"/>
        <v>4</v>
      </c>
      <c r="S18" s="17">
        <f t="shared" si="7"/>
        <v>8</v>
      </c>
      <c r="T18" s="17">
        <f t="shared" si="8"/>
        <v>6</v>
      </c>
      <c r="U18" s="17">
        <f t="shared" si="9"/>
        <v>4</v>
      </c>
      <c r="W18" s="7">
        <v>10468</v>
      </c>
      <c r="X18" s="7">
        <v>11611</v>
      </c>
      <c r="Y18" s="7">
        <v>12235</v>
      </c>
      <c r="Z18" s="7">
        <v>5109</v>
      </c>
      <c r="AA18" s="7">
        <v>8574</v>
      </c>
      <c r="AB18" s="13"/>
      <c r="AF18" s="2" t="s">
        <v>42</v>
      </c>
      <c r="AG18" s="9">
        <v>0</v>
      </c>
      <c r="AH18" s="9">
        <v>13825</v>
      </c>
      <c r="AI18" s="9">
        <v>7473</v>
      </c>
      <c r="AJ18" s="9">
        <v>14748</v>
      </c>
      <c r="AK18" s="9">
        <v>0</v>
      </c>
    </row>
    <row r="19" spans="1:37" ht="15.9" customHeight="1" x14ac:dyDescent="0.3">
      <c r="A19" s="2" t="str">
        <v>GA</v>
      </c>
      <c r="B19" s="38" t="str">
        <v>Golden A</v>
      </c>
      <c r="C19" s="9">
        <f t="shared" si="0"/>
        <v>0</v>
      </c>
      <c r="D19" s="9">
        <f t="shared" si="1"/>
        <v>22</v>
      </c>
      <c r="E19" s="9">
        <f t="shared" si="2"/>
        <v>6</v>
      </c>
      <c r="F19" s="9">
        <f t="shared" si="3"/>
        <v>4</v>
      </c>
      <c r="G19" s="9">
        <f t="shared" si="4"/>
        <v>0</v>
      </c>
      <c r="H19" s="38">
        <v>15</v>
      </c>
      <c r="I19" s="52"/>
      <c r="J19" s="2">
        <v>15</v>
      </c>
      <c r="K19" s="41" t="s">
        <v>35</v>
      </c>
      <c r="L19" s="41" t="s">
        <v>29</v>
      </c>
      <c r="M19" s="41" t="s">
        <v>48</v>
      </c>
      <c r="N19" s="41" t="s">
        <v>46</v>
      </c>
      <c r="O19" s="41" t="s">
        <v>33</v>
      </c>
      <c r="Q19" s="17">
        <f t="shared" si="5"/>
        <v>10</v>
      </c>
      <c r="R19" s="17">
        <f t="shared" si="6"/>
        <v>4</v>
      </c>
      <c r="S19" s="17">
        <f t="shared" si="7"/>
        <v>17</v>
      </c>
      <c r="T19" s="17">
        <f t="shared" si="8"/>
        <v>16</v>
      </c>
      <c r="U19" s="17">
        <f t="shared" si="9"/>
        <v>8</v>
      </c>
      <c r="W19" s="7">
        <v>9358</v>
      </c>
      <c r="X19" s="7">
        <v>10100</v>
      </c>
      <c r="Y19" s="7">
        <v>10600</v>
      </c>
      <c r="Z19" s="7">
        <v>3527</v>
      </c>
      <c r="AA19" s="7">
        <v>7114</v>
      </c>
      <c r="AB19" s="13"/>
      <c r="AF19" s="2" t="s">
        <v>44</v>
      </c>
      <c r="AG19" s="9">
        <v>0</v>
      </c>
      <c r="AH19" s="9">
        <v>18779</v>
      </c>
      <c r="AI19" s="9">
        <v>15648</v>
      </c>
      <c r="AJ19" s="9">
        <v>21541</v>
      </c>
      <c r="AK19" s="9">
        <v>0</v>
      </c>
    </row>
    <row r="20" spans="1:37" ht="15.9" customHeight="1" x14ac:dyDescent="0.3">
      <c r="A20" s="2" t="str">
        <v>GK</v>
      </c>
      <c r="B20" s="38" t="str">
        <v>Golden K</v>
      </c>
      <c r="C20" s="9">
        <f t="shared" si="0"/>
        <v>0</v>
      </c>
      <c r="D20" s="9">
        <f t="shared" si="1"/>
        <v>6</v>
      </c>
      <c r="E20" s="9">
        <f t="shared" si="2"/>
        <v>4</v>
      </c>
      <c r="F20" s="9">
        <f t="shared" si="3"/>
        <v>22</v>
      </c>
      <c r="G20" s="9">
        <f t="shared" si="4"/>
        <v>0</v>
      </c>
      <c r="H20" s="38">
        <v>16</v>
      </c>
      <c r="I20" s="52"/>
      <c r="J20" s="2">
        <v>16</v>
      </c>
      <c r="K20" s="41" t="s">
        <v>34</v>
      </c>
      <c r="L20" s="41" t="s">
        <v>31</v>
      </c>
      <c r="M20" s="41" t="s">
        <v>44</v>
      </c>
      <c r="N20" s="41" t="s">
        <v>46</v>
      </c>
      <c r="O20" s="41" t="s">
        <v>29</v>
      </c>
      <c r="Q20" s="17">
        <f t="shared" si="5"/>
        <v>9</v>
      </c>
      <c r="R20" s="17">
        <f t="shared" si="6"/>
        <v>6</v>
      </c>
      <c r="S20" s="17">
        <f t="shared" si="7"/>
        <v>15</v>
      </c>
      <c r="T20" s="17">
        <f t="shared" si="8"/>
        <v>16</v>
      </c>
      <c r="U20" s="17">
        <f t="shared" si="9"/>
        <v>4</v>
      </c>
      <c r="W20" s="7">
        <v>9596</v>
      </c>
      <c r="X20" s="7">
        <v>10896</v>
      </c>
      <c r="Y20" s="7">
        <v>13027</v>
      </c>
      <c r="Z20" s="7">
        <v>7213</v>
      </c>
      <c r="AA20" s="7">
        <v>12484</v>
      </c>
      <c r="AB20" s="13"/>
      <c r="AF20" s="2" t="s">
        <v>46</v>
      </c>
      <c r="AG20" s="9">
        <v>0</v>
      </c>
      <c r="AH20" s="9">
        <v>18684</v>
      </c>
      <c r="AI20" s="9">
        <v>14845</v>
      </c>
      <c r="AJ20" s="9">
        <v>22899</v>
      </c>
      <c r="AK20" s="9">
        <v>0</v>
      </c>
    </row>
    <row r="21" spans="1:37" ht="15.9" customHeight="1" x14ac:dyDescent="0.3">
      <c r="A21" s="2" t="str">
        <v>GQ</v>
      </c>
      <c r="B21" s="38" t="str">
        <v>Golden Q</v>
      </c>
      <c r="C21" s="9">
        <f t="shared" si="0"/>
        <v>0</v>
      </c>
      <c r="D21" s="9">
        <f t="shared" si="1"/>
        <v>6</v>
      </c>
      <c r="E21" s="9">
        <f t="shared" si="2"/>
        <v>14</v>
      </c>
      <c r="F21" s="9">
        <f t="shared" si="3"/>
        <v>14</v>
      </c>
      <c r="G21" s="9">
        <f t="shared" si="4"/>
        <v>0</v>
      </c>
      <c r="H21" s="38">
        <v>17</v>
      </c>
      <c r="I21" s="52"/>
      <c r="J21" s="2">
        <v>17</v>
      </c>
      <c r="K21" s="41" t="s">
        <v>35</v>
      </c>
      <c r="L21" s="41" t="s">
        <v>36</v>
      </c>
      <c r="M21" s="41" t="s">
        <v>50</v>
      </c>
      <c r="N21" s="41" t="s">
        <v>33</v>
      </c>
      <c r="O21" s="41" t="s">
        <v>34</v>
      </c>
      <c r="Q21" s="17">
        <f t="shared" si="5"/>
        <v>10</v>
      </c>
      <c r="R21" s="17">
        <f t="shared" si="6"/>
        <v>11</v>
      </c>
      <c r="S21" s="17">
        <f t="shared" si="7"/>
        <v>18</v>
      </c>
      <c r="T21" s="17">
        <f t="shared" si="8"/>
        <v>8</v>
      </c>
      <c r="U21" s="17">
        <f t="shared" si="9"/>
        <v>9</v>
      </c>
      <c r="W21" s="7">
        <v>11895</v>
      </c>
      <c r="X21" s="7">
        <v>9146</v>
      </c>
      <c r="Y21" s="7">
        <v>11813</v>
      </c>
      <c r="Z21" s="7">
        <v>7213</v>
      </c>
      <c r="AA21" s="7">
        <v>12909</v>
      </c>
      <c r="AB21" s="13"/>
      <c r="AF21" s="2" t="s">
        <v>48</v>
      </c>
      <c r="AG21" s="9">
        <v>0</v>
      </c>
      <c r="AH21" s="9">
        <v>40500</v>
      </c>
      <c r="AI21" s="9">
        <v>33345</v>
      </c>
      <c r="AJ21" s="9">
        <v>1989</v>
      </c>
      <c r="AK21" s="9">
        <v>0</v>
      </c>
    </row>
    <row r="22" spans="1:37" ht="15.9" customHeight="1" x14ac:dyDescent="0.3">
      <c r="A22" s="2" t="str">
        <v>GJ</v>
      </c>
      <c r="B22" s="38" t="str">
        <v>Golden J</v>
      </c>
      <c r="C22" s="9">
        <f t="shared" si="0"/>
        <v>0</v>
      </c>
      <c r="D22" s="9">
        <f t="shared" si="1"/>
        <v>4</v>
      </c>
      <c r="E22" s="9">
        <f t="shared" si="2"/>
        <v>16</v>
      </c>
      <c r="F22" s="9">
        <f t="shared" si="3"/>
        <v>4</v>
      </c>
      <c r="G22" s="9">
        <f t="shared" si="4"/>
        <v>0</v>
      </c>
      <c r="H22" s="38">
        <v>18</v>
      </c>
      <c r="I22" s="52"/>
      <c r="J22" s="2">
        <v>18</v>
      </c>
      <c r="K22" s="41" t="s">
        <v>33</v>
      </c>
      <c r="L22" s="41" t="s">
        <v>28</v>
      </c>
      <c r="M22" s="41" t="s">
        <v>34</v>
      </c>
      <c r="N22" s="41" t="s">
        <v>33</v>
      </c>
      <c r="O22" s="41" t="s">
        <v>31</v>
      </c>
      <c r="Q22" s="17">
        <f t="shared" si="5"/>
        <v>8</v>
      </c>
      <c r="R22" s="17">
        <f t="shared" si="6"/>
        <v>3</v>
      </c>
      <c r="S22" s="17">
        <f t="shared" si="7"/>
        <v>9</v>
      </c>
      <c r="T22" s="17">
        <f t="shared" si="8"/>
        <v>8</v>
      </c>
      <c r="U22" s="17">
        <f t="shared" si="9"/>
        <v>6</v>
      </c>
      <c r="W22" s="7">
        <v>11799</v>
      </c>
      <c r="X22" s="7">
        <v>13266</v>
      </c>
      <c r="Y22" s="7">
        <v>10357</v>
      </c>
      <c r="Z22" s="7">
        <v>5109</v>
      </c>
      <c r="AA22" s="7">
        <v>14604</v>
      </c>
      <c r="AB22" s="13"/>
      <c r="AF22" s="2" t="s">
        <v>50</v>
      </c>
      <c r="AG22" s="9">
        <v>0</v>
      </c>
      <c r="AH22" s="9">
        <v>41700</v>
      </c>
      <c r="AI22" s="9">
        <v>32102</v>
      </c>
      <c r="AJ22" s="9">
        <v>2276</v>
      </c>
      <c r="AK22" s="9">
        <v>0</v>
      </c>
    </row>
    <row r="23" spans="1:37" ht="15.9" customHeight="1" x14ac:dyDescent="0.3">
      <c r="C23" s="19">
        <f>SUM(C4:C22)</f>
        <v>200</v>
      </c>
      <c r="D23" s="19">
        <f>SUM(D4:D22)</f>
        <v>200</v>
      </c>
      <c r="E23" s="19">
        <f>SUM(E4:E22)</f>
        <v>200</v>
      </c>
      <c r="F23" s="19">
        <f>SUM(F4:F22)</f>
        <v>200</v>
      </c>
      <c r="G23" s="19">
        <f>SUM(G4:G22)</f>
        <v>200</v>
      </c>
      <c r="I23" s="52"/>
      <c r="J23" s="2">
        <v>19</v>
      </c>
      <c r="K23" s="41" t="s">
        <v>28</v>
      </c>
      <c r="L23" s="41" t="s">
        <v>29</v>
      </c>
      <c r="M23" s="41" t="s">
        <v>32</v>
      </c>
      <c r="N23" s="41" t="s">
        <v>46</v>
      </c>
      <c r="O23" s="41" t="s">
        <v>32</v>
      </c>
      <c r="Q23" s="17">
        <f t="shared" si="5"/>
        <v>3</v>
      </c>
      <c r="R23" s="17">
        <f t="shared" si="6"/>
        <v>4</v>
      </c>
      <c r="S23" s="17">
        <f t="shared" si="7"/>
        <v>7</v>
      </c>
      <c r="T23" s="17">
        <f t="shared" si="8"/>
        <v>16</v>
      </c>
      <c r="U23" s="17">
        <f t="shared" si="9"/>
        <v>7</v>
      </c>
      <c r="W23" s="7">
        <v>12656</v>
      </c>
      <c r="X23" s="7">
        <v>14029</v>
      </c>
      <c r="Y23" s="7">
        <v>9871</v>
      </c>
      <c r="Z23" s="7">
        <v>3527</v>
      </c>
      <c r="AA23" s="7">
        <v>11683</v>
      </c>
      <c r="AB23" s="13"/>
    </row>
    <row r="24" spans="1:37" ht="15.9" customHeight="1" x14ac:dyDescent="0.3">
      <c r="I24" s="52"/>
      <c r="J24" s="2">
        <v>20</v>
      </c>
      <c r="K24" s="41" t="s">
        <v>29</v>
      </c>
      <c r="L24" s="41" t="s">
        <v>44</v>
      </c>
      <c r="M24" s="41" t="s">
        <v>42</v>
      </c>
      <c r="N24" s="41" t="s">
        <v>33</v>
      </c>
      <c r="O24" s="41" t="s">
        <v>35</v>
      </c>
      <c r="Q24" s="17">
        <f t="shared" si="5"/>
        <v>4</v>
      </c>
      <c r="R24" s="17">
        <f t="shared" si="6"/>
        <v>15</v>
      </c>
      <c r="S24" s="17">
        <f t="shared" si="7"/>
        <v>14</v>
      </c>
      <c r="T24" s="17">
        <f t="shared" si="8"/>
        <v>8</v>
      </c>
      <c r="U24" s="17">
        <f t="shared" si="9"/>
        <v>10</v>
      </c>
      <c r="W24" s="7">
        <v>11324</v>
      </c>
      <c r="X24" s="7">
        <v>11691</v>
      </c>
      <c r="Y24" s="7">
        <v>10196</v>
      </c>
      <c r="Z24" s="7">
        <v>7213</v>
      </c>
      <c r="AA24" s="7">
        <v>12909</v>
      </c>
    </row>
    <row r="25" spans="1:37" ht="16.5" customHeight="1" x14ac:dyDescent="0.3">
      <c r="I25" s="52"/>
      <c r="J25" s="2">
        <v>21</v>
      </c>
      <c r="K25" s="41" t="s">
        <v>31</v>
      </c>
      <c r="L25" s="41" t="s">
        <v>42</v>
      </c>
      <c r="M25" s="41" t="s">
        <v>42</v>
      </c>
      <c r="N25" s="41" t="s">
        <v>42</v>
      </c>
      <c r="O25" s="41" t="s">
        <v>34</v>
      </c>
      <c r="Q25" s="17">
        <f t="shared" si="5"/>
        <v>6</v>
      </c>
      <c r="R25" s="17">
        <f t="shared" si="6"/>
        <v>14</v>
      </c>
      <c r="S25" s="17">
        <f t="shared" si="7"/>
        <v>14</v>
      </c>
      <c r="T25" s="17">
        <f t="shared" si="8"/>
        <v>14</v>
      </c>
      <c r="U25" s="17">
        <f t="shared" si="9"/>
        <v>9</v>
      </c>
      <c r="W25" s="7">
        <v>13132</v>
      </c>
      <c r="X25" s="7">
        <v>11532</v>
      </c>
      <c r="Y25" s="7">
        <v>12137</v>
      </c>
      <c r="Z25" s="7">
        <v>10499</v>
      </c>
      <c r="AA25" s="7">
        <v>10175</v>
      </c>
      <c r="AB25" s="13"/>
    </row>
    <row r="26" spans="1:37" ht="16.5" customHeight="1" x14ac:dyDescent="0.3">
      <c r="I26" s="52"/>
      <c r="J26" s="2">
        <v>22</v>
      </c>
      <c r="K26" s="41" t="s">
        <v>30</v>
      </c>
      <c r="L26" s="41" t="s">
        <v>31</v>
      </c>
      <c r="M26" s="41" t="s">
        <v>35</v>
      </c>
      <c r="N26" s="41" t="s">
        <v>28</v>
      </c>
      <c r="O26" s="41" t="s">
        <v>35</v>
      </c>
      <c r="Q26" s="17">
        <f t="shared" si="5"/>
        <v>5</v>
      </c>
      <c r="R26" s="17">
        <f t="shared" si="6"/>
        <v>6</v>
      </c>
      <c r="S26" s="17">
        <f t="shared" si="7"/>
        <v>10</v>
      </c>
      <c r="T26" s="17">
        <f t="shared" si="8"/>
        <v>3</v>
      </c>
      <c r="U26" s="17">
        <f t="shared" si="9"/>
        <v>10</v>
      </c>
      <c r="W26" s="7">
        <v>11991</v>
      </c>
      <c r="X26" s="7">
        <v>12009</v>
      </c>
      <c r="Y26" s="7">
        <v>13691</v>
      </c>
      <c r="Z26" s="7">
        <v>12022</v>
      </c>
      <c r="AA26" s="7">
        <v>12626</v>
      </c>
      <c r="AB26" s="13"/>
    </row>
    <row r="27" spans="1:37" ht="16.5" customHeight="1" x14ac:dyDescent="0.3">
      <c r="I27" s="52"/>
      <c r="J27" s="2">
        <v>23</v>
      </c>
      <c r="K27" s="41" t="s">
        <v>33</v>
      </c>
      <c r="L27" s="41" t="s">
        <v>29</v>
      </c>
      <c r="M27" s="41" t="s">
        <v>50</v>
      </c>
      <c r="N27" s="41" t="s">
        <v>48</v>
      </c>
      <c r="O27" s="41" t="s">
        <v>31</v>
      </c>
      <c r="Q27" s="17">
        <f t="shared" si="5"/>
        <v>8</v>
      </c>
      <c r="R27" s="17">
        <f t="shared" si="6"/>
        <v>4</v>
      </c>
      <c r="S27" s="17">
        <f t="shared" si="7"/>
        <v>18</v>
      </c>
      <c r="T27" s="17">
        <f t="shared" si="8"/>
        <v>17</v>
      </c>
      <c r="U27" s="17">
        <f t="shared" si="9"/>
        <v>6</v>
      </c>
      <c r="W27" s="7">
        <v>12466</v>
      </c>
      <c r="X27" s="7">
        <v>12883</v>
      </c>
      <c r="Y27" s="7">
        <v>14273</v>
      </c>
      <c r="Z27" s="7">
        <v>12407</v>
      </c>
      <c r="AA27" s="7">
        <v>12719</v>
      </c>
      <c r="AB27" s="13"/>
    </row>
    <row r="28" spans="1:37" ht="16.5" customHeight="1" x14ac:dyDescent="0.3">
      <c r="I28" s="52"/>
      <c r="J28" s="2">
        <v>24</v>
      </c>
      <c r="K28" s="41" t="s">
        <v>29</v>
      </c>
      <c r="L28" s="41" t="s">
        <v>31</v>
      </c>
      <c r="M28" s="41" t="s">
        <v>40</v>
      </c>
      <c r="N28" s="41" t="s">
        <v>46</v>
      </c>
      <c r="O28" s="41" t="s">
        <v>32</v>
      </c>
      <c r="Q28" s="17">
        <f t="shared" si="5"/>
        <v>4</v>
      </c>
      <c r="R28" s="17">
        <f t="shared" si="6"/>
        <v>6</v>
      </c>
      <c r="S28" s="17">
        <f t="shared" si="7"/>
        <v>13</v>
      </c>
      <c r="T28" s="17">
        <f t="shared" si="8"/>
        <v>16</v>
      </c>
      <c r="U28" s="17">
        <f t="shared" si="9"/>
        <v>7</v>
      </c>
      <c r="W28" s="7">
        <v>9326</v>
      </c>
      <c r="X28" s="7">
        <v>13743</v>
      </c>
      <c r="Y28" s="7">
        <v>12235</v>
      </c>
      <c r="Z28" s="7">
        <v>14330</v>
      </c>
      <c r="AA28" s="7">
        <v>12343</v>
      </c>
      <c r="AB28" s="13"/>
    </row>
    <row r="29" spans="1:37" ht="16.5" customHeight="1" x14ac:dyDescent="0.3">
      <c r="I29" s="52"/>
      <c r="J29" s="2">
        <v>25</v>
      </c>
      <c r="K29" s="41" t="s">
        <v>32</v>
      </c>
      <c r="L29" s="41" t="s">
        <v>32</v>
      </c>
      <c r="M29" s="41" t="s">
        <v>50</v>
      </c>
      <c r="N29" s="41" t="s">
        <v>38</v>
      </c>
      <c r="O29" s="41" t="s">
        <v>30</v>
      </c>
      <c r="Q29" s="17">
        <f t="shared" si="5"/>
        <v>7</v>
      </c>
      <c r="R29" s="17">
        <f t="shared" si="6"/>
        <v>7</v>
      </c>
      <c r="S29" s="17">
        <f t="shared" si="7"/>
        <v>18</v>
      </c>
      <c r="T29" s="17">
        <f t="shared" si="8"/>
        <v>12</v>
      </c>
      <c r="U29" s="17">
        <f t="shared" si="9"/>
        <v>5</v>
      </c>
      <c r="W29" s="7">
        <v>12466</v>
      </c>
      <c r="X29" s="7">
        <v>12406</v>
      </c>
      <c r="Y29" s="7">
        <v>13982</v>
      </c>
      <c r="Z29" s="7">
        <v>12888</v>
      </c>
      <c r="AA29" s="7">
        <v>13473</v>
      </c>
      <c r="AB29" s="13"/>
    </row>
    <row r="30" spans="1:37" ht="16.5" customHeight="1" x14ac:dyDescent="0.3">
      <c r="I30" s="52"/>
      <c r="J30" s="2">
        <v>26</v>
      </c>
      <c r="K30" s="41" t="s">
        <v>30</v>
      </c>
      <c r="L30" s="41" t="s">
        <v>36</v>
      </c>
      <c r="M30" s="41" t="s">
        <v>30</v>
      </c>
      <c r="N30" s="41" t="s">
        <v>36</v>
      </c>
      <c r="O30" s="41" t="s">
        <v>32</v>
      </c>
      <c r="Q30" s="17">
        <f t="shared" si="5"/>
        <v>5</v>
      </c>
      <c r="R30" s="17">
        <f t="shared" si="6"/>
        <v>11</v>
      </c>
      <c r="S30" s="17">
        <f t="shared" si="7"/>
        <v>5</v>
      </c>
      <c r="T30" s="17">
        <f t="shared" si="8"/>
        <v>11</v>
      </c>
      <c r="U30" s="17">
        <f t="shared" si="9"/>
        <v>7</v>
      </c>
      <c r="W30" s="7">
        <v>11895</v>
      </c>
      <c r="X30" s="7">
        <v>12025</v>
      </c>
      <c r="Y30" s="7">
        <v>12914</v>
      </c>
      <c r="Z30" s="7">
        <v>12182</v>
      </c>
      <c r="AA30" s="7">
        <v>11777</v>
      </c>
      <c r="AB30" s="13"/>
    </row>
    <row r="31" spans="1:37" ht="16.5" customHeight="1" x14ac:dyDescent="0.3">
      <c r="I31" s="52"/>
      <c r="J31" s="2">
        <v>27</v>
      </c>
      <c r="K31" s="41" t="s">
        <v>33</v>
      </c>
      <c r="L31" s="41" t="s">
        <v>26</v>
      </c>
      <c r="M31" s="41" t="s">
        <v>40</v>
      </c>
      <c r="N31" s="41" t="s">
        <v>32</v>
      </c>
      <c r="O31" s="41" t="s">
        <v>30</v>
      </c>
      <c r="Q31" s="17">
        <f t="shared" si="5"/>
        <v>8</v>
      </c>
      <c r="R31" s="17">
        <f t="shared" si="6"/>
        <v>2</v>
      </c>
      <c r="S31" s="17">
        <f t="shared" si="7"/>
        <v>13</v>
      </c>
      <c r="T31" s="17">
        <f t="shared" si="8"/>
        <v>7</v>
      </c>
      <c r="U31" s="17">
        <f t="shared" si="9"/>
        <v>5</v>
      </c>
      <c r="W31" s="7">
        <v>11229</v>
      </c>
      <c r="X31" s="7">
        <v>11532</v>
      </c>
      <c r="Y31" s="7">
        <v>8771</v>
      </c>
      <c r="Z31" s="7">
        <v>10339</v>
      </c>
      <c r="AA31" s="7">
        <v>11872</v>
      </c>
      <c r="AB31" s="13"/>
    </row>
    <row r="32" spans="1:37" ht="16.5" customHeight="1" x14ac:dyDescent="0.3">
      <c r="J32" s="2">
        <v>28</v>
      </c>
      <c r="K32" s="41" t="s">
        <v>35</v>
      </c>
      <c r="L32" s="41" t="s">
        <v>34</v>
      </c>
      <c r="M32" s="41" t="s">
        <v>33</v>
      </c>
      <c r="N32" s="41" t="s">
        <v>34</v>
      </c>
      <c r="O32" s="41" t="s">
        <v>30</v>
      </c>
      <c r="Q32" s="17">
        <f t="shared" si="5"/>
        <v>10</v>
      </c>
      <c r="R32" s="17">
        <f t="shared" si="6"/>
        <v>9</v>
      </c>
      <c r="S32" s="17">
        <f t="shared" si="7"/>
        <v>8</v>
      </c>
      <c r="T32" s="17">
        <f t="shared" si="8"/>
        <v>9</v>
      </c>
      <c r="U32" s="17">
        <f t="shared" si="9"/>
        <v>5</v>
      </c>
      <c r="W32" s="7">
        <v>11102</v>
      </c>
      <c r="X32" s="7">
        <v>13202</v>
      </c>
      <c r="Y32" s="7">
        <v>13027</v>
      </c>
      <c r="Z32" s="7">
        <v>9698</v>
      </c>
      <c r="AA32" s="7">
        <v>11495</v>
      </c>
      <c r="AB32" s="13"/>
    </row>
    <row r="33" spans="10:28" ht="16.5" customHeight="1" x14ac:dyDescent="0.3">
      <c r="J33" s="2">
        <v>29</v>
      </c>
      <c r="K33" s="41" t="s">
        <v>35</v>
      </c>
      <c r="L33" s="41" t="s">
        <v>36</v>
      </c>
      <c r="M33" s="41" t="s">
        <v>29</v>
      </c>
      <c r="N33" s="41" t="s">
        <v>31</v>
      </c>
      <c r="O33" s="41" t="s">
        <v>32</v>
      </c>
      <c r="Q33" s="17">
        <f t="shared" si="5"/>
        <v>10</v>
      </c>
      <c r="R33" s="17">
        <f t="shared" si="6"/>
        <v>11</v>
      </c>
      <c r="S33" s="17">
        <f t="shared" si="7"/>
        <v>4</v>
      </c>
      <c r="T33" s="17">
        <f t="shared" si="8"/>
        <v>6</v>
      </c>
      <c r="U33" s="17">
        <f t="shared" si="9"/>
        <v>7</v>
      </c>
      <c r="W33" s="7">
        <v>9754</v>
      </c>
      <c r="X33" s="7">
        <v>9623</v>
      </c>
      <c r="Y33" s="7">
        <v>10681</v>
      </c>
      <c r="Z33" s="7">
        <v>11701</v>
      </c>
      <c r="AA33" s="7">
        <v>12531</v>
      </c>
      <c r="AB33" s="13"/>
    </row>
    <row r="34" spans="10:28" ht="16.5" customHeight="1" x14ac:dyDescent="0.3">
      <c r="J34" s="2">
        <v>30</v>
      </c>
      <c r="K34" s="41" t="s">
        <v>33</v>
      </c>
      <c r="L34" s="41" t="s">
        <v>31</v>
      </c>
      <c r="M34" s="41" t="s">
        <v>46</v>
      </c>
      <c r="N34" s="41" t="s">
        <v>33</v>
      </c>
      <c r="O34" s="41" t="s">
        <v>34</v>
      </c>
      <c r="Q34" s="17">
        <f t="shared" si="5"/>
        <v>8</v>
      </c>
      <c r="R34" s="17">
        <f t="shared" si="6"/>
        <v>6</v>
      </c>
      <c r="S34" s="17">
        <f t="shared" si="7"/>
        <v>16</v>
      </c>
      <c r="T34" s="17">
        <f t="shared" si="8"/>
        <v>8</v>
      </c>
      <c r="U34" s="17">
        <f t="shared" si="9"/>
        <v>9</v>
      </c>
      <c r="W34" s="7">
        <v>9437</v>
      </c>
      <c r="X34" s="7">
        <v>10816</v>
      </c>
      <c r="Y34" s="7">
        <v>10923</v>
      </c>
      <c r="Z34" s="7">
        <v>10499</v>
      </c>
      <c r="AA34" s="7">
        <v>12531</v>
      </c>
      <c r="AB34" s="13"/>
    </row>
    <row r="35" spans="10:28" ht="16.5" customHeight="1" x14ac:dyDescent="0.3">
      <c r="J35" s="2">
        <v>31</v>
      </c>
      <c r="K35" s="41" t="s">
        <v>35</v>
      </c>
      <c r="L35" s="41" t="s">
        <v>44</v>
      </c>
      <c r="M35" s="41" t="s">
        <v>31</v>
      </c>
      <c r="N35" s="41" t="s">
        <v>30</v>
      </c>
      <c r="O35" s="41" t="s">
        <v>33</v>
      </c>
      <c r="Q35" s="17">
        <f t="shared" si="5"/>
        <v>10</v>
      </c>
      <c r="R35" s="17">
        <f t="shared" si="6"/>
        <v>15</v>
      </c>
      <c r="S35" s="17">
        <f t="shared" si="7"/>
        <v>6</v>
      </c>
      <c r="T35" s="17">
        <f t="shared" si="8"/>
        <v>5</v>
      </c>
      <c r="U35" s="17">
        <f t="shared" si="9"/>
        <v>8</v>
      </c>
      <c r="W35" s="7">
        <v>10754</v>
      </c>
      <c r="X35" s="7">
        <v>9305</v>
      </c>
      <c r="Y35" s="7">
        <v>9322</v>
      </c>
      <c r="Z35" s="7">
        <v>11942</v>
      </c>
      <c r="AA35" s="7">
        <v>12719</v>
      </c>
      <c r="AB35" s="13"/>
    </row>
    <row r="36" spans="10:28" ht="16.5" customHeight="1" x14ac:dyDescent="0.3">
      <c r="J36" s="2">
        <v>32</v>
      </c>
      <c r="K36" s="41" t="s">
        <v>29</v>
      </c>
      <c r="L36" s="41" t="s">
        <v>35</v>
      </c>
      <c r="M36" s="41" t="s">
        <v>48</v>
      </c>
      <c r="N36" s="41" t="s">
        <v>29</v>
      </c>
      <c r="O36" s="41" t="s">
        <v>28</v>
      </c>
      <c r="Q36" s="17">
        <f t="shared" si="5"/>
        <v>4</v>
      </c>
      <c r="R36" s="17">
        <f t="shared" si="6"/>
        <v>10</v>
      </c>
      <c r="S36" s="17">
        <f t="shared" si="7"/>
        <v>17</v>
      </c>
      <c r="T36" s="17">
        <f t="shared" si="8"/>
        <v>4</v>
      </c>
      <c r="U36" s="17">
        <f t="shared" si="9"/>
        <v>3</v>
      </c>
      <c r="W36" s="7">
        <v>14560</v>
      </c>
      <c r="X36" s="7">
        <v>11055</v>
      </c>
      <c r="Y36" s="7">
        <v>13011</v>
      </c>
      <c r="Z36" s="7">
        <v>11445</v>
      </c>
      <c r="AA36" s="7">
        <v>12060</v>
      </c>
      <c r="AB36" s="13"/>
    </row>
    <row r="37" spans="10:28" ht="16.5" customHeight="1" x14ac:dyDescent="0.3">
      <c r="J37" s="2">
        <v>33</v>
      </c>
      <c r="K37" s="41" t="s">
        <v>28</v>
      </c>
      <c r="L37" s="41" t="s">
        <v>44</v>
      </c>
      <c r="M37" s="41" t="s">
        <v>29</v>
      </c>
      <c r="N37" s="41" t="s">
        <v>29</v>
      </c>
      <c r="O37" s="41" t="s">
        <v>29</v>
      </c>
      <c r="Q37" s="17">
        <f t="shared" si="5"/>
        <v>3</v>
      </c>
      <c r="R37" s="17">
        <f t="shared" si="6"/>
        <v>15</v>
      </c>
      <c r="S37" s="17">
        <f t="shared" si="7"/>
        <v>4</v>
      </c>
      <c r="T37" s="17">
        <f t="shared" si="8"/>
        <v>4</v>
      </c>
      <c r="U37" s="17">
        <f t="shared" si="9"/>
        <v>4</v>
      </c>
      <c r="W37" s="7">
        <v>11609</v>
      </c>
      <c r="X37" s="7">
        <v>10657</v>
      </c>
      <c r="Y37" s="7">
        <v>10114</v>
      </c>
      <c r="Z37" s="7">
        <v>13177</v>
      </c>
      <c r="AA37" s="7">
        <v>10993</v>
      </c>
      <c r="AB37" s="13"/>
    </row>
    <row r="38" spans="10:28" ht="16.5" customHeight="1" x14ac:dyDescent="0.3">
      <c r="J38" s="2">
        <v>34</v>
      </c>
      <c r="K38" s="41" t="s">
        <v>35</v>
      </c>
      <c r="L38" s="41" t="s">
        <v>31</v>
      </c>
      <c r="M38" s="41" t="s">
        <v>50</v>
      </c>
      <c r="N38" s="41" t="s">
        <v>36</v>
      </c>
      <c r="O38" s="41" t="s">
        <v>34</v>
      </c>
      <c r="Q38" s="17">
        <f t="shared" si="5"/>
        <v>10</v>
      </c>
      <c r="R38" s="17">
        <f t="shared" si="6"/>
        <v>6</v>
      </c>
      <c r="S38" s="17">
        <f t="shared" si="7"/>
        <v>18</v>
      </c>
      <c r="T38" s="17">
        <f t="shared" si="8"/>
        <v>11</v>
      </c>
      <c r="U38" s="17">
        <f t="shared" si="9"/>
        <v>9</v>
      </c>
      <c r="W38" s="7">
        <v>12942</v>
      </c>
      <c r="X38" s="7">
        <v>13361</v>
      </c>
      <c r="Y38" s="7">
        <v>10357</v>
      </c>
      <c r="Z38" s="7">
        <v>12503</v>
      </c>
      <c r="AA38" s="7">
        <v>10443</v>
      </c>
      <c r="AB38" s="13"/>
    </row>
    <row r="39" spans="10:28" ht="16.5" customHeight="1" x14ac:dyDescent="0.3">
      <c r="J39" s="2">
        <v>35</v>
      </c>
      <c r="K39" s="41" t="s">
        <v>26</v>
      </c>
      <c r="L39" s="41" t="s">
        <v>28</v>
      </c>
      <c r="M39" s="41" t="s">
        <v>40</v>
      </c>
      <c r="N39" s="41" t="s">
        <v>30</v>
      </c>
      <c r="O39" s="41" t="s">
        <v>28</v>
      </c>
      <c r="Q39" s="17">
        <f t="shared" si="5"/>
        <v>2</v>
      </c>
      <c r="R39" s="17">
        <f t="shared" si="6"/>
        <v>3</v>
      </c>
      <c r="S39" s="17">
        <f t="shared" si="7"/>
        <v>13</v>
      </c>
      <c r="T39" s="17">
        <f t="shared" si="8"/>
        <v>5</v>
      </c>
      <c r="U39" s="17">
        <f t="shared" si="9"/>
        <v>3</v>
      </c>
      <c r="W39" s="7">
        <v>12562</v>
      </c>
      <c r="X39" s="7">
        <v>10260</v>
      </c>
      <c r="Y39" s="7">
        <v>8658</v>
      </c>
      <c r="Z39" s="7">
        <v>12888</v>
      </c>
      <c r="AA39" s="7">
        <v>10835</v>
      </c>
      <c r="AB39" s="13"/>
    </row>
    <row r="40" spans="10:28" ht="16.5" customHeight="1" x14ac:dyDescent="0.3">
      <c r="J40" s="2">
        <v>36</v>
      </c>
      <c r="K40" s="41" t="s">
        <v>29</v>
      </c>
      <c r="L40" s="41" t="s">
        <v>46</v>
      </c>
      <c r="M40" s="41" t="s">
        <v>28</v>
      </c>
      <c r="N40" s="41" t="s">
        <v>33</v>
      </c>
      <c r="O40" s="41" t="s">
        <v>30</v>
      </c>
      <c r="Q40" s="17">
        <f t="shared" si="5"/>
        <v>4</v>
      </c>
      <c r="R40" s="17">
        <f t="shared" si="6"/>
        <v>16</v>
      </c>
      <c r="S40" s="17">
        <f t="shared" si="7"/>
        <v>3</v>
      </c>
      <c r="T40" s="17">
        <f t="shared" si="8"/>
        <v>8</v>
      </c>
      <c r="U40" s="17">
        <f t="shared" si="9"/>
        <v>5</v>
      </c>
      <c r="W40" s="7">
        <v>8406</v>
      </c>
      <c r="X40" s="7">
        <v>9623</v>
      </c>
      <c r="Y40" s="7">
        <v>10114</v>
      </c>
      <c r="Z40" s="7">
        <v>12888</v>
      </c>
      <c r="AA40" s="7">
        <v>13568</v>
      </c>
      <c r="AB40" s="13"/>
    </row>
    <row r="41" spans="10:28" ht="16.5" customHeight="1" x14ac:dyDescent="0.3">
      <c r="J41" s="2">
        <v>37</v>
      </c>
      <c r="K41" s="41" t="s">
        <v>33</v>
      </c>
      <c r="L41" s="41" t="s">
        <v>46</v>
      </c>
      <c r="M41" s="41" t="s">
        <v>30</v>
      </c>
      <c r="N41" s="41" t="s">
        <v>48</v>
      </c>
      <c r="O41" s="41" t="s">
        <v>28</v>
      </c>
      <c r="Q41" s="17">
        <f t="shared" si="5"/>
        <v>8</v>
      </c>
      <c r="R41" s="17">
        <f t="shared" si="6"/>
        <v>16</v>
      </c>
      <c r="S41" s="17">
        <f t="shared" si="7"/>
        <v>5</v>
      </c>
      <c r="T41" s="17">
        <f t="shared" si="8"/>
        <v>17</v>
      </c>
      <c r="U41" s="17">
        <f t="shared" si="9"/>
        <v>3</v>
      </c>
      <c r="W41" s="7">
        <v>10785</v>
      </c>
      <c r="X41" s="7">
        <v>11135</v>
      </c>
      <c r="Y41" s="7">
        <v>6662</v>
      </c>
      <c r="Z41" s="7">
        <v>11381</v>
      </c>
      <c r="AA41" s="7">
        <v>11589</v>
      </c>
      <c r="AB41" s="13"/>
    </row>
    <row r="42" spans="10:28" ht="16.5" customHeight="1" x14ac:dyDescent="0.3">
      <c r="J42" s="2">
        <v>38</v>
      </c>
      <c r="K42" s="41" t="s">
        <v>29</v>
      </c>
      <c r="L42" s="41" t="s">
        <v>40</v>
      </c>
      <c r="M42" s="41" t="s">
        <v>34</v>
      </c>
      <c r="N42" s="41" t="s">
        <v>31</v>
      </c>
      <c r="O42" s="41" t="s">
        <v>30</v>
      </c>
      <c r="Q42" s="17">
        <f t="shared" si="5"/>
        <v>4</v>
      </c>
      <c r="R42" s="17">
        <f t="shared" si="6"/>
        <v>13</v>
      </c>
      <c r="S42" s="17">
        <f t="shared" si="7"/>
        <v>9</v>
      </c>
      <c r="T42" s="17">
        <f t="shared" si="8"/>
        <v>6</v>
      </c>
      <c r="U42" s="17">
        <f t="shared" si="9"/>
        <v>5</v>
      </c>
      <c r="W42" s="7">
        <v>11737</v>
      </c>
      <c r="X42" s="7">
        <v>13456</v>
      </c>
      <c r="Y42" s="7">
        <v>7255</v>
      </c>
      <c r="Z42" s="7">
        <v>9297</v>
      </c>
      <c r="AA42" s="7">
        <v>14039</v>
      </c>
      <c r="AB42" s="13"/>
    </row>
    <row r="43" spans="10:28" ht="16.5" customHeight="1" x14ac:dyDescent="0.3">
      <c r="J43" s="2">
        <v>39</v>
      </c>
      <c r="K43" s="41" t="s">
        <v>29</v>
      </c>
      <c r="L43" s="41" t="s">
        <v>40</v>
      </c>
      <c r="M43" s="41" t="s">
        <v>44</v>
      </c>
      <c r="N43" s="41" t="s">
        <v>42</v>
      </c>
      <c r="O43" s="41" t="s">
        <v>35</v>
      </c>
      <c r="Q43" s="17">
        <f t="shared" si="5"/>
        <v>4</v>
      </c>
      <c r="R43" s="17">
        <f t="shared" si="6"/>
        <v>13</v>
      </c>
      <c r="S43" s="17">
        <f t="shared" si="7"/>
        <v>15</v>
      </c>
      <c r="T43" s="17">
        <f t="shared" si="8"/>
        <v>14</v>
      </c>
      <c r="U43" s="17">
        <f t="shared" si="9"/>
        <v>10</v>
      </c>
      <c r="W43" s="7">
        <v>12466</v>
      </c>
      <c r="X43" s="7">
        <v>12025</v>
      </c>
      <c r="Y43" s="7">
        <v>7364</v>
      </c>
      <c r="Z43" s="7">
        <v>10339</v>
      </c>
      <c r="AA43" s="7">
        <v>12060</v>
      </c>
      <c r="AB43" s="13"/>
    </row>
    <row r="44" spans="10:28" ht="16.5" customHeight="1" x14ac:dyDescent="0.3">
      <c r="J44" s="2">
        <v>40</v>
      </c>
      <c r="K44" s="41" t="s">
        <v>32</v>
      </c>
      <c r="L44" s="41" t="s">
        <v>38</v>
      </c>
      <c r="M44" s="41" t="s">
        <v>34</v>
      </c>
      <c r="N44" s="41" t="s">
        <v>33</v>
      </c>
      <c r="O44" s="41" t="s">
        <v>31</v>
      </c>
      <c r="Q44" s="17">
        <f t="shared" si="5"/>
        <v>7</v>
      </c>
      <c r="R44" s="17">
        <f t="shared" si="6"/>
        <v>12</v>
      </c>
      <c r="S44" s="17">
        <f t="shared" si="7"/>
        <v>9</v>
      </c>
      <c r="T44" s="17">
        <f t="shared" si="8"/>
        <v>8</v>
      </c>
      <c r="U44" s="17">
        <f t="shared" si="9"/>
        <v>6</v>
      </c>
      <c r="W44" s="7">
        <v>10071</v>
      </c>
      <c r="X44" s="7">
        <v>12502</v>
      </c>
      <c r="Y44" s="7">
        <v>5341</v>
      </c>
      <c r="Z44" s="7">
        <v>12696</v>
      </c>
      <c r="AA44" s="7">
        <v>13850</v>
      </c>
      <c r="AB44" s="13"/>
    </row>
    <row r="45" spans="10:28" ht="16.5" customHeight="1" x14ac:dyDescent="0.3">
      <c r="J45" s="2">
        <v>41</v>
      </c>
      <c r="K45" s="41" t="s">
        <v>32</v>
      </c>
      <c r="L45" s="41" t="s">
        <v>32</v>
      </c>
      <c r="M45" s="41" t="s">
        <v>35</v>
      </c>
      <c r="N45" s="41" t="s">
        <v>38</v>
      </c>
      <c r="O45" s="41" t="s">
        <v>28</v>
      </c>
      <c r="Q45" s="17">
        <f t="shared" si="5"/>
        <v>7</v>
      </c>
      <c r="R45" s="17">
        <f t="shared" si="6"/>
        <v>7</v>
      </c>
      <c r="S45" s="17">
        <f t="shared" si="7"/>
        <v>10</v>
      </c>
      <c r="T45" s="17">
        <f t="shared" si="8"/>
        <v>12</v>
      </c>
      <c r="U45" s="17">
        <f t="shared" si="9"/>
        <v>3</v>
      </c>
      <c r="W45" s="7">
        <v>9120</v>
      </c>
      <c r="X45" s="7">
        <v>12883</v>
      </c>
      <c r="Y45" s="7">
        <v>10762</v>
      </c>
      <c r="Z45" s="7">
        <v>11445</v>
      </c>
      <c r="AA45" s="7">
        <v>12909</v>
      </c>
      <c r="AB45" s="13"/>
    </row>
    <row r="46" spans="10:28" ht="16.5" customHeight="1" x14ac:dyDescent="0.3">
      <c r="J46" s="2">
        <v>42</v>
      </c>
      <c r="K46" s="41" t="s">
        <v>31</v>
      </c>
      <c r="L46" s="41" t="s">
        <v>29</v>
      </c>
      <c r="M46" s="41" t="s">
        <v>48</v>
      </c>
      <c r="N46" s="41" t="s">
        <v>46</v>
      </c>
      <c r="O46" s="41" t="s">
        <v>32</v>
      </c>
      <c r="Q46" s="17">
        <f t="shared" si="5"/>
        <v>6</v>
      </c>
      <c r="R46" s="17">
        <f t="shared" si="6"/>
        <v>4</v>
      </c>
      <c r="S46" s="17">
        <f t="shared" si="7"/>
        <v>17</v>
      </c>
      <c r="T46" s="17">
        <f t="shared" si="8"/>
        <v>16</v>
      </c>
      <c r="U46" s="17">
        <f t="shared" si="9"/>
        <v>7</v>
      </c>
      <c r="W46" s="7">
        <v>9199</v>
      </c>
      <c r="X46" s="7">
        <v>3473</v>
      </c>
      <c r="Y46" s="7">
        <v>9629</v>
      </c>
      <c r="Z46" s="7">
        <v>13080</v>
      </c>
      <c r="AA46" s="7">
        <v>12438</v>
      </c>
      <c r="AB46" s="13"/>
    </row>
    <row r="47" spans="10:28" ht="16.5" customHeight="1" x14ac:dyDescent="0.3">
      <c r="J47" s="2">
        <v>43</v>
      </c>
      <c r="K47" s="41" t="s">
        <v>31</v>
      </c>
      <c r="L47" s="41" t="s">
        <v>32</v>
      </c>
      <c r="M47" s="41" t="s">
        <v>48</v>
      </c>
      <c r="N47" s="41" t="s">
        <v>30</v>
      </c>
      <c r="O47" s="41" t="s">
        <v>34</v>
      </c>
      <c r="Q47" s="17">
        <f t="shared" si="5"/>
        <v>6</v>
      </c>
      <c r="R47" s="17">
        <f t="shared" si="6"/>
        <v>7</v>
      </c>
      <c r="S47" s="17">
        <f t="shared" si="7"/>
        <v>17</v>
      </c>
      <c r="T47" s="17">
        <f t="shared" si="8"/>
        <v>5</v>
      </c>
      <c r="U47" s="17">
        <f t="shared" si="9"/>
        <v>9</v>
      </c>
      <c r="W47" s="7">
        <v>11991</v>
      </c>
      <c r="X47" s="7">
        <v>5395</v>
      </c>
      <c r="Y47" s="7">
        <v>13399</v>
      </c>
      <c r="Z47" s="7">
        <v>11782</v>
      </c>
      <c r="AA47" s="7">
        <v>12719</v>
      </c>
      <c r="AB47" s="13"/>
    </row>
    <row r="48" spans="10:28" ht="16.5" customHeight="1" x14ac:dyDescent="0.3">
      <c r="J48" s="2">
        <v>44</v>
      </c>
      <c r="K48" s="41" t="s">
        <v>33</v>
      </c>
      <c r="L48" s="41" t="s">
        <v>29</v>
      </c>
      <c r="M48" s="41" t="s">
        <v>40</v>
      </c>
      <c r="N48" s="41" t="s">
        <v>33</v>
      </c>
      <c r="O48" s="41" t="s">
        <v>33</v>
      </c>
      <c r="Q48" s="17">
        <f t="shared" si="5"/>
        <v>8</v>
      </c>
      <c r="R48" s="17">
        <f t="shared" si="6"/>
        <v>4</v>
      </c>
      <c r="S48" s="17">
        <f t="shared" si="7"/>
        <v>13</v>
      </c>
      <c r="T48" s="17">
        <f t="shared" si="8"/>
        <v>8</v>
      </c>
      <c r="U48" s="17">
        <f t="shared" si="9"/>
        <v>8</v>
      </c>
      <c r="W48" s="7">
        <v>10547</v>
      </c>
      <c r="X48" s="7">
        <v>7184</v>
      </c>
      <c r="Y48" s="7">
        <v>14371</v>
      </c>
      <c r="Z48" s="7">
        <v>10660</v>
      </c>
      <c r="AA48" s="7">
        <v>12296</v>
      </c>
      <c r="AB48" s="13"/>
    </row>
    <row r="49" spans="10:28" ht="16.5" customHeight="1" x14ac:dyDescent="0.3">
      <c r="J49" s="2">
        <v>45</v>
      </c>
      <c r="K49" s="41" t="s">
        <v>28</v>
      </c>
      <c r="L49" s="41" t="s">
        <v>32</v>
      </c>
      <c r="M49" s="41" t="s">
        <v>42</v>
      </c>
      <c r="N49" s="41" t="s">
        <v>33</v>
      </c>
      <c r="O49" s="41" t="s">
        <v>31</v>
      </c>
      <c r="Q49" s="17">
        <f t="shared" si="5"/>
        <v>3</v>
      </c>
      <c r="R49" s="17">
        <f t="shared" si="6"/>
        <v>7</v>
      </c>
      <c r="S49" s="17">
        <f t="shared" si="7"/>
        <v>14</v>
      </c>
      <c r="T49" s="17">
        <f t="shared" si="8"/>
        <v>8</v>
      </c>
      <c r="U49" s="17">
        <f t="shared" si="9"/>
        <v>6</v>
      </c>
      <c r="W49" s="7">
        <v>11181</v>
      </c>
      <c r="X49" s="7">
        <v>5567</v>
      </c>
      <c r="Y49" s="7">
        <v>9322</v>
      </c>
      <c r="Z49" s="7">
        <v>2284</v>
      </c>
      <c r="AA49" s="7">
        <v>12626</v>
      </c>
      <c r="AB49" s="13"/>
    </row>
    <row r="50" spans="10:28" ht="16.5" customHeight="1" x14ac:dyDescent="0.3">
      <c r="J50" s="2">
        <v>46</v>
      </c>
      <c r="K50" s="41" t="s">
        <v>35</v>
      </c>
      <c r="L50" s="41" t="s">
        <v>31</v>
      </c>
      <c r="M50" s="41" t="s">
        <v>42</v>
      </c>
      <c r="N50" s="41" t="s">
        <v>33</v>
      </c>
      <c r="O50" s="41" t="s">
        <v>32</v>
      </c>
      <c r="Q50" s="17">
        <f t="shared" si="5"/>
        <v>10</v>
      </c>
      <c r="R50" s="17">
        <f t="shared" si="6"/>
        <v>6</v>
      </c>
      <c r="S50" s="17">
        <f t="shared" si="7"/>
        <v>14</v>
      </c>
      <c r="T50" s="17">
        <f t="shared" si="8"/>
        <v>8</v>
      </c>
      <c r="U50" s="17">
        <f t="shared" si="9"/>
        <v>7</v>
      </c>
      <c r="W50" s="7">
        <v>12212</v>
      </c>
      <c r="X50" s="7">
        <v>5328</v>
      </c>
      <c r="Y50" s="7">
        <v>6068</v>
      </c>
      <c r="Z50" s="7">
        <v>2284</v>
      </c>
      <c r="AA50" s="7">
        <v>12814</v>
      </c>
      <c r="AB50" s="13"/>
    </row>
    <row r="51" spans="10:28" ht="16.5" customHeight="1" x14ac:dyDescent="0.3">
      <c r="J51" s="2">
        <v>47</v>
      </c>
      <c r="K51" s="41" t="s">
        <v>29</v>
      </c>
      <c r="L51" s="41" t="s">
        <v>29</v>
      </c>
      <c r="M51" s="41" t="s">
        <v>31</v>
      </c>
      <c r="N51" s="41" t="s">
        <v>48</v>
      </c>
      <c r="O51" s="41" t="s">
        <v>35</v>
      </c>
      <c r="Q51" s="17">
        <f t="shared" si="5"/>
        <v>4</v>
      </c>
      <c r="R51" s="17">
        <f t="shared" si="6"/>
        <v>4</v>
      </c>
      <c r="S51" s="17">
        <f t="shared" si="7"/>
        <v>6</v>
      </c>
      <c r="T51" s="17">
        <f t="shared" si="8"/>
        <v>17</v>
      </c>
      <c r="U51" s="17">
        <f t="shared" si="9"/>
        <v>10</v>
      </c>
      <c r="W51" s="7">
        <v>11261</v>
      </c>
      <c r="X51" s="7">
        <v>5567</v>
      </c>
      <c r="Y51" s="7">
        <v>11247</v>
      </c>
      <c r="Z51" s="7">
        <v>2284</v>
      </c>
      <c r="AA51" s="7">
        <v>12626</v>
      </c>
      <c r="AB51" s="13"/>
    </row>
    <row r="52" spans="10:28" ht="16.5" customHeight="1" x14ac:dyDescent="0.3">
      <c r="J52" s="2">
        <v>48</v>
      </c>
      <c r="K52" s="41" t="s">
        <v>32</v>
      </c>
      <c r="L52" s="41" t="s">
        <v>32</v>
      </c>
      <c r="M52" s="41" t="s">
        <v>34</v>
      </c>
      <c r="N52" s="41" t="s">
        <v>42</v>
      </c>
      <c r="O52" s="41" t="s">
        <v>32</v>
      </c>
      <c r="Q52" s="17">
        <f t="shared" si="5"/>
        <v>7</v>
      </c>
      <c r="R52" s="17">
        <f t="shared" si="6"/>
        <v>7</v>
      </c>
      <c r="S52" s="17">
        <f t="shared" si="7"/>
        <v>9</v>
      </c>
      <c r="T52" s="17">
        <f t="shared" si="8"/>
        <v>14</v>
      </c>
      <c r="U52" s="17">
        <f t="shared" si="9"/>
        <v>7</v>
      </c>
      <c r="W52" s="7">
        <v>12752</v>
      </c>
      <c r="X52" s="7">
        <v>8132</v>
      </c>
      <c r="Y52" s="7">
        <v>9953</v>
      </c>
      <c r="Z52" s="7">
        <v>2284</v>
      </c>
      <c r="AA52" s="7">
        <v>11212</v>
      </c>
      <c r="AB52" s="13"/>
    </row>
    <row r="53" spans="10:28" ht="16.5" customHeight="1" x14ac:dyDescent="0.3">
      <c r="J53" s="2">
        <v>49</v>
      </c>
      <c r="K53" s="41" t="s">
        <v>32</v>
      </c>
      <c r="L53" s="41" t="s">
        <v>42</v>
      </c>
      <c r="M53" s="41" t="s">
        <v>34</v>
      </c>
      <c r="N53" s="41" t="s">
        <v>46</v>
      </c>
      <c r="O53" s="41" t="s">
        <v>30</v>
      </c>
      <c r="Q53" s="17">
        <f t="shared" si="5"/>
        <v>7</v>
      </c>
      <c r="R53" s="17">
        <f t="shared" si="6"/>
        <v>14</v>
      </c>
      <c r="S53" s="17">
        <f t="shared" si="7"/>
        <v>9</v>
      </c>
      <c r="T53" s="17">
        <f t="shared" si="8"/>
        <v>16</v>
      </c>
      <c r="U53" s="17">
        <f t="shared" si="9"/>
        <v>5</v>
      </c>
      <c r="W53" s="7">
        <v>12752</v>
      </c>
      <c r="X53" s="7">
        <v>3694</v>
      </c>
      <c r="Y53" s="7">
        <v>14176</v>
      </c>
      <c r="Z53" s="7">
        <v>2284</v>
      </c>
      <c r="AA53" s="7">
        <v>12909</v>
      </c>
      <c r="AB53" s="13"/>
    </row>
    <row r="54" spans="10:28" ht="16.5" customHeight="1" x14ac:dyDescent="0.3">
      <c r="J54" s="2">
        <v>50</v>
      </c>
      <c r="K54" s="41" t="s">
        <v>31</v>
      </c>
      <c r="L54" s="41" t="s">
        <v>32</v>
      </c>
      <c r="M54" s="41" t="s">
        <v>32</v>
      </c>
      <c r="N54" s="41" t="s">
        <v>30</v>
      </c>
      <c r="O54" s="41" t="s">
        <v>34</v>
      </c>
      <c r="Q54" s="17">
        <f t="shared" si="5"/>
        <v>6</v>
      </c>
      <c r="R54" s="17">
        <f t="shared" si="6"/>
        <v>7</v>
      </c>
      <c r="S54" s="17">
        <f t="shared" si="7"/>
        <v>7</v>
      </c>
      <c r="T54" s="17">
        <f t="shared" si="8"/>
        <v>5</v>
      </c>
      <c r="U54" s="17">
        <f t="shared" si="9"/>
        <v>9</v>
      </c>
      <c r="W54" s="7">
        <v>14654</v>
      </c>
      <c r="X54" s="7">
        <v>3694</v>
      </c>
      <c r="Y54" s="7">
        <v>13497</v>
      </c>
      <c r="Z54" s="7">
        <v>2284</v>
      </c>
      <c r="AA54" s="7">
        <v>10365</v>
      </c>
      <c r="AB54" s="13"/>
    </row>
    <row r="55" spans="10:28" ht="16.5" customHeight="1" x14ac:dyDescent="0.3">
      <c r="J55" s="2">
        <v>51</v>
      </c>
      <c r="K55" s="41" t="s">
        <v>32</v>
      </c>
      <c r="L55" s="41" t="s">
        <v>32</v>
      </c>
      <c r="M55" s="41" t="s">
        <v>32</v>
      </c>
      <c r="N55" s="41" t="s">
        <v>34</v>
      </c>
      <c r="O55" s="41" t="s">
        <v>30</v>
      </c>
      <c r="Q55" s="17">
        <f t="shared" si="5"/>
        <v>7</v>
      </c>
      <c r="R55" s="17">
        <f t="shared" si="6"/>
        <v>7</v>
      </c>
      <c r="S55" s="17">
        <f t="shared" si="7"/>
        <v>7</v>
      </c>
      <c r="T55" s="17">
        <f t="shared" si="8"/>
        <v>9</v>
      </c>
      <c r="U55" s="17">
        <f t="shared" si="9"/>
        <v>5</v>
      </c>
      <c r="W55" s="7">
        <v>13893</v>
      </c>
      <c r="X55" s="7">
        <v>3694</v>
      </c>
      <c r="Y55" s="7">
        <v>12817</v>
      </c>
      <c r="Z55" s="7">
        <v>2284</v>
      </c>
      <c r="AA55" s="7">
        <v>8715</v>
      </c>
      <c r="AB55" s="13"/>
    </row>
    <row r="56" spans="10:28" ht="16.5" customHeight="1" x14ac:dyDescent="0.3">
      <c r="J56" s="2">
        <v>52</v>
      </c>
      <c r="K56" s="41" t="s">
        <v>35</v>
      </c>
      <c r="L56" s="41" t="s">
        <v>31</v>
      </c>
      <c r="M56" s="41" t="s">
        <v>28</v>
      </c>
      <c r="N56" s="41" t="s">
        <v>34</v>
      </c>
      <c r="O56" s="41" t="s">
        <v>28</v>
      </c>
      <c r="Q56" s="17">
        <f t="shared" si="5"/>
        <v>10</v>
      </c>
      <c r="R56" s="17">
        <f t="shared" si="6"/>
        <v>6</v>
      </c>
      <c r="S56" s="17">
        <f t="shared" si="7"/>
        <v>3</v>
      </c>
      <c r="T56" s="17">
        <f t="shared" si="8"/>
        <v>9</v>
      </c>
      <c r="U56" s="17">
        <f t="shared" si="9"/>
        <v>3</v>
      </c>
      <c r="W56" s="7">
        <v>11419</v>
      </c>
      <c r="X56" s="7">
        <v>3694</v>
      </c>
      <c r="Y56" s="7">
        <v>8901</v>
      </c>
      <c r="Z56" s="7">
        <v>2284</v>
      </c>
      <c r="AA56" s="7">
        <v>10286</v>
      </c>
      <c r="AB56" s="13"/>
    </row>
    <row r="57" spans="10:28" ht="16.5" customHeight="1" x14ac:dyDescent="0.3">
      <c r="J57" s="2">
        <v>53</v>
      </c>
      <c r="K57" s="41" t="s">
        <v>35</v>
      </c>
      <c r="L57" s="41" t="s">
        <v>44</v>
      </c>
      <c r="M57" s="41" t="s">
        <v>46</v>
      </c>
      <c r="N57" s="41" t="s">
        <v>40</v>
      </c>
      <c r="O57" s="41" t="s">
        <v>28</v>
      </c>
      <c r="Q57" s="17">
        <f t="shared" si="5"/>
        <v>10</v>
      </c>
      <c r="R57" s="17">
        <f t="shared" si="6"/>
        <v>15</v>
      </c>
      <c r="S57" s="17">
        <f t="shared" si="7"/>
        <v>16</v>
      </c>
      <c r="T57" s="17">
        <f t="shared" si="8"/>
        <v>13</v>
      </c>
      <c r="U57" s="17">
        <f t="shared" si="9"/>
        <v>3</v>
      </c>
      <c r="W57" s="7">
        <v>12562</v>
      </c>
      <c r="X57" s="7">
        <v>3694</v>
      </c>
      <c r="Y57" s="7">
        <v>10033</v>
      </c>
      <c r="Z57" s="7">
        <v>2284</v>
      </c>
      <c r="AA57" s="7">
        <v>9971</v>
      </c>
      <c r="AB57" s="13"/>
    </row>
    <row r="58" spans="10:28" ht="16.5" customHeight="1" x14ac:dyDescent="0.3">
      <c r="J58" s="2">
        <v>54</v>
      </c>
      <c r="K58" s="41" t="s">
        <v>32</v>
      </c>
      <c r="L58" s="41" t="s">
        <v>32</v>
      </c>
      <c r="M58" s="41" t="s">
        <v>34</v>
      </c>
      <c r="N58" s="41" t="s">
        <v>46</v>
      </c>
      <c r="O58" s="41" t="s">
        <v>28</v>
      </c>
      <c r="Q58" s="17">
        <f t="shared" si="5"/>
        <v>7</v>
      </c>
      <c r="R58" s="17">
        <f t="shared" si="6"/>
        <v>7</v>
      </c>
      <c r="S58" s="17">
        <f t="shared" si="7"/>
        <v>9</v>
      </c>
      <c r="T58" s="17">
        <f t="shared" si="8"/>
        <v>16</v>
      </c>
      <c r="U58" s="17">
        <f t="shared" si="9"/>
        <v>3</v>
      </c>
      <c r="W58" s="7">
        <v>14179</v>
      </c>
      <c r="X58" s="7">
        <v>3694</v>
      </c>
      <c r="Y58" s="7">
        <v>10923</v>
      </c>
      <c r="Z58" s="7">
        <v>2284</v>
      </c>
      <c r="AA58" s="7">
        <v>10365</v>
      </c>
      <c r="AB58" s="13"/>
    </row>
    <row r="59" spans="10:28" ht="16.5" customHeight="1" x14ac:dyDescent="0.3">
      <c r="J59" s="2">
        <v>55</v>
      </c>
      <c r="K59" s="41" t="s">
        <v>28</v>
      </c>
      <c r="L59" s="41" t="s">
        <v>44</v>
      </c>
      <c r="M59" s="41" t="s">
        <v>34</v>
      </c>
      <c r="N59" s="41" t="s">
        <v>33</v>
      </c>
      <c r="O59" s="41" t="s">
        <v>34</v>
      </c>
      <c r="Q59" s="17">
        <f t="shared" si="5"/>
        <v>3</v>
      </c>
      <c r="R59" s="17">
        <f t="shared" si="6"/>
        <v>15</v>
      </c>
      <c r="S59" s="17">
        <f t="shared" si="7"/>
        <v>9</v>
      </c>
      <c r="T59" s="17">
        <f t="shared" si="8"/>
        <v>8</v>
      </c>
      <c r="U59" s="17">
        <f t="shared" si="9"/>
        <v>9</v>
      </c>
      <c r="W59" s="7">
        <v>11419</v>
      </c>
      <c r="X59" s="7">
        <v>3694</v>
      </c>
      <c r="Y59" s="7">
        <v>10196</v>
      </c>
      <c r="Z59" s="7">
        <v>10740</v>
      </c>
      <c r="AA59" s="7">
        <v>12814</v>
      </c>
      <c r="AB59" s="13"/>
    </row>
    <row r="60" spans="10:28" ht="16.5" customHeight="1" x14ac:dyDescent="0.3">
      <c r="J60" s="2">
        <v>56</v>
      </c>
      <c r="K60" s="41" t="s">
        <v>33</v>
      </c>
      <c r="L60" s="41" t="s">
        <v>32</v>
      </c>
      <c r="M60" s="41" t="s">
        <v>50</v>
      </c>
      <c r="N60" s="41" t="s">
        <v>48</v>
      </c>
      <c r="O60" s="41" t="s">
        <v>29</v>
      </c>
      <c r="Q60" s="17">
        <f t="shared" si="5"/>
        <v>8</v>
      </c>
      <c r="R60" s="17">
        <f t="shared" si="6"/>
        <v>7</v>
      </c>
      <c r="S60" s="17">
        <f t="shared" si="7"/>
        <v>18</v>
      </c>
      <c r="T60" s="17">
        <f t="shared" si="8"/>
        <v>17</v>
      </c>
      <c r="U60" s="17">
        <f t="shared" si="9"/>
        <v>4</v>
      </c>
      <c r="W60" s="7">
        <v>13323</v>
      </c>
      <c r="X60" s="7">
        <v>3694</v>
      </c>
      <c r="Y60" s="7">
        <v>11458</v>
      </c>
      <c r="Z60" s="7">
        <v>6051</v>
      </c>
      <c r="AA60" s="7">
        <v>14228</v>
      </c>
      <c r="AB60" s="13"/>
    </row>
    <row r="61" spans="10:28" ht="15.6" customHeight="1" x14ac:dyDescent="0.3">
      <c r="J61" s="2">
        <v>57</v>
      </c>
      <c r="K61" s="41" t="s">
        <v>31</v>
      </c>
      <c r="L61" s="41" t="s">
        <v>34</v>
      </c>
      <c r="M61" s="41" t="s">
        <v>33</v>
      </c>
      <c r="N61" s="41" t="s">
        <v>33</v>
      </c>
      <c r="O61" s="41" t="s">
        <v>32</v>
      </c>
      <c r="Q61" s="17">
        <f t="shared" si="5"/>
        <v>6</v>
      </c>
      <c r="R61" s="17">
        <f t="shared" si="6"/>
        <v>9</v>
      </c>
      <c r="S61" s="17">
        <f t="shared" si="7"/>
        <v>8</v>
      </c>
      <c r="T61" s="17">
        <f t="shared" si="8"/>
        <v>8</v>
      </c>
      <c r="U61" s="17">
        <f t="shared" si="9"/>
        <v>7</v>
      </c>
      <c r="W61" s="7">
        <v>5923</v>
      </c>
      <c r="X61" s="7">
        <v>3694</v>
      </c>
      <c r="Y61" s="7">
        <v>12526</v>
      </c>
      <c r="Z61" s="7">
        <v>6732</v>
      </c>
      <c r="AA61" s="7">
        <v>11401</v>
      </c>
      <c r="AB61" s="13"/>
    </row>
    <row r="62" spans="10:28" ht="15.6" customHeight="1" x14ac:dyDescent="0.3">
      <c r="J62" s="2">
        <v>58</v>
      </c>
      <c r="K62" s="41" t="s">
        <v>34</v>
      </c>
      <c r="L62" s="41" t="s">
        <v>31</v>
      </c>
      <c r="M62" s="41" t="s">
        <v>26</v>
      </c>
      <c r="N62" s="41" t="s">
        <v>35</v>
      </c>
      <c r="O62" s="41" t="s">
        <v>35</v>
      </c>
      <c r="Q62" s="17">
        <f t="shared" si="5"/>
        <v>9</v>
      </c>
      <c r="R62" s="17">
        <f t="shared" si="6"/>
        <v>6</v>
      </c>
      <c r="S62" s="17">
        <f t="shared" si="7"/>
        <v>2</v>
      </c>
      <c r="T62" s="17">
        <f t="shared" si="8"/>
        <v>10</v>
      </c>
      <c r="U62" s="17">
        <f t="shared" si="9"/>
        <v>10</v>
      </c>
      <c r="W62" s="7">
        <v>11324</v>
      </c>
      <c r="X62" s="7">
        <v>6786</v>
      </c>
      <c r="Y62" s="7">
        <v>12526</v>
      </c>
      <c r="Z62" s="7">
        <v>6204</v>
      </c>
      <c r="AA62" s="7">
        <v>9045</v>
      </c>
      <c r="AB62" s="13"/>
    </row>
    <row r="63" spans="10:28" ht="16.5" customHeight="1" x14ac:dyDescent="0.3">
      <c r="J63" s="2">
        <v>59</v>
      </c>
      <c r="K63" s="41" t="s">
        <v>29</v>
      </c>
      <c r="L63" s="41" t="s">
        <v>44</v>
      </c>
      <c r="M63" s="41" t="s">
        <v>34</v>
      </c>
      <c r="N63" s="41" t="s">
        <v>26</v>
      </c>
      <c r="O63" s="41" t="s">
        <v>35</v>
      </c>
      <c r="Q63" s="17">
        <f t="shared" si="5"/>
        <v>4</v>
      </c>
      <c r="R63" s="17">
        <f t="shared" si="6"/>
        <v>15</v>
      </c>
      <c r="S63" s="17">
        <f t="shared" si="7"/>
        <v>9</v>
      </c>
      <c r="T63" s="17">
        <f t="shared" si="8"/>
        <v>2</v>
      </c>
      <c r="U63" s="17">
        <f t="shared" si="9"/>
        <v>10</v>
      </c>
      <c r="W63" s="7">
        <v>12466</v>
      </c>
      <c r="X63" s="7">
        <v>11055</v>
      </c>
      <c r="Y63" s="7">
        <v>14856</v>
      </c>
      <c r="Z63" s="7">
        <v>7213</v>
      </c>
      <c r="AA63" s="7">
        <v>12626</v>
      </c>
      <c r="AB63" s="13"/>
    </row>
    <row r="64" spans="10:28" ht="16.5" customHeight="1" x14ac:dyDescent="0.3">
      <c r="J64" s="2">
        <v>60</v>
      </c>
      <c r="K64" s="41" t="s">
        <v>30</v>
      </c>
      <c r="L64" s="41" t="s">
        <v>28</v>
      </c>
      <c r="M64" s="41" t="s">
        <v>33</v>
      </c>
      <c r="N64" s="41" t="s">
        <v>46</v>
      </c>
      <c r="O64" s="41" t="s">
        <v>34</v>
      </c>
      <c r="Q64" s="17">
        <f t="shared" si="5"/>
        <v>5</v>
      </c>
      <c r="R64" s="17">
        <f t="shared" si="6"/>
        <v>3</v>
      </c>
      <c r="S64" s="17">
        <f t="shared" si="7"/>
        <v>8</v>
      </c>
      <c r="T64" s="17">
        <f t="shared" si="8"/>
        <v>16</v>
      </c>
      <c r="U64" s="17">
        <f t="shared" si="9"/>
        <v>9</v>
      </c>
      <c r="W64" s="7">
        <v>13989</v>
      </c>
      <c r="X64" s="7">
        <v>11643</v>
      </c>
      <c r="Y64" s="7">
        <v>12914</v>
      </c>
      <c r="Z64" s="7">
        <v>7614</v>
      </c>
      <c r="AA64" s="7">
        <v>12438</v>
      </c>
      <c r="AB64" s="13"/>
    </row>
    <row r="65" spans="10:28" ht="16.5" customHeight="1" x14ac:dyDescent="0.3">
      <c r="J65" s="2">
        <v>61</v>
      </c>
      <c r="K65" s="41" t="s">
        <v>26</v>
      </c>
      <c r="L65" s="41" t="s">
        <v>32</v>
      </c>
      <c r="M65" s="41" t="s">
        <v>31</v>
      </c>
      <c r="N65" s="41" t="s">
        <v>46</v>
      </c>
      <c r="O65" s="41" t="s">
        <v>32</v>
      </c>
      <c r="Q65" s="17">
        <f t="shared" si="5"/>
        <v>2</v>
      </c>
      <c r="R65" s="17">
        <f t="shared" si="6"/>
        <v>7</v>
      </c>
      <c r="S65" s="17">
        <f t="shared" si="7"/>
        <v>6</v>
      </c>
      <c r="T65" s="17">
        <f t="shared" si="8"/>
        <v>16</v>
      </c>
      <c r="U65" s="17">
        <f t="shared" si="9"/>
        <v>7</v>
      </c>
      <c r="W65" s="7">
        <v>10373</v>
      </c>
      <c r="X65" s="7">
        <v>13838</v>
      </c>
      <c r="Y65" s="7">
        <v>10600</v>
      </c>
      <c r="Z65" s="7">
        <v>5651</v>
      </c>
      <c r="AA65" s="7">
        <v>13002</v>
      </c>
      <c r="AB65" s="13"/>
    </row>
    <row r="66" spans="10:28" ht="16.5" customHeight="1" x14ac:dyDescent="0.3">
      <c r="J66" s="2">
        <v>62</v>
      </c>
      <c r="K66" s="41" t="s">
        <v>32</v>
      </c>
      <c r="L66" s="41" t="s">
        <v>32</v>
      </c>
      <c r="M66" s="41" t="s">
        <v>50</v>
      </c>
      <c r="N66" s="41" t="s">
        <v>31</v>
      </c>
      <c r="O66" s="41" t="s">
        <v>35</v>
      </c>
      <c r="Q66" s="17">
        <f t="shared" si="5"/>
        <v>7</v>
      </c>
      <c r="R66" s="17">
        <f t="shared" si="6"/>
        <v>7</v>
      </c>
      <c r="S66" s="17">
        <f t="shared" si="7"/>
        <v>18</v>
      </c>
      <c r="T66" s="17">
        <f t="shared" si="8"/>
        <v>6</v>
      </c>
      <c r="U66" s="17">
        <f t="shared" si="9"/>
        <v>10</v>
      </c>
      <c r="W66" s="7">
        <v>3410</v>
      </c>
      <c r="X66" s="7">
        <v>13456</v>
      </c>
      <c r="Y66" s="7">
        <v>10276</v>
      </c>
      <c r="Z66" s="7">
        <v>5109</v>
      </c>
      <c r="AA66" s="7">
        <v>12909</v>
      </c>
      <c r="AB66" s="13"/>
    </row>
    <row r="67" spans="10:28" ht="16.5" customHeight="1" x14ac:dyDescent="0.3">
      <c r="J67" s="2">
        <v>63</v>
      </c>
      <c r="K67" s="41" t="s">
        <v>32</v>
      </c>
      <c r="L67" s="41" t="s">
        <v>42</v>
      </c>
      <c r="M67" s="41" t="s">
        <v>40</v>
      </c>
      <c r="N67" s="41" t="s">
        <v>50</v>
      </c>
      <c r="O67" s="41" t="s">
        <v>33</v>
      </c>
      <c r="Q67" s="17">
        <f t="shared" si="5"/>
        <v>7</v>
      </c>
      <c r="R67" s="17">
        <f t="shared" si="6"/>
        <v>14</v>
      </c>
      <c r="S67" s="17">
        <f t="shared" si="7"/>
        <v>13</v>
      </c>
      <c r="T67" s="17">
        <f t="shared" si="8"/>
        <v>18</v>
      </c>
      <c r="U67" s="17">
        <f t="shared" si="9"/>
        <v>8</v>
      </c>
      <c r="W67" s="7">
        <v>3515</v>
      </c>
      <c r="X67" s="7">
        <v>9066</v>
      </c>
      <c r="Y67" s="7">
        <v>10843</v>
      </c>
      <c r="Z67" s="7">
        <v>12599</v>
      </c>
      <c r="AA67" s="7">
        <v>13850</v>
      </c>
      <c r="AB67" s="13"/>
    </row>
    <row r="68" spans="10:28" ht="16.5" customHeight="1" x14ac:dyDescent="0.3">
      <c r="J68" s="2">
        <v>64</v>
      </c>
      <c r="K68" s="41" t="s">
        <v>29</v>
      </c>
      <c r="L68" s="41" t="s">
        <v>32</v>
      </c>
      <c r="M68" s="41" t="s">
        <v>35</v>
      </c>
      <c r="N68" s="41" t="s">
        <v>31</v>
      </c>
      <c r="O68" s="41" t="s">
        <v>28</v>
      </c>
      <c r="Q68" s="17">
        <f t="shared" ref="Q68:Q131" si="10">IF(K68="","",VLOOKUP(K68,$A$4:$H$22,8,FALSE))</f>
        <v>4</v>
      </c>
      <c r="R68" s="17">
        <f t="shared" ref="R68:R131" si="11">IF(L68="","",VLOOKUP(L68,$A$4:$H$22,8,FALSE))</f>
        <v>7</v>
      </c>
      <c r="S68" s="17">
        <f t="shared" ref="S68:S131" si="12">IF(M68="","",VLOOKUP(M68,$A$4:$H$22,8,FALSE))</f>
        <v>10</v>
      </c>
      <c r="T68" s="17">
        <f t="shared" ref="T68:T131" si="13">IF(N68="","",VLOOKUP(N68,$A$4:$H$22,8,FALSE))</f>
        <v>6</v>
      </c>
      <c r="U68" s="17">
        <f t="shared" ref="U68:U131" si="14">IF(O68="","",VLOOKUP(O68,$A$4:$H$22,8,FALSE))</f>
        <v>3</v>
      </c>
      <c r="W68" s="7">
        <v>3437</v>
      </c>
      <c r="X68" s="7">
        <v>10419</v>
      </c>
      <c r="Y68" s="7">
        <v>10843</v>
      </c>
      <c r="Z68" s="7">
        <v>9537</v>
      </c>
      <c r="AA68" s="7">
        <v>14039</v>
      </c>
      <c r="AB68" s="13"/>
    </row>
    <row r="69" spans="10:28" ht="16.5" customHeight="1" x14ac:dyDescent="0.3">
      <c r="J69" s="2">
        <v>65</v>
      </c>
      <c r="K69" s="41" t="s">
        <v>33</v>
      </c>
      <c r="L69" s="41" t="s">
        <v>32</v>
      </c>
      <c r="M69" s="41" t="s">
        <v>30</v>
      </c>
      <c r="N69" s="41" t="s">
        <v>31</v>
      </c>
      <c r="O69" s="41" t="s">
        <v>34</v>
      </c>
      <c r="Q69" s="17">
        <f t="shared" si="10"/>
        <v>8</v>
      </c>
      <c r="R69" s="17">
        <f t="shared" si="11"/>
        <v>7</v>
      </c>
      <c r="S69" s="17">
        <f t="shared" si="12"/>
        <v>5</v>
      </c>
      <c r="T69" s="17">
        <f t="shared" si="13"/>
        <v>6</v>
      </c>
      <c r="U69" s="17">
        <f t="shared" si="14"/>
        <v>9</v>
      </c>
      <c r="W69" s="7">
        <v>4695</v>
      </c>
      <c r="X69" s="7">
        <v>9702</v>
      </c>
      <c r="Y69" s="7">
        <v>13108</v>
      </c>
      <c r="Z69" s="7">
        <v>4769</v>
      </c>
      <c r="AA69" s="7">
        <v>12909</v>
      </c>
      <c r="AB69" s="13"/>
    </row>
    <row r="70" spans="10:28" ht="16.5" customHeight="1" x14ac:dyDescent="0.3">
      <c r="J70" s="2">
        <v>66</v>
      </c>
      <c r="K70" s="41" t="s">
        <v>28</v>
      </c>
      <c r="L70" s="41" t="s">
        <v>34</v>
      </c>
      <c r="M70" s="41" t="s">
        <v>40</v>
      </c>
      <c r="N70" s="41" t="s">
        <v>29</v>
      </c>
      <c r="O70" s="41" t="s">
        <v>31</v>
      </c>
      <c r="Q70" s="17">
        <f t="shared" si="10"/>
        <v>3</v>
      </c>
      <c r="R70" s="17">
        <f t="shared" si="11"/>
        <v>9</v>
      </c>
      <c r="S70" s="17">
        <f t="shared" si="12"/>
        <v>13</v>
      </c>
      <c r="T70" s="17">
        <f t="shared" si="13"/>
        <v>4</v>
      </c>
      <c r="U70" s="17">
        <f t="shared" si="14"/>
        <v>6</v>
      </c>
      <c r="W70" s="7">
        <v>4218</v>
      </c>
      <c r="X70" s="7">
        <v>10975</v>
      </c>
      <c r="Y70" s="7">
        <v>12235</v>
      </c>
      <c r="Z70" s="7">
        <v>6598</v>
      </c>
      <c r="AA70" s="7">
        <v>13756</v>
      </c>
      <c r="AB70" s="13"/>
    </row>
    <row r="71" spans="10:28" ht="16.5" customHeight="1" x14ac:dyDescent="0.3">
      <c r="J71" s="2">
        <v>67</v>
      </c>
      <c r="K71" s="41" t="s">
        <v>33</v>
      </c>
      <c r="L71" s="41" t="s">
        <v>48</v>
      </c>
      <c r="M71" s="41" t="s">
        <v>30</v>
      </c>
      <c r="N71" s="41" t="s">
        <v>46</v>
      </c>
      <c r="O71" s="41" t="s">
        <v>32</v>
      </c>
      <c r="Q71" s="17">
        <f t="shared" si="10"/>
        <v>8</v>
      </c>
      <c r="R71" s="17">
        <f t="shared" si="11"/>
        <v>17</v>
      </c>
      <c r="S71" s="17">
        <f t="shared" si="12"/>
        <v>5</v>
      </c>
      <c r="T71" s="17">
        <f t="shared" si="13"/>
        <v>16</v>
      </c>
      <c r="U71" s="17">
        <f t="shared" si="14"/>
        <v>7</v>
      </c>
      <c r="W71" s="7">
        <v>4124</v>
      </c>
      <c r="X71" s="7">
        <v>12693</v>
      </c>
      <c r="Y71" s="7">
        <v>8836</v>
      </c>
      <c r="Z71" s="7">
        <v>7614</v>
      </c>
      <c r="AA71" s="7">
        <v>12155</v>
      </c>
      <c r="AB71" s="13"/>
    </row>
    <row r="72" spans="10:28" ht="16.5" customHeight="1" x14ac:dyDescent="0.3">
      <c r="J72" s="2">
        <v>68</v>
      </c>
      <c r="K72" s="41" t="s">
        <v>33</v>
      </c>
      <c r="L72" s="41" t="s">
        <v>42</v>
      </c>
      <c r="M72" s="41" t="s">
        <v>31</v>
      </c>
      <c r="N72" s="41" t="s">
        <v>31</v>
      </c>
      <c r="O72" s="41" t="s">
        <v>32</v>
      </c>
      <c r="Q72" s="17">
        <f t="shared" si="10"/>
        <v>8</v>
      </c>
      <c r="R72" s="17">
        <f t="shared" si="11"/>
        <v>14</v>
      </c>
      <c r="S72" s="17">
        <f t="shared" si="12"/>
        <v>6</v>
      </c>
      <c r="T72" s="17">
        <f t="shared" si="13"/>
        <v>6</v>
      </c>
      <c r="U72" s="17">
        <f t="shared" si="14"/>
        <v>7</v>
      </c>
      <c r="W72" s="7">
        <v>3902</v>
      </c>
      <c r="X72" s="7">
        <v>12979</v>
      </c>
      <c r="Y72" s="7">
        <v>13108</v>
      </c>
      <c r="Z72" s="7">
        <v>5651</v>
      </c>
      <c r="AA72" s="7">
        <v>13379</v>
      </c>
      <c r="AB72" s="13"/>
    </row>
    <row r="73" spans="10:28" ht="16.5" customHeight="1" x14ac:dyDescent="0.3">
      <c r="J73" s="2">
        <v>69</v>
      </c>
      <c r="K73" s="41" t="s">
        <v>29</v>
      </c>
      <c r="L73" s="41" t="s">
        <v>44</v>
      </c>
      <c r="M73" s="41" t="s">
        <v>35</v>
      </c>
      <c r="N73" s="41" t="s">
        <v>30</v>
      </c>
      <c r="O73" s="41" t="s">
        <v>32</v>
      </c>
      <c r="Q73" s="17">
        <f t="shared" si="10"/>
        <v>4</v>
      </c>
      <c r="R73" s="17">
        <f t="shared" si="11"/>
        <v>15</v>
      </c>
      <c r="S73" s="17">
        <f t="shared" si="12"/>
        <v>10</v>
      </c>
      <c r="T73" s="17">
        <f t="shared" si="13"/>
        <v>5</v>
      </c>
      <c r="U73" s="17">
        <f t="shared" si="14"/>
        <v>7</v>
      </c>
      <c r="W73" s="7">
        <v>3410</v>
      </c>
      <c r="X73" s="7">
        <v>15079</v>
      </c>
      <c r="Y73" s="7">
        <v>12720</v>
      </c>
      <c r="Z73" s="7">
        <v>13465</v>
      </c>
      <c r="AA73" s="7">
        <v>10835</v>
      </c>
      <c r="AB73" s="13"/>
    </row>
    <row r="74" spans="10:28" ht="16.5" customHeight="1" x14ac:dyDescent="0.3">
      <c r="J74" s="2">
        <v>70</v>
      </c>
      <c r="K74" s="41" t="s">
        <v>32</v>
      </c>
      <c r="L74" s="41" t="s">
        <v>33</v>
      </c>
      <c r="M74" s="41" t="s">
        <v>35</v>
      </c>
      <c r="N74" s="41" t="s">
        <v>33</v>
      </c>
      <c r="O74" s="41" t="s">
        <v>33</v>
      </c>
      <c r="Q74" s="17">
        <f t="shared" si="10"/>
        <v>7</v>
      </c>
      <c r="R74" s="17">
        <f t="shared" si="11"/>
        <v>8</v>
      </c>
      <c r="S74" s="17">
        <f t="shared" si="12"/>
        <v>10</v>
      </c>
      <c r="T74" s="17">
        <f t="shared" si="13"/>
        <v>8</v>
      </c>
      <c r="U74" s="17">
        <f t="shared" si="14"/>
        <v>8</v>
      </c>
      <c r="W74" s="7">
        <v>3515</v>
      </c>
      <c r="X74" s="7">
        <v>11929</v>
      </c>
      <c r="Y74" s="7">
        <v>10195</v>
      </c>
      <c r="Z74" s="7">
        <v>13849</v>
      </c>
      <c r="AA74" s="7">
        <v>10207</v>
      </c>
      <c r="AB74" s="13"/>
    </row>
    <row r="75" spans="10:28" ht="16.5" customHeight="1" x14ac:dyDescent="0.3">
      <c r="J75" s="2">
        <v>71</v>
      </c>
      <c r="K75" s="41" t="s">
        <v>34</v>
      </c>
      <c r="L75" s="41" t="s">
        <v>38</v>
      </c>
      <c r="M75" s="41" t="s">
        <v>31</v>
      </c>
      <c r="N75" s="41" t="s">
        <v>28</v>
      </c>
      <c r="O75" s="41" t="s">
        <v>33</v>
      </c>
      <c r="Q75" s="17">
        <f t="shared" si="10"/>
        <v>9</v>
      </c>
      <c r="R75" s="17">
        <f t="shared" si="11"/>
        <v>12</v>
      </c>
      <c r="S75" s="17">
        <f t="shared" si="12"/>
        <v>6</v>
      </c>
      <c r="T75" s="17">
        <f t="shared" si="13"/>
        <v>3</v>
      </c>
      <c r="U75" s="17">
        <f t="shared" si="14"/>
        <v>8</v>
      </c>
      <c r="W75" s="7">
        <v>3437</v>
      </c>
      <c r="X75" s="7">
        <v>12693</v>
      </c>
      <c r="Y75" s="7">
        <v>13205</v>
      </c>
      <c r="Z75" s="7">
        <v>13369</v>
      </c>
      <c r="AA75" s="7">
        <v>11385</v>
      </c>
      <c r="AB75" s="13"/>
    </row>
    <row r="76" spans="10:28" ht="16.5" customHeight="1" x14ac:dyDescent="0.3">
      <c r="J76" s="2">
        <v>72</v>
      </c>
      <c r="K76" s="41" t="s">
        <v>29</v>
      </c>
      <c r="L76" s="41" t="s">
        <v>32</v>
      </c>
      <c r="M76" s="41" t="s">
        <v>35</v>
      </c>
      <c r="N76" s="41" t="s">
        <v>34</v>
      </c>
      <c r="O76" s="41" t="s">
        <v>33</v>
      </c>
      <c r="Q76" s="17">
        <f t="shared" si="10"/>
        <v>4</v>
      </c>
      <c r="R76" s="17">
        <f t="shared" si="11"/>
        <v>7</v>
      </c>
      <c r="S76" s="17">
        <f t="shared" si="12"/>
        <v>10</v>
      </c>
      <c r="T76" s="17">
        <f t="shared" si="13"/>
        <v>9</v>
      </c>
      <c r="U76" s="17">
        <f t="shared" si="14"/>
        <v>8</v>
      </c>
      <c r="W76" s="7">
        <v>4695</v>
      </c>
      <c r="X76" s="7">
        <v>10880</v>
      </c>
      <c r="Y76" s="7">
        <v>12299</v>
      </c>
      <c r="Z76" s="7">
        <v>10981</v>
      </c>
      <c r="AA76" s="7">
        <v>12719</v>
      </c>
      <c r="AB76" s="13"/>
    </row>
    <row r="77" spans="10:28" ht="16.5" customHeight="1" x14ac:dyDescent="0.3">
      <c r="J77" s="2">
        <v>73</v>
      </c>
      <c r="K77" s="41" t="s">
        <v>32</v>
      </c>
      <c r="L77" s="41" t="s">
        <v>28</v>
      </c>
      <c r="M77" s="41" t="s">
        <v>36</v>
      </c>
      <c r="N77" s="41" t="s">
        <v>31</v>
      </c>
      <c r="O77" s="41" t="s">
        <v>30</v>
      </c>
      <c r="Q77" s="17">
        <f t="shared" si="10"/>
        <v>7</v>
      </c>
      <c r="R77" s="17">
        <f t="shared" si="11"/>
        <v>3</v>
      </c>
      <c r="S77" s="17">
        <f t="shared" si="12"/>
        <v>11</v>
      </c>
      <c r="T77" s="17">
        <f t="shared" si="13"/>
        <v>6</v>
      </c>
      <c r="U77" s="17">
        <f t="shared" si="14"/>
        <v>5</v>
      </c>
      <c r="W77" s="7">
        <v>4218</v>
      </c>
      <c r="X77" s="7">
        <v>13838</v>
      </c>
      <c r="Y77" s="7">
        <v>10114</v>
      </c>
      <c r="Z77" s="7">
        <v>9377</v>
      </c>
      <c r="AA77" s="7">
        <v>6784</v>
      </c>
      <c r="AB77" s="13"/>
    </row>
    <row r="78" spans="10:28" ht="16.5" customHeight="1" x14ac:dyDescent="0.3">
      <c r="J78" s="2">
        <v>74</v>
      </c>
      <c r="K78" s="41" t="s">
        <v>33</v>
      </c>
      <c r="L78" s="41" t="s">
        <v>31</v>
      </c>
      <c r="M78" s="41" t="s">
        <v>30</v>
      </c>
      <c r="N78" s="41" t="s">
        <v>35</v>
      </c>
      <c r="O78" s="41" t="s">
        <v>33</v>
      </c>
      <c r="Q78" s="17">
        <f t="shared" si="10"/>
        <v>8</v>
      </c>
      <c r="R78" s="17">
        <f t="shared" si="11"/>
        <v>6</v>
      </c>
      <c r="S78" s="17">
        <f t="shared" si="12"/>
        <v>5</v>
      </c>
      <c r="T78" s="17">
        <f t="shared" si="13"/>
        <v>10</v>
      </c>
      <c r="U78" s="17">
        <f t="shared" si="14"/>
        <v>8</v>
      </c>
      <c r="W78" s="7">
        <v>4124</v>
      </c>
      <c r="X78" s="7">
        <v>13838</v>
      </c>
      <c r="Y78" s="7">
        <v>6662</v>
      </c>
      <c r="Z78" s="7">
        <v>11060</v>
      </c>
      <c r="AA78" s="7">
        <v>8574</v>
      </c>
      <c r="AB78" s="13"/>
    </row>
    <row r="79" spans="10:28" ht="16.5" customHeight="1" x14ac:dyDescent="0.3">
      <c r="J79" s="2">
        <v>75</v>
      </c>
      <c r="K79" s="41" t="s">
        <v>33</v>
      </c>
      <c r="L79" s="41" t="s">
        <v>30</v>
      </c>
      <c r="M79" s="41" t="s">
        <v>30</v>
      </c>
      <c r="N79" s="41" t="s">
        <v>31</v>
      </c>
      <c r="O79" s="41" t="s">
        <v>33</v>
      </c>
      <c r="Q79" s="17">
        <f t="shared" si="10"/>
        <v>8</v>
      </c>
      <c r="R79" s="17">
        <f t="shared" si="11"/>
        <v>5</v>
      </c>
      <c r="S79" s="17">
        <f t="shared" si="12"/>
        <v>5</v>
      </c>
      <c r="T79" s="17">
        <f t="shared" si="13"/>
        <v>6</v>
      </c>
      <c r="U79" s="17">
        <f t="shared" si="14"/>
        <v>8</v>
      </c>
      <c r="W79" s="7">
        <v>3902</v>
      </c>
      <c r="X79" s="7">
        <v>14983</v>
      </c>
      <c r="Y79" s="7">
        <v>7255</v>
      </c>
      <c r="Z79" s="7">
        <v>6598</v>
      </c>
      <c r="AA79" s="7">
        <v>7114</v>
      </c>
      <c r="AB79" s="13"/>
    </row>
    <row r="80" spans="10:28" ht="15.6" customHeight="1" x14ac:dyDescent="0.3">
      <c r="J80" s="2">
        <v>76</v>
      </c>
      <c r="K80" s="41" t="s">
        <v>29</v>
      </c>
      <c r="L80" s="41" t="s">
        <v>50</v>
      </c>
      <c r="M80" s="41" t="s">
        <v>40</v>
      </c>
      <c r="N80" s="41" t="s">
        <v>31</v>
      </c>
      <c r="O80" s="41" t="s">
        <v>30</v>
      </c>
      <c r="Q80" s="17">
        <f t="shared" si="10"/>
        <v>4</v>
      </c>
      <c r="R80" s="17">
        <f t="shared" si="11"/>
        <v>18</v>
      </c>
      <c r="S80" s="17">
        <f t="shared" si="12"/>
        <v>13</v>
      </c>
      <c r="T80" s="17">
        <f t="shared" si="13"/>
        <v>6</v>
      </c>
      <c r="U80" s="17">
        <f t="shared" si="14"/>
        <v>5</v>
      </c>
      <c r="W80" s="7">
        <v>12466</v>
      </c>
      <c r="X80" s="7">
        <v>12406</v>
      </c>
      <c r="Y80" s="7">
        <v>7364</v>
      </c>
      <c r="Z80" s="7">
        <v>7614</v>
      </c>
      <c r="AA80" s="7">
        <v>12484</v>
      </c>
      <c r="AB80" s="13"/>
    </row>
    <row r="81" spans="10:28" ht="15.6" customHeight="1" x14ac:dyDescent="0.3">
      <c r="J81" s="2">
        <v>77</v>
      </c>
      <c r="K81" s="41" t="s">
        <v>28</v>
      </c>
      <c r="L81" s="41" t="s">
        <v>29</v>
      </c>
      <c r="M81" s="41" t="s">
        <v>50</v>
      </c>
      <c r="N81" s="41" t="s">
        <v>42</v>
      </c>
      <c r="O81" s="41" t="s">
        <v>34</v>
      </c>
      <c r="Q81" s="17">
        <f t="shared" si="10"/>
        <v>3</v>
      </c>
      <c r="R81" s="17">
        <f t="shared" si="11"/>
        <v>4</v>
      </c>
      <c r="S81" s="17">
        <f t="shared" si="12"/>
        <v>18</v>
      </c>
      <c r="T81" s="17">
        <f t="shared" si="13"/>
        <v>14</v>
      </c>
      <c r="U81" s="17">
        <f t="shared" si="14"/>
        <v>9</v>
      </c>
      <c r="W81" s="7">
        <v>4218</v>
      </c>
      <c r="X81" s="7">
        <v>13933</v>
      </c>
      <c r="Y81" s="7">
        <v>13205</v>
      </c>
      <c r="Z81" s="7">
        <v>5691</v>
      </c>
      <c r="AA81" s="7">
        <v>10365</v>
      </c>
      <c r="AB81" s="13"/>
    </row>
    <row r="82" spans="10:28" ht="15.6" customHeight="1" x14ac:dyDescent="0.3">
      <c r="J82" s="2">
        <v>78</v>
      </c>
      <c r="K82" s="41" t="s">
        <v>33</v>
      </c>
      <c r="L82" s="41" t="s">
        <v>44</v>
      </c>
      <c r="M82" s="41" t="s">
        <v>44</v>
      </c>
      <c r="N82" s="41" t="s">
        <v>46</v>
      </c>
      <c r="O82" s="41" t="s">
        <v>34</v>
      </c>
      <c r="Q82" s="17">
        <f t="shared" si="10"/>
        <v>8</v>
      </c>
      <c r="R82" s="17">
        <f t="shared" si="11"/>
        <v>15</v>
      </c>
      <c r="S82" s="17">
        <f t="shared" si="12"/>
        <v>15</v>
      </c>
      <c r="T82" s="17">
        <f t="shared" si="13"/>
        <v>16</v>
      </c>
      <c r="U82" s="17">
        <f t="shared" si="14"/>
        <v>9</v>
      </c>
      <c r="W82" s="7">
        <v>4124</v>
      </c>
      <c r="X82" s="7">
        <v>13456</v>
      </c>
      <c r="Y82" s="7">
        <v>12429</v>
      </c>
      <c r="Z82" s="7">
        <v>3312</v>
      </c>
      <c r="AA82" s="7">
        <v>10050</v>
      </c>
      <c r="AB82" s="13"/>
    </row>
    <row r="83" spans="10:28" ht="15.6" customHeight="1" x14ac:dyDescent="0.3">
      <c r="J83" s="2">
        <v>79</v>
      </c>
      <c r="K83" s="41" t="s">
        <v>29</v>
      </c>
      <c r="L83" s="41" t="s">
        <v>42</v>
      </c>
      <c r="M83" s="41" t="s">
        <v>35</v>
      </c>
      <c r="N83" s="41" t="s">
        <v>42</v>
      </c>
      <c r="O83" s="41" t="s">
        <v>34</v>
      </c>
      <c r="Q83" s="17">
        <f t="shared" si="10"/>
        <v>4</v>
      </c>
      <c r="R83" s="17">
        <f t="shared" si="11"/>
        <v>14</v>
      </c>
      <c r="S83" s="17">
        <f t="shared" si="12"/>
        <v>10</v>
      </c>
      <c r="T83" s="17">
        <f t="shared" si="13"/>
        <v>14</v>
      </c>
      <c r="U83" s="17">
        <f t="shared" si="14"/>
        <v>9</v>
      </c>
      <c r="W83" s="7">
        <v>3902</v>
      </c>
      <c r="X83" s="7">
        <v>10307</v>
      </c>
      <c r="Y83" s="7">
        <v>13497</v>
      </c>
      <c r="Z83" s="7">
        <v>5550</v>
      </c>
      <c r="AA83" s="7">
        <v>9501</v>
      </c>
      <c r="AB83" s="13"/>
    </row>
    <row r="84" spans="10:28" ht="15.6" customHeight="1" x14ac:dyDescent="0.3">
      <c r="J84" s="2">
        <v>80</v>
      </c>
      <c r="K84" s="41" t="s">
        <v>33</v>
      </c>
      <c r="L84" s="41" t="s">
        <v>42</v>
      </c>
      <c r="M84" s="41" t="s">
        <v>35</v>
      </c>
      <c r="N84" s="41" t="s">
        <v>31</v>
      </c>
      <c r="O84" s="41" t="s">
        <v>35</v>
      </c>
      <c r="Q84" s="17">
        <f t="shared" si="10"/>
        <v>8</v>
      </c>
      <c r="R84" s="17">
        <f t="shared" si="11"/>
        <v>14</v>
      </c>
      <c r="S84" s="17">
        <f t="shared" si="12"/>
        <v>10</v>
      </c>
      <c r="T84" s="17">
        <f t="shared" si="13"/>
        <v>6</v>
      </c>
      <c r="U84" s="17">
        <f t="shared" si="14"/>
        <v>10</v>
      </c>
      <c r="W84" s="7">
        <v>12846</v>
      </c>
      <c r="X84" s="7">
        <v>11357</v>
      </c>
      <c r="Y84" s="7">
        <v>13303</v>
      </c>
      <c r="Z84" s="7">
        <v>3793</v>
      </c>
      <c r="AA84" s="7">
        <v>13850</v>
      </c>
      <c r="AB84" s="13"/>
    </row>
    <row r="85" spans="10:28" ht="15.6" customHeight="1" x14ac:dyDescent="0.3">
      <c r="J85" s="2">
        <v>81</v>
      </c>
      <c r="K85" s="41" t="s">
        <v>31</v>
      </c>
      <c r="L85" s="41" t="s">
        <v>35</v>
      </c>
      <c r="M85" s="41" t="s">
        <v>40</v>
      </c>
      <c r="N85" s="41" t="s">
        <v>42</v>
      </c>
      <c r="O85" s="41" t="s">
        <v>32</v>
      </c>
      <c r="Q85" s="17">
        <f t="shared" si="10"/>
        <v>6</v>
      </c>
      <c r="R85" s="17">
        <f t="shared" si="11"/>
        <v>10</v>
      </c>
      <c r="S85" s="17">
        <f t="shared" si="12"/>
        <v>13</v>
      </c>
      <c r="T85" s="17">
        <f t="shared" si="13"/>
        <v>14</v>
      </c>
      <c r="U85" s="17">
        <f t="shared" si="14"/>
        <v>7</v>
      </c>
      <c r="W85" s="7">
        <v>10468</v>
      </c>
      <c r="X85" s="7">
        <v>14506</v>
      </c>
      <c r="Y85" s="7">
        <v>13399</v>
      </c>
      <c r="Z85" s="7">
        <v>3312</v>
      </c>
      <c r="AA85" s="7">
        <v>13568</v>
      </c>
      <c r="AB85" s="13"/>
    </row>
    <row r="86" spans="10:28" ht="15.6" customHeight="1" x14ac:dyDescent="0.3">
      <c r="J86" s="2">
        <v>82</v>
      </c>
      <c r="K86" s="41" t="s">
        <v>33</v>
      </c>
      <c r="L86" s="41" t="s">
        <v>33</v>
      </c>
      <c r="M86" s="41" t="s">
        <v>48</v>
      </c>
      <c r="N86" s="41" t="s">
        <v>34</v>
      </c>
      <c r="O86" s="41" t="s">
        <v>33</v>
      </c>
      <c r="Q86" s="17">
        <f t="shared" si="10"/>
        <v>8</v>
      </c>
      <c r="R86" s="17">
        <f t="shared" si="11"/>
        <v>8</v>
      </c>
      <c r="S86" s="17">
        <f t="shared" si="12"/>
        <v>17</v>
      </c>
      <c r="T86" s="17">
        <f t="shared" si="13"/>
        <v>9</v>
      </c>
      <c r="U86" s="17">
        <f t="shared" si="14"/>
        <v>8</v>
      </c>
      <c r="W86" s="7">
        <v>9833</v>
      </c>
      <c r="X86" s="7">
        <v>13838</v>
      </c>
      <c r="Y86" s="7">
        <v>12622</v>
      </c>
      <c r="Z86" s="7">
        <v>5550</v>
      </c>
      <c r="AA86" s="7">
        <v>12438</v>
      </c>
      <c r="AB86" s="13"/>
    </row>
    <row r="87" spans="10:28" ht="15.6" customHeight="1" x14ac:dyDescent="0.3">
      <c r="J87" s="2">
        <v>83</v>
      </c>
      <c r="K87" s="41" t="s">
        <v>34</v>
      </c>
      <c r="L87" s="41" t="s">
        <v>48</v>
      </c>
      <c r="M87" s="41" t="s">
        <v>30</v>
      </c>
      <c r="N87" s="41" t="s">
        <v>48</v>
      </c>
      <c r="O87" s="41" t="s">
        <v>26</v>
      </c>
      <c r="Q87" s="17">
        <f t="shared" si="10"/>
        <v>9</v>
      </c>
      <c r="R87" s="17">
        <f t="shared" si="11"/>
        <v>17</v>
      </c>
      <c r="S87" s="17">
        <f t="shared" si="12"/>
        <v>5</v>
      </c>
      <c r="T87" s="17">
        <f t="shared" si="13"/>
        <v>17</v>
      </c>
      <c r="U87" s="17">
        <f t="shared" si="14"/>
        <v>2</v>
      </c>
      <c r="W87" s="7">
        <v>9437</v>
      </c>
      <c r="X87" s="7">
        <v>12789</v>
      </c>
      <c r="Y87" s="7">
        <v>11360</v>
      </c>
      <c r="Z87" s="7">
        <v>3793</v>
      </c>
      <c r="AA87" s="7">
        <v>14039</v>
      </c>
      <c r="AB87" s="13"/>
    </row>
    <row r="88" spans="10:28" ht="15.6" customHeight="1" x14ac:dyDescent="0.3">
      <c r="J88" s="2">
        <v>84</v>
      </c>
      <c r="K88" s="41" t="s">
        <v>31</v>
      </c>
      <c r="L88" s="41" t="s">
        <v>26</v>
      </c>
      <c r="M88" s="41" t="s">
        <v>30</v>
      </c>
      <c r="N88" s="41" t="s">
        <v>31</v>
      </c>
      <c r="O88" s="41" t="s">
        <v>29</v>
      </c>
      <c r="Q88" s="17">
        <f t="shared" si="10"/>
        <v>6</v>
      </c>
      <c r="R88" s="17">
        <f t="shared" si="11"/>
        <v>2</v>
      </c>
      <c r="S88" s="17">
        <f t="shared" si="12"/>
        <v>5</v>
      </c>
      <c r="T88" s="17">
        <f t="shared" si="13"/>
        <v>6</v>
      </c>
      <c r="U88" s="17">
        <f t="shared" si="14"/>
        <v>4</v>
      </c>
      <c r="W88" s="7">
        <v>10627</v>
      </c>
      <c r="X88" s="7">
        <v>14315</v>
      </c>
      <c r="Y88" s="7">
        <v>12526</v>
      </c>
      <c r="Z88" s="7">
        <v>3312</v>
      </c>
      <c r="AA88" s="7">
        <v>6502</v>
      </c>
      <c r="AB88" s="13"/>
    </row>
    <row r="89" spans="10:28" ht="15.6" customHeight="1" x14ac:dyDescent="0.3">
      <c r="J89" s="2">
        <v>85</v>
      </c>
      <c r="K89" s="41" t="s">
        <v>34</v>
      </c>
      <c r="L89" s="41" t="s">
        <v>46</v>
      </c>
      <c r="M89" s="41" t="s">
        <v>36</v>
      </c>
      <c r="N89" s="41" t="s">
        <v>48</v>
      </c>
      <c r="O89" s="41" t="s">
        <v>28</v>
      </c>
      <c r="Q89" s="17">
        <f t="shared" si="10"/>
        <v>9</v>
      </c>
      <c r="R89" s="17">
        <f t="shared" si="11"/>
        <v>16</v>
      </c>
      <c r="S89" s="17">
        <f t="shared" si="12"/>
        <v>11</v>
      </c>
      <c r="T89" s="17">
        <f t="shared" si="13"/>
        <v>17</v>
      </c>
      <c r="U89" s="17">
        <f t="shared" si="14"/>
        <v>3</v>
      </c>
      <c r="W89" s="7">
        <v>10627</v>
      </c>
      <c r="X89" s="7">
        <v>13456</v>
      </c>
      <c r="Y89" s="7">
        <v>10195</v>
      </c>
      <c r="Z89" s="7">
        <v>5550</v>
      </c>
      <c r="AA89" s="7">
        <v>6046</v>
      </c>
      <c r="AB89" s="13"/>
    </row>
    <row r="90" spans="10:28" ht="15.6" customHeight="1" x14ac:dyDescent="0.3">
      <c r="J90" s="2">
        <v>86</v>
      </c>
      <c r="K90" s="41" t="s">
        <v>32</v>
      </c>
      <c r="L90" s="41" t="s">
        <v>31</v>
      </c>
      <c r="M90" s="41" t="s">
        <v>35</v>
      </c>
      <c r="N90" s="41" t="s">
        <v>32</v>
      </c>
      <c r="O90" s="41" t="s">
        <v>30</v>
      </c>
      <c r="Q90" s="17">
        <f t="shared" si="10"/>
        <v>7</v>
      </c>
      <c r="R90" s="17">
        <f t="shared" si="11"/>
        <v>6</v>
      </c>
      <c r="S90" s="17">
        <f t="shared" si="12"/>
        <v>10</v>
      </c>
      <c r="T90" s="17">
        <f t="shared" si="13"/>
        <v>7</v>
      </c>
      <c r="U90" s="17">
        <f t="shared" si="14"/>
        <v>5</v>
      </c>
      <c r="W90" s="7">
        <v>12466</v>
      </c>
      <c r="X90" s="7">
        <v>13170</v>
      </c>
      <c r="Y90" s="7">
        <v>13691</v>
      </c>
      <c r="Z90" s="7">
        <v>11060</v>
      </c>
      <c r="AA90" s="7">
        <v>5103</v>
      </c>
      <c r="AB90" s="13"/>
    </row>
    <row r="91" spans="10:28" ht="15.6" customHeight="1" x14ac:dyDescent="0.3">
      <c r="J91" s="2">
        <v>87</v>
      </c>
      <c r="K91" s="41" t="s">
        <v>33</v>
      </c>
      <c r="L91" s="41" t="s">
        <v>29</v>
      </c>
      <c r="M91" s="41" t="s">
        <v>31</v>
      </c>
      <c r="N91" s="41" t="s">
        <v>34</v>
      </c>
      <c r="O91" s="41" t="s">
        <v>29</v>
      </c>
      <c r="Q91" s="17">
        <f t="shared" si="10"/>
        <v>8</v>
      </c>
      <c r="R91" s="17">
        <f t="shared" si="11"/>
        <v>4</v>
      </c>
      <c r="S91" s="17">
        <f t="shared" si="12"/>
        <v>6</v>
      </c>
      <c r="T91" s="17">
        <f t="shared" si="13"/>
        <v>9</v>
      </c>
      <c r="U91" s="17">
        <f t="shared" si="14"/>
        <v>4</v>
      </c>
      <c r="W91" s="7">
        <v>11578</v>
      </c>
      <c r="X91" s="7">
        <v>10816</v>
      </c>
      <c r="Y91" s="7">
        <v>12622</v>
      </c>
      <c r="Z91" s="7">
        <v>9458</v>
      </c>
      <c r="AA91" s="7">
        <v>5888</v>
      </c>
      <c r="AB91" s="13"/>
    </row>
    <row r="92" spans="10:28" ht="15.6" customHeight="1" x14ac:dyDescent="0.3">
      <c r="J92" s="2">
        <v>88</v>
      </c>
      <c r="K92" s="41" t="s">
        <v>29</v>
      </c>
      <c r="L92" s="41" t="s">
        <v>35</v>
      </c>
      <c r="M92" s="41" t="s">
        <v>38</v>
      </c>
      <c r="N92" s="41" t="s">
        <v>31</v>
      </c>
      <c r="O92" s="41" t="s">
        <v>29</v>
      </c>
      <c r="Q92" s="17">
        <f t="shared" si="10"/>
        <v>4</v>
      </c>
      <c r="R92" s="17">
        <f t="shared" si="11"/>
        <v>10</v>
      </c>
      <c r="S92" s="17">
        <f t="shared" si="12"/>
        <v>12</v>
      </c>
      <c r="T92" s="17">
        <f t="shared" si="13"/>
        <v>6</v>
      </c>
      <c r="U92" s="17">
        <f t="shared" si="14"/>
        <v>4</v>
      </c>
      <c r="W92" s="7">
        <v>11102</v>
      </c>
      <c r="X92" s="7">
        <v>11214</v>
      </c>
      <c r="Y92" s="7">
        <v>12914</v>
      </c>
      <c r="Z92" s="7">
        <v>5531</v>
      </c>
      <c r="AA92" s="7">
        <v>4672</v>
      </c>
      <c r="AB92" s="13"/>
    </row>
    <row r="93" spans="10:28" ht="15.6" customHeight="1" x14ac:dyDescent="0.3">
      <c r="J93" s="2">
        <v>89</v>
      </c>
      <c r="K93" s="41" t="s">
        <v>35</v>
      </c>
      <c r="L93" s="41" t="s">
        <v>50</v>
      </c>
      <c r="M93" s="41" t="s">
        <v>40</v>
      </c>
      <c r="N93" s="41" t="s">
        <v>34</v>
      </c>
      <c r="O93" s="41" t="s">
        <v>29</v>
      </c>
      <c r="Q93" s="17">
        <f t="shared" si="10"/>
        <v>10</v>
      </c>
      <c r="R93" s="17">
        <f t="shared" si="11"/>
        <v>18</v>
      </c>
      <c r="S93" s="17">
        <f t="shared" si="12"/>
        <v>13</v>
      </c>
      <c r="T93" s="17">
        <f t="shared" si="13"/>
        <v>9</v>
      </c>
      <c r="U93" s="17">
        <f t="shared" si="14"/>
        <v>4</v>
      </c>
      <c r="W93" s="7">
        <v>10309</v>
      </c>
      <c r="X93" s="7">
        <v>10577</v>
      </c>
      <c r="Y93" s="7">
        <v>11004</v>
      </c>
      <c r="Z93" s="7">
        <v>4769</v>
      </c>
      <c r="AA93" s="7">
        <v>6962</v>
      </c>
      <c r="AB93" s="13"/>
    </row>
    <row r="94" spans="10:28" ht="15.6" customHeight="1" x14ac:dyDescent="0.3">
      <c r="J94" s="2">
        <v>90</v>
      </c>
      <c r="K94" s="41" t="s">
        <v>34</v>
      </c>
      <c r="L94" s="41" t="s">
        <v>50</v>
      </c>
      <c r="M94" s="41" t="s">
        <v>29</v>
      </c>
      <c r="N94" s="41" t="s">
        <v>42</v>
      </c>
      <c r="O94" s="41" t="s">
        <v>32</v>
      </c>
      <c r="Q94" s="17">
        <f t="shared" si="10"/>
        <v>9</v>
      </c>
      <c r="R94" s="17">
        <f t="shared" si="11"/>
        <v>18</v>
      </c>
      <c r="S94" s="17">
        <f t="shared" si="12"/>
        <v>4</v>
      </c>
      <c r="T94" s="17">
        <f t="shared" si="13"/>
        <v>14</v>
      </c>
      <c r="U94" s="17">
        <f t="shared" si="14"/>
        <v>7</v>
      </c>
      <c r="W94" s="7">
        <v>10151</v>
      </c>
      <c r="X94" s="7">
        <v>11262</v>
      </c>
      <c r="Y94" s="7">
        <v>11652</v>
      </c>
      <c r="Z94" s="7">
        <v>6598</v>
      </c>
      <c r="AA94" s="7">
        <v>7302</v>
      </c>
      <c r="AB94" s="13"/>
    </row>
    <row r="95" spans="10:28" ht="15.6" customHeight="1" x14ac:dyDescent="0.3">
      <c r="J95" s="2">
        <v>91</v>
      </c>
      <c r="K95" s="41" t="s">
        <v>34</v>
      </c>
      <c r="L95" s="41" t="s">
        <v>38</v>
      </c>
      <c r="M95" s="41" t="s">
        <v>44</v>
      </c>
      <c r="N95" s="41" t="s">
        <v>29</v>
      </c>
      <c r="O95" s="41" t="s">
        <v>29</v>
      </c>
      <c r="Q95" s="17">
        <f t="shared" si="10"/>
        <v>9</v>
      </c>
      <c r="R95" s="17">
        <f t="shared" si="11"/>
        <v>12</v>
      </c>
      <c r="S95" s="17">
        <f t="shared" si="12"/>
        <v>15</v>
      </c>
      <c r="T95" s="17">
        <f t="shared" si="13"/>
        <v>4</v>
      </c>
      <c r="U95" s="17">
        <f t="shared" si="14"/>
        <v>4</v>
      </c>
      <c r="W95" s="7">
        <v>13037</v>
      </c>
      <c r="X95" s="7">
        <v>13170</v>
      </c>
      <c r="Y95" s="7">
        <v>10276</v>
      </c>
      <c r="Z95" s="7">
        <v>6204</v>
      </c>
      <c r="AA95" s="7">
        <v>5339</v>
      </c>
      <c r="AB95" s="13"/>
    </row>
    <row r="96" spans="10:28" ht="15.6" customHeight="1" x14ac:dyDescent="0.3">
      <c r="J96" s="2">
        <v>92</v>
      </c>
      <c r="K96" s="41" t="s">
        <v>34</v>
      </c>
      <c r="L96" s="41" t="s">
        <v>48</v>
      </c>
      <c r="M96" s="41" t="s">
        <v>34</v>
      </c>
      <c r="N96" s="41" t="s">
        <v>42</v>
      </c>
      <c r="O96" s="41" t="s">
        <v>30</v>
      </c>
      <c r="Q96" s="17">
        <f t="shared" si="10"/>
        <v>9</v>
      </c>
      <c r="R96" s="17">
        <f t="shared" si="11"/>
        <v>17</v>
      </c>
      <c r="S96" s="17">
        <f t="shared" si="12"/>
        <v>9</v>
      </c>
      <c r="T96" s="17">
        <f t="shared" si="13"/>
        <v>14</v>
      </c>
      <c r="U96" s="17">
        <f t="shared" si="14"/>
        <v>5</v>
      </c>
      <c r="W96" s="7">
        <v>10151</v>
      </c>
      <c r="X96" s="7">
        <v>12502</v>
      </c>
      <c r="Y96" s="7">
        <v>11976</v>
      </c>
      <c r="Z96" s="7">
        <v>5290</v>
      </c>
      <c r="AA96" s="7">
        <v>6784</v>
      </c>
      <c r="AB96" s="13"/>
    </row>
    <row r="97" spans="10:28" ht="15.6" customHeight="1" x14ac:dyDescent="0.3">
      <c r="J97" s="2">
        <v>93</v>
      </c>
      <c r="K97" s="41" t="s">
        <v>32</v>
      </c>
      <c r="L97" s="41" t="s">
        <v>31</v>
      </c>
      <c r="M97" s="41" t="s">
        <v>34</v>
      </c>
      <c r="N97" s="41" t="s">
        <v>33</v>
      </c>
      <c r="O97" s="41" t="s">
        <v>33</v>
      </c>
      <c r="Q97" s="17">
        <f t="shared" si="10"/>
        <v>7</v>
      </c>
      <c r="R97" s="17">
        <f t="shared" si="11"/>
        <v>6</v>
      </c>
      <c r="S97" s="17">
        <f t="shared" si="12"/>
        <v>9</v>
      </c>
      <c r="T97" s="17">
        <f t="shared" si="13"/>
        <v>8</v>
      </c>
      <c r="U97" s="17">
        <f t="shared" si="14"/>
        <v>8</v>
      </c>
      <c r="W97" s="7">
        <v>9635</v>
      </c>
      <c r="X97" s="7">
        <v>12216</v>
      </c>
      <c r="Y97" s="7">
        <v>11328</v>
      </c>
      <c r="Z97" s="7">
        <v>5610</v>
      </c>
      <c r="AA97" s="7">
        <v>8574</v>
      </c>
      <c r="AB97" s="13"/>
    </row>
    <row r="98" spans="10:28" ht="15.6" customHeight="1" x14ac:dyDescent="0.3">
      <c r="J98" s="2">
        <v>94</v>
      </c>
      <c r="K98" s="41" t="s">
        <v>34</v>
      </c>
      <c r="L98" s="41" t="s">
        <v>32</v>
      </c>
      <c r="M98" s="41" t="s">
        <v>48</v>
      </c>
      <c r="N98" s="41" t="s">
        <v>33</v>
      </c>
      <c r="O98" s="41" t="s">
        <v>34</v>
      </c>
      <c r="Q98" s="17">
        <f t="shared" si="10"/>
        <v>9</v>
      </c>
      <c r="R98" s="17">
        <f t="shared" si="11"/>
        <v>7</v>
      </c>
      <c r="S98" s="17">
        <f t="shared" si="12"/>
        <v>17</v>
      </c>
      <c r="T98" s="17">
        <f t="shared" si="13"/>
        <v>8</v>
      </c>
      <c r="U98" s="17">
        <f t="shared" si="14"/>
        <v>9</v>
      </c>
      <c r="W98" s="7">
        <v>9437</v>
      </c>
      <c r="X98" s="7">
        <v>13456</v>
      </c>
      <c r="Y98" s="7">
        <v>10357</v>
      </c>
      <c r="Z98" s="7">
        <v>6051</v>
      </c>
      <c r="AA98" s="7">
        <v>14039</v>
      </c>
      <c r="AB98" s="13"/>
    </row>
    <row r="99" spans="10:28" ht="15.6" customHeight="1" x14ac:dyDescent="0.3">
      <c r="J99" s="2">
        <v>95</v>
      </c>
      <c r="K99" s="41" t="s">
        <v>35</v>
      </c>
      <c r="L99" s="41" t="s">
        <v>31</v>
      </c>
      <c r="M99" s="41" t="s">
        <v>29</v>
      </c>
      <c r="N99" s="41" t="s">
        <v>46</v>
      </c>
      <c r="O99" s="41" t="s">
        <v>35</v>
      </c>
      <c r="Q99" s="17">
        <f t="shared" si="10"/>
        <v>10</v>
      </c>
      <c r="R99" s="17">
        <f t="shared" si="11"/>
        <v>6</v>
      </c>
      <c r="S99" s="17">
        <f t="shared" si="12"/>
        <v>4</v>
      </c>
      <c r="T99" s="17">
        <f t="shared" si="13"/>
        <v>16</v>
      </c>
      <c r="U99" s="17">
        <f t="shared" si="14"/>
        <v>10</v>
      </c>
      <c r="W99" s="7">
        <v>8802</v>
      </c>
      <c r="X99" s="7">
        <v>10498</v>
      </c>
      <c r="Y99" s="7">
        <v>11328</v>
      </c>
      <c r="Z99" s="7">
        <v>6732</v>
      </c>
      <c r="AA99" s="7">
        <v>11495</v>
      </c>
      <c r="AB99" s="13"/>
    </row>
    <row r="100" spans="10:28" ht="15.6" customHeight="1" x14ac:dyDescent="0.3">
      <c r="J100" s="2">
        <v>96</v>
      </c>
      <c r="K100" s="41" t="s">
        <v>32</v>
      </c>
      <c r="L100" s="41" t="s">
        <v>30</v>
      </c>
      <c r="M100" s="41" t="s">
        <v>30</v>
      </c>
      <c r="N100" s="41" t="s">
        <v>33</v>
      </c>
      <c r="O100" s="41" t="s">
        <v>30</v>
      </c>
      <c r="Q100" s="17">
        <f t="shared" si="10"/>
        <v>7</v>
      </c>
      <c r="R100" s="17">
        <f t="shared" si="11"/>
        <v>5</v>
      </c>
      <c r="S100" s="17">
        <f t="shared" si="12"/>
        <v>5</v>
      </c>
      <c r="T100" s="17">
        <f t="shared" si="13"/>
        <v>8</v>
      </c>
      <c r="U100" s="17">
        <f t="shared" si="14"/>
        <v>5</v>
      </c>
      <c r="W100" s="7">
        <v>10705</v>
      </c>
      <c r="X100" s="7">
        <v>10816</v>
      </c>
      <c r="Y100" s="7">
        <v>10923</v>
      </c>
      <c r="Z100" s="7">
        <v>6204</v>
      </c>
      <c r="AA100" s="7">
        <v>13662</v>
      </c>
      <c r="AB100" s="13"/>
    </row>
    <row r="101" spans="10:28" ht="15.6" customHeight="1" x14ac:dyDescent="0.3">
      <c r="J101" s="2">
        <v>97</v>
      </c>
      <c r="K101" s="41" t="s">
        <v>31</v>
      </c>
      <c r="L101" s="41" t="s">
        <v>29</v>
      </c>
      <c r="M101" s="41" t="s">
        <v>40</v>
      </c>
      <c r="N101" s="41" t="s">
        <v>26</v>
      </c>
      <c r="O101" s="41" t="s">
        <v>32</v>
      </c>
      <c r="Q101" s="17">
        <f t="shared" si="10"/>
        <v>6</v>
      </c>
      <c r="R101" s="17">
        <f t="shared" si="11"/>
        <v>4</v>
      </c>
      <c r="S101" s="17">
        <f t="shared" si="12"/>
        <v>13</v>
      </c>
      <c r="T101" s="17">
        <f t="shared" si="13"/>
        <v>2</v>
      </c>
      <c r="U101" s="17">
        <f t="shared" si="14"/>
        <v>7</v>
      </c>
      <c r="W101" s="7">
        <v>12371</v>
      </c>
      <c r="X101" s="7">
        <v>10657</v>
      </c>
      <c r="Y101" s="7">
        <v>12235</v>
      </c>
      <c r="Z101" s="7">
        <v>7213</v>
      </c>
      <c r="AA101" s="7">
        <v>12248</v>
      </c>
      <c r="AB101" s="13"/>
    </row>
    <row r="102" spans="10:28" ht="15.6" customHeight="1" x14ac:dyDescent="0.3">
      <c r="J102" s="2">
        <v>98</v>
      </c>
      <c r="K102" s="41" t="s">
        <v>31</v>
      </c>
      <c r="L102" s="41" t="s">
        <v>38</v>
      </c>
      <c r="M102" s="41" t="s">
        <v>31</v>
      </c>
      <c r="N102" s="41" t="s">
        <v>46</v>
      </c>
      <c r="O102" s="41" t="s">
        <v>34</v>
      </c>
      <c r="Q102" s="17">
        <f t="shared" si="10"/>
        <v>6</v>
      </c>
      <c r="R102" s="17">
        <f t="shared" si="11"/>
        <v>12</v>
      </c>
      <c r="S102" s="17">
        <f t="shared" si="12"/>
        <v>6</v>
      </c>
      <c r="T102" s="17">
        <f t="shared" si="13"/>
        <v>16</v>
      </c>
      <c r="U102" s="17">
        <f t="shared" si="14"/>
        <v>9</v>
      </c>
      <c r="W102" s="7">
        <v>12276</v>
      </c>
      <c r="X102" s="7">
        <v>14029</v>
      </c>
      <c r="Y102" s="7">
        <v>11846</v>
      </c>
      <c r="Z102" s="7">
        <v>6204</v>
      </c>
      <c r="AA102" s="7">
        <v>12060</v>
      </c>
      <c r="AB102" s="13"/>
    </row>
    <row r="103" spans="10:28" ht="15.6" customHeight="1" x14ac:dyDescent="0.3">
      <c r="J103" s="2">
        <v>99</v>
      </c>
      <c r="K103" s="41" t="s">
        <v>31</v>
      </c>
      <c r="L103" s="41" t="s">
        <v>33</v>
      </c>
      <c r="M103" s="41" t="s">
        <v>38</v>
      </c>
      <c r="N103" s="41" t="s">
        <v>46</v>
      </c>
      <c r="O103" s="41" t="s">
        <v>30</v>
      </c>
      <c r="Q103" s="17">
        <f t="shared" si="10"/>
        <v>6</v>
      </c>
      <c r="R103" s="17">
        <f t="shared" si="11"/>
        <v>8</v>
      </c>
      <c r="S103" s="17">
        <f t="shared" si="12"/>
        <v>12</v>
      </c>
      <c r="T103" s="17">
        <f t="shared" si="13"/>
        <v>16</v>
      </c>
      <c r="U103" s="17">
        <f t="shared" si="14"/>
        <v>5</v>
      </c>
      <c r="W103" s="7">
        <v>10627</v>
      </c>
      <c r="X103" s="7">
        <v>13933</v>
      </c>
      <c r="Y103" s="7">
        <v>14467</v>
      </c>
      <c r="Z103" s="7">
        <v>5290</v>
      </c>
      <c r="AA103" s="7">
        <v>12719</v>
      </c>
      <c r="AB103" s="13"/>
    </row>
    <row r="104" spans="10:28" ht="15.6" customHeight="1" x14ac:dyDescent="0.3">
      <c r="J104" s="2">
        <v>100</v>
      </c>
      <c r="K104" s="41" t="s">
        <v>32</v>
      </c>
      <c r="L104" s="41" t="s">
        <v>38</v>
      </c>
      <c r="M104" s="41" t="s">
        <v>50</v>
      </c>
      <c r="N104" s="41" t="s">
        <v>46</v>
      </c>
      <c r="O104" s="41" t="s">
        <v>32</v>
      </c>
      <c r="Q104" s="17">
        <f t="shared" si="10"/>
        <v>7</v>
      </c>
      <c r="R104" s="17">
        <f t="shared" si="11"/>
        <v>12</v>
      </c>
      <c r="S104" s="17">
        <f t="shared" si="12"/>
        <v>18</v>
      </c>
      <c r="T104" s="17">
        <f t="shared" si="13"/>
        <v>16</v>
      </c>
      <c r="U104" s="17">
        <f t="shared" si="14"/>
        <v>7</v>
      </c>
      <c r="W104" s="7">
        <v>10468</v>
      </c>
      <c r="X104" s="7">
        <v>11357</v>
      </c>
      <c r="Y104" s="7">
        <v>13594</v>
      </c>
      <c r="Z104" s="7">
        <v>5610</v>
      </c>
      <c r="AA104" s="7">
        <v>11872</v>
      </c>
      <c r="AB104" s="13"/>
    </row>
    <row r="105" spans="10:28" ht="15.6" customHeight="1" x14ac:dyDescent="0.3">
      <c r="J105" s="2">
        <v>101</v>
      </c>
      <c r="K105" s="41" t="s">
        <v>32</v>
      </c>
      <c r="L105" s="41" t="s">
        <v>31</v>
      </c>
      <c r="M105" s="41" t="s">
        <v>35</v>
      </c>
      <c r="N105" s="41" t="s">
        <v>44</v>
      </c>
      <c r="O105" s="41" t="s">
        <v>31</v>
      </c>
      <c r="Q105" s="17">
        <f t="shared" si="10"/>
        <v>7</v>
      </c>
      <c r="R105" s="17">
        <f t="shared" si="11"/>
        <v>6</v>
      </c>
      <c r="S105" s="17">
        <f t="shared" si="12"/>
        <v>10</v>
      </c>
      <c r="T105" s="17">
        <f t="shared" si="13"/>
        <v>15</v>
      </c>
      <c r="U105" s="17">
        <f t="shared" si="14"/>
        <v>6</v>
      </c>
      <c r="W105" s="7">
        <v>8644</v>
      </c>
      <c r="X105" s="7">
        <v>13552</v>
      </c>
      <c r="Y105" s="7">
        <v>13691</v>
      </c>
      <c r="Z105" s="7">
        <v>9858</v>
      </c>
      <c r="AA105" s="7">
        <v>11150</v>
      </c>
      <c r="AB105" s="13"/>
    </row>
    <row r="106" spans="10:28" ht="15.6" customHeight="1" x14ac:dyDescent="0.3">
      <c r="J106" s="2">
        <v>102</v>
      </c>
      <c r="K106" s="41" t="s">
        <v>29</v>
      </c>
      <c r="L106" s="41" t="s">
        <v>29</v>
      </c>
      <c r="M106" s="41" t="s">
        <v>34</v>
      </c>
      <c r="N106" s="41" t="s">
        <v>42</v>
      </c>
      <c r="O106" s="41" t="s">
        <v>32</v>
      </c>
      <c r="Q106" s="17">
        <f t="shared" si="10"/>
        <v>4</v>
      </c>
      <c r="R106" s="17">
        <f t="shared" si="11"/>
        <v>4</v>
      </c>
      <c r="S106" s="17">
        <f t="shared" si="12"/>
        <v>9</v>
      </c>
      <c r="T106" s="17">
        <f t="shared" si="13"/>
        <v>14</v>
      </c>
      <c r="U106" s="17">
        <f t="shared" si="14"/>
        <v>7</v>
      </c>
      <c r="W106" s="7">
        <v>13799</v>
      </c>
      <c r="X106" s="7">
        <v>13361</v>
      </c>
      <c r="Y106" s="7">
        <v>11976</v>
      </c>
      <c r="Z106" s="7">
        <v>13849</v>
      </c>
      <c r="AA106" s="7">
        <v>11778</v>
      </c>
      <c r="AB106" s="13"/>
    </row>
    <row r="107" spans="10:28" ht="15.6" customHeight="1" x14ac:dyDescent="0.3">
      <c r="J107" s="2">
        <v>103</v>
      </c>
      <c r="K107" s="41" t="s">
        <v>30</v>
      </c>
      <c r="L107" s="41" t="s">
        <v>29</v>
      </c>
      <c r="M107" s="41" t="s">
        <v>29</v>
      </c>
      <c r="N107" s="41" t="s">
        <v>44</v>
      </c>
      <c r="O107" s="41" t="s">
        <v>31</v>
      </c>
      <c r="Q107" s="17">
        <f t="shared" si="10"/>
        <v>5</v>
      </c>
      <c r="R107" s="17">
        <f t="shared" si="11"/>
        <v>4</v>
      </c>
      <c r="S107" s="17">
        <f t="shared" si="12"/>
        <v>4</v>
      </c>
      <c r="T107" s="17">
        <f t="shared" si="13"/>
        <v>15</v>
      </c>
      <c r="U107" s="17">
        <f t="shared" si="14"/>
        <v>6</v>
      </c>
      <c r="W107" s="7">
        <v>13037</v>
      </c>
      <c r="X107" s="7">
        <v>15079</v>
      </c>
      <c r="Y107" s="7">
        <v>7255</v>
      </c>
      <c r="Z107" s="7">
        <v>12696</v>
      </c>
      <c r="AA107" s="7">
        <v>11699</v>
      </c>
      <c r="AB107" s="13"/>
    </row>
    <row r="108" spans="10:28" ht="15.6" customHeight="1" x14ac:dyDescent="0.3">
      <c r="J108" s="2">
        <v>104</v>
      </c>
      <c r="K108" s="41" t="s">
        <v>30</v>
      </c>
      <c r="L108" s="41" t="s">
        <v>29</v>
      </c>
      <c r="M108" s="41" t="s">
        <v>50</v>
      </c>
      <c r="N108" s="41" t="s">
        <v>33</v>
      </c>
      <c r="O108" s="41" t="s">
        <v>29</v>
      </c>
      <c r="Q108" s="17">
        <f t="shared" si="10"/>
        <v>5</v>
      </c>
      <c r="R108" s="17">
        <f t="shared" si="11"/>
        <v>4</v>
      </c>
      <c r="S108" s="17">
        <f t="shared" si="12"/>
        <v>18</v>
      </c>
      <c r="T108" s="17">
        <f t="shared" si="13"/>
        <v>8</v>
      </c>
      <c r="U108" s="17">
        <f t="shared" si="14"/>
        <v>4</v>
      </c>
      <c r="W108" s="7">
        <v>12656</v>
      </c>
      <c r="X108" s="7">
        <v>12120</v>
      </c>
      <c r="Y108" s="7">
        <v>12461</v>
      </c>
      <c r="Z108" s="7">
        <v>13849</v>
      </c>
      <c r="AA108" s="7">
        <v>11463</v>
      </c>
      <c r="AB108" s="13"/>
    </row>
    <row r="109" spans="10:28" ht="15.6" customHeight="1" x14ac:dyDescent="0.3">
      <c r="J109" s="2">
        <v>105</v>
      </c>
      <c r="K109" s="41" t="s">
        <v>32</v>
      </c>
      <c r="L109" s="41" t="s">
        <v>31</v>
      </c>
      <c r="M109" s="41" t="s">
        <v>33</v>
      </c>
      <c r="N109" s="41" t="s">
        <v>32</v>
      </c>
      <c r="O109" s="41" t="s">
        <v>30</v>
      </c>
      <c r="Q109" s="17">
        <f t="shared" si="10"/>
        <v>7</v>
      </c>
      <c r="R109" s="17">
        <f t="shared" si="11"/>
        <v>6</v>
      </c>
      <c r="S109" s="17">
        <f t="shared" si="12"/>
        <v>8</v>
      </c>
      <c r="T109" s="17">
        <f t="shared" si="13"/>
        <v>7</v>
      </c>
      <c r="U109" s="17">
        <f t="shared" si="14"/>
        <v>5</v>
      </c>
      <c r="W109" s="7">
        <v>10563</v>
      </c>
      <c r="X109" s="7">
        <v>12406</v>
      </c>
      <c r="Y109" s="7">
        <v>11409</v>
      </c>
      <c r="Z109" s="7">
        <v>16638</v>
      </c>
      <c r="AA109" s="7">
        <v>13379</v>
      </c>
      <c r="AB109" s="13"/>
    </row>
    <row r="110" spans="10:28" ht="15.6" customHeight="1" x14ac:dyDescent="0.3">
      <c r="J110" s="2">
        <v>106</v>
      </c>
      <c r="K110" s="41" t="s">
        <v>33</v>
      </c>
      <c r="L110" s="41" t="s">
        <v>42</v>
      </c>
      <c r="M110" s="41" t="s">
        <v>32</v>
      </c>
      <c r="N110" s="41" t="s">
        <v>28</v>
      </c>
      <c r="O110" s="41" t="s">
        <v>32</v>
      </c>
      <c r="Q110" s="17">
        <f t="shared" si="10"/>
        <v>8</v>
      </c>
      <c r="R110" s="17">
        <f t="shared" si="11"/>
        <v>14</v>
      </c>
      <c r="S110" s="17">
        <f t="shared" si="12"/>
        <v>7</v>
      </c>
      <c r="T110" s="17">
        <f t="shared" si="13"/>
        <v>3</v>
      </c>
      <c r="U110" s="17">
        <f t="shared" si="14"/>
        <v>7</v>
      </c>
      <c r="W110" s="7">
        <v>11705</v>
      </c>
      <c r="X110" s="7">
        <v>15842</v>
      </c>
      <c r="Y110" s="7">
        <v>7201</v>
      </c>
      <c r="Z110" s="7">
        <v>13849</v>
      </c>
      <c r="AA110" s="7">
        <v>14699</v>
      </c>
      <c r="AB110" s="13"/>
    </row>
    <row r="111" spans="10:28" ht="15.6" customHeight="1" x14ac:dyDescent="0.3">
      <c r="J111" s="2">
        <v>107</v>
      </c>
      <c r="K111" s="41" t="s">
        <v>35</v>
      </c>
      <c r="L111" s="41" t="s">
        <v>31</v>
      </c>
      <c r="M111" s="41" t="s">
        <v>32</v>
      </c>
      <c r="N111" s="41" t="s">
        <v>29</v>
      </c>
      <c r="O111" s="41" t="s">
        <v>35</v>
      </c>
      <c r="Q111" s="17">
        <f t="shared" si="10"/>
        <v>10</v>
      </c>
      <c r="R111" s="17">
        <f t="shared" si="11"/>
        <v>6</v>
      </c>
      <c r="S111" s="17">
        <f t="shared" si="12"/>
        <v>7</v>
      </c>
      <c r="T111" s="17">
        <f t="shared" si="13"/>
        <v>4</v>
      </c>
      <c r="U111" s="17">
        <f t="shared" si="14"/>
        <v>10</v>
      </c>
      <c r="W111" s="7">
        <v>14464</v>
      </c>
      <c r="X111" s="7">
        <v>13552</v>
      </c>
      <c r="Y111" s="7">
        <v>7444</v>
      </c>
      <c r="Z111" s="7">
        <v>8896</v>
      </c>
      <c r="AA111" s="7">
        <v>12531</v>
      </c>
      <c r="AB111" s="13"/>
    </row>
    <row r="112" spans="10:28" ht="15.6" customHeight="1" x14ac:dyDescent="0.3">
      <c r="J112" s="2">
        <v>108</v>
      </c>
      <c r="K112" s="41" t="s">
        <v>34</v>
      </c>
      <c r="L112" s="41" t="s">
        <v>28</v>
      </c>
      <c r="M112" s="41" t="s">
        <v>32</v>
      </c>
      <c r="N112" s="41" t="s">
        <v>42</v>
      </c>
      <c r="O112" s="41" t="s">
        <v>32</v>
      </c>
      <c r="Q112" s="17">
        <f t="shared" si="10"/>
        <v>9</v>
      </c>
      <c r="R112" s="17">
        <f t="shared" si="11"/>
        <v>3</v>
      </c>
      <c r="S112" s="17">
        <f t="shared" si="12"/>
        <v>7</v>
      </c>
      <c r="T112" s="17">
        <f t="shared" si="13"/>
        <v>14</v>
      </c>
      <c r="U112" s="17">
        <f t="shared" si="14"/>
        <v>7</v>
      </c>
      <c r="W112" s="7">
        <v>13132</v>
      </c>
      <c r="X112" s="7">
        <v>13266</v>
      </c>
      <c r="Y112" s="7">
        <v>8771</v>
      </c>
      <c r="Z112" s="7">
        <v>12423</v>
      </c>
      <c r="AA112" s="7">
        <v>11966</v>
      </c>
      <c r="AB112" s="13"/>
    </row>
    <row r="113" spans="10:28" ht="15.6" customHeight="1" x14ac:dyDescent="0.3">
      <c r="J113" s="2">
        <v>109</v>
      </c>
      <c r="K113" s="41" t="s">
        <v>32</v>
      </c>
      <c r="L113" s="41" t="s">
        <v>30</v>
      </c>
      <c r="M113" s="41" t="s">
        <v>50</v>
      </c>
      <c r="N113" s="41" t="s">
        <v>33</v>
      </c>
      <c r="O113" s="41" t="s">
        <v>29</v>
      </c>
      <c r="Q113" s="17">
        <f t="shared" si="10"/>
        <v>7</v>
      </c>
      <c r="R113" s="17">
        <f t="shared" si="11"/>
        <v>5</v>
      </c>
      <c r="S113" s="17">
        <f t="shared" si="12"/>
        <v>18</v>
      </c>
      <c r="T113" s="17">
        <f t="shared" si="13"/>
        <v>8</v>
      </c>
      <c r="U113" s="17">
        <f t="shared" si="14"/>
        <v>4</v>
      </c>
      <c r="W113" s="7">
        <v>12371</v>
      </c>
      <c r="X113" s="7">
        <v>13933</v>
      </c>
      <c r="Y113" s="7">
        <v>6263</v>
      </c>
      <c r="Z113" s="7">
        <v>10740</v>
      </c>
      <c r="AA113" s="7">
        <v>12296</v>
      </c>
      <c r="AB113" s="13"/>
    </row>
    <row r="114" spans="10:28" ht="15.6" customHeight="1" x14ac:dyDescent="0.3">
      <c r="J114" s="2">
        <v>110</v>
      </c>
      <c r="K114" s="41" t="s">
        <v>35</v>
      </c>
      <c r="L114" s="41" t="s">
        <v>34</v>
      </c>
      <c r="M114" s="41" t="s">
        <v>30</v>
      </c>
      <c r="N114" s="41" t="s">
        <v>29</v>
      </c>
      <c r="O114" s="41" t="s">
        <v>31</v>
      </c>
      <c r="Q114" s="17">
        <f t="shared" si="10"/>
        <v>10</v>
      </c>
      <c r="R114" s="17">
        <f t="shared" si="11"/>
        <v>9</v>
      </c>
      <c r="S114" s="17">
        <f t="shared" si="12"/>
        <v>5</v>
      </c>
      <c r="T114" s="17">
        <f t="shared" si="13"/>
        <v>4</v>
      </c>
      <c r="U114" s="17">
        <f t="shared" si="14"/>
        <v>6</v>
      </c>
      <c r="W114" s="7">
        <v>12942</v>
      </c>
      <c r="X114" s="7">
        <v>12502</v>
      </c>
      <c r="Y114" s="7">
        <v>6748</v>
      </c>
      <c r="Z114" s="7">
        <v>9858</v>
      </c>
      <c r="AA114" s="7">
        <v>12155</v>
      </c>
      <c r="AB114" s="13"/>
    </row>
    <row r="115" spans="10:28" ht="15.6" customHeight="1" x14ac:dyDescent="0.3">
      <c r="J115" s="2">
        <v>111</v>
      </c>
      <c r="K115" s="41" t="s">
        <v>35</v>
      </c>
      <c r="L115" s="41" t="s">
        <v>31</v>
      </c>
      <c r="M115" s="41" t="s">
        <v>50</v>
      </c>
      <c r="N115" s="41" t="s">
        <v>33</v>
      </c>
      <c r="O115" s="41" t="s">
        <v>33</v>
      </c>
      <c r="Q115" s="17">
        <f t="shared" si="10"/>
        <v>10</v>
      </c>
      <c r="R115" s="17">
        <f t="shared" si="11"/>
        <v>6</v>
      </c>
      <c r="S115" s="17">
        <f t="shared" si="12"/>
        <v>18</v>
      </c>
      <c r="T115" s="17">
        <f t="shared" si="13"/>
        <v>8</v>
      </c>
      <c r="U115" s="17">
        <f t="shared" si="14"/>
        <v>8</v>
      </c>
      <c r="W115" s="7">
        <v>14274</v>
      </c>
      <c r="X115" s="7">
        <v>13266</v>
      </c>
      <c r="Y115" s="7">
        <v>9322</v>
      </c>
      <c r="Z115" s="7">
        <v>10018</v>
      </c>
      <c r="AA115" s="7">
        <v>6595</v>
      </c>
      <c r="AB115" s="13"/>
    </row>
    <row r="116" spans="10:28" ht="15.6" customHeight="1" x14ac:dyDescent="0.3">
      <c r="J116" s="2">
        <v>112</v>
      </c>
      <c r="K116" s="41" t="s">
        <v>28</v>
      </c>
      <c r="L116" s="41" t="s">
        <v>38</v>
      </c>
      <c r="M116" s="41" t="s">
        <v>34</v>
      </c>
      <c r="N116" s="41" t="s">
        <v>30</v>
      </c>
      <c r="O116" s="41" t="s">
        <v>29</v>
      </c>
      <c r="Q116" s="17">
        <f t="shared" si="10"/>
        <v>3</v>
      </c>
      <c r="R116" s="17">
        <f t="shared" si="11"/>
        <v>12</v>
      </c>
      <c r="S116" s="17">
        <f t="shared" si="12"/>
        <v>9</v>
      </c>
      <c r="T116" s="17">
        <f t="shared" si="13"/>
        <v>5</v>
      </c>
      <c r="U116" s="17">
        <f t="shared" si="14"/>
        <v>4</v>
      </c>
      <c r="W116" s="7">
        <v>9278</v>
      </c>
      <c r="X116" s="7">
        <v>14602</v>
      </c>
      <c r="Y116" s="7">
        <v>6068</v>
      </c>
      <c r="Z116" s="7">
        <v>12103</v>
      </c>
      <c r="AA116" s="7">
        <v>4868</v>
      </c>
      <c r="AB116" s="13"/>
    </row>
    <row r="117" spans="10:28" ht="15.6" customHeight="1" x14ac:dyDescent="0.3">
      <c r="J117" s="2">
        <v>113</v>
      </c>
      <c r="K117" s="41" t="s">
        <v>35</v>
      </c>
      <c r="L117" s="41" t="s">
        <v>40</v>
      </c>
      <c r="M117" s="41" t="s">
        <v>44</v>
      </c>
      <c r="N117" s="41" t="s">
        <v>35</v>
      </c>
      <c r="O117" s="41" t="s">
        <v>30</v>
      </c>
      <c r="Q117" s="17">
        <f t="shared" si="10"/>
        <v>10</v>
      </c>
      <c r="R117" s="17">
        <f t="shared" si="11"/>
        <v>13</v>
      </c>
      <c r="S117" s="17">
        <f t="shared" si="12"/>
        <v>15</v>
      </c>
      <c r="T117" s="17">
        <f t="shared" si="13"/>
        <v>10</v>
      </c>
      <c r="U117" s="17">
        <f t="shared" si="14"/>
        <v>5</v>
      </c>
      <c r="W117" s="7">
        <v>9675</v>
      </c>
      <c r="X117" s="7">
        <v>13361</v>
      </c>
      <c r="Y117" s="7">
        <v>6231</v>
      </c>
      <c r="Z117" s="7">
        <v>12407</v>
      </c>
      <c r="AA117" s="7">
        <v>5103</v>
      </c>
      <c r="AB117" s="13"/>
    </row>
    <row r="118" spans="10:28" ht="15.6" customHeight="1" x14ac:dyDescent="0.3">
      <c r="J118" s="2">
        <v>114</v>
      </c>
      <c r="K118" s="41" t="s">
        <v>28</v>
      </c>
      <c r="L118" s="41" t="s">
        <v>34</v>
      </c>
      <c r="M118" s="41" t="s">
        <v>34</v>
      </c>
      <c r="N118" s="41" t="s">
        <v>35</v>
      </c>
      <c r="O118" s="41" t="s">
        <v>29</v>
      </c>
      <c r="Q118" s="17">
        <f t="shared" si="10"/>
        <v>3</v>
      </c>
      <c r="R118" s="17">
        <f t="shared" si="11"/>
        <v>9</v>
      </c>
      <c r="S118" s="17">
        <f t="shared" si="12"/>
        <v>9</v>
      </c>
      <c r="T118" s="17">
        <f t="shared" si="13"/>
        <v>10</v>
      </c>
      <c r="U118" s="17">
        <f t="shared" si="14"/>
        <v>4</v>
      </c>
      <c r="W118" s="7">
        <v>10230</v>
      </c>
      <c r="X118" s="7">
        <v>13266</v>
      </c>
      <c r="Y118" s="7">
        <v>7201</v>
      </c>
      <c r="Z118" s="7">
        <v>12888</v>
      </c>
      <c r="AA118" s="7">
        <v>5888</v>
      </c>
      <c r="AB118" s="13"/>
    </row>
    <row r="119" spans="10:28" ht="15.6" customHeight="1" x14ac:dyDescent="0.3">
      <c r="J119" s="2">
        <v>115</v>
      </c>
      <c r="K119" s="41" t="s">
        <v>33</v>
      </c>
      <c r="L119" s="41" t="s">
        <v>38</v>
      </c>
      <c r="M119" s="41" t="s">
        <v>38</v>
      </c>
      <c r="N119" s="41" t="s">
        <v>44</v>
      </c>
      <c r="O119" s="41" t="s">
        <v>29</v>
      </c>
      <c r="Q119" s="17">
        <f t="shared" si="10"/>
        <v>8</v>
      </c>
      <c r="R119" s="17">
        <f t="shared" si="11"/>
        <v>12</v>
      </c>
      <c r="S119" s="17">
        <f t="shared" si="12"/>
        <v>12</v>
      </c>
      <c r="T119" s="17">
        <f t="shared" si="13"/>
        <v>15</v>
      </c>
      <c r="U119" s="17">
        <f t="shared" si="14"/>
        <v>4</v>
      </c>
      <c r="W119" s="7">
        <v>10071</v>
      </c>
      <c r="X119" s="7">
        <v>10498</v>
      </c>
      <c r="Y119" s="7">
        <v>7444</v>
      </c>
      <c r="Z119" s="7">
        <v>13946</v>
      </c>
      <c r="AA119" s="7">
        <v>4672</v>
      </c>
      <c r="AB119" s="13"/>
    </row>
    <row r="120" spans="10:28" ht="15.6" customHeight="1" x14ac:dyDescent="0.3">
      <c r="J120" s="2">
        <v>116</v>
      </c>
      <c r="K120" s="41" t="s">
        <v>35</v>
      </c>
      <c r="L120" s="41" t="s">
        <v>46</v>
      </c>
      <c r="M120" s="41" t="s">
        <v>30</v>
      </c>
      <c r="N120" s="41" t="s">
        <v>46</v>
      </c>
      <c r="O120" s="41" t="s">
        <v>29</v>
      </c>
      <c r="Q120" s="17">
        <f t="shared" si="10"/>
        <v>10</v>
      </c>
      <c r="R120" s="17">
        <f t="shared" si="11"/>
        <v>16</v>
      </c>
      <c r="S120" s="17">
        <f t="shared" si="12"/>
        <v>5</v>
      </c>
      <c r="T120" s="17">
        <f t="shared" si="13"/>
        <v>16</v>
      </c>
      <c r="U120" s="17">
        <f t="shared" si="14"/>
        <v>4</v>
      </c>
      <c r="W120" s="7">
        <v>10230</v>
      </c>
      <c r="X120" s="7">
        <v>12979</v>
      </c>
      <c r="Y120" s="7">
        <v>8771</v>
      </c>
      <c r="Z120" s="7">
        <v>13465</v>
      </c>
      <c r="AA120" s="7">
        <v>6962</v>
      </c>
      <c r="AB120" s="13"/>
    </row>
    <row r="121" spans="10:28" ht="15.6" customHeight="1" x14ac:dyDescent="0.3">
      <c r="J121" s="2">
        <v>117</v>
      </c>
      <c r="K121" s="41" t="s">
        <v>33</v>
      </c>
      <c r="L121" s="41" t="s">
        <v>42</v>
      </c>
      <c r="M121" s="41" t="s">
        <v>33</v>
      </c>
      <c r="N121" s="41" t="s">
        <v>26</v>
      </c>
      <c r="O121" s="41" t="s">
        <v>33</v>
      </c>
      <c r="Q121" s="17">
        <f t="shared" si="10"/>
        <v>8</v>
      </c>
      <c r="R121" s="17">
        <f t="shared" si="11"/>
        <v>14</v>
      </c>
      <c r="S121" s="17">
        <f t="shared" si="12"/>
        <v>8</v>
      </c>
      <c r="T121" s="17">
        <f t="shared" si="13"/>
        <v>2</v>
      </c>
      <c r="U121" s="17">
        <f t="shared" si="14"/>
        <v>8</v>
      </c>
      <c r="W121" s="7">
        <v>5923</v>
      </c>
      <c r="X121" s="7">
        <v>13456</v>
      </c>
      <c r="Y121" s="7">
        <v>6263</v>
      </c>
      <c r="Z121" s="7">
        <v>14330</v>
      </c>
      <c r="AA121" s="7">
        <v>7302</v>
      </c>
      <c r="AB121" s="13"/>
    </row>
    <row r="122" spans="10:28" ht="15.6" customHeight="1" x14ac:dyDescent="0.3">
      <c r="J122" s="2">
        <v>118</v>
      </c>
      <c r="K122" s="41" t="s">
        <v>29</v>
      </c>
      <c r="L122" s="41" t="s">
        <v>50</v>
      </c>
      <c r="M122" s="41" t="s">
        <v>34</v>
      </c>
      <c r="N122" s="41" t="s">
        <v>42</v>
      </c>
      <c r="O122" s="41" t="s">
        <v>30</v>
      </c>
      <c r="Q122" s="17">
        <f t="shared" si="10"/>
        <v>4</v>
      </c>
      <c r="R122" s="17">
        <f t="shared" si="11"/>
        <v>18</v>
      </c>
      <c r="S122" s="17">
        <f t="shared" si="12"/>
        <v>9</v>
      </c>
      <c r="T122" s="17">
        <f t="shared" si="13"/>
        <v>14</v>
      </c>
      <c r="U122" s="17">
        <f t="shared" si="14"/>
        <v>5</v>
      </c>
      <c r="W122" s="7">
        <v>4726</v>
      </c>
      <c r="X122" s="7">
        <v>13075</v>
      </c>
      <c r="Y122" s="7">
        <v>6748</v>
      </c>
      <c r="Z122" s="7">
        <v>13849</v>
      </c>
      <c r="AA122" s="7">
        <v>5339</v>
      </c>
      <c r="AB122" s="13"/>
    </row>
    <row r="123" spans="10:28" ht="15.6" customHeight="1" x14ac:dyDescent="0.3">
      <c r="J123" s="2">
        <v>119</v>
      </c>
      <c r="K123" s="41" t="s">
        <v>33</v>
      </c>
      <c r="L123" s="41" t="s">
        <v>40</v>
      </c>
      <c r="M123" s="41" t="s">
        <v>29</v>
      </c>
      <c r="N123" s="41" t="s">
        <v>42</v>
      </c>
      <c r="O123" s="41" t="s">
        <v>32</v>
      </c>
      <c r="Q123" s="17">
        <f t="shared" si="10"/>
        <v>8</v>
      </c>
      <c r="R123" s="17">
        <f t="shared" si="11"/>
        <v>13</v>
      </c>
      <c r="S123" s="17">
        <f t="shared" si="12"/>
        <v>4</v>
      </c>
      <c r="T123" s="17">
        <f t="shared" si="13"/>
        <v>14</v>
      </c>
      <c r="U123" s="17">
        <f t="shared" si="14"/>
        <v>7</v>
      </c>
      <c r="W123" s="7">
        <v>3585</v>
      </c>
      <c r="X123" s="7">
        <v>10339</v>
      </c>
      <c r="Y123" s="7">
        <v>10600</v>
      </c>
      <c r="Z123" s="7">
        <v>12103</v>
      </c>
      <c r="AA123" s="7">
        <v>11024</v>
      </c>
      <c r="AB123" s="13"/>
    </row>
    <row r="124" spans="10:28" ht="15.6" customHeight="1" x14ac:dyDescent="0.3">
      <c r="J124" s="2">
        <v>120</v>
      </c>
      <c r="K124" s="41" t="s">
        <v>33</v>
      </c>
      <c r="L124" s="41" t="s">
        <v>34</v>
      </c>
      <c r="M124" s="41" t="s">
        <v>30</v>
      </c>
      <c r="N124" s="41" t="s">
        <v>31</v>
      </c>
      <c r="O124" s="41" t="s">
        <v>32</v>
      </c>
      <c r="Q124" s="17">
        <f t="shared" si="10"/>
        <v>8</v>
      </c>
      <c r="R124" s="17">
        <f t="shared" si="11"/>
        <v>9</v>
      </c>
      <c r="S124" s="17">
        <f t="shared" si="12"/>
        <v>5</v>
      </c>
      <c r="T124" s="17">
        <f t="shared" si="13"/>
        <v>6</v>
      </c>
      <c r="U124" s="17">
        <f t="shared" si="14"/>
        <v>7</v>
      </c>
      <c r="W124" s="7">
        <v>4314</v>
      </c>
      <c r="X124" s="7">
        <v>10021</v>
      </c>
      <c r="Y124" s="7">
        <v>8496</v>
      </c>
      <c r="Z124" s="7">
        <v>10339</v>
      </c>
      <c r="AA124" s="7">
        <v>11872</v>
      </c>
      <c r="AB124" s="13"/>
    </row>
    <row r="125" spans="10:28" ht="15.6" customHeight="1" x14ac:dyDescent="0.3">
      <c r="J125" s="2">
        <v>121</v>
      </c>
      <c r="K125" s="41" t="s">
        <v>32</v>
      </c>
      <c r="L125" s="41" t="s">
        <v>32</v>
      </c>
      <c r="M125" s="41" t="s">
        <v>34</v>
      </c>
      <c r="N125" s="41" t="s">
        <v>34</v>
      </c>
      <c r="O125" s="41" t="s">
        <v>34</v>
      </c>
      <c r="Q125" s="17">
        <f t="shared" si="10"/>
        <v>7</v>
      </c>
      <c r="R125" s="17">
        <f t="shared" si="11"/>
        <v>7</v>
      </c>
      <c r="S125" s="17">
        <f t="shared" si="12"/>
        <v>9</v>
      </c>
      <c r="T125" s="17">
        <f t="shared" si="13"/>
        <v>9</v>
      </c>
      <c r="U125" s="17">
        <f t="shared" si="14"/>
        <v>9</v>
      </c>
      <c r="W125" s="7">
        <v>4124</v>
      </c>
      <c r="X125" s="7">
        <v>10100</v>
      </c>
      <c r="Y125" s="7">
        <v>2249</v>
      </c>
      <c r="Z125" s="7">
        <v>10981</v>
      </c>
      <c r="AA125" s="7">
        <v>8480</v>
      </c>
      <c r="AB125" s="13"/>
    </row>
    <row r="126" spans="10:28" ht="15.6" customHeight="1" x14ac:dyDescent="0.3">
      <c r="J126" s="2">
        <v>122</v>
      </c>
      <c r="K126" s="41" t="s">
        <v>35</v>
      </c>
      <c r="L126" s="41" t="s">
        <v>42</v>
      </c>
      <c r="M126" s="41" t="s">
        <v>34</v>
      </c>
      <c r="N126" s="41" t="s">
        <v>50</v>
      </c>
      <c r="O126" s="41" t="s">
        <v>35</v>
      </c>
      <c r="Q126" s="17">
        <f t="shared" si="10"/>
        <v>10</v>
      </c>
      <c r="R126" s="17">
        <f t="shared" si="11"/>
        <v>14</v>
      </c>
      <c r="S126" s="17">
        <f t="shared" si="12"/>
        <v>9</v>
      </c>
      <c r="T126" s="17">
        <f t="shared" si="13"/>
        <v>18</v>
      </c>
      <c r="U126" s="17">
        <f t="shared" si="14"/>
        <v>10</v>
      </c>
      <c r="W126" s="7">
        <v>3775</v>
      </c>
      <c r="X126" s="7">
        <v>11262</v>
      </c>
      <c r="Y126" s="7">
        <v>2249</v>
      </c>
      <c r="Z126" s="7">
        <v>10740</v>
      </c>
      <c r="AA126" s="7">
        <v>10129</v>
      </c>
      <c r="AB126" s="13"/>
    </row>
    <row r="127" spans="10:28" ht="15.6" customHeight="1" x14ac:dyDescent="0.3">
      <c r="J127" s="2">
        <v>123</v>
      </c>
      <c r="K127" s="41" t="s">
        <v>32</v>
      </c>
      <c r="L127" s="41" t="s">
        <v>44</v>
      </c>
      <c r="M127" s="41" t="s">
        <v>35</v>
      </c>
      <c r="N127" s="41" t="s">
        <v>31</v>
      </c>
      <c r="O127" s="41" t="s">
        <v>32</v>
      </c>
      <c r="Q127" s="17">
        <f t="shared" si="10"/>
        <v>7</v>
      </c>
      <c r="R127" s="17">
        <f t="shared" si="11"/>
        <v>15</v>
      </c>
      <c r="S127" s="17">
        <f t="shared" si="12"/>
        <v>10</v>
      </c>
      <c r="T127" s="17">
        <f t="shared" si="13"/>
        <v>6</v>
      </c>
      <c r="U127" s="17">
        <f t="shared" si="14"/>
        <v>7</v>
      </c>
      <c r="W127" s="7">
        <v>5923</v>
      </c>
      <c r="X127" s="7">
        <v>12025</v>
      </c>
      <c r="Y127" s="7">
        <v>2249</v>
      </c>
      <c r="Z127" s="7">
        <v>12503</v>
      </c>
      <c r="AA127" s="7">
        <v>10599</v>
      </c>
      <c r="AB127" s="13"/>
    </row>
    <row r="128" spans="10:28" ht="15.6" customHeight="1" x14ac:dyDescent="0.3">
      <c r="J128" s="2">
        <v>124</v>
      </c>
      <c r="K128" s="41" t="s">
        <v>30</v>
      </c>
      <c r="L128" s="41" t="s">
        <v>38</v>
      </c>
      <c r="M128" s="41" t="s">
        <v>35</v>
      </c>
      <c r="N128" s="41" t="s">
        <v>34</v>
      </c>
      <c r="O128" s="41" t="s">
        <v>32</v>
      </c>
      <c r="Q128" s="17">
        <f t="shared" si="10"/>
        <v>5</v>
      </c>
      <c r="R128" s="17">
        <f t="shared" si="11"/>
        <v>12</v>
      </c>
      <c r="S128" s="17">
        <f t="shared" si="12"/>
        <v>10</v>
      </c>
      <c r="T128" s="17">
        <f t="shared" si="13"/>
        <v>9</v>
      </c>
      <c r="U128" s="17">
        <f t="shared" si="14"/>
        <v>7</v>
      </c>
      <c r="W128" s="7">
        <v>4726</v>
      </c>
      <c r="X128" s="7">
        <v>12883</v>
      </c>
      <c r="Y128" s="7">
        <v>2249</v>
      </c>
      <c r="Z128" s="7">
        <v>13657</v>
      </c>
      <c r="AA128" s="7">
        <v>11071</v>
      </c>
      <c r="AB128" s="13"/>
    </row>
    <row r="129" spans="10:28" ht="15.6" customHeight="1" x14ac:dyDescent="0.3">
      <c r="J129" s="2">
        <v>125</v>
      </c>
      <c r="K129" s="41" t="s">
        <v>30</v>
      </c>
      <c r="L129" s="41" t="s">
        <v>33</v>
      </c>
      <c r="M129" s="41" t="s">
        <v>35</v>
      </c>
      <c r="N129" s="41" t="s">
        <v>29</v>
      </c>
      <c r="O129" s="41" t="s">
        <v>35</v>
      </c>
      <c r="Q129" s="17">
        <f t="shared" si="10"/>
        <v>5</v>
      </c>
      <c r="R129" s="17">
        <f t="shared" si="11"/>
        <v>8</v>
      </c>
      <c r="S129" s="17">
        <f t="shared" si="12"/>
        <v>10</v>
      </c>
      <c r="T129" s="17">
        <f t="shared" si="13"/>
        <v>4</v>
      </c>
      <c r="U129" s="17">
        <f t="shared" si="14"/>
        <v>10</v>
      </c>
      <c r="W129" s="7">
        <v>3585</v>
      </c>
      <c r="X129" s="7">
        <v>12216</v>
      </c>
      <c r="Y129" s="7">
        <v>2249</v>
      </c>
      <c r="Z129" s="7">
        <v>12423</v>
      </c>
      <c r="AA129" s="7">
        <v>11401</v>
      </c>
      <c r="AB129" s="13"/>
    </row>
    <row r="130" spans="10:28" ht="15.6" customHeight="1" x14ac:dyDescent="0.3">
      <c r="J130" s="2">
        <v>126</v>
      </c>
      <c r="K130" s="41" t="s">
        <v>32</v>
      </c>
      <c r="L130" s="41" t="s">
        <v>28</v>
      </c>
      <c r="M130" s="41" t="s">
        <v>35</v>
      </c>
      <c r="N130" s="41" t="s">
        <v>28</v>
      </c>
      <c r="O130" s="41" t="s">
        <v>33</v>
      </c>
      <c r="Q130" s="17">
        <f t="shared" si="10"/>
        <v>7</v>
      </c>
      <c r="R130" s="17">
        <f t="shared" si="11"/>
        <v>3</v>
      </c>
      <c r="S130" s="17">
        <f t="shared" si="12"/>
        <v>10</v>
      </c>
      <c r="T130" s="17">
        <f t="shared" si="13"/>
        <v>3</v>
      </c>
      <c r="U130" s="17">
        <f t="shared" si="14"/>
        <v>8</v>
      </c>
      <c r="W130" s="7">
        <v>4314</v>
      </c>
      <c r="X130" s="7">
        <v>13361</v>
      </c>
      <c r="Y130" s="7">
        <v>10114</v>
      </c>
      <c r="Z130" s="7">
        <v>10178</v>
      </c>
      <c r="AA130" s="7">
        <v>12719</v>
      </c>
      <c r="AB130" s="13"/>
    </row>
    <row r="131" spans="10:28" ht="15.6" customHeight="1" x14ac:dyDescent="0.3">
      <c r="J131" s="2">
        <v>127</v>
      </c>
      <c r="K131" s="41" t="s">
        <v>29</v>
      </c>
      <c r="L131" s="41" t="s">
        <v>31</v>
      </c>
      <c r="M131" s="41" t="s">
        <v>33</v>
      </c>
      <c r="N131" s="41" t="s">
        <v>33</v>
      </c>
      <c r="O131" s="41" t="s">
        <v>34</v>
      </c>
      <c r="Q131" s="17">
        <f t="shared" si="10"/>
        <v>4</v>
      </c>
      <c r="R131" s="17">
        <f t="shared" si="11"/>
        <v>6</v>
      </c>
      <c r="S131" s="17">
        <f t="shared" si="12"/>
        <v>8</v>
      </c>
      <c r="T131" s="17">
        <f t="shared" si="13"/>
        <v>8</v>
      </c>
      <c r="U131" s="17">
        <f t="shared" si="14"/>
        <v>9</v>
      </c>
      <c r="W131" s="7">
        <v>4124</v>
      </c>
      <c r="X131" s="7">
        <v>10021</v>
      </c>
      <c r="Y131" s="7">
        <v>9629</v>
      </c>
      <c r="Z131" s="7">
        <v>11141</v>
      </c>
      <c r="AA131" s="7">
        <v>11589</v>
      </c>
      <c r="AB131" s="13"/>
    </row>
    <row r="132" spans="10:28" ht="15.6" customHeight="1" x14ac:dyDescent="0.3">
      <c r="J132" s="2">
        <v>128</v>
      </c>
      <c r="K132" s="41" t="s">
        <v>33</v>
      </c>
      <c r="L132" s="41" t="s">
        <v>31</v>
      </c>
      <c r="M132" s="41" t="s">
        <v>35</v>
      </c>
      <c r="N132" s="41" t="s">
        <v>31</v>
      </c>
      <c r="O132" s="41" t="s">
        <v>32</v>
      </c>
      <c r="Q132" s="17">
        <f t="shared" ref="Q132:Q195" si="15">IF(K132="","",VLOOKUP(K132,$A$4:$H$22,8,FALSE))</f>
        <v>8</v>
      </c>
      <c r="R132" s="17">
        <f t="shared" ref="R132:R195" si="16">IF(L132="","",VLOOKUP(L132,$A$4:$H$22,8,FALSE))</f>
        <v>6</v>
      </c>
      <c r="S132" s="17">
        <f t="shared" ref="S132:S195" si="17">IF(M132="","",VLOOKUP(M132,$A$4:$H$22,8,FALSE))</f>
        <v>10</v>
      </c>
      <c r="T132" s="17">
        <f t="shared" ref="T132:T195" si="18">IF(N132="","",VLOOKUP(N132,$A$4:$H$22,8,FALSE))</f>
        <v>6</v>
      </c>
      <c r="U132" s="17">
        <f t="shared" ref="U132:U195" si="19">IF(O132="","",VLOOKUP(O132,$A$4:$H$22,8,FALSE))</f>
        <v>7</v>
      </c>
      <c r="W132" s="7">
        <v>3775</v>
      </c>
      <c r="X132" s="7">
        <v>5395</v>
      </c>
      <c r="Y132" s="7">
        <v>11360</v>
      </c>
      <c r="Z132" s="7">
        <v>9858</v>
      </c>
      <c r="AA132" s="7">
        <v>12343</v>
      </c>
      <c r="AB132" s="13"/>
    </row>
    <row r="133" spans="10:28" ht="15.6" customHeight="1" x14ac:dyDescent="0.3">
      <c r="J133" s="2">
        <v>129</v>
      </c>
      <c r="K133" s="41" t="s">
        <v>30</v>
      </c>
      <c r="L133" s="41" t="s">
        <v>31</v>
      </c>
      <c r="M133" s="41" t="s">
        <v>48</v>
      </c>
      <c r="N133" s="41" t="s">
        <v>31</v>
      </c>
      <c r="O133" s="41" t="s">
        <v>33</v>
      </c>
      <c r="Q133" s="17">
        <f t="shared" si="15"/>
        <v>5</v>
      </c>
      <c r="R133" s="17">
        <f t="shared" si="16"/>
        <v>6</v>
      </c>
      <c r="S133" s="17">
        <f t="shared" si="17"/>
        <v>17</v>
      </c>
      <c r="T133" s="17">
        <f t="shared" si="18"/>
        <v>6</v>
      </c>
      <c r="U133" s="17">
        <f t="shared" si="19"/>
        <v>8</v>
      </c>
      <c r="W133" s="7">
        <v>5923</v>
      </c>
      <c r="X133" s="7">
        <v>7184</v>
      </c>
      <c r="Y133" s="7">
        <v>13108</v>
      </c>
      <c r="Z133" s="7">
        <v>11541</v>
      </c>
      <c r="AA133" s="7">
        <v>12438</v>
      </c>
      <c r="AB133" s="13"/>
    </row>
    <row r="134" spans="10:28" ht="15.6" customHeight="1" x14ac:dyDescent="0.3">
      <c r="J134" s="2">
        <v>130</v>
      </c>
      <c r="K134" s="41" t="s">
        <v>35</v>
      </c>
      <c r="L134" s="41" t="s">
        <v>44</v>
      </c>
      <c r="M134" s="41" t="s">
        <v>34</v>
      </c>
      <c r="N134" s="41" t="s">
        <v>30</v>
      </c>
      <c r="O134" s="41" t="s">
        <v>35</v>
      </c>
      <c r="Q134" s="17">
        <f t="shared" si="15"/>
        <v>10</v>
      </c>
      <c r="R134" s="17">
        <f t="shared" si="16"/>
        <v>15</v>
      </c>
      <c r="S134" s="17">
        <f t="shared" si="17"/>
        <v>9</v>
      </c>
      <c r="T134" s="17">
        <f t="shared" si="18"/>
        <v>5</v>
      </c>
      <c r="U134" s="17">
        <f t="shared" si="19"/>
        <v>10</v>
      </c>
      <c r="W134" s="7">
        <v>4726</v>
      </c>
      <c r="X134" s="7">
        <v>5567</v>
      </c>
      <c r="Y134" s="7">
        <v>9144</v>
      </c>
      <c r="Z134" s="7">
        <v>12311</v>
      </c>
      <c r="AA134" s="7">
        <v>10286</v>
      </c>
      <c r="AB134" s="13"/>
    </row>
    <row r="135" spans="10:28" ht="15.6" customHeight="1" x14ac:dyDescent="0.3">
      <c r="J135" s="2">
        <v>131</v>
      </c>
      <c r="K135" s="41" t="s">
        <v>32</v>
      </c>
      <c r="L135" s="41" t="s">
        <v>29</v>
      </c>
      <c r="M135" s="41" t="s">
        <v>32</v>
      </c>
      <c r="N135" s="41" t="s">
        <v>34</v>
      </c>
      <c r="O135" s="41" t="s">
        <v>29</v>
      </c>
      <c r="Q135" s="17">
        <f t="shared" si="15"/>
        <v>7</v>
      </c>
      <c r="R135" s="17">
        <f t="shared" si="16"/>
        <v>4</v>
      </c>
      <c r="S135" s="17">
        <f t="shared" si="17"/>
        <v>7</v>
      </c>
      <c r="T135" s="17">
        <f t="shared" si="18"/>
        <v>9</v>
      </c>
      <c r="U135" s="17">
        <f t="shared" si="19"/>
        <v>4</v>
      </c>
      <c r="W135" s="7">
        <v>3585</v>
      </c>
      <c r="X135" s="7">
        <v>5328</v>
      </c>
      <c r="Y135" s="7">
        <v>10802</v>
      </c>
      <c r="Z135" s="7">
        <v>13946</v>
      </c>
      <c r="AA135" s="7">
        <v>10129</v>
      </c>
      <c r="AB135" s="13"/>
    </row>
    <row r="136" spans="10:28" ht="15.6" customHeight="1" x14ac:dyDescent="0.3">
      <c r="J136" s="2">
        <v>132</v>
      </c>
      <c r="K136" s="41" t="s">
        <v>35</v>
      </c>
      <c r="L136" s="41" t="s">
        <v>29</v>
      </c>
      <c r="M136" s="41" t="s">
        <v>30</v>
      </c>
      <c r="N136" s="41" t="s">
        <v>35</v>
      </c>
      <c r="O136" s="41" t="s">
        <v>29</v>
      </c>
      <c r="Q136" s="17">
        <f t="shared" si="15"/>
        <v>10</v>
      </c>
      <c r="R136" s="17">
        <f t="shared" si="16"/>
        <v>4</v>
      </c>
      <c r="S136" s="17">
        <f t="shared" si="17"/>
        <v>5</v>
      </c>
      <c r="T136" s="17">
        <f t="shared" si="18"/>
        <v>10</v>
      </c>
      <c r="U136" s="17">
        <f t="shared" si="19"/>
        <v>4</v>
      </c>
      <c r="W136" s="7">
        <v>4314</v>
      </c>
      <c r="X136" s="7">
        <v>5567</v>
      </c>
      <c r="Y136" s="7">
        <v>5948</v>
      </c>
      <c r="Z136" s="7">
        <v>13849</v>
      </c>
      <c r="AA136" s="7">
        <v>10914</v>
      </c>
      <c r="AB136" s="13"/>
    </row>
    <row r="137" spans="10:28" ht="15.6" customHeight="1" x14ac:dyDescent="0.3">
      <c r="J137" s="2">
        <v>133</v>
      </c>
      <c r="K137" s="41" t="s">
        <v>33</v>
      </c>
      <c r="L137" s="41" t="s">
        <v>46</v>
      </c>
      <c r="M137" s="41" t="s">
        <v>48</v>
      </c>
      <c r="N137" s="41" t="s">
        <v>48</v>
      </c>
      <c r="O137" s="41" t="s">
        <v>29</v>
      </c>
      <c r="Q137" s="17">
        <f t="shared" si="15"/>
        <v>8</v>
      </c>
      <c r="R137" s="17">
        <f t="shared" si="16"/>
        <v>16</v>
      </c>
      <c r="S137" s="17">
        <f t="shared" si="17"/>
        <v>17</v>
      </c>
      <c r="T137" s="17">
        <f t="shared" si="18"/>
        <v>17</v>
      </c>
      <c r="U137" s="17">
        <f t="shared" si="19"/>
        <v>4</v>
      </c>
      <c r="W137" s="7">
        <v>4124</v>
      </c>
      <c r="X137" s="7">
        <v>8132</v>
      </c>
      <c r="Y137" s="7">
        <v>6651</v>
      </c>
      <c r="Z137" s="7">
        <v>14235</v>
      </c>
      <c r="AA137" s="7">
        <v>10835</v>
      </c>
      <c r="AB137" s="13"/>
    </row>
    <row r="138" spans="10:28" ht="15.6" customHeight="1" x14ac:dyDescent="0.3">
      <c r="J138" s="2">
        <v>134</v>
      </c>
      <c r="K138" s="41" t="s">
        <v>35</v>
      </c>
      <c r="L138" s="41" t="s">
        <v>42</v>
      </c>
      <c r="M138" s="41" t="s">
        <v>50</v>
      </c>
      <c r="N138" s="41" t="s">
        <v>32</v>
      </c>
      <c r="O138" s="41" t="s">
        <v>34</v>
      </c>
      <c r="Q138" s="17">
        <f t="shared" si="15"/>
        <v>10</v>
      </c>
      <c r="R138" s="17">
        <f t="shared" si="16"/>
        <v>14</v>
      </c>
      <c r="S138" s="17">
        <f t="shared" si="17"/>
        <v>18</v>
      </c>
      <c r="T138" s="17">
        <f t="shared" si="18"/>
        <v>7</v>
      </c>
      <c r="U138" s="17">
        <f t="shared" si="19"/>
        <v>9</v>
      </c>
      <c r="W138" s="7">
        <v>3775</v>
      </c>
      <c r="X138" s="7">
        <v>6786</v>
      </c>
      <c r="Y138" s="7">
        <v>8706</v>
      </c>
      <c r="Z138" s="7">
        <v>11541</v>
      </c>
      <c r="AA138" s="7">
        <v>13097</v>
      </c>
      <c r="AB138" s="13"/>
    </row>
    <row r="139" spans="10:28" ht="15.6" customHeight="1" x14ac:dyDescent="0.3">
      <c r="J139" s="2">
        <v>135</v>
      </c>
      <c r="K139" s="41" t="s">
        <v>35</v>
      </c>
      <c r="L139" s="41" t="s">
        <v>42</v>
      </c>
      <c r="M139" s="41" t="s">
        <v>35</v>
      </c>
      <c r="N139" s="41" t="s">
        <v>48</v>
      </c>
      <c r="O139" s="41" t="s">
        <v>28</v>
      </c>
      <c r="Q139" s="17">
        <f t="shared" si="15"/>
        <v>10</v>
      </c>
      <c r="R139" s="17">
        <f t="shared" si="16"/>
        <v>14</v>
      </c>
      <c r="S139" s="17">
        <f t="shared" si="17"/>
        <v>10</v>
      </c>
      <c r="T139" s="17">
        <f t="shared" si="18"/>
        <v>17</v>
      </c>
      <c r="U139" s="17">
        <f t="shared" si="19"/>
        <v>3</v>
      </c>
      <c r="W139" s="7">
        <v>12752</v>
      </c>
      <c r="X139" s="7">
        <v>5408</v>
      </c>
      <c r="Y139" s="7">
        <v>6689</v>
      </c>
      <c r="Z139" s="7">
        <v>12984</v>
      </c>
      <c r="AA139" s="7">
        <v>13568</v>
      </c>
      <c r="AB139" s="13"/>
    </row>
    <row r="140" spans="10:28" ht="15.6" customHeight="1" x14ac:dyDescent="0.3">
      <c r="J140" s="2">
        <v>136</v>
      </c>
      <c r="K140" s="41" t="s">
        <v>28</v>
      </c>
      <c r="L140" s="41" t="s">
        <v>32</v>
      </c>
      <c r="M140" s="41" t="s">
        <v>35</v>
      </c>
      <c r="N140" s="41" t="s">
        <v>46</v>
      </c>
      <c r="O140" s="41" t="s">
        <v>33</v>
      </c>
      <c r="Q140" s="17">
        <f t="shared" si="15"/>
        <v>3</v>
      </c>
      <c r="R140" s="17">
        <f t="shared" si="16"/>
        <v>7</v>
      </c>
      <c r="S140" s="17">
        <f t="shared" si="17"/>
        <v>10</v>
      </c>
      <c r="T140" s="17">
        <f t="shared" si="18"/>
        <v>16</v>
      </c>
      <c r="U140" s="17">
        <f t="shared" si="19"/>
        <v>8</v>
      </c>
      <c r="W140" s="7">
        <v>13513</v>
      </c>
      <c r="X140" s="7">
        <v>5395</v>
      </c>
      <c r="Y140" s="7">
        <v>6231</v>
      </c>
      <c r="Z140" s="7">
        <v>11733</v>
      </c>
      <c r="AA140" s="7">
        <v>13191</v>
      </c>
      <c r="AB140" s="13"/>
    </row>
    <row r="141" spans="10:28" ht="15.6" customHeight="1" x14ac:dyDescent="0.3">
      <c r="J141" s="2">
        <v>137</v>
      </c>
      <c r="K141" s="41" t="s">
        <v>33</v>
      </c>
      <c r="L141" s="41" t="s">
        <v>32</v>
      </c>
      <c r="M141" s="41" t="s">
        <v>50</v>
      </c>
      <c r="N141" s="41" t="s">
        <v>29</v>
      </c>
      <c r="O141" s="41" t="s">
        <v>26</v>
      </c>
      <c r="Q141" s="17">
        <f t="shared" si="15"/>
        <v>8</v>
      </c>
      <c r="R141" s="17">
        <f t="shared" si="16"/>
        <v>7</v>
      </c>
      <c r="S141" s="17">
        <f t="shared" si="17"/>
        <v>18</v>
      </c>
      <c r="T141" s="17">
        <f t="shared" si="18"/>
        <v>4</v>
      </c>
      <c r="U141" s="17">
        <f t="shared" si="19"/>
        <v>2</v>
      </c>
      <c r="W141" s="7">
        <v>9278</v>
      </c>
      <c r="X141" s="7">
        <v>7184</v>
      </c>
      <c r="Y141" s="7">
        <v>1331</v>
      </c>
      <c r="Z141" s="7">
        <v>13849</v>
      </c>
      <c r="AA141" s="7">
        <v>10757</v>
      </c>
      <c r="AB141" s="13"/>
    </row>
    <row r="142" spans="10:28" ht="15.6" customHeight="1" x14ac:dyDescent="0.3">
      <c r="J142" s="2">
        <v>138</v>
      </c>
      <c r="K142" s="41" t="s">
        <v>35</v>
      </c>
      <c r="L142" s="41" t="s">
        <v>32</v>
      </c>
      <c r="M142" s="41" t="s">
        <v>34</v>
      </c>
      <c r="N142" s="41" t="s">
        <v>46</v>
      </c>
      <c r="O142" s="41" t="s">
        <v>28</v>
      </c>
      <c r="Q142" s="17">
        <f t="shared" si="15"/>
        <v>10</v>
      </c>
      <c r="R142" s="17">
        <f t="shared" si="16"/>
        <v>7</v>
      </c>
      <c r="S142" s="17">
        <f t="shared" si="17"/>
        <v>9</v>
      </c>
      <c r="T142" s="17">
        <f t="shared" si="18"/>
        <v>16</v>
      </c>
      <c r="U142" s="17">
        <f t="shared" si="19"/>
        <v>3</v>
      </c>
      <c r="W142" s="7">
        <v>9675</v>
      </c>
      <c r="X142" s="7">
        <v>10419</v>
      </c>
      <c r="Y142" s="7">
        <v>1331</v>
      </c>
      <c r="Z142" s="7">
        <v>12888</v>
      </c>
      <c r="AA142" s="7">
        <v>9579</v>
      </c>
      <c r="AB142" s="13"/>
    </row>
    <row r="143" spans="10:28" ht="15.6" customHeight="1" x14ac:dyDescent="0.3">
      <c r="J143" s="2">
        <v>139</v>
      </c>
      <c r="K143" s="41" t="s">
        <v>28</v>
      </c>
      <c r="L143" s="41" t="s">
        <v>32</v>
      </c>
      <c r="M143" s="41" t="s">
        <v>28</v>
      </c>
      <c r="N143" s="41" t="s">
        <v>34</v>
      </c>
      <c r="O143" s="41" t="s">
        <v>35</v>
      </c>
      <c r="Q143" s="17">
        <f t="shared" si="15"/>
        <v>3</v>
      </c>
      <c r="R143" s="17">
        <f t="shared" si="16"/>
        <v>7</v>
      </c>
      <c r="S143" s="17">
        <f t="shared" si="17"/>
        <v>3</v>
      </c>
      <c r="T143" s="17">
        <f t="shared" si="18"/>
        <v>9</v>
      </c>
      <c r="U143" s="17">
        <f t="shared" si="19"/>
        <v>10</v>
      </c>
      <c r="W143" s="7">
        <v>8564</v>
      </c>
      <c r="X143" s="7">
        <v>11214</v>
      </c>
      <c r="Y143" s="7">
        <v>1331</v>
      </c>
      <c r="Z143" s="7">
        <v>11156</v>
      </c>
      <c r="AA143" s="7">
        <v>10678</v>
      </c>
      <c r="AB143" s="13"/>
    </row>
    <row r="144" spans="10:28" ht="15.6" customHeight="1" x14ac:dyDescent="0.3">
      <c r="J144" s="2">
        <v>140</v>
      </c>
      <c r="K144" s="41" t="s">
        <v>29</v>
      </c>
      <c r="L144" s="41" t="s">
        <v>38</v>
      </c>
      <c r="M144" s="41" t="s">
        <v>35</v>
      </c>
      <c r="N144" s="41" t="s">
        <v>34</v>
      </c>
      <c r="O144" s="41" t="s">
        <v>34</v>
      </c>
      <c r="Q144" s="17">
        <f t="shared" si="15"/>
        <v>4</v>
      </c>
      <c r="R144" s="17">
        <f t="shared" si="16"/>
        <v>12</v>
      </c>
      <c r="S144" s="17">
        <f t="shared" si="17"/>
        <v>10</v>
      </c>
      <c r="T144" s="17">
        <f t="shared" si="18"/>
        <v>9</v>
      </c>
      <c r="U144" s="17">
        <f t="shared" si="19"/>
        <v>9</v>
      </c>
      <c r="W144" s="7">
        <v>13893</v>
      </c>
      <c r="X144" s="7">
        <v>12693</v>
      </c>
      <c r="Y144" s="7">
        <v>1331</v>
      </c>
      <c r="Z144" s="7">
        <v>13369</v>
      </c>
      <c r="AA144" s="7">
        <v>10647</v>
      </c>
      <c r="AB144" s="13"/>
    </row>
    <row r="145" spans="10:28" ht="15.6" customHeight="1" x14ac:dyDescent="0.3">
      <c r="J145" s="2">
        <v>141</v>
      </c>
      <c r="K145" s="41" t="s">
        <v>30</v>
      </c>
      <c r="L145" s="41" t="s">
        <v>32</v>
      </c>
      <c r="M145" s="41" t="s">
        <v>34</v>
      </c>
      <c r="N145" s="41" t="s">
        <v>38</v>
      </c>
      <c r="O145" s="41" t="s">
        <v>34</v>
      </c>
      <c r="Q145" s="17">
        <f t="shared" si="15"/>
        <v>5</v>
      </c>
      <c r="R145" s="17">
        <f t="shared" si="16"/>
        <v>7</v>
      </c>
      <c r="S145" s="17">
        <f t="shared" si="17"/>
        <v>9</v>
      </c>
      <c r="T145" s="17">
        <f t="shared" si="18"/>
        <v>12</v>
      </c>
      <c r="U145" s="17">
        <f t="shared" si="19"/>
        <v>9</v>
      </c>
      <c r="W145" s="7">
        <v>12752</v>
      </c>
      <c r="X145" s="7">
        <v>4867</v>
      </c>
      <c r="Y145" s="7">
        <v>1331</v>
      </c>
      <c r="Z145" s="7">
        <v>12214</v>
      </c>
      <c r="AA145" s="7">
        <v>10647</v>
      </c>
      <c r="AB145" s="13"/>
    </row>
    <row r="146" spans="10:28" ht="15.6" customHeight="1" x14ac:dyDescent="0.3">
      <c r="J146" s="2">
        <v>142</v>
      </c>
      <c r="K146" s="41" t="s">
        <v>35</v>
      </c>
      <c r="L146" s="41" t="s">
        <v>28</v>
      </c>
      <c r="M146" s="41" t="s">
        <v>35</v>
      </c>
      <c r="N146" s="41" t="s">
        <v>50</v>
      </c>
      <c r="O146" s="41" t="s">
        <v>34</v>
      </c>
      <c r="Q146" s="17">
        <f t="shared" si="15"/>
        <v>10</v>
      </c>
      <c r="R146" s="17">
        <f t="shared" si="16"/>
        <v>3</v>
      </c>
      <c r="S146" s="17">
        <f t="shared" si="17"/>
        <v>10</v>
      </c>
      <c r="T146" s="17">
        <f t="shared" si="18"/>
        <v>18</v>
      </c>
      <c r="U146" s="17">
        <f t="shared" si="19"/>
        <v>9</v>
      </c>
      <c r="W146" s="7">
        <v>12562</v>
      </c>
      <c r="X146" s="7">
        <v>3473</v>
      </c>
      <c r="Y146" s="7">
        <v>1331</v>
      </c>
      <c r="Z146" s="7">
        <v>11782</v>
      </c>
      <c r="AA146" s="7">
        <v>11683</v>
      </c>
      <c r="AB146" s="13"/>
    </row>
    <row r="147" spans="10:28" ht="15.6" customHeight="1" x14ac:dyDescent="0.3">
      <c r="J147" s="2">
        <v>143</v>
      </c>
      <c r="K147" s="41" t="s">
        <v>29</v>
      </c>
      <c r="L147" s="41" t="s">
        <v>29</v>
      </c>
      <c r="M147" s="41" t="s">
        <v>34</v>
      </c>
      <c r="N147" s="41" t="s">
        <v>31</v>
      </c>
      <c r="O147" s="41" t="s">
        <v>33</v>
      </c>
      <c r="Q147" s="17">
        <f t="shared" si="15"/>
        <v>4</v>
      </c>
      <c r="R147" s="17">
        <f t="shared" si="16"/>
        <v>4</v>
      </c>
      <c r="S147" s="17">
        <f t="shared" si="17"/>
        <v>9</v>
      </c>
      <c r="T147" s="17">
        <f t="shared" si="18"/>
        <v>6</v>
      </c>
      <c r="U147" s="17">
        <f t="shared" si="19"/>
        <v>8</v>
      </c>
      <c r="W147" s="7">
        <v>12276</v>
      </c>
      <c r="X147" s="7">
        <v>5395</v>
      </c>
      <c r="Y147" s="7">
        <v>1331</v>
      </c>
      <c r="Z147" s="7">
        <v>10419</v>
      </c>
      <c r="AA147" s="7">
        <v>11589</v>
      </c>
      <c r="AB147" s="13"/>
    </row>
    <row r="148" spans="10:28" ht="15.6" customHeight="1" x14ac:dyDescent="0.3">
      <c r="J148" s="2">
        <v>144</v>
      </c>
      <c r="K148" s="41" t="s">
        <v>32</v>
      </c>
      <c r="L148" s="41" t="s">
        <v>44</v>
      </c>
      <c r="M148" s="41" t="s">
        <v>34</v>
      </c>
      <c r="N148" s="41" t="s">
        <v>46</v>
      </c>
      <c r="O148" s="41" t="s">
        <v>34</v>
      </c>
      <c r="Q148" s="17">
        <f t="shared" si="15"/>
        <v>7</v>
      </c>
      <c r="R148" s="17">
        <f t="shared" si="16"/>
        <v>15</v>
      </c>
      <c r="S148" s="17">
        <f t="shared" si="17"/>
        <v>9</v>
      </c>
      <c r="T148" s="17">
        <f t="shared" si="18"/>
        <v>16</v>
      </c>
      <c r="U148" s="17">
        <f t="shared" si="19"/>
        <v>9</v>
      </c>
      <c r="W148" s="7">
        <v>10547</v>
      </c>
      <c r="X148" s="7">
        <v>3685</v>
      </c>
      <c r="Y148" s="7">
        <v>1331</v>
      </c>
      <c r="Z148" s="7">
        <v>9618</v>
      </c>
      <c r="AA148" s="7">
        <v>11071</v>
      </c>
      <c r="AB148" s="13"/>
    </row>
    <row r="149" spans="10:28" ht="15.6" customHeight="1" x14ac:dyDescent="0.3">
      <c r="J149" s="2">
        <v>145</v>
      </c>
      <c r="K149" s="41" t="s">
        <v>31</v>
      </c>
      <c r="L149" s="41" t="s">
        <v>29</v>
      </c>
      <c r="M149" s="41" t="s">
        <v>34</v>
      </c>
      <c r="N149" s="41" t="s">
        <v>29</v>
      </c>
      <c r="O149" s="41" t="s">
        <v>32</v>
      </c>
      <c r="Q149" s="17">
        <f t="shared" si="15"/>
        <v>6</v>
      </c>
      <c r="R149" s="17">
        <f t="shared" si="16"/>
        <v>4</v>
      </c>
      <c r="S149" s="17">
        <f t="shared" si="17"/>
        <v>9</v>
      </c>
      <c r="T149" s="17">
        <f t="shared" si="18"/>
        <v>4</v>
      </c>
      <c r="U149" s="17">
        <f t="shared" si="19"/>
        <v>7</v>
      </c>
      <c r="W149" s="7">
        <v>10943</v>
      </c>
      <c r="X149" s="7">
        <v>4867</v>
      </c>
      <c r="Y149" s="7">
        <v>1331</v>
      </c>
      <c r="Z149" s="7">
        <v>12022</v>
      </c>
      <c r="AA149" s="7">
        <v>11385</v>
      </c>
      <c r="AB149" s="13"/>
    </row>
    <row r="150" spans="10:28" ht="15.6" customHeight="1" x14ac:dyDescent="0.3">
      <c r="J150" s="2">
        <v>146</v>
      </c>
      <c r="K150" s="41" t="s">
        <v>30</v>
      </c>
      <c r="L150" s="41" t="s">
        <v>31</v>
      </c>
      <c r="M150" s="41" t="s">
        <v>34</v>
      </c>
      <c r="N150" s="41" t="s">
        <v>32</v>
      </c>
      <c r="O150" s="41" t="s">
        <v>35</v>
      </c>
      <c r="Q150" s="17">
        <f t="shared" si="15"/>
        <v>5</v>
      </c>
      <c r="R150" s="17">
        <f t="shared" si="16"/>
        <v>6</v>
      </c>
      <c r="S150" s="17">
        <f t="shared" si="17"/>
        <v>9</v>
      </c>
      <c r="T150" s="17">
        <f t="shared" si="18"/>
        <v>7</v>
      </c>
      <c r="U150" s="17">
        <f t="shared" si="19"/>
        <v>10</v>
      </c>
      <c r="W150" s="7">
        <v>10943</v>
      </c>
      <c r="X150" s="7">
        <v>3473</v>
      </c>
      <c r="Y150" s="7">
        <v>7201</v>
      </c>
      <c r="Z150" s="7">
        <v>10869</v>
      </c>
      <c r="AA150" s="7">
        <v>4593</v>
      </c>
      <c r="AB150" s="13"/>
    </row>
    <row r="151" spans="10:28" ht="15.6" customHeight="1" x14ac:dyDescent="0.3">
      <c r="J151" s="2">
        <v>147</v>
      </c>
      <c r="K151" s="41" t="s">
        <v>30</v>
      </c>
      <c r="L151" s="41" t="s">
        <v>38</v>
      </c>
      <c r="M151" s="41" t="s">
        <v>50</v>
      </c>
      <c r="N151" s="41" t="s">
        <v>31</v>
      </c>
      <c r="O151" s="41" t="s">
        <v>30</v>
      </c>
      <c r="Q151" s="17">
        <f t="shared" si="15"/>
        <v>5</v>
      </c>
      <c r="R151" s="17">
        <f t="shared" si="16"/>
        <v>12</v>
      </c>
      <c r="S151" s="17">
        <f t="shared" si="17"/>
        <v>18</v>
      </c>
      <c r="T151" s="17">
        <f t="shared" si="18"/>
        <v>6</v>
      </c>
      <c r="U151" s="17">
        <f t="shared" si="19"/>
        <v>5</v>
      </c>
      <c r="W151" s="7">
        <v>10087</v>
      </c>
      <c r="X151" s="7">
        <v>5395</v>
      </c>
      <c r="Y151" s="7">
        <v>7444</v>
      </c>
      <c r="Z151" s="7">
        <v>13561</v>
      </c>
      <c r="AA151" s="7">
        <v>5457</v>
      </c>
      <c r="AB151" s="13"/>
    </row>
    <row r="152" spans="10:28" ht="15.6" customHeight="1" x14ac:dyDescent="0.3">
      <c r="J152" s="2">
        <v>148</v>
      </c>
      <c r="K152" s="41" t="s">
        <v>34</v>
      </c>
      <c r="L152" s="41" t="s">
        <v>32</v>
      </c>
      <c r="M152" s="41" t="s">
        <v>33</v>
      </c>
      <c r="N152" s="41" t="s">
        <v>40</v>
      </c>
      <c r="O152" s="41" t="s">
        <v>31</v>
      </c>
      <c r="Q152" s="17">
        <f t="shared" si="15"/>
        <v>9</v>
      </c>
      <c r="R152" s="17">
        <f t="shared" si="16"/>
        <v>7</v>
      </c>
      <c r="S152" s="17">
        <f t="shared" si="17"/>
        <v>8</v>
      </c>
      <c r="T152" s="17">
        <f t="shared" si="18"/>
        <v>13</v>
      </c>
      <c r="U152" s="17">
        <f t="shared" si="19"/>
        <v>6</v>
      </c>
      <c r="W152" s="7">
        <v>11657</v>
      </c>
      <c r="X152" s="7">
        <v>3685</v>
      </c>
      <c r="Y152" s="7">
        <v>12235</v>
      </c>
      <c r="Z152" s="7">
        <v>14811</v>
      </c>
      <c r="AA152" s="7">
        <v>5026</v>
      </c>
      <c r="AB152" s="13"/>
    </row>
    <row r="153" spans="10:28" ht="15.6" customHeight="1" x14ac:dyDescent="0.3">
      <c r="J153" s="2">
        <v>149</v>
      </c>
      <c r="K153" s="41" t="s">
        <v>34</v>
      </c>
      <c r="L153" s="41" t="s">
        <v>29</v>
      </c>
      <c r="M153" s="41" t="s">
        <v>46</v>
      </c>
      <c r="N153" s="41" t="s">
        <v>34</v>
      </c>
      <c r="O153" s="41" t="s">
        <v>30</v>
      </c>
      <c r="Q153" s="17">
        <f t="shared" si="15"/>
        <v>9</v>
      </c>
      <c r="R153" s="17">
        <f t="shared" si="16"/>
        <v>4</v>
      </c>
      <c r="S153" s="17">
        <f t="shared" si="17"/>
        <v>16</v>
      </c>
      <c r="T153" s="17">
        <f t="shared" si="18"/>
        <v>9</v>
      </c>
      <c r="U153" s="17">
        <f t="shared" si="19"/>
        <v>5</v>
      </c>
      <c r="W153" s="7">
        <v>10389</v>
      </c>
      <c r="X153" s="7">
        <v>4867</v>
      </c>
      <c r="Y153" s="7">
        <v>14371</v>
      </c>
      <c r="Z153" s="7">
        <v>11156</v>
      </c>
      <c r="AA153" s="7">
        <v>5418</v>
      </c>
      <c r="AB153" s="13"/>
    </row>
    <row r="154" spans="10:28" ht="15.6" customHeight="1" x14ac:dyDescent="0.3">
      <c r="J154" s="2">
        <v>150</v>
      </c>
      <c r="K154" s="41" t="s">
        <v>33</v>
      </c>
      <c r="L154" s="41" t="s">
        <v>31</v>
      </c>
      <c r="M154" s="41" t="s">
        <v>35</v>
      </c>
      <c r="N154" s="41" t="s">
        <v>31</v>
      </c>
      <c r="O154" s="41" t="s">
        <v>34</v>
      </c>
      <c r="Q154" s="17">
        <f t="shared" si="15"/>
        <v>8</v>
      </c>
      <c r="R154" s="17">
        <f t="shared" si="16"/>
        <v>6</v>
      </c>
      <c r="S154" s="17">
        <f t="shared" si="17"/>
        <v>10</v>
      </c>
      <c r="T154" s="17">
        <f t="shared" si="18"/>
        <v>6</v>
      </c>
      <c r="U154" s="17">
        <f t="shared" si="19"/>
        <v>9</v>
      </c>
      <c r="W154" s="7">
        <v>11102</v>
      </c>
      <c r="X154" s="7">
        <v>11929</v>
      </c>
      <c r="Y154" s="7">
        <v>15148</v>
      </c>
      <c r="Z154" s="7">
        <v>13753</v>
      </c>
      <c r="AA154" s="7">
        <v>5614</v>
      </c>
      <c r="AB154" s="13"/>
    </row>
    <row r="155" spans="10:28" ht="15.6" customHeight="1" x14ac:dyDescent="0.3">
      <c r="J155" s="2">
        <v>151</v>
      </c>
      <c r="K155" s="41" t="s">
        <v>32</v>
      </c>
      <c r="L155" s="41" t="s">
        <v>35</v>
      </c>
      <c r="M155" s="41" t="s">
        <v>28</v>
      </c>
      <c r="N155" s="41" t="s">
        <v>33</v>
      </c>
      <c r="O155" s="41" t="s">
        <v>35</v>
      </c>
      <c r="Q155" s="17">
        <f t="shared" si="15"/>
        <v>7</v>
      </c>
      <c r="R155" s="17">
        <f t="shared" si="16"/>
        <v>10</v>
      </c>
      <c r="S155" s="17">
        <f t="shared" si="17"/>
        <v>3</v>
      </c>
      <c r="T155" s="17">
        <f t="shared" si="18"/>
        <v>8</v>
      </c>
      <c r="U155" s="17">
        <f t="shared" si="19"/>
        <v>10</v>
      </c>
      <c r="W155" s="7">
        <v>13323</v>
      </c>
      <c r="X155" s="7">
        <v>12979</v>
      </c>
      <c r="Y155" s="7">
        <v>14176</v>
      </c>
      <c r="Z155" s="7">
        <v>13849</v>
      </c>
      <c r="AA155" s="7">
        <v>5732</v>
      </c>
      <c r="AB155" s="13"/>
    </row>
    <row r="156" spans="10:28" ht="15.6" customHeight="1" x14ac:dyDescent="0.3">
      <c r="J156" s="2">
        <v>152</v>
      </c>
      <c r="K156" s="41" t="s">
        <v>35</v>
      </c>
      <c r="L156" s="41" t="s">
        <v>35</v>
      </c>
      <c r="M156" s="41" t="s">
        <v>32</v>
      </c>
      <c r="N156" s="41" t="s">
        <v>33</v>
      </c>
      <c r="O156" s="41" t="s">
        <v>34</v>
      </c>
      <c r="Q156" s="17">
        <f t="shared" si="15"/>
        <v>10</v>
      </c>
      <c r="R156" s="17">
        <f t="shared" si="16"/>
        <v>10</v>
      </c>
      <c r="S156" s="17">
        <f t="shared" si="17"/>
        <v>7</v>
      </c>
      <c r="T156" s="17">
        <f t="shared" si="18"/>
        <v>8</v>
      </c>
      <c r="U156" s="17">
        <f t="shared" si="19"/>
        <v>9</v>
      </c>
      <c r="W156" s="7">
        <v>10705</v>
      </c>
      <c r="X156" s="7">
        <v>12979</v>
      </c>
      <c r="Y156" s="7">
        <v>11458</v>
      </c>
      <c r="Z156" s="7">
        <v>11061</v>
      </c>
      <c r="AA156" s="7">
        <v>6548</v>
      </c>
      <c r="AB156" s="13"/>
    </row>
    <row r="157" spans="10:28" ht="15.6" customHeight="1" x14ac:dyDescent="0.3">
      <c r="J157" s="2">
        <v>153</v>
      </c>
      <c r="K157" s="41" t="s">
        <v>33</v>
      </c>
      <c r="L157" s="41" t="s">
        <v>48</v>
      </c>
      <c r="M157" s="41" t="s">
        <v>34</v>
      </c>
      <c r="N157" s="41" t="s">
        <v>28</v>
      </c>
      <c r="O157" s="41" t="s">
        <v>30</v>
      </c>
      <c r="Q157" s="17">
        <f t="shared" si="15"/>
        <v>8</v>
      </c>
      <c r="R157" s="17">
        <f t="shared" si="16"/>
        <v>17</v>
      </c>
      <c r="S157" s="17">
        <f t="shared" si="17"/>
        <v>9</v>
      </c>
      <c r="T157" s="17">
        <f t="shared" si="18"/>
        <v>3</v>
      </c>
      <c r="U157" s="17">
        <f t="shared" si="19"/>
        <v>5</v>
      </c>
      <c r="W157" s="7">
        <v>9278</v>
      </c>
      <c r="X157" s="7">
        <v>9830</v>
      </c>
      <c r="Y157" s="7">
        <v>11943</v>
      </c>
      <c r="Z157" s="7">
        <v>12599</v>
      </c>
      <c r="AA157" s="7">
        <v>6407</v>
      </c>
      <c r="AB157" s="13"/>
    </row>
    <row r="158" spans="10:28" ht="15.6" customHeight="1" x14ac:dyDescent="0.3">
      <c r="J158" s="2">
        <v>154</v>
      </c>
      <c r="K158" s="41" t="s">
        <v>29</v>
      </c>
      <c r="L158" s="41" t="s">
        <v>46</v>
      </c>
      <c r="M158" s="41" t="s">
        <v>30</v>
      </c>
      <c r="N158" s="41" t="s">
        <v>35</v>
      </c>
      <c r="O158" s="41" t="s">
        <v>35</v>
      </c>
      <c r="Q158" s="17">
        <f t="shared" si="15"/>
        <v>4</v>
      </c>
      <c r="R158" s="17">
        <f t="shared" si="16"/>
        <v>16</v>
      </c>
      <c r="S158" s="17">
        <f t="shared" si="17"/>
        <v>5</v>
      </c>
      <c r="T158" s="17">
        <f t="shared" si="18"/>
        <v>10</v>
      </c>
      <c r="U158" s="17">
        <f t="shared" si="19"/>
        <v>10</v>
      </c>
      <c r="W158" s="7">
        <v>9278</v>
      </c>
      <c r="X158" s="7">
        <v>13552</v>
      </c>
      <c r="Y158" s="7">
        <v>13691</v>
      </c>
      <c r="Z158" s="7">
        <v>13369</v>
      </c>
      <c r="AA158" s="7">
        <v>7114</v>
      </c>
      <c r="AB158" s="13"/>
    </row>
    <row r="159" spans="10:28" ht="15.6" customHeight="1" x14ac:dyDescent="0.3">
      <c r="J159" s="2">
        <v>155</v>
      </c>
      <c r="K159" s="41" t="s">
        <v>33</v>
      </c>
      <c r="L159" s="41" t="s">
        <v>31</v>
      </c>
      <c r="M159" s="41" t="s">
        <v>35</v>
      </c>
      <c r="N159" s="41" t="s">
        <v>36</v>
      </c>
      <c r="O159" s="41" t="s">
        <v>29</v>
      </c>
      <c r="Q159" s="17">
        <f t="shared" si="15"/>
        <v>8</v>
      </c>
      <c r="R159" s="17">
        <f t="shared" si="16"/>
        <v>6</v>
      </c>
      <c r="S159" s="17">
        <f t="shared" si="17"/>
        <v>10</v>
      </c>
      <c r="T159" s="17">
        <f t="shared" si="18"/>
        <v>11</v>
      </c>
      <c r="U159" s="17">
        <f t="shared" si="19"/>
        <v>4</v>
      </c>
      <c r="W159" s="7">
        <v>10864</v>
      </c>
      <c r="X159" s="7">
        <v>14506</v>
      </c>
      <c r="Y159" s="7">
        <v>12622</v>
      </c>
      <c r="Z159" s="7">
        <v>11830</v>
      </c>
      <c r="AA159" s="7">
        <v>4514</v>
      </c>
      <c r="AB159" s="13"/>
    </row>
    <row r="160" spans="10:28" ht="15.6" customHeight="1" x14ac:dyDescent="0.3">
      <c r="J160" s="2">
        <v>156</v>
      </c>
      <c r="K160" s="41" t="s">
        <v>35</v>
      </c>
      <c r="L160" s="41" t="s">
        <v>48</v>
      </c>
      <c r="M160" s="41" t="s">
        <v>48</v>
      </c>
      <c r="N160" s="41" t="s">
        <v>44</v>
      </c>
      <c r="O160" s="41" t="s">
        <v>32</v>
      </c>
      <c r="Q160" s="17">
        <f t="shared" si="15"/>
        <v>10</v>
      </c>
      <c r="R160" s="17">
        <f t="shared" si="16"/>
        <v>17</v>
      </c>
      <c r="S160" s="17">
        <f t="shared" si="17"/>
        <v>17</v>
      </c>
      <c r="T160" s="17">
        <f t="shared" si="18"/>
        <v>15</v>
      </c>
      <c r="U160" s="17">
        <f t="shared" si="19"/>
        <v>7</v>
      </c>
      <c r="W160" s="7">
        <v>9635</v>
      </c>
      <c r="X160" s="7">
        <v>14220</v>
      </c>
      <c r="Y160" s="7">
        <v>13691</v>
      </c>
      <c r="Z160" s="7">
        <v>12888</v>
      </c>
      <c r="AA160" s="7">
        <v>5888</v>
      </c>
      <c r="AB160" s="13"/>
    </row>
    <row r="161" spans="10:28" ht="15.6" customHeight="1" x14ac:dyDescent="0.3">
      <c r="J161" s="2">
        <v>157</v>
      </c>
      <c r="K161" s="41" t="s">
        <v>35</v>
      </c>
      <c r="L161" s="41" t="s">
        <v>38</v>
      </c>
      <c r="M161" s="41" t="s">
        <v>30</v>
      </c>
      <c r="N161" s="41" t="s">
        <v>46</v>
      </c>
      <c r="O161" s="41" t="s">
        <v>35</v>
      </c>
      <c r="Q161" s="17">
        <f t="shared" si="15"/>
        <v>10</v>
      </c>
      <c r="R161" s="17">
        <f t="shared" si="16"/>
        <v>12</v>
      </c>
      <c r="S161" s="17">
        <f t="shared" si="17"/>
        <v>5</v>
      </c>
      <c r="T161" s="17">
        <f t="shared" si="18"/>
        <v>16</v>
      </c>
      <c r="U161" s="17">
        <f t="shared" si="19"/>
        <v>10</v>
      </c>
      <c r="W161" s="7">
        <v>9833</v>
      </c>
      <c r="X161" s="7">
        <v>10657</v>
      </c>
      <c r="Y161" s="7">
        <v>15244</v>
      </c>
      <c r="Z161" s="7">
        <v>15485</v>
      </c>
      <c r="AA161" s="7">
        <v>4593</v>
      </c>
      <c r="AB161" s="13"/>
    </row>
    <row r="162" spans="10:28" ht="15.6" customHeight="1" x14ac:dyDescent="0.3">
      <c r="J162" s="2">
        <v>158</v>
      </c>
      <c r="K162" s="41" t="s">
        <v>34</v>
      </c>
      <c r="L162" s="41" t="s">
        <v>40</v>
      </c>
      <c r="M162" s="41" t="s">
        <v>50</v>
      </c>
      <c r="N162" s="41" t="s">
        <v>48</v>
      </c>
      <c r="O162" s="41" t="s">
        <v>35</v>
      </c>
      <c r="Q162" s="17">
        <f t="shared" si="15"/>
        <v>9</v>
      </c>
      <c r="R162" s="17">
        <f t="shared" si="16"/>
        <v>13</v>
      </c>
      <c r="S162" s="17">
        <f t="shared" si="17"/>
        <v>18</v>
      </c>
      <c r="T162" s="17">
        <f t="shared" si="18"/>
        <v>17</v>
      </c>
      <c r="U162" s="17">
        <f t="shared" si="19"/>
        <v>10</v>
      </c>
      <c r="W162" s="7">
        <v>14084</v>
      </c>
      <c r="X162" s="7">
        <v>11930</v>
      </c>
      <c r="Y162" s="7">
        <v>11458</v>
      </c>
      <c r="Z162" s="7">
        <v>11061</v>
      </c>
      <c r="AA162" s="7">
        <v>5457</v>
      </c>
      <c r="AB162" s="13"/>
    </row>
    <row r="163" spans="10:28" ht="15.6" customHeight="1" x14ac:dyDescent="0.3">
      <c r="J163" s="2">
        <v>159</v>
      </c>
      <c r="K163" s="41" t="s">
        <v>32</v>
      </c>
      <c r="L163" s="41" t="s">
        <v>33</v>
      </c>
      <c r="M163" s="41" t="s">
        <v>30</v>
      </c>
      <c r="N163" s="41" t="s">
        <v>46</v>
      </c>
      <c r="O163" s="41" t="s">
        <v>35</v>
      </c>
      <c r="Q163" s="17">
        <f t="shared" si="15"/>
        <v>7</v>
      </c>
      <c r="R163" s="17">
        <f t="shared" si="16"/>
        <v>8</v>
      </c>
      <c r="S163" s="17">
        <f t="shared" si="17"/>
        <v>5</v>
      </c>
      <c r="T163" s="17">
        <f t="shared" si="18"/>
        <v>16</v>
      </c>
      <c r="U163" s="17">
        <f t="shared" si="19"/>
        <v>10</v>
      </c>
      <c r="W163" s="7">
        <v>11609</v>
      </c>
      <c r="X163" s="7">
        <v>8907</v>
      </c>
      <c r="Y163" s="7">
        <v>9871</v>
      </c>
      <c r="Z163" s="7">
        <v>13177</v>
      </c>
      <c r="AA163" s="7">
        <v>5026</v>
      </c>
      <c r="AB163" s="13"/>
    </row>
    <row r="164" spans="10:28" ht="15.6" customHeight="1" x14ac:dyDescent="0.3">
      <c r="J164" s="2">
        <v>160</v>
      </c>
      <c r="K164" s="41" t="s">
        <v>28</v>
      </c>
      <c r="L164" s="41" t="s">
        <v>29</v>
      </c>
      <c r="M164" s="41" t="s">
        <v>32</v>
      </c>
      <c r="N164" s="41" t="s">
        <v>35</v>
      </c>
      <c r="O164" s="41" t="s">
        <v>33</v>
      </c>
      <c r="Q164" s="17">
        <f t="shared" si="15"/>
        <v>3</v>
      </c>
      <c r="R164" s="17">
        <f t="shared" si="16"/>
        <v>4</v>
      </c>
      <c r="S164" s="17">
        <f t="shared" si="17"/>
        <v>7</v>
      </c>
      <c r="T164" s="17">
        <f t="shared" si="18"/>
        <v>10</v>
      </c>
      <c r="U164" s="17">
        <f t="shared" si="19"/>
        <v>8</v>
      </c>
      <c r="W164" s="7">
        <v>11515</v>
      </c>
      <c r="X164" s="7">
        <v>12312</v>
      </c>
      <c r="Y164" s="7">
        <v>9548</v>
      </c>
      <c r="Z164" s="7">
        <v>9938</v>
      </c>
      <c r="AA164" s="7">
        <v>5418</v>
      </c>
      <c r="AB164" s="13"/>
    </row>
    <row r="165" spans="10:28" ht="15.6" customHeight="1" x14ac:dyDescent="0.3">
      <c r="J165" s="2">
        <v>161</v>
      </c>
      <c r="K165" s="41" t="s">
        <v>34</v>
      </c>
      <c r="L165" s="41" t="s">
        <v>32</v>
      </c>
      <c r="M165" s="41" t="s">
        <v>38</v>
      </c>
      <c r="N165" s="41" t="s">
        <v>48</v>
      </c>
      <c r="O165" s="41" t="s">
        <v>28</v>
      </c>
      <c r="Q165" s="17">
        <f t="shared" si="15"/>
        <v>9</v>
      </c>
      <c r="R165" s="17">
        <f t="shared" si="16"/>
        <v>7</v>
      </c>
      <c r="S165" s="17">
        <f t="shared" si="17"/>
        <v>12</v>
      </c>
      <c r="T165" s="17">
        <f t="shared" si="18"/>
        <v>17</v>
      </c>
      <c r="U165" s="17">
        <f t="shared" si="19"/>
        <v>3</v>
      </c>
      <c r="W165" s="7">
        <v>14845</v>
      </c>
      <c r="X165" s="7">
        <v>13838</v>
      </c>
      <c r="Y165" s="7">
        <v>11004</v>
      </c>
      <c r="Z165" s="7">
        <v>10580</v>
      </c>
      <c r="AA165" s="7">
        <v>5614</v>
      </c>
      <c r="AB165" s="13"/>
    </row>
    <row r="166" spans="10:28" ht="15.6" customHeight="1" x14ac:dyDescent="0.3">
      <c r="J166" s="2">
        <v>162</v>
      </c>
      <c r="K166" s="41" t="s">
        <v>34</v>
      </c>
      <c r="L166" s="41" t="s">
        <v>31</v>
      </c>
      <c r="M166" s="41" t="s">
        <v>29</v>
      </c>
      <c r="N166" s="41" t="s">
        <v>42</v>
      </c>
      <c r="O166" s="41" t="s">
        <v>35</v>
      </c>
      <c r="Q166" s="17">
        <f t="shared" si="15"/>
        <v>9</v>
      </c>
      <c r="R166" s="17">
        <f t="shared" si="16"/>
        <v>6</v>
      </c>
      <c r="S166" s="17">
        <f t="shared" si="17"/>
        <v>4</v>
      </c>
      <c r="T166" s="17">
        <f t="shared" si="18"/>
        <v>14</v>
      </c>
      <c r="U166" s="17">
        <f t="shared" si="19"/>
        <v>10</v>
      </c>
      <c r="W166" s="7">
        <v>12466</v>
      </c>
      <c r="X166" s="7">
        <v>12312</v>
      </c>
      <c r="Y166" s="7">
        <v>10519</v>
      </c>
      <c r="Z166" s="7">
        <v>8015</v>
      </c>
      <c r="AA166" s="7">
        <v>5732</v>
      </c>
      <c r="AB166" s="13"/>
    </row>
    <row r="167" spans="10:28" ht="15.6" customHeight="1" x14ac:dyDescent="0.3">
      <c r="J167" s="2">
        <v>163</v>
      </c>
      <c r="K167" s="41" t="s">
        <v>30</v>
      </c>
      <c r="L167" s="41" t="s">
        <v>34</v>
      </c>
      <c r="M167" s="41" t="s">
        <v>29</v>
      </c>
      <c r="N167" s="41" t="s">
        <v>40</v>
      </c>
      <c r="O167" s="41" t="s">
        <v>31</v>
      </c>
      <c r="Q167" s="17">
        <f t="shared" si="15"/>
        <v>5</v>
      </c>
      <c r="R167" s="17">
        <f t="shared" si="16"/>
        <v>9</v>
      </c>
      <c r="S167" s="17">
        <f t="shared" si="17"/>
        <v>4</v>
      </c>
      <c r="T167" s="17">
        <f t="shared" si="18"/>
        <v>13</v>
      </c>
      <c r="U167" s="17">
        <f t="shared" si="19"/>
        <v>6</v>
      </c>
      <c r="W167" s="7">
        <v>9516</v>
      </c>
      <c r="X167" s="7">
        <v>11929</v>
      </c>
      <c r="Y167" s="7">
        <v>10390</v>
      </c>
      <c r="Z167" s="7">
        <v>11541</v>
      </c>
      <c r="AA167" s="7">
        <v>6548</v>
      </c>
      <c r="AB167" s="13"/>
    </row>
    <row r="168" spans="10:28" ht="15.6" customHeight="1" x14ac:dyDescent="0.3">
      <c r="J168" s="2">
        <v>164</v>
      </c>
      <c r="K168" s="41" t="s">
        <v>35</v>
      </c>
      <c r="L168" s="41" t="s">
        <v>33</v>
      </c>
      <c r="M168" s="41" t="s">
        <v>50</v>
      </c>
      <c r="N168" s="41" t="s">
        <v>30</v>
      </c>
      <c r="O168" s="41" t="s">
        <v>30</v>
      </c>
      <c r="Q168" s="17">
        <f t="shared" si="15"/>
        <v>10</v>
      </c>
      <c r="R168" s="17">
        <f t="shared" si="16"/>
        <v>8</v>
      </c>
      <c r="S168" s="17">
        <f t="shared" si="17"/>
        <v>18</v>
      </c>
      <c r="T168" s="17">
        <f t="shared" si="18"/>
        <v>5</v>
      </c>
      <c r="U168" s="17">
        <f t="shared" si="19"/>
        <v>5</v>
      </c>
      <c r="W168" s="7">
        <v>10389</v>
      </c>
      <c r="X168" s="7">
        <v>12502</v>
      </c>
      <c r="Y168" s="7">
        <v>13303</v>
      </c>
      <c r="Z168" s="7">
        <v>12888</v>
      </c>
      <c r="AA168" s="7">
        <v>6407</v>
      </c>
      <c r="AB168" s="13"/>
    </row>
    <row r="169" spans="10:28" ht="15.6" customHeight="1" x14ac:dyDescent="0.3">
      <c r="J169" s="2">
        <v>165</v>
      </c>
      <c r="K169" s="41" t="s">
        <v>29</v>
      </c>
      <c r="L169" s="41" t="s">
        <v>42</v>
      </c>
      <c r="M169" s="41" t="s">
        <v>29</v>
      </c>
      <c r="N169" s="41" t="s">
        <v>34</v>
      </c>
      <c r="O169" s="41" t="s">
        <v>30</v>
      </c>
      <c r="Q169" s="17">
        <f t="shared" si="15"/>
        <v>4</v>
      </c>
      <c r="R169" s="17">
        <f t="shared" si="16"/>
        <v>14</v>
      </c>
      <c r="S169" s="17">
        <f t="shared" si="17"/>
        <v>4</v>
      </c>
      <c r="T169" s="17">
        <f t="shared" si="18"/>
        <v>9</v>
      </c>
      <c r="U169" s="17">
        <f t="shared" si="19"/>
        <v>5</v>
      </c>
      <c r="W169" s="7">
        <v>9040</v>
      </c>
      <c r="X169" s="7">
        <v>13552</v>
      </c>
      <c r="Y169" s="7">
        <v>11554</v>
      </c>
      <c r="Z169" s="7">
        <v>13080</v>
      </c>
      <c r="AA169" s="7">
        <v>7114</v>
      </c>
      <c r="AB169" s="13"/>
    </row>
    <row r="170" spans="10:28" ht="15.6" customHeight="1" x14ac:dyDescent="0.3">
      <c r="J170" s="2">
        <v>166</v>
      </c>
      <c r="K170" s="41" t="s">
        <v>32</v>
      </c>
      <c r="L170" s="41" t="s">
        <v>30</v>
      </c>
      <c r="M170" s="41" t="s">
        <v>46</v>
      </c>
      <c r="N170" s="41" t="s">
        <v>42</v>
      </c>
      <c r="O170" s="41" t="s">
        <v>31</v>
      </c>
      <c r="Q170" s="17">
        <f t="shared" si="15"/>
        <v>7</v>
      </c>
      <c r="R170" s="17">
        <f t="shared" si="16"/>
        <v>5</v>
      </c>
      <c r="S170" s="17">
        <f t="shared" si="17"/>
        <v>16</v>
      </c>
      <c r="T170" s="17">
        <f t="shared" si="18"/>
        <v>14</v>
      </c>
      <c r="U170" s="17">
        <f t="shared" si="19"/>
        <v>6</v>
      </c>
      <c r="W170" s="7">
        <v>14084</v>
      </c>
      <c r="X170" s="7">
        <v>11739</v>
      </c>
      <c r="Y170" s="7">
        <v>10681</v>
      </c>
      <c r="Z170" s="7">
        <v>13657</v>
      </c>
      <c r="AA170" s="7">
        <v>4514</v>
      </c>
      <c r="AB170" s="13"/>
    </row>
    <row r="171" spans="10:28" ht="15.6" customHeight="1" x14ac:dyDescent="0.3">
      <c r="J171" s="2">
        <v>167</v>
      </c>
      <c r="K171" s="41" t="s">
        <v>34</v>
      </c>
      <c r="L171" s="41" t="s">
        <v>26</v>
      </c>
      <c r="M171" s="41" t="s">
        <v>28</v>
      </c>
      <c r="N171" s="41" t="s">
        <v>34</v>
      </c>
      <c r="O171" s="41" t="s">
        <v>33</v>
      </c>
      <c r="Q171" s="17">
        <f t="shared" si="15"/>
        <v>9</v>
      </c>
      <c r="R171" s="17">
        <f t="shared" si="16"/>
        <v>2</v>
      </c>
      <c r="S171" s="17">
        <f t="shared" si="17"/>
        <v>3</v>
      </c>
      <c r="T171" s="17">
        <f t="shared" si="18"/>
        <v>9</v>
      </c>
      <c r="U171" s="17">
        <f t="shared" si="19"/>
        <v>8</v>
      </c>
      <c r="W171" s="7">
        <v>13227</v>
      </c>
      <c r="X171" s="7">
        <v>9782</v>
      </c>
      <c r="Y171" s="7">
        <v>9629</v>
      </c>
      <c r="Z171" s="7">
        <v>10772</v>
      </c>
      <c r="AA171" s="7">
        <v>5888</v>
      </c>
      <c r="AB171" s="13"/>
    </row>
    <row r="172" spans="10:28" ht="15.6" customHeight="1" x14ac:dyDescent="0.3">
      <c r="J172" s="2">
        <v>168</v>
      </c>
      <c r="K172" s="41" t="s">
        <v>32</v>
      </c>
      <c r="L172" s="41" t="s">
        <v>30</v>
      </c>
      <c r="M172" s="41" t="s">
        <v>36</v>
      </c>
      <c r="N172" s="41" t="s">
        <v>34</v>
      </c>
      <c r="O172" s="41" t="s">
        <v>35</v>
      </c>
      <c r="Q172" s="17">
        <f t="shared" si="15"/>
        <v>7</v>
      </c>
      <c r="R172" s="17">
        <f t="shared" si="16"/>
        <v>5</v>
      </c>
      <c r="S172" s="17">
        <f t="shared" si="17"/>
        <v>11</v>
      </c>
      <c r="T172" s="17">
        <f t="shared" si="18"/>
        <v>9</v>
      </c>
      <c r="U172" s="17">
        <f t="shared" si="19"/>
        <v>10</v>
      </c>
      <c r="W172" s="7">
        <v>9913</v>
      </c>
      <c r="X172" s="7">
        <v>10180</v>
      </c>
      <c r="Y172" s="7">
        <v>9467</v>
      </c>
      <c r="Z172" s="7">
        <v>13946</v>
      </c>
      <c r="AA172" s="7">
        <v>11542</v>
      </c>
      <c r="AB172" s="13"/>
    </row>
    <row r="173" spans="10:28" ht="15.6" customHeight="1" x14ac:dyDescent="0.3">
      <c r="J173" s="2">
        <v>169</v>
      </c>
      <c r="K173" s="41" t="s">
        <v>29</v>
      </c>
      <c r="L173" s="41" t="s">
        <v>44</v>
      </c>
      <c r="M173" s="41" t="s">
        <v>28</v>
      </c>
      <c r="N173" s="41" t="s">
        <v>34</v>
      </c>
      <c r="O173" s="41" t="s">
        <v>34</v>
      </c>
      <c r="Q173" s="17">
        <f t="shared" si="15"/>
        <v>4</v>
      </c>
      <c r="R173" s="17">
        <f t="shared" si="16"/>
        <v>15</v>
      </c>
      <c r="S173" s="17">
        <f t="shared" si="17"/>
        <v>3</v>
      </c>
      <c r="T173" s="17">
        <f t="shared" si="18"/>
        <v>9</v>
      </c>
      <c r="U173" s="17">
        <f t="shared" si="19"/>
        <v>9</v>
      </c>
      <c r="W173" s="7">
        <v>10627</v>
      </c>
      <c r="X173" s="7">
        <v>3261</v>
      </c>
      <c r="Y173" s="7">
        <v>13884</v>
      </c>
      <c r="Z173" s="7">
        <v>14427</v>
      </c>
      <c r="AA173" s="7">
        <v>8637</v>
      </c>
      <c r="AB173" s="13"/>
    </row>
    <row r="174" spans="10:28" ht="15.6" customHeight="1" x14ac:dyDescent="0.3">
      <c r="J174" s="2">
        <v>170</v>
      </c>
      <c r="K174" s="41" t="s">
        <v>32</v>
      </c>
      <c r="L174" s="41" t="s">
        <v>44</v>
      </c>
      <c r="M174" s="41" t="s">
        <v>34</v>
      </c>
      <c r="N174" s="41" t="s">
        <v>38</v>
      </c>
      <c r="O174" s="41" t="s">
        <v>35</v>
      </c>
      <c r="Q174" s="17">
        <f t="shared" si="15"/>
        <v>7</v>
      </c>
      <c r="R174" s="17">
        <f t="shared" si="16"/>
        <v>15</v>
      </c>
      <c r="S174" s="17">
        <f t="shared" si="17"/>
        <v>9</v>
      </c>
      <c r="T174" s="17">
        <f t="shared" si="18"/>
        <v>12</v>
      </c>
      <c r="U174" s="17">
        <f t="shared" si="19"/>
        <v>10</v>
      </c>
      <c r="W174" s="7">
        <v>11340</v>
      </c>
      <c r="X174" s="7">
        <v>3525</v>
      </c>
      <c r="Y174" s="7">
        <v>8820</v>
      </c>
      <c r="Z174" s="7">
        <v>12599</v>
      </c>
      <c r="AA174" s="7">
        <v>13568</v>
      </c>
      <c r="AB174" s="13"/>
    </row>
    <row r="175" spans="10:28" ht="15.6" customHeight="1" x14ac:dyDescent="0.3">
      <c r="J175" s="2">
        <v>171</v>
      </c>
      <c r="K175" s="41" t="s">
        <v>29</v>
      </c>
      <c r="L175" s="41" t="s">
        <v>44</v>
      </c>
      <c r="M175" s="41" t="s">
        <v>48</v>
      </c>
      <c r="N175" s="41" t="s">
        <v>33</v>
      </c>
      <c r="O175" s="41" t="s">
        <v>33</v>
      </c>
      <c r="Q175" s="17">
        <f t="shared" si="15"/>
        <v>4</v>
      </c>
      <c r="R175" s="17">
        <f t="shared" si="16"/>
        <v>15</v>
      </c>
      <c r="S175" s="17">
        <f t="shared" si="17"/>
        <v>17</v>
      </c>
      <c r="T175" s="17">
        <f t="shared" si="18"/>
        <v>8</v>
      </c>
      <c r="U175" s="17">
        <f t="shared" si="19"/>
        <v>8</v>
      </c>
      <c r="W175" s="7">
        <v>10626</v>
      </c>
      <c r="X175" s="7">
        <v>8132</v>
      </c>
      <c r="Y175" s="7">
        <v>12299</v>
      </c>
      <c r="Z175" s="7">
        <v>12503</v>
      </c>
      <c r="AA175" s="7">
        <v>13756</v>
      </c>
      <c r="AB175" s="13"/>
    </row>
    <row r="176" spans="10:28" ht="15.6" customHeight="1" x14ac:dyDescent="0.3">
      <c r="J176" s="2">
        <v>172</v>
      </c>
      <c r="K176" s="41" t="s">
        <v>30</v>
      </c>
      <c r="L176" s="41" t="s">
        <v>30</v>
      </c>
      <c r="M176" s="41" t="s">
        <v>44</v>
      </c>
      <c r="N176" s="41" t="s">
        <v>34</v>
      </c>
      <c r="O176" s="41" t="s">
        <v>35</v>
      </c>
      <c r="Q176" s="17">
        <f t="shared" si="15"/>
        <v>5</v>
      </c>
      <c r="R176" s="17">
        <f t="shared" si="16"/>
        <v>5</v>
      </c>
      <c r="S176" s="17">
        <f t="shared" si="17"/>
        <v>15</v>
      </c>
      <c r="T176" s="17">
        <f t="shared" si="18"/>
        <v>9</v>
      </c>
      <c r="U176" s="17">
        <f t="shared" si="19"/>
        <v>10</v>
      </c>
      <c r="W176" s="7">
        <v>12656</v>
      </c>
      <c r="X176" s="7">
        <v>6786</v>
      </c>
      <c r="Y176" s="7">
        <v>10923</v>
      </c>
      <c r="Z176" s="7">
        <v>12407</v>
      </c>
      <c r="AA176" s="7">
        <v>9579</v>
      </c>
      <c r="AB176" s="13"/>
    </row>
    <row r="177" spans="10:28" ht="15.6" customHeight="1" x14ac:dyDescent="0.3">
      <c r="J177" s="2">
        <v>173</v>
      </c>
      <c r="K177" s="41" t="s">
        <v>33</v>
      </c>
      <c r="L177" s="41" t="s">
        <v>42</v>
      </c>
      <c r="M177" s="41" t="s">
        <v>34</v>
      </c>
      <c r="N177" s="41" t="s">
        <v>33</v>
      </c>
      <c r="O177" s="41" t="s">
        <v>28</v>
      </c>
      <c r="Q177" s="17">
        <f t="shared" si="15"/>
        <v>8</v>
      </c>
      <c r="R177" s="17">
        <f t="shared" si="16"/>
        <v>14</v>
      </c>
      <c r="S177" s="17">
        <f t="shared" si="17"/>
        <v>9</v>
      </c>
      <c r="T177" s="17">
        <f t="shared" si="18"/>
        <v>8</v>
      </c>
      <c r="U177" s="17">
        <f t="shared" si="19"/>
        <v>3</v>
      </c>
      <c r="W177" s="7">
        <v>13893</v>
      </c>
      <c r="X177" s="7">
        <v>5408</v>
      </c>
      <c r="Y177" s="7">
        <v>12720</v>
      </c>
      <c r="Z177" s="7">
        <v>12503</v>
      </c>
      <c r="AA177" s="7">
        <v>6962</v>
      </c>
      <c r="AB177" s="13"/>
    </row>
    <row r="178" spans="10:28" ht="15.6" customHeight="1" x14ac:dyDescent="0.3">
      <c r="J178" s="2">
        <v>174</v>
      </c>
      <c r="K178" s="41" t="s">
        <v>34</v>
      </c>
      <c r="L178" s="41" t="s">
        <v>44</v>
      </c>
      <c r="M178" s="41" t="s">
        <v>35</v>
      </c>
      <c r="N178" s="41" t="s">
        <v>28</v>
      </c>
      <c r="O178" s="41" t="s">
        <v>34</v>
      </c>
      <c r="Q178" s="17">
        <f t="shared" si="15"/>
        <v>9</v>
      </c>
      <c r="R178" s="17">
        <f t="shared" si="16"/>
        <v>15</v>
      </c>
      <c r="S178" s="17">
        <f t="shared" si="17"/>
        <v>10</v>
      </c>
      <c r="T178" s="17">
        <f t="shared" si="18"/>
        <v>3</v>
      </c>
      <c r="U178" s="17">
        <f t="shared" si="19"/>
        <v>9</v>
      </c>
      <c r="W178" s="7">
        <v>12752</v>
      </c>
      <c r="X178" s="7">
        <v>5395</v>
      </c>
      <c r="Y178" s="7">
        <v>12331</v>
      </c>
      <c r="Z178" s="7">
        <v>12696</v>
      </c>
      <c r="AA178" s="7">
        <v>7302</v>
      </c>
      <c r="AB178" s="13"/>
    </row>
    <row r="179" spans="10:28" ht="15.6" customHeight="1" x14ac:dyDescent="0.3">
      <c r="J179" s="2">
        <v>175</v>
      </c>
      <c r="K179" s="41" t="s">
        <v>33</v>
      </c>
      <c r="L179" s="41" t="s">
        <v>42</v>
      </c>
      <c r="M179" s="41" t="s">
        <v>40</v>
      </c>
      <c r="N179" s="41" t="s">
        <v>31</v>
      </c>
      <c r="O179" s="41" t="s">
        <v>29</v>
      </c>
      <c r="Q179" s="17">
        <f t="shared" si="15"/>
        <v>8</v>
      </c>
      <c r="R179" s="17">
        <f t="shared" si="16"/>
        <v>14</v>
      </c>
      <c r="S179" s="17">
        <f t="shared" si="17"/>
        <v>13</v>
      </c>
      <c r="T179" s="17">
        <f t="shared" si="18"/>
        <v>6</v>
      </c>
      <c r="U179" s="17">
        <f t="shared" si="19"/>
        <v>4</v>
      </c>
      <c r="W179" s="7">
        <v>11609</v>
      </c>
      <c r="X179" s="7">
        <v>3685</v>
      </c>
      <c r="Y179" s="7">
        <v>13884</v>
      </c>
      <c r="Z179" s="7">
        <v>14330</v>
      </c>
      <c r="AA179" s="7">
        <v>10914</v>
      </c>
      <c r="AB179" s="13"/>
    </row>
    <row r="180" spans="10:28" ht="15.6" customHeight="1" x14ac:dyDescent="0.3">
      <c r="J180" s="2">
        <v>176</v>
      </c>
      <c r="K180" s="41" t="s">
        <v>32</v>
      </c>
      <c r="L180" s="41" t="s">
        <v>38</v>
      </c>
      <c r="M180" s="41" t="s">
        <v>29</v>
      </c>
      <c r="N180" s="41" t="s">
        <v>50</v>
      </c>
      <c r="O180" s="41" t="s">
        <v>30</v>
      </c>
      <c r="Q180" s="17">
        <f t="shared" si="15"/>
        <v>7</v>
      </c>
      <c r="R180" s="17">
        <f t="shared" si="16"/>
        <v>12</v>
      </c>
      <c r="S180" s="17">
        <f t="shared" si="17"/>
        <v>4</v>
      </c>
      <c r="T180" s="17">
        <f t="shared" si="18"/>
        <v>18</v>
      </c>
      <c r="U180" s="17">
        <f t="shared" si="19"/>
        <v>5</v>
      </c>
      <c r="W180" s="7">
        <v>13893</v>
      </c>
      <c r="X180" s="7">
        <v>8987</v>
      </c>
      <c r="Y180" s="7">
        <v>12785</v>
      </c>
      <c r="Z180" s="7">
        <v>12983</v>
      </c>
      <c r="AA180" s="7">
        <v>12909</v>
      </c>
      <c r="AB180" s="13"/>
    </row>
    <row r="181" spans="10:28" ht="15.6" customHeight="1" x14ac:dyDescent="0.3">
      <c r="J181" s="2">
        <v>177</v>
      </c>
      <c r="K181" s="41" t="s">
        <v>30</v>
      </c>
      <c r="L181" s="41" t="s">
        <v>44</v>
      </c>
      <c r="M181" s="41" t="s">
        <v>36</v>
      </c>
      <c r="N181" s="41" t="s">
        <v>34</v>
      </c>
      <c r="O181" s="41" t="s">
        <v>30</v>
      </c>
      <c r="Q181" s="17">
        <f t="shared" si="15"/>
        <v>5</v>
      </c>
      <c r="R181" s="17">
        <f t="shared" si="16"/>
        <v>15</v>
      </c>
      <c r="S181" s="17">
        <f t="shared" si="17"/>
        <v>11</v>
      </c>
      <c r="T181" s="17">
        <f t="shared" si="18"/>
        <v>9</v>
      </c>
      <c r="U181" s="17">
        <f t="shared" si="19"/>
        <v>5</v>
      </c>
      <c r="W181" s="7">
        <v>12466</v>
      </c>
      <c r="X181" s="7">
        <v>8132</v>
      </c>
      <c r="Y181" s="7">
        <v>10802</v>
      </c>
      <c r="Z181" s="7">
        <v>15099</v>
      </c>
      <c r="AA181" s="7">
        <v>11872</v>
      </c>
      <c r="AB181" s="13"/>
    </row>
    <row r="182" spans="10:28" ht="15.6" customHeight="1" x14ac:dyDescent="0.3">
      <c r="J182" s="2">
        <v>178</v>
      </c>
      <c r="K182" s="41" t="s">
        <v>29</v>
      </c>
      <c r="L182" s="41" t="s">
        <v>35</v>
      </c>
      <c r="M182" s="41" t="s">
        <v>34</v>
      </c>
      <c r="N182" s="41" t="s">
        <v>36</v>
      </c>
      <c r="O182" s="41" t="s">
        <v>30</v>
      </c>
      <c r="Q182" s="17">
        <f t="shared" si="15"/>
        <v>4</v>
      </c>
      <c r="R182" s="17">
        <f t="shared" si="16"/>
        <v>10</v>
      </c>
      <c r="S182" s="17">
        <f t="shared" si="17"/>
        <v>9</v>
      </c>
      <c r="T182" s="17">
        <f t="shared" si="18"/>
        <v>11</v>
      </c>
      <c r="U182" s="17">
        <f t="shared" si="19"/>
        <v>5</v>
      </c>
      <c r="W182" s="7">
        <v>8644</v>
      </c>
      <c r="X182" s="7">
        <v>9225</v>
      </c>
      <c r="Y182" s="7">
        <v>5948</v>
      </c>
      <c r="Z182" s="7">
        <v>14235</v>
      </c>
      <c r="AA182" s="7">
        <v>12909</v>
      </c>
      <c r="AB182" s="13"/>
    </row>
    <row r="183" spans="10:28" ht="15.6" customHeight="1" x14ac:dyDescent="0.3">
      <c r="J183" s="2">
        <v>179</v>
      </c>
      <c r="K183" s="41" t="s">
        <v>31</v>
      </c>
      <c r="L183" s="41" t="s">
        <v>38</v>
      </c>
      <c r="M183" s="41" t="s">
        <v>32</v>
      </c>
      <c r="N183" s="41" t="s">
        <v>33</v>
      </c>
      <c r="O183" s="41" t="s">
        <v>26</v>
      </c>
      <c r="Q183" s="17">
        <f t="shared" si="15"/>
        <v>6</v>
      </c>
      <c r="R183" s="17">
        <f t="shared" si="16"/>
        <v>12</v>
      </c>
      <c r="S183" s="17">
        <f t="shared" si="17"/>
        <v>7</v>
      </c>
      <c r="T183" s="17">
        <f t="shared" si="18"/>
        <v>8</v>
      </c>
      <c r="U183" s="17">
        <f t="shared" si="19"/>
        <v>2</v>
      </c>
      <c r="W183" s="7">
        <v>10071</v>
      </c>
      <c r="X183" s="7">
        <v>3261</v>
      </c>
      <c r="Y183" s="7">
        <v>6651</v>
      </c>
      <c r="Z183" s="7">
        <v>14041</v>
      </c>
      <c r="AA183" s="7">
        <v>11856</v>
      </c>
      <c r="AB183" s="13"/>
    </row>
    <row r="184" spans="10:28" ht="15.6" customHeight="1" x14ac:dyDescent="0.3">
      <c r="J184" s="2">
        <v>180</v>
      </c>
      <c r="K184" s="41" t="s">
        <v>31</v>
      </c>
      <c r="L184" s="41" t="s">
        <v>36</v>
      </c>
      <c r="M184" s="41" t="s">
        <v>48</v>
      </c>
      <c r="N184" s="41" t="s">
        <v>48</v>
      </c>
      <c r="O184" s="41" t="s">
        <v>29</v>
      </c>
      <c r="Q184" s="17">
        <f t="shared" si="15"/>
        <v>6</v>
      </c>
      <c r="R184" s="17">
        <f t="shared" si="16"/>
        <v>11</v>
      </c>
      <c r="S184" s="17">
        <f t="shared" si="17"/>
        <v>17</v>
      </c>
      <c r="T184" s="17">
        <f t="shared" si="18"/>
        <v>17</v>
      </c>
      <c r="U184" s="17">
        <f t="shared" si="19"/>
        <v>4</v>
      </c>
      <c r="W184" s="7">
        <v>9437</v>
      </c>
      <c r="X184" s="7">
        <v>3525</v>
      </c>
      <c r="Y184" s="7">
        <v>8706</v>
      </c>
      <c r="Z184" s="7">
        <v>12663</v>
      </c>
      <c r="AA184" s="7">
        <v>8166</v>
      </c>
      <c r="AB184" s="13"/>
    </row>
    <row r="185" spans="10:28" ht="15.6" customHeight="1" x14ac:dyDescent="0.3">
      <c r="J185" s="2">
        <v>181</v>
      </c>
      <c r="K185" s="41" t="s">
        <v>35</v>
      </c>
      <c r="L185" s="41" t="s">
        <v>31</v>
      </c>
      <c r="M185" s="41" t="s">
        <v>34</v>
      </c>
      <c r="N185" s="41" t="s">
        <v>35</v>
      </c>
      <c r="O185" s="41" t="s">
        <v>34</v>
      </c>
      <c r="Q185" s="17">
        <f t="shared" si="15"/>
        <v>10</v>
      </c>
      <c r="R185" s="17">
        <f t="shared" si="16"/>
        <v>6</v>
      </c>
      <c r="S185" s="17">
        <f t="shared" si="17"/>
        <v>9</v>
      </c>
      <c r="T185" s="17">
        <f t="shared" si="18"/>
        <v>10</v>
      </c>
      <c r="U185" s="17">
        <f t="shared" si="19"/>
        <v>9</v>
      </c>
      <c r="W185" s="7">
        <v>9833</v>
      </c>
      <c r="X185" s="7">
        <v>3122</v>
      </c>
      <c r="Y185" s="7">
        <v>6689</v>
      </c>
      <c r="Z185" s="7">
        <v>5691</v>
      </c>
      <c r="AA185" s="7">
        <v>10914</v>
      </c>
      <c r="AB185" s="13"/>
    </row>
    <row r="186" spans="10:28" ht="15.6" customHeight="1" x14ac:dyDescent="0.3">
      <c r="J186" s="2">
        <v>182</v>
      </c>
      <c r="K186" s="41" t="s">
        <v>32</v>
      </c>
      <c r="L186" s="41" t="s">
        <v>40</v>
      </c>
      <c r="M186" s="41" t="s">
        <v>48</v>
      </c>
      <c r="N186" s="41" t="s">
        <v>30</v>
      </c>
      <c r="O186" s="41" t="s">
        <v>33</v>
      </c>
      <c r="Q186" s="17">
        <f t="shared" si="15"/>
        <v>7</v>
      </c>
      <c r="R186" s="17">
        <f t="shared" si="16"/>
        <v>13</v>
      </c>
      <c r="S186" s="17">
        <f t="shared" si="17"/>
        <v>17</v>
      </c>
      <c r="T186" s="17">
        <f t="shared" si="18"/>
        <v>5</v>
      </c>
      <c r="U186" s="17">
        <f t="shared" si="19"/>
        <v>8</v>
      </c>
      <c r="W186" s="7">
        <v>9754</v>
      </c>
      <c r="X186" s="7">
        <v>3261</v>
      </c>
      <c r="Y186" s="7">
        <v>5421</v>
      </c>
      <c r="Z186" s="7">
        <v>5531</v>
      </c>
      <c r="AA186" s="7">
        <v>6595</v>
      </c>
      <c r="AB186" s="13"/>
    </row>
    <row r="187" spans="10:28" ht="15.6" customHeight="1" x14ac:dyDescent="0.3">
      <c r="J187" s="2">
        <v>183</v>
      </c>
      <c r="K187" s="41" t="s">
        <v>35</v>
      </c>
      <c r="L187" s="41" t="s">
        <v>44</v>
      </c>
      <c r="M187" s="41" t="s">
        <v>48</v>
      </c>
      <c r="N187" s="41" t="s">
        <v>35</v>
      </c>
      <c r="O187" s="41" t="s">
        <v>35</v>
      </c>
      <c r="Q187" s="17">
        <f t="shared" si="15"/>
        <v>10</v>
      </c>
      <c r="R187" s="17">
        <f t="shared" si="16"/>
        <v>15</v>
      </c>
      <c r="S187" s="17">
        <f t="shared" si="17"/>
        <v>17</v>
      </c>
      <c r="T187" s="17">
        <f t="shared" si="18"/>
        <v>10</v>
      </c>
      <c r="U187" s="17">
        <f t="shared" si="19"/>
        <v>10</v>
      </c>
      <c r="W187" s="7">
        <v>13227</v>
      </c>
      <c r="X187" s="7">
        <v>3525</v>
      </c>
      <c r="Y187" s="7">
        <v>10519</v>
      </c>
      <c r="Z187" s="7">
        <v>11221</v>
      </c>
      <c r="AA187" s="7">
        <v>4868</v>
      </c>
      <c r="AB187" s="13"/>
    </row>
    <row r="188" spans="10:28" ht="15.6" customHeight="1" x14ac:dyDescent="0.3">
      <c r="J188" s="2">
        <v>184</v>
      </c>
      <c r="K188" s="41" t="s">
        <v>35</v>
      </c>
      <c r="L188" s="41" t="s">
        <v>29</v>
      </c>
      <c r="M188" s="41" t="s">
        <v>35</v>
      </c>
      <c r="N188" s="41" t="s">
        <v>31</v>
      </c>
      <c r="O188" s="41" t="s">
        <v>32</v>
      </c>
      <c r="Q188" s="17">
        <f t="shared" si="15"/>
        <v>10</v>
      </c>
      <c r="R188" s="17">
        <f t="shared" si="16"/>
        <v>4</v>
      </c>
      <c r="S188" s="17">
        <f t="shared" si="17"/>
        <v>10</v>
      </c>
      <c r="T188" s="17">
        <f t="shared" si="18"/>
        <v>6</v>
      </c>
      <c r="U188" s="17">
        <f t="shared" si="19"/>
        <v>7</v>
      </c>
      <c r="W188" s="7">
        <v>14274</v>
      </c>
      <c r="X188" s="7">
        <v>3122</v>
      </c>
      <c r="Y188" s="7">
        <v>5219</v>
      </c>
      <c r="Z188" s="7">
        <v>10178</v>
      </c>
      <c r="AA188" s="7">
        <v>4632</v>
      </c>
      <c r="AB188" s="13"/>
    </row>
    <row r="189" spans="10:28" ht="15.6" customHeight="1" x14ac:dyDescent="0.3">
      <c r="J189" s="2">
        <v>185</v>
      </c>
      <c r="K189" s="41" t="s">
        <v>31</v>
      </c>
      <c r="L189" s="41" t="s">
        <v>29</v>
      </c>
      <c r="M189" s="41" t="s">
        <v>34</v>
      </c>
      <c r="N189" s="41" t="s">
        <v>33</v>
      </c>
      <c r="O189" s="41" t="s">
        <v>30</v>
      </c>
      <c r="Q189" s="17">
        <f t="shared" si="15"/>
        <v>6</v>
      </c>
      <c r="R189" s="17">
        <f t="shared" si="16"/>
        <v>4</v>
      </c>
      <c r="S189" s="17">
        <f t="shared" si="17"/>
        <v>9</v>
      </c>
      <c r="T189" s="17">
        <f t="shared" si="18"/>
        <v>8</v>
      </c>
      <c r="U189" s="17">
        <f t="shared" si="19"/>
        <v>5</v>
      </c>
      <c r="W189" s="7">
        <v>12846</v>
      </c>
      <c r="X189" s="7">
        <v>5289</v>
      </c>
      <c r="Y189" s="7">
        <v>10923</v>
      </c>
      <c r="Z189" s="7">
        <v>11926</v>
      </c>
      <c r="AA189" s="7">
        <v>5064</v>
      </c>
      <c r="AB189" s="13"/>
    </row>
    <row r="190" spans="10:28" ht="15.6" customHeight="1" x14ac:dyDescent="0.3">
      <c r="J190" s="2">
        <v>186</v>
      </c>
      <c r="K190" s="41" t="s">
        <v>31</v>
      </c>
      <c r="L190" s="41" t="s">
        <v>29</v>
      </c>
      <c r="M190" s="41" t="s">
        <v>35</v>
      </c>
      <c r="N190" s="41" t="s">
        <v>42</v>
      </c>
      <c r="O190" s="41" t="s">
        <v>30</v>
      </c>
      <c r="Q190" s="17">
        <f t="shared" si="15"/>
        <v>6</v>
      </c>
      <c r="R190" s="17">
        <f t="shared" si="16"/>
        <v>4</v>
      </c>
      <c r="S190" s="17">
        <f t="shared" si="17"/>
        <v>10</v>
      </c>
      <c r="T190" s="17">
        <f t="shared" si="18"/>
        <v>14</v>
      </c>
      <c r="U190" s="17">
        <f t="shared" si="19"/>
        <v>5</v>
      </c>
      <c r="W190" s="7">
        <v>11609</v>
      </c>
      <c r="X190" s="7">
        <v>5130</v>
      </c>
      <c r="Y190" s="7">
        <v>8706</v>
      </c>
      <c r="Z190" s="7">
        <v>13080</v>
      </c>
      <c r="AA190" s="7">
        <v>6124</v>
      </c>
      <c r="AB190" s="13"/>
    </row>
    <row r="191" spans="10:28" ht="15.6" customHeight="1" x14ac:dyDescent="0.3">
      <c r="J191" s="2">
        <v>187</v>
      </c>
      <c r="K191" s="41" t="s">
        <v>32</v>
      </c>
      <c r="L191" s="41" t="s">
        <v>32</v>
      </c>
      <c r="M191" s="41" t="s">
        <v>34</v>
      </c>
      <c r="N191" s="41" t="s">
        <v>48</v>
      </c>
      <c r="O191" s="41" t="s">
        <v>32</v>
      </c>
      <c r="Q191" s="17">
        <f t="shared" si="15"/>
        <v>7</v>
      </c>
      <c r="R191" s="17">
        <f t="shared" si="16"/>
        <v>7</v>
      </c>
      <c r="S191" s="17">
        <f t="shared" si="17"/>
        <v>9</v>
      </c>
      <c r="T191" s="17">
        <f t="shared" si="18"/>
        <v>17</v>
      </c>
      <c r="U191" s="17">
        <f t="shared" si="19"/>
        <v>7</v>
      </c>
      <c r="W191" s="7">
        <v>8961</v>
      </c>
      <c r="X191" s="7">
        <v>5328</v>
      </c>
      <c r="Y191" s="7">
        <v>6689</v>
      </c>
      <c r="Z191" s="7">
        <v>14138</v>
      </c>
      <c r="AA191" s="7">
        <v>5417</v>
      </c>
      <c r="AB191" s="13"/>
    </row>
    <row r="192" spans="10:28" ht="15.6" customHeight="1" x14ac:dyDescent="0.3">
      <c r="J192" s="2">
        <v>188</v>
      </c>
      <c r="K192" s="41" t="s">
        <v>31</v>
      </c>
      <c r="L192" s="41" t="s">
        <v>44</v>
      </c>
      <c r="M192" s="41" t="s">
        <v>30</v>
      </c>
      <c r="N192" s="41" t="s">
        <v>34</v>
      </c>
      <c r="O192" s="41" t="s">
        <v>34</v>
      </c>
      <c r="Q192" s="17">
        <f t="shared" si="15"/>
        <v>6</v>
      </c>
      <c r="R192" s="17">
        <f t="shared" si="16"/>
        <v>15</v>
      </c>
      <c r="S192" s="17">
        <f t="shared" si="17"/>
        <v>5</v>
      </c>
      <c r="T192" s="17">
        <f t="shared" si="18"/>
        <v>9</v>
      </c>
      <c r="U192" s="17">
        <f t="shared" si="19"/>
        <v>9</v>
      </c>
      <c r="W192" s="7">
        <v>8802</v>
      </c>
      <c r="X192" s="7">
        <v>5567</v>
      </c>
      <c r="Y192" s="7">
        <v>5421</v>
      </c>
      <c r="Z192" s="7">
        <v>12696</v>
      </c>
      <c r="AA192" s="7">
        <v>7066</v>
      </c>
      <c r="AB192" s="13"/>
    </row>
    <row r="193" spans="10:28" ht="15.6" customHeight="1" x14ac:dyDescent="0.3">
      <c r="J193" s="2">
        <v>189</v>
      </c>
      <c r="K193" s="41" t="s">
        <v>32</v>
      </c>
      <c r="L193" s="41" t="s">
        <v>32</v>
      </c>
      <c r="M193" s="41" t="s">
        <v>31</v>
      </c>
      <c r="N193" s="41" t="s">
        <v>33</v>
      </c>
      <c r="O193" s="41" t="s">
        <v>34</v>
      </c>
      <c r="Q193" s="17">
        <f t="shared" si="15"/>
        <v>7</v>
      </c>
      <c r="R193" s="17">
        <f t="shared" si="16"/>
        <v>7</v>
      </c>
      <c r="S193" s="17">
        <f t="shared" si="17"/>
        <v>6</v>
      </c>
      <c r="T193" s="17">
        <f t="shared" si="18"/>
        <v>8</v>
      </c>
      <c r="U193" s="17">
        <f t="shared" si="19"/>
        <v>9</v>
      </c>
      <c r="W193" s="7">
        <v>9754</v>
      </c>
      <c r="X193" s="7">
        <v>3122</v>
      </c>
      <c r="Y193" s="7">
        <v>9953</v>
      </c>
      <c r="Z193" s="7">
        <v>10820</v>
      </c>
      <c r="AA193" s="7">
        <v>6077</v>
      </c>
      <c r="AB193" s="13"/>
    </row>
    <row r="194" spans="10:28" ht="15.6" customHeight="1" x14ac:dyDescent="0.3">
      <c r="J194" s="2">
        <v>190</v>
      </c>
      <c r="K194" s="41" t="s">
        <v>33</v>
      </c>
      <c r="L194" s="41" t="s">
        <v>44</v>
      </c>
      <c r="M194" s="41" t="s">
        <v>31</v>
      </c>
      <c r="N194" s="41" t="s">
        <v>35</v>
      </c>
      <c r="O194" s="41" t="s">
        <v>35</v>
      </c>
      <c r="Q194" s="17">
        <f t="shared" si="15"/>
        <v>8</v>
      </c>
      <c r="R194" s="17">
        <f t="shared" si="16"/>
        <v>15</v>
      </c>
      <c r="S194" s="17">
        <f t="shared" si="17"/>
        <v>6</v>
      </c>
      <c r="T194" s="17">
        <f t="shared" si="18"/>
        <v>10</v>
      </c>
      <c r="U194" s="17">
        <f t="shared" si="19"/>
        <v>10</v>
      </c>
      <c r="W194" s="7">
        <v>11991</v>
      </c>
      <c r="X194" s="7">
        <v>5289</v>
      </c>
      <c r="Y194" s="7">
        <v>13982</v>
      </c>
      <c r="Z194" s="7">
        <v>11701</v>
      </c>
      <c r="AA194" s="7">
        <v>6031</v>
      </c>
      <c r="AB194" s="13"/>
    </row>
    <row r="195" spans="10:28" ht="15.6" customHeight="1" x14ac:dyDescent="0.3">
      <c r="J195" s="2">
        <v>191</v>
      </c>
      <c r="K195" s="41" t="s">
        <v>33</v>
      </c>
      <c r="L195" s="41" t="s">
        <v>32</v>
      </c>
      <c r="M195" s="41" t="s">
        <v>35</v>
      </c>
      <c r="N195" s="41" t="s">
        <v>46</v>
      </c>
      <c r="O195" s="41" t="s">
        <v>35</v>
      </c>
      <c r="Q195" s="17">
        <f t="shared" si="15"/>
        <v>8</v>
      </c>
      <c r="R195" s="17">
        <f t="shared" si="16"/>
        <v>7</v>
      </c>
      <c r="S195" s="17">
        <f t="shared" si="17"/>
        <v>10</v>
      </c>
      <c r="T195" s="17">
        <f t="shared" si="18"/>
        <v>16</v>
      </c>
      <c r="U195" s="17">
        <f t="shared" si="19"/>
        <v>10</v>
      </c>
      <c r="W195" s="7">
        <v>13037</v>
      </c>
      <c r="X195" s="7">
        <v>5130</v>
      </c>
      <c r="Y195" s="7">
        <v>13205</v>
      </c>
      <c r="Z195" s="7">
        <v>10499</v>
      </c>
      <c r="AA195" s="7">
        <v>6502</v>
      </c>
      <c r="AB195" s="13"/>
    </row>
    <row r="196" spans="10:28" ht="15.6" customHeight="1" x14ac:dyDescent="0.3">
      <c r="J196" s="2">
        <v>192</v>
      </c>
      <c r="K196" s="41" t="s">
        <v>33</v>
      </c>
      <c r="L196" s="41" t="s">
        <v>29</v>
      </c>
      <c r="M196" s="41" t="s">
        <v>32</v>
      </c>
      <c r="N196" s="41" t="s">
        <v>30</v>
      </c>
      <c r="O196" s="41" t="s">
        <v>35</v>
      </c>
      <c r="Q196" s="17">
        <f t="shared" ref="Q196:Q259" si="20">IF(K196="","",VLOOKUP(K196,$A$4:$H$22,8,FALSE))</f>
        <v>8</v>
      </c>
      <c r="R196" s="17">
        <f t="shared" ref="R196:R259" si="21">IF(L196="","",VLOOKUP(L196,$A$4:$H$22,8,FALSE))</f>
        <v>4</v>
      </c>
      <c r="S196" s="17">
        <f t="shared" ref="S196:S259" si="22">IF(M196="","",VLOOKUP(M196,$A$4:$H$22,8,FALSE))</f>
        <v>7</v>
      </c>
      <c r="T196" s="17">
        <f t="shared" ref="T196:T259" si="23">IF(N196="","",VLOOKUP(N196,$A$4:$H$22,8,FALSE))</f>
        <v>5</v>
      </c>
      <c r="U196" s="17">
        <f t="shared" ref="U196:U259" si="24">IF(O196="","",VLOOKUP(O196,$A$4:$H$22,8,FALSE))</f>
        <v>10</v>
      </c>
      <c r="W196" s="7">
        <v>12181</v>
      </c>
      <c r="X196" s="7">
        <v>5328</v>
      </c>
      <c r="Y196" s="7">
        <v>12914</v>
      </c>
      <c r="Z196" s="7">
        <v>10178</v>
      </c>
      <c r="AA196" s="7">
        <v>6046</v>
      </c>
      <c r="AB196" s="13"/>
    </row>
    <row r="197" spans="10:28" ht="15.6" customHeight="1" x14ac:dyDescent="0.3">
      <c r="J197" s="2">
        <v>193</v>
      </c>
      <c r="K197" s="41" t="s">
        <v>29</v>
      </c>
      <c r="L197" s="41" t="s">
        <v>29</v>
      </c>
      <c r="M197" s="41" t="s">
        <v>31</v>
      </c>
      <c r="N197" s="41" t="s">
        <v>40</v>
      </c>
      <c r="O197" s="41" t="s">
        <v>28</v>
      </c>
      <c r="Q197" s="17">
        <f t="shared" si="20"/>
        <v>4</v>
      </c>
      <c r="R197" s="17">
        <f t="shared" si="21"/>
        <v>4</v>
      </c>
      <c r="S197" s="17">
        <f t="shared" si="22"/>
        <v>6</v>
      </c>
      <c r="T197" s="17">
        <f t="shared" si="23"/>
        <v>13</v>
      </c>
      <c r="U197" s="17">
        <f t="shared" si="24"/>
        <v>3</v>
      </c>
      <c r="W197" s="7">
        <v>11895</v>
      </c>
      <c r="X197" s="7">
        <v>5567</v>
      </c>
      <c r="Y197" s="7">
        <v>11166</v>
      </c>
      <c r="Z197" s="7">
        <v>9618</v>
      </c>
      <c r="AA197" s="7">
        <v>4632</v>
      </c>
      <c r="AB197" s="13"/>
    </row>
    <row r="198" spans="10:28" ht="15.6" customHeight="1" x14ac:dyDescent="0.3">
      <c r="J198" s="2">
        <v>194</v>
      </c>
      <c r="K198" s="41" t="s">
        <v>28</v>
      </c>
      <c r="L198" s="41" t="s">
        <v>29</v>
      </c>
      <c r="M198" s="41" t="s">
        <v>35</v>
      </c>
      <c r="N198" s="41" t="s">
        <v>33</v>
      </c>
      <c r="O198" s="41" t="s">
        <v>35</v>
      </c>
      <c r="Q198" s="17">
        <f t="shared" si="20"/>
        <v>3</v>
      </c>
      <c r="R198" s="17">
        <f t="shared" si="21"/>
        <v>4</v>
      </c>
      <c r="S198" s="17">
        <f t="shared" si="22"/>
        <v>10</v>
      </c>
      <c r="T198" s="17">
        <f t="shared" si="23"/>
        <v>8</v>
      </c>
      <c r="U198" s="17">
        <f t="shared" si="24"/>
        <v>10</v>
      </c>
      <c r="W198" s="7">
        <v>11705</v>
      </c>
      <c r="X198" s="7">
        <v>3122</v>
      </c>
      <c r="Y198" s="7">
        <v>10519</v>
      </c>
      <c r="Z198" s="7">
        <v>10499</v>
      </c>
      <c r="AA198" s="7">
        <v>5064</v>
      </c>
      <c r="AB198" s="13"/>
    </row>
    <row r="199" spans="10:28" ht="15.6" customHeight="1" x14ac:dyDescent="0.3">
      <c r="J199" s="2">
        <v>195</v>
      </c>
      <c r="K199" s="41" t="s">
        <v>35</v>
      </c>
      <c r="L199" s="41" t="s">
        <v>32</v>
      </c>
      <c r="M199" s="41" t="s">
        <v>35</v>
      </c>
      <c r="N199" s="41" t="s">
        <v>30</v>
      </c>
      <c r="O199" s="41" t="s">
        <v>30</v>
      </c>
      <c r="Q199" s="17">
        <f t="shared" si="20"/>
        <v>10</v>
      </c>
      <c r="R199" s="17">
        <f t="shared" si="21"/>
        <v>7</v>
      </c>
      <c r="S199" s="17">
        <f t="shared" si="22"/>
        <v>10</v>
      </c>
      <c r="T199" s="17">
        <f t="shared" si="23"/>
        <v>5</v>
      </c>
      <c r="U199" s="17">
        <f t="shared" si="24"/>
        <v>5</v>
      </c>
      <c r="W199" s="7">
        <v>12466</v>
      </c>
      <c r="X199" s="7">
        <v>10816</v>
      </c>
      <c r="Y199" s="7">
        <v>10519</v>
      </c>
      <c r="Z199" s="7">
        <v>10499</v>
      </c>
      <c r="AA199" s="7">
        <v>6124</v>
      </c>
      <c r="AB199" s="13"/>
    </row>
    <row r="200" spans="10:28" ht="15.6" customHeight="1" x14ac:dyDescent="0.3">
      <c r="J200" s="2">
        <v>196</v>
      </c>
      <c r="K200" s="41" t="s">
        <v>30</v>
      </c>
      <c r="L200" s="41" t="s">
        <v>44</v>
      </c>
      <c r="M200" s="41" t="s">
        <v>40</v>
      </c>
      <c r="N200" s="41" t="s">
        <v>33</v>
      </c>
      <c r="O200" s="41" t="s">
        <v>31</v>
      </c>
      <c r="Q200" s="17">
        <f t="shared" si="20"/>
        <v>5</v>
      </c>
      <c r="R200" s="17">
        <f t="shared" si="21"/>
        <v>15</v>
      </c>
      <c r="S200" s="17">
        <f t="shared" si="22"/>
        <v>13</v>
      </c>
      <c r="T200" s="17">
        <f t="shared" si="23"/>
        <v>8</v>
      </c>
      <c r="U200" s="17">
        <f t="shared" si="24"/>
        <v>6</v>
      </c>
      <c r="W200" s="7">
        <v>10848</v>
      </c>
      <c r="X200" s="7">
        <v>12693</v>
      </c>
      <c r="Y200" s="7">
        <v>5219</v>
      </c>
      <c r="Z200" s="7">
        <v>13369</v>
      </c>
      <c r="AA200" s="7">
        <v>5417</v>
      </c>
      <c r="AB200" s="13"/>
    </row>
    <row r="201" spans="10:28" ht="15.6" customHeight="1" x14ac:dyDescent="0.3">
      <c r="J201" s="2">
        <v>197</v>
      </c>
      <c r="K201" s="41" t="s">
        <v>28</v>
      </c>
      <c r="L201" s="41" t="s">
        <v>32</v>
      </c>
      <c r="M201" s="41" t="s">
        <v>34</v>
      </c>
      <c r="N201" s="41" t="s">
        <v>48</v>
      </c>
      <c r="O201" s="41" t="s">
        <v>34</v>
      </c>
      <c r="Q201" s="17">
        <f t="shared" si="20"/>
        <v>3</v>
      </c>
      <c r="R201" s="17">
        <f t="shared" si="21"/>
        <v>7</v>
      </c>
      <c r="S201" s="17">
        <f t="shared" si="22"/>
        <v>9</v>
      </c>
      <c r="T201" s="17">
        <f t="shared" si="23"/>
        <v>17</v>
      </c>
      <c r="U201" s="17">
        <f t="shared" si="24"/>
        <v>9</v>
      </c>
      <c r="W201" s="7">
        <v>12276</v>
      </c>
      <c r="X201" s="7">
        <v>12312</v>
      </c>
      <c r="Y201" s="7">
        <v>6662</v>
      </c>
      <c r="Z201" s="7">
        <v>12503</v>
      </c>
      <c r="AA201" s="7">
        <v>7066</v>
      </c>
      <c r="AB201" s="13"/>
    </row>
    <row r="202" spans="10:28" ht="15.6" customHeight="1" x14ac:dyDescent="0.3">
      <c r="J202" s="2">
        <v>198</v>
      </c>
      <c r="K202" s="41" t="s">
        <v>34</v>
      </c>
      <c r="L202" s="41" t="s">
        <v>32</v>
      </c>
      <c r="M202" s="41" t="s">
        <v>34</v>
      </c>
      <c r="N202" s="41" t="s">
        <v>33</v>
      </c>
      <c r="O202" s="41" t="s">
        <v>35</v>
      </c>
      <c r="Q202" s="17">
        <f t="shared" si="20"/>
        <v>9</v>
      </c>
      <c r="R202" s="17">
        <f t="shared" si="21"/>
        <v>7</v>
      </c>
      <c r="S202" s="17">
        <f t="shared" si="22"/>
        <v>9</v>
      </c>
      <c r="T202" s="17">
        <f t="shared" si="23"/>
        <v>8</v>
      </c>
      <c r="U202" s="17">
        <f t="shared" si="24"/>
        <v>10</v>
      </c>
      <c r="W202" s="7">
        <v>14560</v>
      </c>
      <c r="X202" s="7">
        <v>11834</v>
      </c>
      <c r="Y202" s="7">
        <v>10276</v>
      </c>
      <c r="Z202" s="7">
        <v>13753</v>
      </c>
      <c r="AA202" s="7">
        <v>6077</v>
      </c>
      <c r="AB202" s="13"/>
    </row>
    <row r="203" spans="10:28" ht="15.6" customHeight="1" x14ac:dyDescent="0.3">
      <c r="J203" s="2">
        <v>199</v>
      </c>
      <c r="K203" s="41" t="s">
        <v>30</v>
      </c>
      <c r="L203" s="41" t="s">
        <v>33</v>
      </c>
      <c r="M203" s="41" t="s">
        <v>30</v>
      </c>
      <c r="N203" s="41" t="s">
        <v>34</v>
      </c>
      <c r="O203" s="41" t="s">
        <v>34</v>
      </c>
      <c r="Q203" s="17">
        <f t="shared" si="20"/>
        <v>5</v>
      </c>
      <c r="R203" s="17">
        <f t="shared" si="21"/>
        <v>8</v>
      </c>
      <c r="S203" s="17">
        <f t="shared" si="22"/>
        <v>5</v>
      </c>
      <c r="T203" s="17">
        <f t="shared" si="23"/>
        <v>9</v>
      </c>
      <c r="U203" s="17">
        <f t="shared" si="24"/>
        <v>9</v>
      </c>
      <c r="W203" s="7">
        <v>13608</v>
      </c>
      <c r="X203" s="7">
        <v>12979</v>
      </c>
      <c r="Y203" s="7">
        <v>8820</v>
      </c>
      <c r="Z203" s="7">
        <v>12311</v>
      </c>
      <c r="AA203" s="7">
        <v>6031</v>
      </c>
      <c r="AB203" s="13"/>
    </row>
    <row r="204" spans="10:28" ht="15.6" customHeight="1" x14ac:dyDescent="0.3">
      <c r="Q204" s="13" t="str">
        <f t="shared" si="20"/>
        <v/>
      </c>
      <c r="R204" s="6" t="str">
        <f t="shared" si="21"/>
        <v/>
      </c>
      <c r="S204" s="6" t="str">
        <f t="shared" si="22"/>
        <v/>
      </c>
      <c r="T204" s="6" t="str">
        <f t="shared" si="23"/>
        <v/>
      </c>
      <c r="U204" s="6" t="str">
        <f t="shared" si="24"/>
        <v/>
      </c>
      <c r="AB204" s="13"/>
    </row>
    <row r="205" spans="10:28" ht="15.6" customHeight="1" x14ac:dyDescent="0.3">
      <c r="Q205" s="13" t="str">
        <f t="shared" si="20"/>
        <v/>
      </c>
      <c r="R205" s="6" t="str">
        <f t="shared" si="21"/>
        <v/>
      </c>
      <c r="S205" s="6" t="str">
        <f t="shared" si="22"/>
        <v/>
      </c>
      <c r="T205" s="6" t="str">
        <f t="shared" si="23"/>
        <v/>
      </c>
      <c r="U205" s="6" t="str">
        <f t="shared" si="24"/>
        <v/>
      </c>
      <c r="AB205" s="13"/>
    </row>
    <row r="206" spans="10:28" ht="15.6" customHeight="1" x14ac:dyDescent="0.3">
      <c r="Q206" s="13" t="str">
        <f t="shared" si="20"/>
        <v/>
      </c>
      <c r="R206" s="6" t="str">
        <f t="shared" si="21"/>
        <v/>
      </c>
      <c r="S206" s="6" t="str">
        <f t="shared" si="22"/>
        <v/>
      </c>
      <c r="T206" s="6" t="str">
        <f t="shared" si="23"/>
        <v/>
      </c>
      <c r="U206" s="6" t="str">
        <f t="shared" si="24"/>
        <v/>
      </c>
      <c r="AB206" s="13"/>
    </row>
    <row r="207" spans="10:28" ht="15.6" customHeight="1" x14ac:dyDescent="0.3">
      <c r="Q207" s="13" t="str">
        <f t="shared" si="20"/>
        <v/>
      </c>
      <c r="R207" s="6" t="str">
        <f t="shared" si="21"/>
        <v/>
      </c>
      <c r="S207" s="6" t="str">
        <f t="shared" si="22"/>
        <v/>
      </c>
      <c r="T207" s="6" t="str">
        <f t="shared" si="23"/>
        <v/>
      </c>
      <c r="U207" s="6" t="str">
        <f t="shared" si="24"/>
        <v/>
      </c>
      <c r="AB207" s="13"/>
    </row>
    <row r="208" spans="10:28" ht="15.6" customHeight="1" x14ac:dyDescent="0.3">
      <c r="Q208" s="13" t="str">
        <f t="shared" si="20"/>
        <v/>
      </c>
      <c r="R208" s="6" t="str">
        <f t="shared" si="21"/>
        <v/>
      </c>
      <c r="S208" s="6" t="str">
        <f t="shared" si="22"/>
        <v/>
      </c>
      <c r="T208" s="6" t="str">
        <f t="shared" si="23"/>
        <v/>
      </c>
      <c r="U208" s="6" t="str">
        <f t="shared" si="24"/>
        <v/>
      </c>
      <c r="AB208" s="13"/>
    </row>
    <row r="209" spans="17:28" ht="15.6" customHeight="1" x14ac:dyDescent="0.3">
      <c r="Q209" s="13" t="str">
        <f t="shared" si="20"/>
        <v/>
      </c>
      <c r="R209" s="6" t="str">
        <f t="shared" si="21"/>
        <v/>
      </c>
      <c r="S209" s="6" t="str">
        <f t="shared" si="22"/>
        <v/>
      </c>
      <c r="T209" s="6" t="str">
        <f t="shared" si="23"/>
        <v/>
      </c>
      <c r="U209" s="6" t="str">
        <f t="shared" si="24"/>
        <v/>
      </c>
      <c r="AB209" s="13"/>
    </row>
    <row r="210" spans="17:28" ht="15.6" customHeight="1" x14ac:dyDescent="0.3">
      <c r="Q210" s="13" t="str">
        <f t="shared" si="20"/>
        <v/>
      </c>
      <c r="R210" s="6" t="str">
        <f t="shared" si="21"/>
        <v/>
      </c>
      <c r="S210" s="6" t="str">
        <f t="shared" si="22"/>
        <v/>
      </c>
      <c r="T210" s="6" t="str">
        <f t="shared" si="23"/>
        <v/>
      </c>
      <c r="U210" s="6" t="str">
        <f t="shared" si="24"/>
        <v/>
      </c>
      <c r="AB210" s="13"/>
    </row>
    <row r="211" spans="17:28" ht="15.6" customHeight="1" x14ac:dyDescent="0.3">
      <c r="Q211" s="13" t="str">
        <f t="shared" si="20"/>
        <v/>
      </c>
      <c r="R211" s="6" t="str">
        <f t="shared" si="21"/>
        <v/>
      </c>
      <c r="S211" s="6" t="str">
        <f t="shared" si="22"/>
        <v/>
      </c>
      <c r="T211" s="6" t="str">
        <f t="shared" si="23"/>
        <v/>
      </c>
      <c r="U211" s="6" t="str">
        <f t="shared" si="24"/>
        <v/>
      </c>
      <c r="AB211" s="13"/>
    </row>
    <row r="212" spans="17:28" ht="15.6" customHeight="1" x14ac:dyDescent="0.3">
      <c r="Q212" s="13" t="str">
        <f t="shared" si="20"/>
        <v/>
      </c>
      <c r="R212" s="6" t="str">
        <f t="shared" si="21"/>
        <v/>
      </c>
      <c r="S212" s="6" t="str">
        <f t="shared" si="22"/>
        <v/>
      </c>
      <c r="T212" s="6" t="str">
        <f t="shared" si="23"/>
        <v/>
      </c>
      <c r="U212" s="6" t="str">
        <f t="shared" si="24"/>
        <v/>
      </c>
      <c r="AB212" s="13"/>
    </row>
    <row r="213" spans="17:28" ht="15.6" customHeight="1" x14ac:dyDescent="0.3">
      <c r="Q213" s="13" t="str">
        <f t="shared" si="20"/>
        <v/>
      </c>
      <c r="R213" s="6" t="str">
        <f t="shared" si="21"/>
        <v/>
      </c>
      <c r="S213" s="6" t="str">
        <f t="shared" si="22"/>
        <v/>
      </c>
      <c r="T213" s="6" t="str">
        <f t="shared" si="23"/>
        <v/>
      </c>
      <c r="U213" s="6" t="str">
        <f t="shared" si="24"/>
        <v/>
      </c>
      <c r="AB213" s="13"/>
    </row>
    <row r="214" spans="17:28" ht="15.6" customHeight="1" x14ac:dyDescent="0.3">
      <c r="Q214" s="13" t="str">
        <f t="shared" si="20"/>
        <v/>
      </c>
      <c r="R214" s="6" t="str">
        <f t="shared" si="21"/>
        <v/>
      </c>
      <c r="S214" s="6" t="str">
        <f t="shared" si="22"/>
        <v/>
      </c>
      <c r="T214" s="6" t="str">
        <f t="shared" si="23"/>
        <v/>
      </c>
      <c r="U214" s="6" t="str">
        <f t="shared" si="24"/>
        <v/>
      </c>
      <c r="AB214" s="13"/>
    </row>
    <row r="215" spans="17:28" ht="15.6" customHeight="1" x14ac:dyDescent="0.3">
      <c r="Q215" s="13" t="str">
        <f t="shared" si="20"/>
        <v/>
      </c>
      <c r="R215" s="6" t="str">
        <f t="shared" si="21"/>
        <v/>
      </c>
      <c r="S215" s="6" t="str">
        <f t="shared" si="22"/>
        <v/>
      </c>
      <c r="T215" s="6" t="str">
        <f t="shared" si="23"/>
        <v/>
      </c>
      <c r="U215" s="6" t="str">
        <f t="shared" si="24"/>
        <v/>
      </c>
      <c r="AB215" s="13"/>
    </row>
    <row r="216" spans="17:28" ht="15.6" customHeight="1" x14ac:dyDescent="0.3">
      <c r="Q216" s="13" t="str">
        <f t="shared" si="20"/>
        <v/>
      </c>
      <c r="R216" s="6" t="str">
        <f t="shared" si="21"/>
        <v/>
      </c>
      <c r="S216" s="6" t="str">
        <f t="shared" si="22"/>
        <v/>
      </c>
      <c r="T216" s="6" t="str">
        <f t="shared" si="23"/>
        <v/>
      </c>
      <c r="U216" s="6" t="str">
        <f t="shared" si="24"/>
        <v/>
      </c>
      <c r="AB216" s="13"/>
    </row>
    <row r="217" spans="17:28" ht="15.6" customHeight="1" x14ac:dyDescent="0.3">
      <c r="Q217" s="13" t="str">
        <f t="shared" si="20"/>
        <v/>
      </c>
      <c r="R217" s="6" t="str">
        <f t="shared" si="21"/>
        <v/>
      </c>
      <c r="S217" s="6" t="str">
        <f t="shared" si="22"/>
        <v/>
      </c>
      <c r="T217" s="6" t="str">
        <f t="shared" si="23"/>
        <v/>
      </c>
      <c r="U217" s="6" t="str">
        <f t="shared" si="24"/>
        <v/>
      </c>
      <c r="AB217" s="13"/>
    </row>
    <row r="218" spans="17:28" ht="15.6" customHeight="1" x14ac:dyDescent="0.3">
      <c r="Q218" s="13" t="str">
        <f t="shared" si="20"/>
        <v/>
      </c>
      <c r="R218" s="6" t="str">
        <f t="shared" si="21"/>
        <v/>
      </c>
      <c r="S218" s="6" t="str">
        <f t="shared" si="22"/>
        <v/>
      </c>
      <c r="T218" s="6" t="str">
        <f t="shared" si="23"/>
        <v/>
      </c>
      <c r="U218" s="6" t="str">
        <f t="shared" si="24"/>
        <v/>
      </c>
      <c r="AB218" s="13"/>
    </row>
    <row r="219" spans="17:28" ht="15.6" customHeight="1" x14ac:dyDescent="0.3">
      <c r="Q219" s="13" t="str">
        <f t="shared" si="20"/>
        <v/>
      </c>
      <c r="R219" s="6" t="str">
        <f t="shared" si="21"/>
        <v/>
      </c>
      <c r="S219" s="6" t="str">
        <f t="shared" si="22"/>
        <v/>
      </c>
      <c r="T219" s="6" t="str">
        <f t="shared" si="23"/>
        <v/>
      </c>
      <c r="U219" s="6" t="str">
        <f t="shared" si="24"/>
        <v/>
      </c>
      <c r="AB219" s="13"/>
    </row>
    <row r="220" spans="17:28" ht="15.6" customHeight="1" x14ac:dyDescent="0.3">
      <c r="Q220" s="13" t="str">
        <f t="shared" si="20"/>
        <v/>
      </c>
      <c r="R220" s="6" t="str">
        <f t="shared" si="21"/>
        <v/>
      </c>
      <c r="S220" s="6" t="str">
        <f t="shared" si="22"/>
        <v/>
      </c>
      <c r="T220" s="6" t="str">
        <f t="shared" si="23"/>
        <v/>
      </c>
      <c r="U220" s="6" t="str">
        <f t="shared" si="24"/>
        <v/>
      </c>
      <c r="AB220" s="13"/>
    </row>
    <row r="221" spans="17:28" ht="15.6" customHeight="1" x14ac:dyDescent="0.3">
      <c r="Q221" s="13" t="str">
        <f t="shared" si="20"/>
        <v/>
      </c>
      <c r="R221" s="6" t="str">
        <f t="shared" si="21"/>
        <v/>
      </c>
      <c r="S221" s="6" t="str">
        <f t="shared" si="22"/>
        <v/>
      </c>
      <c r="T221" s="6" t="str">
        <f t="shared" si="23"/>
        <v/>
      </c>
      <c r="U221" s="6" t="str">
        <f t="shared" si="24"/>
        <v/>
      </c>
      <c r="AB221" s="13"/>
    </row>
    <row r="222" spans="17:28" ht="15.6" customHeight="1" x14ac:dyDescent="0.3">
      <c r="Q222" s="13" t="str">
        <f t="shared" si="20"/>
        <v/>
      </c>
      <c r="R222" s="6" t="str">
        <f t="shared" si="21"/>
        <v/>
      </c>
      <c r="S222" s="6" t="str">
        <f t="shared" si="22"/>
        <v/>
      </c>
      <c r="T222" s="6" t="str">
        <f t="shared" si="23"/>
        <v/>
      </c>
      <c r="U222" s="6" t="str">
        <f t="shared" si="24"/>
        <v/>
      </c>
      <c r="AB222" s="13"/>
    </row>
    <row r="223" spans="17:28" ht="15.6" customHeight="1" x14ac:dyDescent="0.3">
      <c r="Q223" s="13" t="str">
        <f t="shared" si="20"/>
        <v/>
      </c>
      <c r="R223" s="6" t="str">
        <f t="shared" si="21"/>
        <v/>
      </c>
      <c r="S223" s="6" t="str">
        <f t="shared" si="22"/>
        <v/>
      </c>
      <c r="T223" s="6" t="str">
        <f t="shared" si="23"/>
        <v/>
      </c>
      <c r="U223" s="6" t="str">
        <f t="shared" si="24"/>
        <v/>
      </c>
      <c r="AB223" s="13"/>
    </row>
    <row r="224" spans="17:28" ht="15.6" customHeight="1" x14ac:dyDescent="0.3">
      <c r="Q224" s="13" t="str">
        <f t="shared" si="20"/>
        <v/>
      </c>
      <c r="R224" s="6" t="str">
        <f t="shared" si="21"/>
        <v/>
      </c>
      <c r="S224" s="6" t="str">
        <f t="shared" si="22"/>
        <v/>
      </c>
      <c r="T224" s="6" t="str">
        <f t="shared" si="23"/>
        <v/>
      </c>
      <c r="U224" s="6" t="str">
        <f t="shared" si="24"/>
        <v/>
      </c>
      <c r="AB224" s="13"/>
    </row>
    <row r="225" spans="17:28" ht="15.6" customHeight="1" x14ac:dyDescent="0.3">
      <c r="Q225" s="13" t="str">
        <f t="shared" si="20"/>
        <v/>
      </c>
      <c r="R225" s="6" t="str">
        <f t="shared" si="21"/>
        <v/>
      </c>
      <c r="S225" s="6" t="str">
        <f t="shared" si="22"/>
        <v/>
      </c>
      <c r="T225" s="6" t="str">
        <f t="shared" si="23"/>
        <v/>
      </c>
      <c r="U225" s="6" t="str">
        <f t="shared" si="24"/>
        <v/>
      </c>
      <c r="AB225" s="13"/>
    </row>
    <row r="226" spans="17:28" ht="15.6" customHeight="1" x14ac:dyDescent="0.3">
      <c r="Q226" s="13" t="str">
        <f t="shared" si="20"/>
        <v/>
      </c>
      <c r="R226" s="6" t="str">
        <f t="shared" si="21"/>
        <v/>
      </c>
      <c r="S226" s="6" t="str">
        <f t="shared" si="22"/>
        <v/>
      </c>
      <c r="T226" s="6" t="str">
        <f t="shared" si="23"/>
        <v/>
      </c>
      <c r="U226" s="6" t="str">
        <f t="shared" si="24"/>
        <v/>
      </c>
      <c r="AB226" s="13"/>
    </row>
    <row r="227" spans="17:28" ht="15.6" customHeight="1" x14ac:dyDescent="0.3">
      <c r="Q227" s="13" t="str">
        <f t="shared" si="20"/>
        <v/>
      </c>
      <c r="R227" s="6" t="str">
        <f t="shared" si="21"/>
        <v/>
      </c>
      <c r="S227" s="6" t="str">
        <f t="shared" si="22"/>
        <v/>
      </c>
      <c r="T227" s="6" t="str">
        <f t="shared" si="23"/>
        <v/>
      </c>
      <c r="U227" s="6" t="str">
        <f t="shared" si="24"/>
        <v/>
      </c>
      <c r="AB227" s="13"/>
    </row>
    <row r="228" spans="17:28" ht="15.6" customHeight="1" x14ac:dyDescent="0.3">
      <c r="Q228" s="13" t="str">
        <f t="shared" si="20"/>
        <v/>
      </c>
      <c r="R228" s="6" t="str">
        <f t="shared" si="21"/>
        <v/>
      </c>
      <c r="S228" s="6" t="str">
        <f t="shared" si="22"/>
        <v/>
      </c>
      <c r="T228" s="6" t="str">
        <f t="shared" si="23"/>
        <v/>
      </c>
      <c r="U228" s="6" t="str">
        <f t="shared" si="24"/>
        <v/>
      </c>
      <c r="AB228" s="13"/>
    </row>
    <row r="229" spans="17:28" ht="15.6" customHeight="1" x14ac:dyDescent="0.3">
      <c r="Q229" s="13" t="str">
        <f t="shared" si="20"/>
        <v/>
      </c>
      <c r="R229" s="6" t="str">
        <f t="shared" si="21"/>
        <v/>
      </c>
      <c r="S229" s="6" t="str">
        <f t="shared" si="22"/>
        <v/>
      </c>
      <c r="T229" s="6" t="str">
        <f t="shared" si="23"/>
        <v/>
      </c>
      <c r="U229" s="6" t="str">
        <f t="shared" si="24"/>
        <v/>
      </c>
      <c r="AB229" s="13"/>
    </row>
    <row r="230" spans="17:28" ht="15.6" customHeight="1" x14ac:dyDescent="0.3">
      <c r="Q230" s="13" t="str">
        <f t="shared" si="20"/>
        <v/>
      </c>
      <c r="R230" s="6" t="str">
        <f t="shared" si="21"/>
        <v/>
      </c>
      <c r="S230" s="6" t="str">
        <f t="shared" si="22"/>
        <v/>
      </c>
      <c r="T230" s="6" t="str">
        <f t="shared" si="23"/>
        <v/>
      </c>
      <c r="U230" s="6" t="str">
        <f t="shared" si="24"/>
        <v/>
      </c>
      <c r="AB230" s="13"/>
    </row>
    <row r="231" spans="17:28" ht="15.6" customHeight="1" x14ac:dyDescent="0.3">
      <c r="Q231" s="13" t="str">
        <f t="shared" si="20"/>
        <v/>
      </c>
      <c r="R231" s="6" t="str">
        <f t="shared" si="21"/>
        <v/>
      </c>
      <c r="S231" s="6" t="str">
        <f t="shared" si="22"/>
        <v/>
      </c>
      <c r="T231" s="6" t="str">
        <f t="shared" si="23"/>
        <v/>
      </c>
      <c r="U231" s="6" t="str">
        <f t="shared" si="24"/>
        <v/>
      </c>
      <c r="AB231" s="13"/>
    </row>
    <row r="232" spans="17:28" ht="15.6" customHeight="1" x14ac:dyDescent="0.3">
      <c r="Q232" s="13" t="str">
        <f t="shared" si="20"/>
        <v/>
      </c>
      <c r="R232" s="6" t="str">
        <f t="shared" si="21"/>
        <v/>
      </c>
      <c r="S232" s="6" t="str">
        <f t="shared" si="22"/>
        <v/>
      </c>
      <c r="T232" s="6" t="str">
        <f t="shared" si="23"/>
        <v/>
      </c>
      <c r="U232" s="6" t="str">
        <f t="shared" si="24"/>
        <v/>
      </c>
      <c r="AB232" s="13"/>
    </row>
    <row r="233" spans="17:28" ht="15.6" customHeight="1" x14ac:dyDescent="0.3">
      <c r="Q233" s="13" t="str">
        <f t="shared" si="20"/>
        <v/>
      </c>
      <c r="R233" s="6" t="str">
        <f t="shared" si="21"/>
        <v/>
      </c>
      <c r="S233" s="6" t="str">
        <f t="shared" si="22"/>
        <v/>
      </c>
      <c r="T233" s="6" t="str">
        <f t="shared" si="23"/>
        <v/>
      </c>
      <c r="U233" s="6" t="str">
        <f t="shared" si="24"/>
        <v/>
      </c>
      <c r="AB233" s="13"/>
    </row>
    <row r="234" spans="17:28" ht="15.6" customHeight="1" x14ac:dyDescent="0.3">
      <c r="Q234" s="13" t="str">
        <f t="shared" si="20"/>
        <v/>
      </c>
      <c r="R234" s="6" t="str">
        <f t="shared" si="21"/>
        <v/>
      </c>
      <c r="S234" s="6" t="str">
        <f t="shared" si="22"/>
        <v/>
      </c>
      <c r="T234" s="6" t="str">
        <f t="shared" si="23"/>
        <v/>
      </c>
      <c r="U234" s="6" t="str">
        <f t="shared" si="24"/>
        <v/>
      </c>
      <c r="AB234" s="13"/>
    </row>
    <row r="235" spans="17:28" ht="15.6" customHeight="1" x14ac:dyDescent="0.3">
      <c r="Q235" s="13" t="str">
        <f t="shared" si="20"/>
        <v/>
      </c>
      <c r="R235" s="6" t="str">
        <f t="shared" si="21"/>
        <v/>
      </c>
      <c r="S235" s="6" t="str">
        <f t="shared" si="22"/>
        <v/>
      </c>
      <c r="T235" s="6" t="str">
        <f t="shared" si="23"/>
        <v/>
      </c>
      <c r="U235" s="6" t="str">
        <f t="shared" si="24"/>
        <v/>
      </c>
      <c r="AB235" s="13"/>
    </row>
    <row r="236" spans="17:28" ht="15.6" customHeight="1" x14ac:dyDescent="0.3">
      <c r="Q236" s="13" t="str">
        <f t="shared" si="20"/>
        <v/>
      </c>
      <c r="R236" s="6" t="str">
        <f t="shared" si="21"/>
        <v/>
      </c>
      <c r="S236" s="6" t="str">
        <f t="shared" si="22"/>
        <v/>
      </c>
      <c r="T236" s="6" t="str">
        <f t="shared" si="23"/>
        <v/>
      </c>
      <c r="U236" s="6" t="str">
        <f t="shared" si="24"/>
        <v/>
      </c>
      <c r="AB236" s="13"/>
    </row>
    <row r="237" spans="17:28" ht="15.6" customHeight="1" x14ac:dyDescent="0.3">
      <c r="Q237" s="13" t="str">
        <f t="shared" si="20"/>
        <v/>
      </c>
      <c r="R237" s="6" t="str">
        <f t="shared" si="21"/>
        <v/>
      </c>
      <c r="S237" s="6" t="str">
        <f t="shared" si="22"/>
        <v/>
      </c>
      <c r="T237" s="6" t="str">
        <f t="shared" si="23"/>
        <v/>
      </c>
      <c r="U237" s="6" t="str">
        <f t="shared" si="24"/>
        <v/>
      </c>
      <c r="AB237" s="13"/>
    </row>
    <row r="238" spans="17:28" ht="15.6" customHeight="1" x14ac:dyDescent="0.3">
      <c r="Q238" s="13" t="str">
        <f t="shared" si="20"/>
        <v/>
      </c>
      <c r="R238" s="6" t="str">
        <f t="shared" si="21"/>
        <v/>
      </c>
      <c r="S238" s="6" t="str">
        <f t="shared" si="22"/>
        <v/>
      </c>
      <c r="T238" s="6" t="str">
        <f t="shared" si="23"/>
        <v/>
      </c>
      <c r="U238" s="6" t="str">
        <f t="shared" si="24"/>
        <v/>
      </c>
      <c r="AB238" s="13"/>
    </row>
    <row r="239" spans="17:28" ht="15.6" customHeight="1" x14ac:dyDescent="0.3">
      <c r="Q239" s="13" t="str">
        <f t="shared" si="20"/>
        <v/>
      </c>
      <c r="R239" s="6" t="str">
        <f t="shared" si="21"/>
        <v/>
      </c>
      <c r="S239" s="6" t="str">
        <f t="shared" si="22"/>
        <v/>
      </c>
      <c r="T239" s="6" t="str">
        <f t="shared" si="23"/>
        <v/>
      </c>
      <c r="U239" s="6" t="str">
        <f t="shared" si="24"/>
        <v/>
      </c>
      <c r="AB239" s="13"/>
    </row>
    <row r="240" spans="17:28" ht="15.6" customHeight="1" x14ac:dyDescent="0.3">
      <c r="Q240" s="13" t="str">
        <f t="shared" si="20"/>
        <v/>
      </c>
      <c r="R240" s="6" t="str">
        <f t="shared" si="21"/>
        <v/>
      </c>
      <c r="S240" s="6" t="str">
        <f t="shared" si="22"/>
        <v/>
      </c>
      <c r="T240" s="6" t="str">
        <f t="shared" si="23"/>
        <v/>
      </c>
      <c r="U240" s="6" t="str">
        <f t="shared" si="24"/>
        <v/>
      </c>
      <c r="AB240" s="13"/>
    </row>
    <row r="241" spans="17:28" ht="15.6" customHeight="1" x14ac:dyDescent="0.3">
      <c r="Q241" s="13" t="str">
        <f t="shared" si="20"/>
        <v/>
      </c>
      <c r="R241" s="6" t="str">
        <f t="shared" si="21"/>
        <v/>
      </c>
      <c r="S241" s="6" t="str">
        <f t="shared" si="22"/>
        <v/>
      </c>
      <c r="T241" s="6" t="str">
        <f t="shared" si="23"/>
        <v/>
      </c>
      <c r="U241" s="6" t="str">
        <f t="shared" si="24"/>
        <v/>
      </c>
      <c r="AB241" s="13"/>
    </row>
    <row r="242" spans="17:28" ht="15.6" customHeight="1" x14ac:dyDescent="0.3">
      <c r="Q242" s="13" t="str">
        <f t="shared" si="20"/>
        <v/>
      </c>
      <c r="R242" s="6" t="str">
        <f t="shared" si="21"/>
        <v/>
      </c>
      <c r="S242" s="6" t="str">
        <f t="shared" si="22"/>
        <v/>
      </c>
      <c r="T242" s="6" t="str">
        <f t="shared" si="23"/>
        <v/>
      </c>
      <c r="U242" s="6" t="str">
        <f t="shared" si="24"/>
        <v/>
      </c>
      <c r="AB242" s="13"/>
    </row>
    <row r="243" spans="17:28" ht="15.6" customHeight="1" x14ac:dyDescent="0.3">
      <c r="Q243" s="13" t="str">
        <f t="shared" si="20"/>
        <v/>
      </c>
      <c r="R243" s="6" t="str">
        <f t="shared" si="21"/>
        <v/>
      </c>
      <c r="S243" s="6" t="str">
        <f t="shared" si="22"/>
        <v/>
      </c>
      <c r="T243" s="6" t="str">
        <f t="shared" si="23"/>
        <v/>
      </c>
      <c r="U243" s="6" t="str">
        <f t="shared" si="24"/>
        <v/>
      </c>
      <c r="AB243" s="13"/>
    </row>
    <row r="244" spans="17:28" ht="15.6" customHeight="1" x14ac:dyDescent="0.3">
      <c r="Q244" s="13" t="str">
        <f t="shared" si="20"/>
        <v/>
      </c>
      <c r="R244" s="6" t="str">
        <f t="shared" si="21"/>
        <v/>
      </c>
      <c r="S244" s="6" t="str">
        <f t="shared" si="22"/>
        <v/>
      </c>
      <c r="T244" s="6" t="str">
        <f t="shared" si="23"/>
        <v/>
      </c>
      <c r="U244" s="6" t="str">
        <f t="shared" si="24"/>
        <v/>
      </c>
      <c r="AB244" s="13"/>
    </row>
    <row r="245" spans="17:28" ht="15.6" customHeight="1" x14ac:dyDescent="0.3">
      <c r="Q245" s="13" t="str">
        <f t="shared" si="20"/>
        <v/>
      </c>
      <c r="R245" s="6" t="str">
        <f t="shared" si="21"/>
        <v/>
      </c>
      <c r="S245" s="6" t="str">
        <f t="shared" si="22"/>
        <v/>
      </c>
      <c r="T245" s="6" t="str">
        <f t="shared" si="23"/>
        <v/>
      </c>
      <c r="U245" s="6" t="str">
        <f t="shared" si="24"/>
        <v/>
      </c>
      <c r="AB245" s="13"/>
    </row>
    <row r="246" spans="17:28" ht="15.6" customHeight="1" x14ac:dyDescent="0.3">
      <c r="Q246" s="13" t="str">
        <f t="shared" si="20"/>
        <v/>
      </c>
      <c r="R246" s="6" t="str">
        <f t="shared" si="21"/>
        <v/>
      </c>
      <c r="S246" s="6" t="str">
        <f t="shared" si="22"/>
        <v/>
      </c>
      <c r="T246" s="6" t="str">
        <f t="shared" si="23"/>
        <v/>
      </c>
      <c r="U246" s="6" t="str">
        <f t="shared" si="24"/>
        <v/>
      </c>
      <c r="AB246" s="13"/>
    </row>
    <row r="247" spans="17:28" ht="15.6" customHeight="1" x14ac:dyDescent="0.3">
      <c r="Q247" s="13" t="str">
        <f t="shared" si="20"/>
        <v/>
      </c>
      <c r="R247" s="6" t="str">
        <f t="shared" si="21"/>
        <v/>
      </c>
      <c r="S247" s="6" t="str">
        <f t="shared" si="22"/>
        <v/>
      </c>
      <c r="T247" s="6" t="str">
        <f t="shared" si="23"/>
        <v/>
      </c>
      <c r="U247" s="6" t="str">
        <f t="shared" si="24"/>
        <v/>
      </c>
      <c r="AB247" s="13"/>
    </row>
    <row r="248" spans="17:28" ht="15.6" customHeight="1" x14ac:dyDescent="0.3">
      <c r="Q248" s="13" t="str">
        <f t="shared" si="20"/>
        <v/>
      </c>
      <c r="R248" s="6" t="str">
        <f t="shared" si="21"/>
        <v/>
      </c>
      <c r="S248" s="6" t="str">
        <f t="shared" si="22"/>
        <v/>
      </c>
      <c r="T248" s="6" t="str">
        <f t="shared" si="23"/>
        <v/>
      </c>
      <c r="U248" s="6" t="str">
        <f t="shared" si="24"/>
        <v/>
      </c>
      <c r="AB248" s="13"/>
    </row>
    <row r="249" spans="17:28" ht="15.6" customHeight="1" x14ac:dyDescent="0.3">
      <c r="Q249" s="13" t="str">
        <f t="shared" si="20"/>
        <v/>
      </c>
      <c r="R249" s="6" t="str">
        <f t="shared" si="21"/>
        <v/>
      </c>
      <c r="S249" s="6" t="str">
        <f t="shared" si="22"/>
        <v/>
      </c>
      <c r="T249" s="6" t="str">
        <f t="shared" si="23"/>
        <v/>
      </c>
      <c r="U249" s="6" t="str">
        <f t="shared" si="24"/>
        <v/>
      </c>
      <c r="AB249" s="13"/>
    </row>
    <row r="250" spans="17:28" ht="15.6" customHeight="1" x14ac:dyDescent="0.3">
      <c r="Q250" s="13" t="str">
        <f t="shared" si="20"/>
        <v/>
      </c>
      <c r="R250" s="6" t="str">
        <f t="shared" si="21"/>
        <v/>
      </c>
      <c r="S250" s="6" t="str">
        <f t="shared" si="22"/>
        <v/>
      </c>
      <c r="T250" s="6" t="str">
        <f t="shared" si="23"/>
        <v/>
      </c>
      <c r="U250" s="6" t="str">
        <f t="shared" si="24"/>
        <v/>
      </c>
      <c r="AB250" s="13"/>
    </row>
    <row r="251" spans="17:28" ht="15.6" customHeight="1" x14ac:dyDescent="0.3">
      <c r="Q251" s="13" t="str">
        <f t="shared" si="20"/>
        <v/>
      </c>
      <c r="R251" s="6" t="str">
        <f t="shared" si="21"/>
        <v/>
      </c>
      <c r="S251" s="6" t="str">
        <f t="shared" si="22"/>
        <v/>
      </c>
      <c r="T251" s="6" t="str">
        <f t="shared" si="23"/>
        <v/>
      </c>
      <c r="U251" s="6" t="str">
        <f t="shared" si="24"/>
        <v/>
      </c>
      <c r="AB251" s="13"/>
    </row>
    <row r="252" spans="17:28" ht="15.6" customHeight="1" x14ac:dyDescent="0.3">
      <c r="Q252" s="13" t="str">
        <f t="shared" si="20"/>
        <v/>
      </c>
      <c r="R252" s="6" t="str">
        <f t="shared" si="21"/>
        <v/>
      </c>
      <c r="S252" s="6" t="str">
        <f t="shared" si="22"/>
        <v/>
      </c>
      <c r="T252" s="6" t="str">
        <f t="shared" si="23"/>
        <v/>
      </c>
      <c r="U252" s="6" t="str">
        <f t="shared" si="24"/>
        <v/>
      </c>
      <c r="AB252" s="13"/>
    </row>
    <row r="253" spans="17:28" ht="15.6" customHeight="1" x14ac:dyDescent="0.3">
      <c r="Q253" s="13" t="str">
        <f t="shared" si="20"/>
        <v/>
      </c>
      <c r="R253" s="6" t="str">
        <f t="shared" si="21"/>
        <v/>
      </c>
      <c r="S253" s="6" t="str">
        <f t="shared" si="22"/>
        <v/>
      </c>
      <c r="T253" s="6" t="str">
        <f t="shared" si="23"/>
        <v/>
      </c>
      <c r="U253" s="6" t="str">
        <f t="shared" si="24"/>
        <v/>
      </c>
      <c r="AB253" s="13"/>
    </row>
    <row r="254" spans="17:28" ht="15.6" customHeight="1" x14ac:dyDescent="0.3">
      <c r="Q254" s="13" t="str">
        <f t="shared" si="20"/>
        <v/>
      </c>
      <c r="R254" s="6" t="str">
        <f t="shared" si="21"/>
        <v/>
      </c>
      <c r="S254" s="6" t="str">
        <f t="shared" si="22"/>
        <v/>
      </c>
      <c r="T254" s="6" t="str">
        <f t="shared" si="23"/>
        <v/>
      </c>
      <c r="U254" s="6" t="str">
        <f t="shared" si="24"/>
        <v/>
      </c>
      <c r="AB254" s="13"/>
    </row>
    <row r="255" spans="17:28" ht="15.6" customHeight="1" x14ac:dyDescent="0.3">
      <c r="Q255" s="13" t="str">
        <f t="shared" si="20"/>
        <v/>
      </c>
      <c r="R255" s="6" t="str">
        <f t="shared" si="21"/>
        <v/>
      </c>
      <c r="S255" s="6" t="str">
        <f t="shared" si="22"/>
        <v/>
      </c>
      <c r="T255" s="6" t="str">
        <f t="shared" si="23"/>
        <v/>
      </c>
      <c r="U255" s="6" t="str">
        <f t="shared" si="24"/>
        <v/>
      </c>
      <c r="AB255" s="13"/>
    </row>
    <row r="256" spans="17:28" ht="15.6" customHeight="1" x14ac:dyDescent="0.3">
      <c r="Q256" s="13" t="str">
        <f t="shared" si="20"/>
        <v/>
      </c>
      <c r="R256" s="6" t="str">
        <f t="shared" si="21"/>
        <v/>
      </c>
      <c r="S256" s="6" t="str">
        <f t="shared" si="22"/>
        <v/>
      </c>
      <c r="T256" s="6" t="str">
        <f t="shared" si="23"/>
        <v/>
      </c>
      <c r="U256" s="6" t="str">
        <f t="shared" si="24"/>
        <v/>
      </c>
      <c r="AB256" s="13"/>
    </row>
    <row r="257" spans="17:28" ht="15.6" customHeight="1" x14ac:dyDescent="0.3">
      <c r="Q257" s="13" t="str">
        <f t="shared" si="20"/>
        <v/>
      </c>
      <c r="R257" s="6" t="str">
        <f t="shared" si="21"/>
        <v/>
      </c>
      <c r="S257" s="6" t="str">
        <f t="shared" si="22"/>
        <v/>
      </c>
      <c r="T257" s="6" t="str">
        <f t="shared" si="23"/>
        <v/>
      </c>
      <c r="U257" s="6" t="str">
        <f t="shared" si="24"/>
        <v/>
      </c>
      <c r="AB257" s="13"/>
    </row>
    <row r="258" spans="17:28" ht="15.6" customHeight="1" x14ac:dyDescent="0.3">
      <c r="Q258" s="13" t="str">
        <f t="shared" si="20"/>
        <v/>
      </c>
      <c r="R258" s="6" t="str">
        <f t="shared" si="21"/>
        <v/>
      </c>
      <c r="S258" s="6" t="str">
        <f t="shared" si="22"/>
        <v/>
      </c>
      <c r="T258" s="6" t="str">
        <f t="shared" si="23"/>
        <v/>
      </c>
      <c r="U258" s="6" t="str">
        <f t="shared" si="24"/>
        <v/>
      </c>
      <c r="AB258" s="13"/>
    </row>
    <row r="259" spans="17:28" ht="15.6" customHeight="1" x14ac:dyDescent="0.3">
      <c r="Q259" s="13" t="str">
        <f t="shared" si="20"/>
        <v/>
      </c>
      <c r="R259" s="6" t="str">
        <f t="shared" si="21"/>
        <v/>
      </c>
      <c r="S259" s="6" t="str">
        <f t="shared" si="22"/>
        <v/>
      </c>
      <c r="T259" s="6" t="str">
        <f t="shared" si="23"/>
        <v/>
      </c>
      <c r="U259" s="6" t="str">
        <f t="shared" si="24"/>
        <v/>
      </c>
      <c r="AB259" s="13"/>
    </row>
    <row r="260" spans="17:28" ht="15.6" customHeight="1" x14ac:dyDescent="0.3">
      <c r="Q260" s="13" t="str">
        <f t="shared" ref="Q260:Q323" si="25">IF(K260="","",VLOOKUP(K260,$A$4:$H$22,8,FALSE))</f>
        <v/>
      </c>
      <c r="R260" s="6" t="str">
        <f t="shared" ref="R260:R323" si="26">IF(L260="","",VLOOKUP(L260,$A$4:$H$22,8,FALSE))</f>
        <v/>
      </c>
      <c r="S260" s="6" t="str">
        <f t="shared" ref="S260:S323" si="27">IF(M260="","",VLOOKUP(M260,$A$4:$H$22,8,FALSE))</f>
        <v/>
      </c>
      <c r="T260" s="6" t="str">
        <f t="shared" ref="T260:T323" si="28">IF(N260="","",VLOOKUP(N260,$A$4:$H$22,8,FALSE))</f>
        <v/>
      </c>
      <c r="U260" s="6" t="str">
        <f t="shared" ref="U260:U323" si="29">IF(O260="","",VLOOKUP(O260,$A$4:$H$22,8,FALSE))</f>
        <v/>
      </c>
      <c r="AB260" s="13"/>
    </row>
    <row r="261" spans="17:28" ht="15.6" customHeight="1" x14ac:dyDescent="0.3">
      <c r="Q261" s="13" t="str">
        <f t="shared" si="25"/>
        <v/>
      </c>
      <c r="R261" s="6" t="str">
        <f t="shared" si="26"/>
        <v/>
      </c>
      <c r="S261" s="6" t="str">
        <f t="shared" si="27"/>
        <v/>
      </c>
      <c r="T261" s="6" t="str">
        <f t="shared" si="28"/>
        <v/>
      </c>
      <c r="U261" s="6" t="str">
        <f t="shared" si="29"/>
        <v/>
      </c>
      <c r="AB261" s="13"/>
    </row>
    <row r="262" spans="17:28" ht="15.6" customHeight="1" x14ac:dyDescent="0.3">
      <c r="Q262" s="13" t="str">
        <f t="shared" si="25"/>
        <v/>
      </c>
      <c r="R262" s="6" t="str">
        <f t="shared" si="26"/>
        <v/>
      </c>
      <c r="S262" s="6" t="str">
        <f t="shared" si="27"/>
        <v/>
      </c>
      <c r="T262" s="6" t="str">
        <f t="shared" si="28"/>
        <v/>
      </c>
      <c r="U262" s="6" t="str">
        <f t="shared" si="29"/>
        <v/>
      </c>
      <c r="AB262" s="13"/>
    </row>
    <row r="263" spans="17:28" ht="15.6" customHeight="1" x14ac:dyDescent="0.3">
      <c r="Q263" s="13" t="str">
        <f t="shared" si="25"/>
        <v/>
      </c>
      <c r="R263" s="6" t="str">
        <f t="shared" si="26"/>
        <v/>
      </c>
      <c r="S263" s="6" t="str">
        <f t="shared" si="27"/>
        <v/>
      </c>
      <c r="T263" s="6" t="str">
        <f t="shared" si="28"/>
        <v/>
      </c>
      <c r="U263" s="6" t="str">
        <f t="shared" si="29"/>
        <v/>
      </c>
      <c r="AB263" s="13"/>
    </row>
    <row r="264" spans="17:28" ht="15.6" customHeight="1" x14ac:dyDescent="0.3">
      <c r="Q264" s="13" t="str">
        <f t="shared" si="25"/>
        <v/>
      </c>
      <c r="R264" s="6" t="str">
        <f t="shared" si="26"/>
        <v/>
      </c>
      <c r="S264" s="6" t="str">
        <f t="shared" si="27"/>
        <v/>
      </c>
      <c r="T264" s="6" t="str">
        <f t="shared" si="28"/>
        <v/>
      </c>
      <c r="U264" s="6" t="str">
        <f t="shared" si="29"/>
        <v/>
      </c>
      <c r="AB264" s="13"/>
    </row>
    <row r="265" spans="17:28" ht="15.6" customHeight="1" x14ac:dyDescent="0.3">
      <c r="Q265" s="13" t="str">
        <f t="shared" si="25"/>
        <v/>
      </c>
      <c r="R265" s="6" t="str">
        <f t="shared" si="26"/>
        <v/>
      </c>
      <c r="S265" s="6" t="str">
        <f t="shared" si="27"/>
        <v/>
      </c>
      <c r="T265" s="6" t="str">
        <f t="shared" si="28"/>
        <v/>
      </c>
      <c r="U265" s="6" t="str">
        <f t="shared" si="29"/>
        <v/>
      </c>
      <c r="AB265" s="13"/>
    </row>
    <row r="266" spans="17:28" ht="15.6" customHeight="1" x14ac:dyDescent="0.3">
      <c r="Q266" s="13" t="str">
        <f t="shared" si="25"/>
        <v/>
      </c>
      <c r="R266" s="6" t="str">
        <f t="shared" si="26"/>
        <v/>
      </c>
      <c r="S266" s="6" t="str">
        <f t="shared" si="27"/>
        <v/>
      </c>
      <c r="T266" s="6" t="str">
        <f t="shared" si="28"/>
        <v/>
      </c>
      <c r="U266" s="6" t="str">
        <f t="shared" si="29"/>
        <v/>
      </c>
      <c r="AB266" s="13"/>
    </row>
    <row r="267" spans="17:28" ht="15.6" customHeight="1" x14ac:dyDescent="0.3">
      <c r="Q267" s="13" t="str">
        <f t="shared" si="25"/>
        <v/>
      </c>
      <c r="R267" s="6" t="str">
        <f t="shared" si="26"/>
        <v/>
      </c>
      <c r="S267" s="6" t="str">
        <f t="shared" si="27"/>
        <v/>
      </c>
      <c r="T267" s="6" t="str">
        <f t="shared" si="28"/>
        <v/>
      </c>
      <c r="U267" s="6" t="str">
        <f t="shared" si="29"/>
        <v/>
      </c>
      <c r="AB267" s="13"/>
    </row>
    <row r="268" spans="17:28" ht="15.6" customHeight="1" x14ac:dyDescent="0.3">
      <c r="Q268" s="13" t="str">
        <f t="shared" si="25"/>
        <v/>
      </c>
      <c r="R268" s="6" t="str">
        <f t="shared" si="26"/>
        <v/>
      </c>
      <c r="S268" s="6" t="str">
        <f t="shared" si="27"/>
        <v/>
      </c>
      <c r="T268" s="6" t="str">
        <f t="shared" si="28"/>
        <v/>
      </c>
      <c r="U268" s="6" t="str">
        <f t="shared" si="29"/>
        <v/>
      </c>
      <c r="AB268" s="13"/>
    </row>
    <row r="269" spans="17:28" ht="15.6" customHeight="1" x14ac:dyDescent="0.3">
      <c r="Q269" s="13" t="str">
        <f t="shared" si="25"/>
        <v/>
      </c>
      <c r="R269" s="6" t="str">
        <f t="shared" si="26"/>
        <v/>
      </c>
      <c r="S269" s="6" t="str">
        <f t="shared" si="27"/>
        <v/>
      </c>
      <c r="T269" s="6" t="str">
        <f t="shared" si="28"/>
        <v/>
      </c>
      <c r="U269" s="6" t="str">
        <f t="shared" si="29"/>
        <v/>
      </c>
      <c r="AB269" s="13"/>
    </row>
    <row r="270" spans="17:28" ht="15.6" customHeight="1" x14ac:dyDescent="0.3">
      <c r="Q270" s="13" t="str">
        <f t="shared" si="25"/>
        <v/>
      </c>
      <c r="R270" s="6" t="str">
        <f t="shared" si="26"/>
        <v/>
      </c>
      <c r="S270" s="6" t="str">
        <f t="shared" si="27"/>
        <v/>
      </c>
      <c r="T270" s="6" t="str">
        <f t="shared" si="28"/>
        <v/>
      </c>
      <c r="U270" s="6" t="str">
        <f t="shared" si="29"/>
        <v/>
      </c>
      <c r="AB270" s="13"/>
    </row>
    <row r="271" spans="17:28" ht="15.6" customHeight="1" x14ac:dyDescent="0.3">
      <c r="Q271" s="13" t="str">
        <f t="shared" si="25"/>
        <v/>
      </c>
      <c r="R271" s="6" t="str">
        <f t="shared" si="26"/>
        <v/>
      </c>
      <c r="S271" s="6" t="str">
        <f t="shared" si="27"/>
        <v/>
      </c>
      <c r="T271" s="6" t="str">
        <f t="shared" si="28"/>
        <v/>
      </c>
      <c r="U271" s="6" t="str">
        <f t="shared" si="29"/>
        <v/>
      </c>
      <c r="AB271" s="13"/>
    </row>
    <row r="272" spans="17:28" ht="15.6" customHeight="1" x14ac:dyDescent="0.3">
      <c r="Q272" s="13" t="str">
        <f t="shared" si="25"/>
        <v/>
      </c>
      <c r="R272" s="6" t="str">
        <f t="shared" si="26"/>
        <v/>
      </c>
      <c r="S272" s="6" t="str">
        <f t="shared" si="27"/>
        <v/>
      </c>
      <c r="T272" s="6" t="str">
        <f t="shared" si="28"/>
        <v/>
      </c>
      <c r="U272" s="6" t="str">
        <f t="shared" si="29"/>
        <v/>
      </c>
      <c r="AB272" s="13"/>
    </row>
    <row r="273" spans="17:28" ht="15.6" customHeight="1" x14ac:dyDescent="0.3">
      <c r="Q273" s="13" t="str">
        <f t="shared" si="25"/>
        <v/>
      </c>
      <c r="R273" s="6" t="str">
        <f t="shared" si="26"/>
        <v/>
      </c>
      <c r="S273" s="6" t="str">
        <f t="shared" si="27"/>
        <v/>
      </c>
      <c r="T273" s="6" t="str">
        <f t="shared" si="28"/>
        <v/>
      </c>
      <c r="U273" s="6" t="str">
        <f t="shared" si="29"/>
        <v/>
      </c>
      <c r="AB273" s="13"/>
    </row>
    <row r="274" spans="17:28" ht="15.6" customHeight="1" x14ac:dyDescent="0.3">
      <c r="Q274" s="13" t="str">
        <f t="shared" si="25"/>
        <v/>
      </c>
      <c r="R274" s="6" t="str">
        <f t="shared" si="26"/>
        <v/>
      </c>
      <c r="S274" s="6" t="str">
        <f t="shared" si="27"/>
        <v/>
      </c>
      <c r="T274" s="6" t="str">
        <f t="shared" si="28"/>
        <v/>
      </c>
      <c r="U274" s="6" t="str">
        <f t="shared" si="29"/>
        <v/>
      </c>
      <c r="AB274" s="13"/>
    </row>
    <row r="275" spans="17:28" ht="15.6" customHeight="1" x14ac:dyDescent="0.3">
      <c r="Q275" s="13" t="str">
        <f t="shared" si="25"/>
        <v/>
      </c>
      <c r="R275" s="6" t="str">
        <f t="shared" si="26"/>
        <v/>
      </c>
      <c r="S275" s="6" t="str">
        <f t="shared" si="27"/>
        <v/>
      </c>
      <c r="T275" s="6" t="str">
        <f t="shared" si="28"/>
        <v/>
      </c>
      <c r="U275" s="6" t="str">
        <f t="shared" si="29"/>
        <v/>
      </c>
      <c r="AB275" s="13"/>
    </row>
    <row r="276" spans="17:28" ht="15.6" customHeight="1" x14ac:dyDescent="0.3">
      <c r="Q276" s="13" t="str">
        <f t="shared" si="25"/>
        <v/>
      </c>
      <c r="R276" s="6" t="str">
        <f t="shared" si="26"/>
        <v/>
      </c>
      <c r="S276" s="6" t="str">
        <f t="shared" si="27"/>
        <v/>
      </c>
      <c r="T276" s="6" t="str">
        <f t="shared" si="28"/>
        <v/>
      </c>
      <c r="U276" s="6" t="str">
        <f t="shared" si="29"/>
        <v/>
      </c>
      <c r="AB276" s="13"/>
    </row>
    <row r="277" spans="17:28" ht="15.6" customHeight="1" x14ac:dyDescent="0.3">
      <c r="Q277" s="13" t="str">
        <f t="shared" si="25"/>
        <v/>
      </c>
      <c r="R277" s="6" t="str">
        <f t="shared" si="26"/>
        <v/>
      </c>
      <c r="S277" s="6" t="str">
        <f t="shared" si="27"/>
        <v/>
      </c>
      <c r="T277" s="6" t="str">
        <f t="shared" si="28"/>
        <v/>
      </c>
      <c r="U277" s="6" t="str">
        <f t="shared" si="29"/>
        <v/>
      </c>
      <c r="AB277" s="13"/>
    </row>
    <row r="278" spans="17:28" ht="15.6" customHeight="1" x14ac:dyDescent="0.3">
      <c r="Q278" s="13" t="str">
        <f t="shared" si="25"/>
        <v/>
      </c>
      <c r="R278" s="6" t="str">
        <f t="shared" si="26"/>
        <v/>
      </c>
      <c r="S278" s="6" t="str">
        <f t="shared" si="27"/>
        <v/>
      </c>
      <c r="T278" s="6" t="str">
        <f t="shared" si="28"/>
        <v/>
      </c>
      <c r="U278" s="6" t="str">
        <f t="shared" si="29"/>
        <v/>
      </c>
      <c r="AB278" s="13"/>
    </row>
    <row r="279" spans="17:28" ht="15.6" customHeight="1" x14ac:dyDescent="0.3">
      <c r="Q279" s="13" t="str">
        <f t="shared" si="25"/>
        <v/>
      </c>
      <c r="R279" s="6" t="str">
        <f t="shared" si="26"/>
        <v/>
      </c>
      <c r="S279" s="6" t="str">
        <f t="shared" si="27"/>
        <v/>
      </c>
      <c r="T279" s="6" t="str">
        <f t="shared" si="28"/>
        <v/>
      </c>
      <c r="U279" s="6" t="str">
        <f t="shared" si="29"/>
        <v/>
      </c>
      <c r="AB279" s="13"/>
    </row>
    <row r="280" spans="17:28" ht="15.6" customHeight="1" x14ac:dyDescent="0.3">
      <c r="Q280" s="13" t="str">
        <f t="shared" si="25"/>
        <v/>
      </c>
      <c r="R280" s="6" t="str">
        <f t="shared" si="26"/>
        <v/>
      </c>
      <c r="S280" s="6" t="str">
        <f t="shared" si="27"/>
        <v/>
      </c>
      <c r="T280" s="6" t="str">
        <f t="shared" si="28"/>
        <v/>
      </c>
      <c r="U280" s="6" t="str">
        <f t="shared" si="29"/>
        <v/>
      </c>
      <c r="AB280" s="13"/>
    </row>
    <row r="281" spans="17:28" ht="15.6" customHeight="1" x14ac:dyDescent="0.3">
      <c r="Q281" s="13" t="str">
        <f t="shared" si="25"/>
        <v/>
      </c>
      <c r="R281" s="6" t="str">
        <f t="shared" si="26"/>
        <v/>
      </c>
      <c r="S281" s="6" t="str">
        <f t="shared" si="27"/>
        <v/>
      </c>
      <c r="T281" s="6" t="str">
        <f t="shared" si="28"/>
        <v/>
      </c>
      <c r="U281" s="6" t="str">
        <f t="shared" si="29"/>
        <v/>
      </c>
      <c r="AB281" s="13"/>
    </row>
    <row r="282" spans="17:28" ht="15.6" customHeight="1" x14ac:dyDescent="0.3">
      <c r="Q282" s="13" t="str">
        <f t="shared" si="25"/>
        <v/>
      </c>
      <c r="R282" s="6" t="str">
        <f t="shared" si="26"/>
        <v/>
      </c>
      <c r="S282" s="6" t="str">
        <f t="shared" si="27"/>
        <v/>
      </c>
      <c r="T282" s="6" t="str">
        <f t="shared" si="28"/>
        <v/>
      </c>
      <c r="U282" s="6" t="str">
        <f t="shared" si="29"/>
        <v/>
      </c>
      <c r="AB282" s="13"/>
    </row>
    <row r="283" spans="17:28" ht="15.6" customHeight="1" x14ac:dyDescent="0.3">
      <c r="Q283" s="13" t="str">
        <f t="shared" si="25"/>
        <v/>
      </c>
      <c r="R283" s="6" t="str">
        <f t="shared" si="26"/>
        <v/>
      </c>
      <c r="S283" s="6" t="str">
        <f t="shared" si="27"/>
        <v/>
      </c>
      <c r="T283" s="6" t="str">
        <f t="shared" si="28"/>
        <v/>
      </c>
      <c r="U283" s="6" t="str">
        <f t="shared" si="29"/>
        <v/>
      </c>
      <c r="AB283" s="13"/>
    </row>
    <row r="284" spans="17:28" ht="15.6" customHeight="1" x14ac:dyDescent="0.3">
      <c r="Q284" s="13" t="str">
        <f t="shared" si="25"/>
        <v/>
      </c>
      <c r="R284" s="6" t="str">
        <f t="shared" si="26"/>
        <v/>
      </c>
      <c r="S284" s="6" t="str">
        <f t="shared" si="27"/>
        <v/>
      </c>
      <c r="T284" s="6" t="str">
        <f t="shared" si="28"/>
        <v/>
      </c>
      <c r="U284" s="6" t="str">
        <f t="shared" si="29"/>
        <v/>
      </c>
      <c r="AB284" s="13"/>
    </row>
    <row r="285" spans="17:28" ht="15.6" customHeight="1" x14ac:dyDescent="0.3">
      <c r="Q285" s="13" t="str">
        <f t="shared" si="25"/>
        <v/>
      </c>
      <c r="R285" s="6" t="str">
        <f t="shared" si="26"/>
        <v/>
      </c>
      <c r="S285" s="6" t="str">
        <f t="shared" si="27"/>
        <v/>
      </c>
      <c r="T285" s="6" t="str">
        <f t="shared" si="28"/>
        <v/>
      </c>
      <c r="U285" s="6" t="str">
        <f t="shared" si="29"/>
        <v/>
      </c>
      <c r="AB285" s="13"/>
    </row>
    <row r="286" spans="17:28" ht="15.6" customHeight="1" x14ac:dyDescent="0.3">
      <c r="Q286" s="13" t="str">
        <f t="shared" si="25"/>
        <v/>
      </c>
      <c r="R286" s="6" t="str">
        <f t="shared" si="26"/>
        <v/>
      </c>
      <c r="S286" s="6" t="str">
        <f t="shared" si="27"/>
        <v/>
      </c>
      <c r="T286" s="6" t="str">
        <f t="shared" si="28"/>
        <v/>
      </c>
      <c r="U286" s="6" t="str">
        <f t="shared" si="29"/>
        <v/>
      </c>
      <c r="AB286" s="13"/>
    </row>
    <row r="287" spans="17:28" ht="15.6" customHeight="1" x14ac:dyDescent="0.3">
      <c r="Q287" s="13" t="str">
        <f t="shared" si="25"/>
        <v/>
      </c>
      <c r="R287" s="6" t="str">
        <f t="shared" si="26"/>
        <v/>
      </c>
      <c r="S287" s="6" t="str">
        <f t="shared" si="27"/>
        <v/>
      </c>
      <c r="T287" s="6" t="str">
        <f t="shared" si="28"/>
        <v/>
      </c>
      <c r="U287" s="6" t="str">
        <f t="shared" si="29"/>
        <v/>
      </c>
      <c r="AB287" s="13"/>
    </row>
    <row r="288" spans="17:28" ht="15.6" customHeight="1" x14ac:dyDescent="0.3">
      <c r="Q288" s="13" t="str">
        <f t="shared" si="25"/>
        <v/>
      </c>
      <c r="R288" s="6" t="str">
        <f t="shared" si="26"/>
        <v/>
      </c>
      <c r="S288" s="6" t="str">
        <f t="shared" si="27"/>
        <v/>
      </c>
      <c r="T288" s="6" t="str">
        <f t="shared" si="28"/>
        <v/>
      </c>
      <c r="U288" s="6" t="str">
        <f t="shared" si="29"/>
        <v/>
      </c>
      <c r="AB288" s="13"/>
    </row>
    <row r="289" spans="17:28" ht="15.6" customHeight="1" x14ac:dyDescent="0.3">
      <c r="Q289" s="13" t="str">
        <f t="shared" si="25"/>
        <v/>
      </c>
      <c r="R289" s="6" t="str">
        <f t="shared" si="26"/>
        <v/>
      </c>
      <c r="S289" s="6" t="str">
        <f t="shared" si="27"/>
        <v/>
      </c>
      <c r="T289" s="6" t="str">
        <f t="shared" si="28"/>
        <v/>
      </c>
      <c r="U289" s="6" t="str">
        <f t="shared" si="29"/>
        <v/>
      </c>
      <c r="AB289" s="13"/>
    </row>
    <row r="290" spans="17:28" ht="15.6" customHeight="1" x14ac:dyDescent="0.3">
      <c r="Q290" s="13" t="str">
        <f t="shared" si="25"/>
        <v/>
      </c>
      <c r="R290" s="6" t="str">
        <f t="shared" si="26"/>
        <v/>
      </c>
      <c r="S290" s="6" t="str">
        <f t="shared" si="27"/>
        <v/>
      </c>
      <c r="T290" s="6" t="str">
        <f t="shared" si="28"/>
        <v/>
      </c>
      <c r="U290" s="6" t="str">
        <f t="shared" si="29"/>
        <v/>
      </c>
      <c r="AB290" s="13"/>
    </row>
    <row r="291" spans="17:28" ht="15.6" customHeight="1" x14ac:dyDescent="0.3">
      <c r="Q291" s="13" t="str">
        <f t="shared" si="25"/>
        <v/>
      </c>
      <c r="R291" s="6" t="str">
        <f t="shared" si="26"/>
        <v/>
      </c>
      <c r="S291" s="6" t="str">
        <f t="shared" si="27"/>
        <v/>
      </c>
      <c r="T291" s="6" t="str">
        <f t="shared" si="28"/>
        <v/>
      </c>
      <c r="U291" s="6" t="str">
        <f t="shared" si="29"/>
        <v/>
      </c>
      <c r="AB291" s="13"/>
    </row>
    <row r="292" spans="17:28" ht="15.6" customHeight="1" x14ac:dyDescent="0.3">
      <c r="Q292" s="13" t="str">
        <f t="shared" si="25"/>
        <v/>
      </c>
      <c r="R292" s="6" t="str">
        <f t="shared" si="26"/>
        <v/>
      </c>
      <c r="S292" s="6" t="str">
        <f t="shared" si="27"/>
        <v/>
      </c>
      <c r="T292" s="6" t="str">
        <f t="shared" si="28"/>
        <v/>
      </c>
      <c r="U292" s="6" t="str">
        <f t="shared" si="29"/>
        <v/>
      </c>
      <c r="AB292" s="13"/>
    </row>
    <row r="293" spans="17:28" ht="15.6" customHeight="1" x14ac:dyDescent="0.3">
      <c r="Q293" s="13" t="str">
        <f t="shared" si="25"/>
        <v/>
      </c>
      <c r="R293" s="6" t="str">
        <f t="shared" si="26"/>
        <v/>
      </c>
      <c r="S293" s="6" t="str">
        <f t="shared" si="27"/>
        <v/>
      </c>
      <c r="T293" s="6" t="str">
        <f t="shared" si="28"/>
        <v/>
      </c>
      <c r="U293" s="6" t="str">
        <f t="shared" si="29"/>
        <v/>
      </c>
      <c r="AB293" s="13"/>
    </row>
    <row r="294" spans="17:28" ht="15.6" customHeight="1" x14ac:dyDescent="0.3">
      <c r="Q294" s="13" t="str">
        <f t="shared" si="25"/>
        <v/>
      </c>
      <c r="R294" s="6" t="str">
        <f t="shared" si="26"/>
        <v/>
      </c>
      <c r="S294" s="6" t="str">
        <f t="shared" si="27"/>
        <v/>
      </c>
      <c r="T294" s="6" t="str">
        <f t="shared" si="28"/>
        <v/>
      </c>
      <c r="U294" s="6" t="str">
        <f t="shared" si="29"/>
        <v/>
      </c>
      <c r="AB294" s="13"/>
    </row>
    <row r="295" spans="17:28" ht="15.6" customHeight="1" x14ac:dyDescent="0.3">
      <c r="Q295" s="13" t="str">
        <f t="shared" si="25"/>
        <v/>
      </c>
      <c r="R295" s="6" t="str">
        <f t="shared" si="26"/>
        <v/>
      </c>
      <c r="S295" s="6" t="str">
        <f t="shared" si="27"/>
        <v/>
      </c>
      <c r="T295" s="6" t="str">
        <f t="shared" si="28"/>
        <v/>
      </c>
      <c r="U295" s="6" t="str">
        <f t="shared" si="29"/>
        <v/>
      </c>
      <c r="AB295" s="13"/>
    </row>
    <row r="296" spans="17:28" ht="15.6" customHeight="1" x14ac:dyDescent="0.3">
      <c r="Q296" s="13" t="str">
        <f t="shared" si="25"/>
        <v/>
      </c>
      <c r="R296" s="6" t="str">
        <f t="shared" si="26"/>
        <v/>
      </c>
      <c r="S296" s="6" t="str">
        <f t="shared" si="27"/>
        <v/>
      </c>
      <c r="T296" s="6" t="str">
        <f t="shared" si="28"/>
        <v/>
      </c>
      <c r="U296" s="6" t="str">
        <f t="shared" si="29"/>
        <v/>
      </c>
      <c r="AB296" s="13"/>
    </row>
    <row r="297" spans="17:28" ht="15.6" customHeight="1" x14ac:dyDescent="0.3">
      <c r="Q297" s="13" t="str">
        <f t="shared" si="25"/>
        <v/>
      </c>
      <c r="R297" s="6" t="str">
        <f t="shared" si="26"/>
        <v/>
      </c>
      <c r="S297" s="6" t="str">
        <f t="shared" si="27"/>
        <v/>
      </c>
      <c r="T297" s="6" t="str">
        <f t="shared" si="28"/>
        <v/>
      </c>
      <c r="U297" s="6" t="str">
        <f t="shared" si="29"/>
        <v/>
      </c>
      <c r="AB297" s="13"/>
    </row>
    <row r="298" spans="17:28" ht="15.6" customHeight="1" x14ac:dyDescent="0.3">
      <c r="Q298" s="13" t="str">
        <f t="shared" si="25"/>
        <v/>
      </c>
      <c r="R298" s="6" t="str">
        <f t="shared" si="26"/>
        <v/>
      </c>
      <c r="S298" s="6" t="str">
        <f t="shared" si="27"/>
        <v/>
      </c>
      <c r="T298" s="6" t="str">
        <f t="shared" si="28"/>
        <v/>
      </c>
      <c r="U298" s="6" t="str">
        <f t="shared" si="29"/>
        <v/>
      </c>
      <c r="AB298" s="13"/>
    </row>
    <row r="299" spans="17:28" ht="15.6" customHeight="1" x14ac:dyDescent="0.3">
      <c r="Q299" s="13" t="str">
        <f t="shared" si="25"/>
        <v/>
      </c>
      <c r="R299" s="6" t="str">
        <f t="shared" si="26"/>
        <v/>
      </c>
      <c r="S299" s="6" t="str">
        <f t="shared" si="27"/>
        <v/>
      </c>
      <c r="T299" s="6" t="str">
        <f t="shared" si="28"/>
        <v/>
      </c>
      <c r="U299" s="6" t="str">
        <f t="shared" si="29"/>
        <v/>
      </c>
      <c r="AB299" s="13"/>
    </row>
    <row r="300" spans="17:28" ht="15.6" customHeight="1" x14ac:dyDescent="0.3">
      <c r="Q300" s="13" t="str">
        <f t="shared" si="25"/>
        <v/>
      </c>
      <c r="R300" s="6" t="str">
        <f t="shared" si="26"/>
        <v/>
      </c>
      <c r="S300" s="6" t="str">
        <f t="shared" si="27"/>
        <v/>
      </c>
      <c r="T300" s="6" t="str">
        <f t="shared" si="28"/>
        <v/>
      </c>
      <c r="U300" s="6" t="str">
        <f t="shared" si="29"/>
        <v/>
      </c>
      <c r="AB300" s="13"/>
    </row>
    <row r="301" spans="17:28" ht="15.6" customHeight="1" x14ac:dyDescent="0.3">
      <c r="Q301" s="13" t="str">
        <f t="shared" si="25"/>
        <v/>
      </c>
      <c r="R301" s="6" t="str">
        <f t="shared" si="26"/>
        <v/>
      </c>
      <c r="S301" s="6" t="str">
        <f t="shared" si="27"/>
        <v/>
      </c>
      <c r="T301" s="6" t="str">
        <f t="shared" si="28"/>
        <v/>
      </c>
      <c r="U301" s="6" t="str">
        <f t="shared" si="29"/>
        <v/>
      </c>
      <c r="AB301" s="13"/>
    </row>
    <row r="302" spans="17:28" ht="15.6" customHeight="1" x14ac:dyDescent="0.3">
      <c r="Q302" s="13" t="str">
        <f t="shared" si="25"/>
        <v/>
      </c>
      <c r="R302" s="6" t="str">
        <f t="shared" si="26"/>
        <v/>
      </c>
      <c r="S302" s="6" t="str">
        <f t="shared" si="27"/>
        <v/>
      </c>
      <c r="T302" s="6" t="str">
        <f t="shared" si="28"/>
        <v/>
      </c>
      <c r="U302" s="6" t="str">
        <f t="shared" si="29"/>
        <v/>
      </c>
      <c r="AB302" s="13"/>
    </row>
    <row r="303" spans="17:28" ht="15.6" customHeight="1" x14ac:dyDescent="0.3">
      <c r="Q303" s="13" t="str">
        <f t="shared" si="25"/>
        <v/>
      </c>
      <c r="R303" s="6" t="str">
        <f t="shared" si="26"/>
        <v/>
      </c>
      <c r="S303" s="6" t="str">
        <f t="shared" si="27"/>
        <v/>
      </c>
      <c r="T303" s="6" t="str">
        <f t="shared" si="28"/>
        <v/>
      </c>
      <c r="U303" s="6" t="str">
        <f t="shared" si="29"/>
        <v/>
      </c>
      <c r="AB303" s="13"/>
    </row>
    <row r="304" spans="17:28" ht="15.6" customHeight="1" x14ac:dyDescent="0.3">
      <c r="Q304" s="13" t="str">
        <f t="shared" si="25"/>
        <v/>
      </c>
      <c r="R304" s="6" t="str">
        <f t="shared" si="26"/>
        <v/>
      </c>
      <c r="S304" s="6" t="str">
        <f t="shared" si="27"/>
        <v/>
      </c>
      <c r="T304" s="6" t="str">
        <f t="shared" si="28"/>
        <v/>
      </c>
      <c r="U304" s="6" t="str">
        <f t="shared" si="29"/>
        <v/>
      </c>
      <c r="AB304" s="13"/>
    </row>
    <row r="305" spans="17:28" ht="15.6" customHeight="1" x14ac:dyDescent="0.3">
      <c r="Q305" s="13" t="str">
        <f t="shared" si="25"/>
        <v/>
      </c>
      <c r="R305" s="6" t="str">
        <f t="shared" si="26"/>
        <v/>
      </c>
      <c r="S305" s="6" t="str">
        <f t="shared" si="27"/>
        <v/>
      </c>
      <c r="T305" s="6" t="str">
        <f t="shared" si="28"/>
        <v/>
      </c>
      <c r="U305" s="6" t="str">
        <f t="shared" si="29"/>
        <v/>
      </c>
      <c r="AB305" s="13"/>
    </row>
    <row r="306" spans="17:28" ht="15.6" customHeight="1" x14ac:dyDescent="0.3">
      <c r="Q306" s="13" t="str">
        <f t="shared" si="25"/>
        <v/>
      </c>
      <c r="R306" s="6" t="str">
        <f t="shared" si="26"/>
        <v/>
      </c>
      <c r="S306" s="6" t="str">
        <f t="shared" si="27"/>
        <v/>
      </c>
      <c r="T306" s="6" t="str">
        <f t="shared" si="28"/>
        <v/>
      </c>
      <c r="U306" s="6" t="str">
        <f t="shared" si="29"/>
        <v/>
      </c>
      <c r="AB306" s="13"/>
    </row>
    <row r="307" spans="17:28" ht="15.6" customHeight="1" x14ac:dyDescent="0.3">
      <c r="Q307" s="13" t="str">
        <f t="shared" si="25"/>
        <v/>
      </c>
      <c r="R307" s="6" t="str">
        <f t="shared" si="26"/>
        <v/>
      </c>
      <c r="S307" s="6" t="str">
        <f t="shared" si="27"/>
        <v/>
      </c>
      <c r="T307" s="6" t="str">
        <f t="shared" si="28"/>
        <v/>
      </c>
      <c r="U307" s="6" t="str">
        <f t="shared" si="29"/>
        <v/>
      </c>
      <c r="AB307" s="13"/>
    </row>
    <row r="308" spans="17:28" ht="15.6" customHeight="1" x14ac:dyDescent="0.3">
      <c r="Q308" s="13" t="str">
        <f t="shared" si="25"/>
        <v/>
      </c>
      <c r="R308" s="6" t="str">
        <f t="shared" si="26"/>
        <v/>
      </c>
      <c r="S308" s="6" t="str">
        <f t="shared" si="27"/>
        <v/>
      </c>
      <c r="T308" s="6" t="str">
        <f t="shared" si="28"/>
        <v/>
      </c>
      <c r="U308" s="6" t="str">
        <f t="shared" si="29"/>
        <v/>
      </c>
      <c r="AB308" s="13"/>
    </row>
    <row r="309" spans="17:28" ht="15.6" customHeight="1" x14ac:dyDescent="0.3">
      <c r="Q309" s="13" t="str">
        <f t="shared" si="25"/>
        <v/>
      </c>
      <c r="R309" s="6" t="str">
        <f t="shared" si="26"/>
        <v/>
      </c>
      <c r="S309" s="6" t="str">
        <f t="shared" si="27"/>
        <v/>
      </c>
      <c r="T309" s="6" t="str">
        <f t="shared" si="28"/>
        <v/>
      </c>
      <c r="U309" s="6" t="str">
        <f t="shared" si="29"/>
        <v/>
      </c>
      <c r="AB309" s="13"/>
    </row>
    <row r="310" spans="17:28" ht="15.6" customHeight="1" x14ac:dyDescent="0.3">
      <c r="Q310" s="13" t="str">
        <f t="shared" si="25"/>
        <v/>
      </c>
      <c r="R310" s="6" t="str">
        <f t="shared" si="26"/>
        <v/>
      </c>
      <c r="S310" s="6" t="str">
        <f t="shared" si="27"/>
        <v/>
      </c>
      <c r="T310" s="6" t="str">
        <f t="shared" si="28"/>
        <v/>
      </c>
      <c r="U310" s="6" t="str">
        <f t="shared" si="29"/>
        <v/>
      </c>
      <c r="AB310" s="13"/>
    </row>
    <row r="311" spans="17:28" ht="15.6" customHeight="1" x14ac:dyDescent="0.3">
      <c r="Q311" s="13" t="str">
        <f t="shared" si="25"/>
        <v/>
      </c>
      <c r="R311" s="6" t="str">
        <f t="shared" si="26"/>
        <v/>
      </c>
      <c r="S311" s="6" t="str">
        <f t="shared" si="27"/>
        <v/>
      </c>
      <c r="T311" s="6" t="str">
        <f t="shared" si="28"/>
        <v/>
      </c>
      <c r="U311" s="6" t="str">
        <f t="shared" si="29"/>
        <v/>
      </c>
      <c r="AB311" s="13"/>
    </row>
    <row r="312" spans="17:28" ht="15.6" customHeight="1" x14ac:dyDescent="0.3">
      <c r="Q312" s="13" t="str">
        <f t="shared" si="25"/>
        <v/>
      </c>
      <c r="R312" s="6" t="str">
        <f t="shared" si="26"/>
        <v/>
      </c>
      <c r="S312" s="6" t="str">
        <f t="shared" si="27"/>
        <v/>
      </c>
      <c r="T312" s="6" t="str">
        <f t="shared" si="28"/>
        <v/>
      </c>
      <c r="U312" s="6" t="str">
        <f t="shared" si="29"/>
        <v/>
      </c>
      <c r="AB312" s="13"/>
    </row>
    <row r="313" spans="17:28" ht="15.6" customHeight="1" x14ac:dyDescent="0.3">
      <c r="Q313" s="13" t="str">
        <f t="shared" si="25"/>
        <v/>
      </c>
      <c r="R313" s="6" t="str">
        <f t="shared" si="26"/>
        <v/>
      </c>
      <c r="S313" s="6" t="str">
        <f t="shared" si="27"/>
        <v/>
      </c>
      <c r="T313" s="6" t="str">
        <f t="shared" si="28"/>
        <v/>
      </c>
      <c r="U313" s="6" t="str">
        <f t="shared" si="29"/>
        <v/>
      </c>
      <c r="AB313" s="13"/>
    </row>
    <row r="314" spans="17:28" ht="15.6" customHeight="1" x14ac:dyDescent="0.3">
      <c r="Q314" s="13" t="str">
        <f t="shared" si="25"/>
        <v/>
      </c>
      <c r="R314" s="6" t="str">
        <f t="shared" si="26"/>
        <v/>
      </c>
      <c r="S314" s="6" t="str">
        <f t="shared" si="27"/>
        <v/>
      </c>
      <c r="T314" s="6" t="str">
        <f t="shared" si="28"/>
        <v/>
      </c>
      <c r="U314" s="6" t="str">
        <f t="shared" si="29"/>
        <v/>
      </c>
      <c r="AB314" s="13"/>
    </row>
    <row r="315" spans="17:28" ht="15.6" customHeight="1" x14ac:dyDescent="0.3">
      <c r="Q315" s="13" t="str">
        <f t="shared" si="25"/>
        <v/>
      </c>
      <c r="R315" s="6" t="str">
        <f t="shared" si="26"/>
        <v/>
      </c>
      <c r="S315" s="6" t="str">
        <f t="shared" si="27"/>
        <v/>
      </c>
      <c r="T315" s="6" t="str">
        <f t="shared" si="28"/>
        <v/>
      </c>
      <c r="U315" s="6" t="str">
        <f t="shared" si="29"/>
        <v/>
      </c>
      <c r="AB315" s="13"/>
    </row>
    <row r="316" spans="17:28" ht="15.6" customHeight="1" x14ac:dyDescent="0.3">
      <c r="Q316" s="13" t="str">
        <f t="shared" si="25"/>
        <v/>
      </c>
      <c r="R316" s="6" t="str">
        <f t="shared" si="26"/>
        <v/>
      </c>
      <c r="S316" s="6" t="str">
        <f t="shared" si="27"/>
        <v/>
      </c>
      <c r="T316" s="6" t="str">
        <f t="shared" si="28"/>
        <v/>
      </c>
      <c r="U316" s="6" t="str">
        <f t="shared" si="29"/>
        <v/>
      </c>
      <c r="AB316" s="13"/>
    </row>
    <row r="317" spans="17:28" ht="15.6" customHeight="1" x14ac:dyDescent="0.3">
      <c r="Q317" s="13" t="str">
        <f t="shared" si="25"/>
        <v/>
      </c>
      <c r="R317" s="6" t="str">
        <f t="shared" si="26"/>
        <v/>
      </c>
      <c r="S317" s="6" t="str">
        <f t="shared" si="27"/>
        <v/>
      </c>
      <c r="T317" s="6" t="str">
        <f t="shared" si="28"/>
        <v/>
      </c>
      <c r="U317" s="6" t="str">
        <f t="shared" si="29"/>
        <v/>
      </c>
      <c r="AB317" s="13"/>
    </row>
    <row r="318" spans="17:28" ht="15.6" customHeight="1" x14ac:dyDescent="0.3">
      <c r="Q318" s="13" t="str">
        <f t="shared" si="25"/>
        <v/>
      </c>
      <c r="R318" s="6" t="str">
        <f t="shared" si="26"/>
        <v/>
      </c>
      <c r="S318" s="6" t="str">
        <f t="shared" si="27"/>
        <v/>
      </c>
      <c r="T318" s="6" t="str">
        <f t="shared" si="28"/>
        <v/>
      </c>
      <c r="U318" s="6" t="str">
        <f t="shared" si="29"/>
        <v/>
      </c>
      <c r="AB318" s="13"/>
    </row>
    <row r="319" spans="17:28" ht="15.6" customHeight="1" x14ac:dyDescent="0.3">
      <c r="Q319" s="13" t="str">
        <f t="shared" si="25"/>
        <v/>
      </c>
      <c r="R319" s="6" t="str">
        <f t="shared" si="26"/>
        <v/>
      </c>
      <c r="S319" s="6" t="str">
        <f t="shared" si="27"/>
        <v/>
      </c>
      <c r="T319" s="6" t="str">
        <f t="shared" si="28"/>
        <v/>
      </c>
      <c r="U319" s="6" t="str">
        <f t="shared" si="29"/>
        <v/>
      </c>
      <c r="AB319" s="13"/>
    </row>
    <row r="320" spans="17:28" ht="15.6" customHeight="1" x14ac:dyDescent="0.3">
      <c r="Q320" s="13" t="str">
        <f t="shared" si="25"/>
        <v/>
      </c>
      <c r="R320" s="6" t="str">
        <f t="shared" si="26"/>
        <v/>
      </c>
      <c r="S320" s="6" t="str">
        <f t="shared" si="27"/>
        <v/>
      </c>
      <c r="T320" s="6" t="str">
        <f t="shared" si="28"/>
        <v/>
      </c>
      <c r="U320" s="6" t="str">
        <f t="shared" si="29"/>
        <v/>
      </c>
      <c r="AB320" s="13"/>
    </row>
    <row r="321" spans="17:28" ht="15.6" customHeight="1" x14ac:dyDescent="0.3">
      <c r="Q321" s="13" t="str">
        <f t="shared" si="25"/>
        <v/>
      </c>
      <c r="R321" s="6" t="str">
        <f t="shared" si="26"/>
        <v/>
      </c>
      <c r="S321" s="6" t="str">
        <f t="shared" si="27"/>
        <v/>
      </c>
      <c r="T321" s="6" t="str">
        <f t="shared" si="28"/>
        <v/>
      </c>
      <c r="U321" s="6" t="str">
        <f t="shared" si="29"/>
        <v/>
      </c>
      <c r="AB321" s="13"/>
    </row>
    <row r="322" spans="17:28" ht="15.6" customHeight="1" x14ac:dyDescent="0.3">
      <c r="Q322" s="13" t="str">
        <f t="shared" si="25"/>
        <v/>
      </c>
      <c r="R322" s="6" t="str">
        <f t="shared" si="26"/>
        <v/>
      </c>
      <c r="S322" s="6" t="str">
        <f t="shared" si="27"/>
        <v/>
      </c>
      <c r="T322" s="6" t="str">
        <f t="shared" si="28"/>
        <v/>
      </c>
      <c r="U322" s="6" t="str">
        <f t="shared" si="29"/>
        <v/>
      </c>
      <c r="AB322" s="13"/>
    </row>
    <row r="323" spans="17:28" ht="15.6" customHeight="1" x14ac:dyDescent="0.3">
      <c r="Q323" s="13" t="str">
        <f t="shared" si="25"/>
        <v/>
      </c>
      <c r="R323" s="6" t="str">
        <f t="shared" si="26"/>
        <v/>
      </c>
      <c r="S323" s="6" t="str">
        <f t="shared" si="27"/>
        <v/>
      </c>
      <c r="T323" s="6" t="str">
        <f t="shared" si="28"/>
        <v/>
      </c>
      <c r="U323" s="6" t="str">
        <f t="shared" si="29"/>
        <v/>
      </c>
      <c r="AB323" s="13"/>
    </row>
    <row r="324" spans="17:28" ht="15.6" customHeight="1" x14ac:dyDescent="0.3">
      <c r="Q324" s="13" t="str">
        <f t="shared" ref="Q324:Q387" si="30">IF(K324="","",VLOOKUP(K324,$A$4:$H$22,8,FALSE))</f>
        <v/>
      </c>
      <c r="R324" s="6" t="str">
        <f t="shared" ref="R324:R387" si="31">IF(L324="","",VLOOKUP(L324,$A$4:$H$22,8,FALSE))</f>
        <v/>
      </c>
      <c r="S324" s="6" t="str">
        <f t="shared" ref="S324:S387" si="32">IF(M324="","",VLOOKUP(M324,$A$4:$H$22,8,FALSE))</f>
        <v/>
      </c>
      <c r="T324" s="6" t="str">
        <f t="shared" ref="T324:T387" si="33">IF(N324="","",VLOOKUP(N324,$A$4:$H$22,8,FALSE))</f>
        <v/>
      </c>
      <c r="U324" s="6" t="str">
        <f t="shared" ref="U324:U387" si="34">IF(O324="","",VLOOKUP(O324,$A$4:$H$22,8,FALSE))</f>
        <v/>
      </c>
      <c r="AB324" s="13"/>
    </row>
    <row r="325" spans="17:28" ht="15.6" customHeight="1" x14ac:dyDescent="0.3">
      <c r="Q325" s="13" t="str">
        <f t="shared" si="30"/>
        <v/>
      </c>
      <c r="R325" s="6" t="str">
        <f t="shared" si="31"/>
        <v/>
      </c>
      <c r="S325" s="6" t="str">
        <f t="shared" si="32"/>
        <v/>
      </c>
      <c r="T325" s="6" t="str">
        <f t="shared" si="33"/>
        <v/>
      </c>
      <c r="U325" s="6" t="str">
        <f t="shared" si="34"/>
        <v/>
      </c>
      <c r="AB325" s="13"/>
    </row>
    <row r="326" spans="17:28" ht="15.6" customHeight="1" x14ac:dyDescent="0.3">
      <c r="Q326" s="13" t="str">
        <f t="shared" si="30"/>
        <v/>
      </c>
      <c r="R326" s="6" t="str">
        <f t="shared" si="31"/>
        <v/>
      </c>
      <c r="S326" s="6" t="str">
        <f t="shared" si="32"/>
        <v/>
      </c>
      <c r="T326" s="6" t="str">
        <f t="shared" si="33"/>
        <v/>
      </c>
      <c r="U326" s="6" t="str">
        <f t="shared" si="34"/>
        <v/>
      </c>
      <c r="AB326" s="13"/>
    </row>
    <row r="327" spans="17:28" ht="15.6" customHeight="1" x14ac:dyDescent="0.3">
      <c r="Q327" s="13" t="str">
        <f t="shared" si="30"/>
        <v/>
      </c>
      <c r="R327" s="6" t="str">
        <f t="shared" si="31"/>
        <v/>
      </c>
      <c r="S327" s="6" t="str">
        <f t="shared" si="32"/>
        <v/>
      </c>
      <c r="T327" s="6" t="str">
        <f t="shared" si="33"/>
        <v/>
      </c>
      <c r="U327" s="6" t="str">
        <f t="shared" si="34"/>
        <v/>
      </c>
      <c r="AB327" s="13"/>
    </row>
    <row r="328" spans="17:28" ht="15.6" customHeight="1" x14ac:dyDescent="0.3">
      <c r="Q328" s="13" t="str">
        <f t="shared" si="30"/>
        <v/>
      </c>
      <c r="R328" s="6" t="str">
        <f t="shared" si="31"/>
        <v/>
      </c>
      <c r="S328" s="6" t="str">
        <f t="shared" si="32"/>
        <v/>
      </c>
      <c r="T328" s="6" t="str">
        <f t="shared" si="33"/>
        <v/>
      </c>
      <c r="U328" s="6" t="str">
        <f t="shared" si="34"/>
        <v/>
      </c>
      <c r="AB328" s="13"/>
    </row>
    <row r="329" spans="17:28" ht="15.6" customHeight="1" x14ac:dyDescent="0.3">
      <c r="Q329" s="13" t="str">
        <f t="shared" si="30"/>
        <v/>
      </c>
      <c r="R329" s="6" t="str">
        <f t="shared" si="31"/>
        <v/>
      </c>
      <c r="S329" s="6" t="str">
        <f t="shared" si="32"/>
        <v/>
      </c>
      <c r="T329" s="6" t="str">
        <f t="shared" si="33"/>
        <v/>
      </c>
      <c r="U329" s="6" t="str">
        <f t="shared" si="34"/>
        <v/>
      </c>
      <c r="AB329" s="13"/>
    </row>
    <row r="330" spans="17:28" ht="15.6" customHeight="1" x14ac:dyDescent="0.3">
      <c r="Q330" s="13" t="str">
        <f t="shared" si="30"/>
        <v/>
      </c>
      <c r="R330" s="6" t="str">
        <f t="shared" si="31"/>
        <v/>
      </c>
      <c r="S330" s="6" t="str">
        <f t="shared" si="32"/>
        <v/>
      </c>
      <c r="T330" s="6" t="str">
        <f t="shared" si="33"/>
        <v/>
      </c>
      <c r="U330" s="6" t="str">
        <f t="shared" si="34"/>
        <v/>
      </c>
      <c r="AB330" s="13"/>
    </row>
    <row r="331" spans="17:28" ht="15.6" customHeight="1" x14ac:dyDescent="0.3">
      <c r="Q331" s="13" t="str">
        <f t="shared" si="30"/>
        <v/>
      </c>
      <c r="R331" s="6" t="str">
        <f t="shared" si="31"/>
        <v/>
      </c>
      <c r="S331" s="6" t="str">
        <f t="shared" si="32"/>
        <v/>
      </c>
      <c r="T331" s="6" t="str">
        <f t="shared" si="33"/>
        <v/>
      </c>
      <c r="U331" s="6" t="str">
        <f t="shared" si="34"/>
        <v/>
      </c>
      <c r="AB331" s="13"/>
    </row>
    <row r="332" spans="17:28" ht="15.6" customHeight="1" x14ac:dyDescent="0.3">
      <c r="Q332" s="13" t="str">
        <f t="shared" si="30"/>
        <v/>
      </c>
      <c r="R332" s="6" t="str">
        <f t="shared" si="31"/>
        <v/>
      </c>
      <c r="S332" s="6" t="str">
        <f t="shared" si="32"/>
        <v/>
      </c>
      <c r="T332" s="6" t="str">
        <f t="shared" si="33"/>
        <v/>
      </c>
      <c r="U332" s="6" t="str">
        <f t="shared" si="34"/>
        <v/>
      </c>
      <c r="AB332" s="13"/>
    </row>
    <row r="333" spans="17:28" ht="15.6" customHeight="1" x14ac:dyDescent="0.3">
      <c r="Q333" s="13" t="str">
        <f t="shared" si="30"/>
        <v/>
      </c>
      <c r="R333" s="6" t="str">
        <f t="shared" si="31"/>
        <v/>
      </c>
      <c r="S333" s="6" t="str">
        <f t="shared" si="32"/>
        <v/>
      </c>
      <c r="T333" s="6" t="str">
        <f t="shared" si="33"/>
        <v/>
      </c>
      <c r="U333" s="6" t="str">
        <f t="shared" si="34"/>
        <v/>
      </c>
      <c r="AB333" s="13"/>
    </row>
    <row r="334" spans="17:28" ht="15.6" customHeight="1" x14ac:dyDescent="0.3">
      <c r="Q334" s="13" t="str">
        <f t="shared" si="30"/>
        <v/>
      </c>
      <c r="R334" s="6" t="str">
        <f t="shared" si="31"/>
        <v/>
      </c>
      <c r="S334" s="6" t="str">
        <f t="shared" si="32"/>
        <v/>
      </c>
      <c r="T334" s="6" t="str">
        <f t="shared" si="33"/>
        <v/>
      </c>
      <c r="U334" s="6" t="str">
        <f t="shared" si="34"/>
        <v/>
      </c>
      <c r="AB334" s="13"/>
    </row>
    <row r="335" spans="17:28" ht="15.6" customHeight="1" x14ac:dyDescent="0.3">
      <c r="Q335" s="13" t="str">
        <f t="shared" si="30"/>
        <v/>
      </c>
      <c r="R335" s="6" t="str">
        <f t="shared" si="31"/>
        <v/>
      </c>
      <c r="S335" s="6" t="str">
        <f t="shared" si="32"/>
        <v/>
      </c>
      <c r="T335" s="6" t="str">
        <f t="shared" si="33"/>
        <v/>
      </c>
      <c r="U335" s="6" t="str">
        <f t="shared" si="34"/>
        <v/>
      </c>
      <c r="AB335" s="13"/>
    </row>
    <row r="336" spans="17:28" ht="15.6" customHeight="1" x14ac:dyDescent="0.3">
      <c r="Q336" s="13" t="str">
        <f t="shared" si="30"/>
        <v/>
      </c>
      <c r="R336" s="6" t="str">
        <f t="shared" si="31"/>
        <v/>
      </c>
      <c r="S336" s="6" t="str">
        <f t="shared" si="32"/>
        <v/>
      </c>
      <c r="T336" s="6" t="str">
        <f t="shared" si="33"/>
        <v/>
      </c>
      <c r="U336" s="6" t="str">
        <f t="shared" si="34"/>
        <v/>
      </c>
      <c r="AB336" s="13"/>
    </row>
    <row r="337" spans="17:28" ht="15.6" customHeight="1" x14ac:dyDescent="0.3">
      <c r="Q337" s="13" t="str">
        <f t="shared" si="30"/>
        <v/>
      </c>
      <c r="R337" s="6" t="str">
        <f t="shared" si="31"/>
        <v/>
      </c>
      <c r="S337" s="6" t="str">
        <f t="shared" si="32"/>
        <v/>
      </c>
      <c r="T337" s="6" t="str">
        <f t="shared" si="33"/>
        <v/>
      </c>
      <c r="U337" s="6" t="str">
        <f t="shared" si="34"/>
        <v/>
      </c>
      <c r="AB337" s="13"/>
    </row>
    <row r="338" spans="17:28" ht="15.6" customHeight="1" x14ac:dyDescent="0.3">
      <c r="Q338" s="13" t="str">
        <f t="shared" si="30"/>
        <v/>
      </c>
      <c r="R338" s="6" t="str">
        <f t="shared" si="31"/>
        <v/>
      </c>
      <c r="S338" s="6" t="str">
        <f t="shared" si="32"/>
        <v/>
      </c>
      <c r="T338" s="6" t="str">
        <f t="shared" si="33"/>
        <v/>
      </c>
      <c r="U338" s="6" t="str">
        <f t="shared" si="34"/>
        <v/>
      </c>
      <c r="AB338" s="13"/>
    </row>
    <row r="339" spans="17:28" ht="15.6" customHeight="1" x14ac:dyDescent="0.3">
      <c r="Q339" s="13" t="str">
        <f t="shared" si="30"/>
        <v/>
      </c>
      <c r="R339" s="6" t="str">
        <f t="shared" si="31"/>
        <v/>
      </c>
      <c r="S339" s="6" t="str">
        <f t="shared" si="32"/>
        <v/>
      </c>
      <c r="T339" s="6" t="str">
        <f t="shared" si="33"/>
        <v/>
      </c>
      <c r="U339" s="6" t="str">
        <f t="shared" si="34"/>
        <v/>
      </c>
      <c r="AB339" s="13"/>
    </row>
    <row r="340" spans="17:28" ht="15.6" customHeight="1" x14ac:dyDescent="0.3">
      <c r="Q340" s="13" t="str">
        <f t="shared" si="30"/>
        <v/>
      </c>
      <c r="R340" s="6" t="str">
        <f t="shared" si="31"/>
        <v/>
      </c>
      <c r="S340" s="6" t="str">
        <f t="shared" si="32"/>
        <v/>
      </c>
      <c r="T340" s="6" t="str">
        <f t="shared" si="33"/>
        <v/>
      </c>
      <c r="U340" s="6" t="str">
        <f t="shared" si="34"/>
        <v/>
      </c>
      <c r="AB340" s="13"/>
    </row>
    <row r="341" spans="17:28" ht="15.6" customHeight="1" x14ac:dyDescent="0.3">
      <c r="Q341" s="13" t="str">
        <f t="shared" si="30"/>
        <v/>
      </c>
      <c r="R341" s="6" t="str">
        <f t="shared" si="31"/>
        <v/>
      </c>
      <c r="S341" s="6" t="str">
        <f t="shared" si="32"/>
        <v/>
      </c>
      <c r="T341" s="6" t="str">
        <f t="shared" si="33"/>
        <v/>
      </c>
      <c r="U341" s="6" t="str">
        <f t="shared" si="34"/>
        <v/>
      </c>
      <c r="AB341" s="13"/>
    </row>
    <row r="342" spans="17:28" ht="15.6" customHeight="1" x14ac:dyDescent="0.3">
      <c r="Q342" s="13" t="str">
        <f t="shared" si="30"/>
        <v/>
      </c>
      <c r="R342" s="6" t="str">
        <f t="shared" si="31"/>
        <v/>
      </c>
      <c r="S342" s="6" t="str">
        <f t="shared" si="32"/>
        <v/>
      </c>
      <c r="T342" s="6" t="str">
        <f t="shared" si="33"/>
        <v/>
      </c>
      <c r="U342" s="6" t="str">
        <f t="shared" si="34"/>
        <v/>
      </c>
      <c r="AB342" s="13"/>
    </row>
    <row r="343" spans="17:28" ht="15.6" customHeight="1" x14ac:dyDescent="0.3">
      <c r="Q343" s="13" t="str">
        <f t="shared" si="30"/>
        <v/>
      </c>
      <c r="R343" s="6" t="str">
        <f t="shared" si="31"/>
        <v/>
      </c>
      <c r="S343" s="6" t="str">
        <f t="shared" si="32"/>
        <v/>
      </c>
      <c r="T343" s="6" t="str">
        <f t="shared" si="33"/>
        <v/>
      </c>
      <c r="U343" s="6" t="str">
        <f t="shared" si="34"/>
        <v/>
      </c>
      <c r="AB343" s="13"/>
    </row>
    <row r="344" spans="17:28" ht="15.6" customHeight="1" x14ac:dyDescent="0.3">
      <c r="Q344" s="13" t="str">
        <f t="shared" si="30"/>
        <v/>
      </c>
      <c r="R344" s="6" t="str">
        <f t="shared" si="31"/>
        <v/>
      </c>
      <c r="S344" s="6" t="str">
        <f t="shared" si="32"/>
        <v/>
      </c>
      <c r="T344" s="6" t="str">
        <f t="shared" si="33"/>
        <v/>
      </c>
      <c r="U344" s="6" t="str">
        <f t="shared" si="34"/>
        <v/>
      </c>
      <c r="AB344" s="13"/>
    </row>
    <row r="345" spans="17:28" ht="15.6" customHeight="1" x14ac:dyDescent="0.3">
      <c r="Q345" s="13" t="str">
        <f t="shared" si="30"/>
        <v/>
      </c>
      <c r="R345" s="6" t="str">
        <f t="shared" si="31"/>
        <v/>
      </c>
      <c r="S345" s="6" t="str">
        <f t="shared" si="32"/>
        <v/>
      </c>
      <c r="T345" s="6" t="str">
        <f t="shared" si="33"/>
        <v/>
      </c>
      <c r="U345" s="6" t="str">
        <f t="shared" si="34"/>
        <v/>
      </c>
      <c r="AB345" s="13"/>
    </row>
    <row r="346" spans="17:28" ht="15.6" customHeight="1" x14ac:dyDescent="0.3">
      <c r="Q346" s="13" t="str">
        <f t="shared" si="30"/>
        <v/>
      </c>
      <c r="R346" s="6" t="str">
        <f t="shared" si="31"/>
        <v/>
      </c>
      <c r="S346" s="6" t="str">
        <f t="shared" si="32"/>
        <v/>
      </c>
      <c r="T346" s="6" t="str">
        <f t="shared" si="33"/>
        <v/>
      </c>
      <c r="U346" s="6" t="str">
        <f t="shared" si="34"/>
        <v/>
      </c>
      <c r="AB346" s="13"/>
    </row>
    <row r="347" spans="17:28" ht="15.6" customHeight="1" x14ac:dyDescent="0.3">
      <c r="Q347" s="13" t="str">
        <f t="shared" si="30"/>
        <v/>
      </c>
      <c r="R347" s="6" t="str">
        <f t="shared" si="31"/>
        <v/>
      </c>
      <c r="S347" s="6" t="str">
        <f t="shared" si="32"/>
        <v/>
      </c>
      <c r="T347" s="6" t="str">
        <f t="shared" si="33"/>
        <v/>
      </c>
      <c r="U347" s="6" t="str">
        <f t="shared" si="34"/>
        <v/>
      </c>
      <c r="AB347" s="13"/>
    </row>
    <row r="348" spans="17:28" ht="15.6" customHeight="1" x14ac:dyDescent="0.3">
      <c r="Q348" s="13" t="str">
        <f t="shared" si="30"/>
        <v/>
      </c>
      <c r="R348" s="6" t="str">
        <f t="shared" si="31"/>
        <v/>
      </c>
      <c r="S348" s="6" t="str">
        <f t="shared" si="32"/>
        <v/>
      </c>
      <c r="T348" s="6" t="str">
        <f t="shared" si="33"/>
        <v/>
      </c>
      <c r="U348" s="6" t="str">
        <f t="shared" si="34"/>
        <v/>
      </c>
      <c r="AB348" s="13"/>
    </row>
    <row r="349" spans="17:28" ht="15.6" customHeight="1" x14ac:dyDescent="0.3">
      <c r="Q349" s="13" t="str">
        <f t="shared" si="30"/>
        <v/>
      </c>
      <c r="R349" s="6" t="str">
        <f t="shared" si="31"/>
        <v/>
      </c>
      <c r="S349" s="6" t="str">
        <f t="shared" si="32"/>
        <v/>
      </c>
      <c r="T349" s="6" t="str">
        <f t="shared" si="33"/>
        <v/>
      </c>
      <c r="U349" s="6" t="str">
        <f t="shared" si="34"/>
        <v/>
      </c>
      <c r="AB349" s="13"/>
    </row>
    <row r="350" spans="17:28" ht="15.6" customHeight="1" x14ac:dyDescent="0.3">
      <c r="Q350" s="13" t="str">
        <f t="shared" si="30"/>
        <v/>
      </c>
      <c r="R350" s="6" t="str">
        <f t="shared" si="31"/>
        <v/>
      </c>
      <c r="S350" s="6" t="str">
        <f t="shared" si="32"/>
        <v/>
      </c>
      <c r="T350" s="6" t="str">
        <f t="shared" si="33"/>
        <v/>
      </c>
      <c r="U350" s="6" t="str">
        <f t="shared" si="34"/>
        <v/>
      </c>
      <c r="AB350" s="13"/>
    </row>
    <row r="351" spans="17:28" ht="15.6" customHeight="1" x14ac:dyDescent="0.3">
      <c r="Q351" s="13" t="str">
        <f t="shared" si="30"/>
        <v/>
      </c>
      <c r="R351" s="6" t="str">
        <f t="shared" si="31"/>
        <v/>
      </c>
      <c r="S351" s="6" t="str">
        <f t="shared" si="32"/>
        <v/>
      </c>
      <c r="T351" s="6" t="str">
        <f t="shared" si="33"/>
        <v/>
      </c>
      <c r="U351" s="6" t="str">
        <f t="shared" si="34"/>
        <v/>
      </c>
      <c r="AB351" s="13"/>
    </row>
    <row r="352" spans="17:28" ht="15.6" customHeight="1" x14ac:dyDescent="0.3">
      <c r="Q352" s="13" t="str">
        <f t="shared" si="30"/>
        <v/>
      </c>
      <c r="R352" s="6" t="str">
        <f t="shared" si="31"/>
        <v/>
      </c>
      <c r="S352" s="6" t="str">
        <f t="shared" si="32"/>
        <v/>
      </c>
      <c r="T352" s="6" t="str">
        <f t="shared" si="33"/>
        <v/>
      </c>
      <c r="U352" s="6" t="str">
        <f t="shared" si="34"/>
        <v/>
      </c>
      <c r="AB352" s="13"/>
    </row>
    <row r="353" spans="17:28" ht="15.6" customHeight="1" x14ac:dyDescent="0.3">
      <c r="Q353" s="13" t="str">
        <f t="shared" si="30"/>
        <v/>
      </c>
      <c r="R353" s="6" t="str">
        <f t="shared" si="31"/>
        <v/>
      </c>
      <c r="S353" s="6" t="str">
        <f t="shared" si="32"/>
        <v/>
      </c>
      <c r="T353" s="6" t="str">
        <f t="shared" si="33"/>
        <v/>
      </c>
      <c r="U353" s="6" t="str">
        <f t="shared" si="34"/>
        <v/>
      </c>
      <c r="AB353" s="13"/>
    </row>
    <row r="354" spans="17:28" ht="15.6" customHeight="1" x14ac:dyDescent="0.3">
      <c r="Q354" s="13" t="str">
        <f t="shared" si="30"/>
        <v/>
      </c>
      <c r="R354" s="6" t="str">
        <f t="shared" si="31"/>
        <v/>
      </c>
      <c r="S354" s="6" t="str">
        <f t="shared" si="32"/>
        <v/>
      </c>
      <c r="T354" s="6" t="str">
        <f t="shared" si="33"/>
        <v/>
      </c>
      <c r="U354" s="6" t="str">
        <f t="shared" si="34"/>
        <v/>
      </c>
      <c r="AB354" s="13"/>
    </row>
    <row r="355" spans="17:28" ht="15.6" customHeight="1" x14ac:dyDescent="0.3">
      <c r="Q355" s="13" t="str">
        <f t="shared" si="30"/>
        <v/>
      </c>
      <c r="R355" s="6" t="str">
        <f t="shared" si="31"/>
        <v/>
      </c>
      <c r="S355" s="6" t="str">
        <f t="shared" si="32"/>
        <v/>
      </c>
      <c r="T355" s="6" t="str">
        <f t="shared" si="33"/>
        <v/>
      </c>
      <c r="U355" s="6" t="str">
        <f t="shared" si="34"/>
        <v/>
      </c>
      <c r="AB355" s="13"/>
    </row>
    <row r="356" spans="17:28" ht="15.6" customHeight="1" x14ac:dyDescent="0.3">
      <c r="Q356" s="13" t="str">
        <f t="shared" si="30"/>
        <v/>
      </c>
      <c r="R356" s="6" t="str">
        <f t="shared" si="31"/>
        <v/>
      </c>
      <c r="S356" s="6" t="str">
        <f t="shared" si="32"/>
        <v/>
      </c>
      <c r="T356" s="6" t="str">
        <f t="shared" si="33"/>
        <v/>
      </c>
      <c r="U356" s="6" t="str">
        <f t="shared" si="34"/>
        <v/>
      </c>
      <c r="AB356" s="13"/>
    </row>
    <row r="357" spans="17:28" ht="15.6" customHeight="1" x14ac:dyDescent="0.3">
      <c r="Q357" s="13" t="str">
        <f t="shared" si="30"/>
        <v/>
      </c>
      <c r="R357" s="6" t="str">
        <f t="shared" si="31"/>
        <v/>
      </c>
      <c r="S357" s="6" t="str">
        <f t="shared" si="32"/>
        <v/>
      </c>
      <c r="T357" s="6" t="str">
        <f t="shared" si="33"/>
        <v/>
      </c>
      <c r="U357" s="6" t="str">
        <f t="shared" si="34"/>
        <v/>
      </c>
      <c r="AB357" s="13"/>
    </row>
    <row r="358" spans="17:28" ht="15.6" customHeight="1" x14ac:dyDescent="0.3">
      <c r="Q358" s="13" t="str">
        <f t="shared" si="30"/>
        <v/>
      </c>
      <c r="R358" s="6" t="str">
        <f t="shared" si="31"/>
        <v/>
      </c>
      <c r="S358" s="6" t="str">
        <f t="shared" si="32"/>
        <v/>
      </c>
      <c r="T358" s="6" t="str">
        <f t="shared" si="33"/>
        <v/>
      </c>
      <c r="U358" s="6" t="str">
        <f t="shared" si="34"/>
        <v/>
      </c>
      <c r="AB358" s="13"/>
    </row>
    <row r="359" spans="17:28" ht="15.6" customHeight="1" x14ac:dyDescent="0.3">
      <c r="Q359" s="13" t="str">
        <f t="shared" si="30"/>
        <v/>
      </c>
      <c r="R359" s="6" t="str">
        <f t="shared" si="31"/>
        <v/>
      </c>
      <c r="S359" s="6" t="str">
        <f t="shared" si="32"/>
        <v/>
      </c>
      <c r="T359" s="6" t="str">
        <f t="shared" si="33"/>
        <v/>
      </c>
      <c r="U359" s="6" t="str">
        <f t="shared" si="34"/>
        <v/>
      </c>
      <c r="AB359" s="13"/>
    </row>
    <row r="360" spans="17:28" ht="15.6" customHeight="1" x14ac:dyDescent="0.3">
      <c r="Q360" s="13" t="str">
        <f t="shared" si="30"/>
        <v/>
      </c>
      <c r="R360" s="6" t="str">
        <f t="shared" si="31"/>
        <v/>
      </c>
      <c r="S360" s="6" t="str">
        <f t="shared" si="32"/>
        <v/>
      </c>
      <c r="T360" s="6" t="str">
        <f t="shared" si="33"/>
        <v/>
      </c>
      <c r="U360" s="6" t="str">
        <f t="shared" si="34"/>
        <v/>
      </c>
      <c r="AB360" s="13"/>
    </row>
    <row r="361" spans="17:28" ht="15.6" customHeight="1" x14ac:dyDescent="0.3">
      <c r="Q361" s="13" t="str">
        <f t="shared" si="30"/>
        <v/>
      </c>
      <c r="R361" s="6" t="str">
        <f t="shared" si="31"/>
        <v/>
      </c>
      <c r="S361" s="6" t="str">
        <f t="shared" si="32"/>
        <v/>
      </c>
      <c r="T361" s="6" t="str">
        <f t="shared" si="33"/>
        <v/>
      </c>
      <c r="U361" s="6" t="str">
        <f t="shared" si="34"/>
        <v/>
      </c>
      <c r="AB361" s="13"/>
    </row>
    <row r="362" spans="17:28" ht="15.6" customHeight="1" x14ac:dyDescent="0.3">
      <c r="Q362" s="13" t="str">
        <f t="shared" si="30"/>
        <v/>
      </c>
      <c r="R362" s="6" t="str">
        <f t="shared" si="31"/>
        <v/>
      </c>
      <c r="S362" s="6" t="str">
        <f t="shared" si="32"/>
        <v/>
      </c>
      <c r="T362" s="6" t="str">
        <f t="shared" si="33"/>
        <v/>
      </c>
      <c r="U362" s="6" t="str">
        <f t="shared" si="34"/>
        <v/>
      </c>
      <c r="AB362" s="13"/>
    </row>
    <row r="363" spans="17:28" ht="15.6" customHeight="1" x14ac:dyDescent="0.3">
      <c r="Q363" s="13" t="str">
        <f t="shared" si="30"/>
        <v/>
      </c>
      <c r="R363" s="6" t="str">
        <f t="shared" si="31"/>
        <v/>
      </c>
      <c r="S363" s="6" t="str">
        <f t="shared" si="32"/>
        <v/>
      </c>
      <c r="T363" s="6" t="str">
        <f t="shared" si="33"/>
        <v/>
      </c>
      <c r="U363" s="6" t="str">
        <f t="shared" si="34"/>
        <v/>
      </c>
      <c r="AB363" s="13"/>
    </row>
    <row r="364" spans="17:28" ht="15.6" customHeight="1" x14ac:dyDescent="0.3">
      <c r="Q364" s="13" t="str">
        <f t="shared" si="30"/>
        <v/>
      </c>
      <c r="R364" s="6" t="str">
        <f t="shared" si="31"/>
        <v/>
      </c>
      <c r="S364" s="6" t="str">
        <f t="shared" si="32"/>
        <v/>
      </c>
      <c r="T364" s="6" t="str">
        <f t="shared" si="33"/>
        <v/>
      </c>
      <c r="U364" s="6" t="str">
        <f t="shared" si="34"/>
        <v/>
      </c>
      <c r="AB364" s="13"/>
    </row>
    <row r="365" spans="17:28" ht="15.6" customHeight="1" x14ac:dyDescent="0.3">
      <c r="Q365" s="13" t="str">
        <f t="shared" si="30"/>
        <v/>
      </c>
      <c r="R365" s="6" t="str">
        <f t="shared" si="31"/>
        <v/>
      </c>
      <c r="S365" s="6" t="str">
        <f t="shared" si="32"/>
        <v/>
      </c>
      <c r="T365" s="6" t="str">
        <f t="shared" si="33"/>
        <v/>
      </c>
      <c r="U365" s="6" t="str">
        <f t="shared" si="34"/>
        <v/>
      </c>
      <c r="AB365" s="13"/>
    </row>
    <row r="366" spans="17:28" ht="15.6" customHeight="1" x14ac:dyDescent="0.3">
      <c r="Q366" s="13" t="str">
        <f t="shared" si="30"/>
        <v/>
      </c>
      <c r="R366" s="6" t="str">
        <f t="shared" si="31"/>
        <v/>
      </c>
      <c r="S366" s="6" t="str">
        <f t="shared" si="32"/>
        <v/>
      </c>
      <c r="T366" s="6" t="str">
        <f t="shared" si="33"/>
        <v/>
      </c>
      <c r="U366" s="6" t="str">
        <f t="shared" si="34"/>
        <v/>
      </c>
      <c r="AB366" s="13"/>
    </row>
    <row r="367" spans="17:28" ht="15.6" customHeight="1" x14ac:dyDescent="0.3">
      <c r="Q367" s="13" t="str">
        <f t="shared" si="30"/>
        <v/>
      </c>
      <c r="R367" s="6" t="str">
        <f t="shared" si="31"/>
        <v/>
      </c>
      <c r="S367" s="6" t="str">
        <f t="shared" si="32"/>
        <v/>
      </c>
      <c r="T367" s="6" t="str">
        <f t="shared" si="33"/>
        <v/>
      </c>
      <c r="U367" s="6" t="str">
        <f t="shared" si="34"/>
        <v/>
      </c>
      <c r="AB367" s="13"/>
    </row>
    <row r="368" spans="17:28" ht="15.6" customHeight="1" x14ac:dyDescent="0.3">
      <c r="Q368" s="13" t="str">
        <f t="shared" si="30"/>
        <v/>
      </c>
      <c r="R368" s="6" t="str">
        <f t="shared" si="31"/>
        <v/>
      </c>
      <c r="S368" s="6" t="str">
        <f t="shared" si="32"/>
        <v/>
      </c>
      <c r="T368" s="6" t="str">
        <f t="shared" si="33"/>
        <v/>
      </c>
      <c r="U368" s="6" t="str">
        <f t="shared" si="34"/>
        <v/>
      </c>
      <c r="AB368" s="13"/>
    </row>
    <row r="369" spans="17:28" ht="15.6" customHeight="1" x14ac:dyDescent="0.3">
      <c r="Q369" s="13" t="str">
        <f t="shared" si="30"/>
        <v/>
      </c>
      <c r="R369" s="6" t="str">
        <f t="shared" si="31"/>
        <v/>
      </c>
      <c r="S369" s="6" t="str">
        <f t="shared" si="32"/>
        <v/>
      </c>
      <c r="T369" s="6" t="str">
        <f t="shared" si="33"/>
        <v/>
      </c>
      <c r="U369" s="6" t="str">
        <f t="shared" si="34"/>
        <v/>
      </c>
      <c r="AB369" s="13"/>
    </row>
    <row r="370" spans="17:28" ht="15.6" customHeight="1" x14ac:dyDescent="0.3">
      <c r="Q370" s="13" t="str">
        <f t="shared" si="30"/>
        <v/>
      </c>
      <c r="R370" s="6" t="str">
        <f t="shared" si="31"/>
        <v/>
      </c>
      <c r="S370" s="6" t="str">
        <f t="shared" si="32"/>
        <v/>
      </c>
      <c r="T370" s="6" t="str">
        <f t="shared" si="33"/>
        <v/>
      </c>
      <c r="U370" s="6" t="str">
        <f t="shared" si="34"/>
        <v/>
      </c>
      <c r="AB370" s="13"/>
    </row>
    <row r="371" spans="17:28" ht="15.6" customHeight="1" x14ac:dyDescent="0.3">
      <c r="Q371" s="13" t="str">
        <f t="shared" si="30"/>
        <v/>
      </c>
      <c r="R371" s="6" t="str">
        <f t="shared" si="31"/>
        <v/>
      </c>
      <c r="S371" s="6" t="str">
        <f t="shared" si="32"/>
        <v/>
      </c>
      <c r="T371" s="6" t="str">
        <f t="shared" si="33"/>
        <v/>
      </c>
      <c r="U371" s="6" t="str">
        <f t="shared" si="34"/>
        <v/>
      </c>
      <c r="AB371" s="13"/>
    </row>
    <row r="372" spans="17:28" ht="15.6" customHeight="1" x14ac:dyDescent="0.3">
      <c r="Q372" s="13" t="str">
        <f t="shared" si="30"/>
        <v/>
      </c>
      <c r="R372" s="6" t="str">
        <f t="shared" si="31"/>
        <v/>
      </c>
      <c r="S372" s="6" t="str">
        <f t="shared" si="32"/>
        <v/>
      </c>
      <c r="T372" s="6" t="str">
        <f t="shared" si="33"/>
        <v/>
      </c>
      <c r="U372" s="6" t="str">
        <f t="shared" si="34"/>
        <v/>
      </c>
      <c r="AB372" s="13"/>
    </row>
    <row r="373" spans="17:28" ht="15.6" customHeight="1" x14ac:dyDescent="0.3">
      <c r="Q373" s="13" t="str">
        <f t="shared" si="30"/>
        <v/>
      </c>
      <c r="R373" s="6" t="str">
        <f t="shared" si="31"/>
        <v/>
      </c>
      <c r="S373" s="6" t="str">
        <f t="shared" si="32"/>
        <v/>
      </c>
      <c r="T373" s="6" t="str">
        <f t="shared" si="33"/>
        <v/>
      </c>
      <c r="U373" s="6" t="str">
        <f t="shared" si="34"/>
        <v/>
      </c>
      <c r="AB373" s="13"/>
    </row>
    <row r="374" spans="17:28" ht="15.6" customHeight="1" x14ac:dyDescent="0.3">
      <c r="Q374" s="13" t="str">
        <f t="shared" si="30"/>
        <v/>
      </c>
      <c r="R374" s="6" t="str">
        <f t="shared" si="31"/>
        <v/>
      </c>
      <c r="S374" s="6" t="str">
        <f t="shared" si="32"/>
        <v/>
      </c>
      <c r="T374" s="6" t="str">
        <f t="shared" si="33"/>
        <v/>
      </c>
      <c r="U374" s="6" t="str">
        <f t="shared" si="34"/>
        <v/>
      </c>
      <c r="AB374" s="13"/>
    </row>
    <row r="375" spans="17:28" ht="15.6" customHeight="1" x14ac:dyDescent="0.3">
      <c r="Q375" s="13" t="str">
        <f t="shared" si="30"/>
        <v/>
      </c>
      <c r="R375" s="6" t="str">
        <f t="shared" si="31"/>
        <v/>
      </c>
      <c r="S375" s="6" t="str">
        <f t="shared" si="32"/>
        <v/>
      </c>
      <c r="T375" s="6" t="str">
        <f t="shared" si="33"/>
        <v/>
      </c>
      <c r="U375" s="6" t="str">
        <f t="shared" si="34"/>
        <v/>
      </c>
      <c r="AB375" s="13"/>
    </row>
    <row r="376" spans="17:28" ht="15.6" customHeight="1" x14ac:dyDescent="0.3">
      <c r="Q376" s="13" t="str">
        <f t="shared" si="30"/>
        <v/>
      </c>
      <c r="R376" s="6" t="str">
        <f t="shared" si="31"/>
        <v/>
      </c>
      <c r="S376" s="6" t="str">
        <f t="shared" si="32"/>
        <v/>
      </c>
      <c r="T376" s="6" t="str">
        <f t="shared" si="33"/>
        <v/>
      </c>
      <c r="U376" s="6" t="str">
        <f t="shared" si="34"/>
        <v/>
      </c>
      <c r="AB376" s="13"/>
    </row>
    <row r="377" spans="17:28" ht="15.6" customHeight="1" x14ac:dyDescent="0.3">
      <c r="Q377" s="13" t="str">
        <f t="shared" si="30"/>
        <v/>
      </c>
      <c r="R377" s="6" t="str">
        <f t="shared" si="31"/>
        <v/>
      </c>
      <c r="S377" s="6" t="str">
        <f t="shared" si="32"/>
        <v/>
      </c>
      <c r="T377" s="6" t="str">
        <f t="shared" si="33"/>
        <v/>
      </c>
      <c r="U377" s="6" t="str">
        <f t="shared" si="34"/>
        <v/>
      </c>
      <c r="AB377" s="13"/>
    </row>
    <row r="378" spans="17:28" ht="15.6" customHeight="1" x14ac:dyDescent="0.3">
      <c r="Q378" s="13" t="str">
        <f t="shared" si="30"/>
        <v/>
      </c>
      <c r="R378" s="6" t="str">
        <f t="shared" si="31"/>
        <v/>
      </c>
      <c r="S378" s="6" t="str">
        <f t="shared" si="32"/>
        <v/>
      </c>
      <c r="T378" s="6" t="str">
        <f t="shared" si="33"/>
        <v/>
      </c>
      <c r="U378" s="6" t="str">
        <f t="shared" si="34"/>
        <v/>
      </c>
      <c r="AB378" s="13"/>
    </row>
    <row r="379" spans="17:28" ht="15.6" customHeight="1" x14ac:dyDescent="0.3">
      <c r="Q379" s="13" t="str">
        <f t="shared" si="30"/>
        <v/>
      </c>
      <c r="R379" s="6" t="str">
        <f t="shared" si="31"/>
        <v/>
      </c>
      <c r="S379" s="6" t="str">
        <f t="shared" si="32"/>
        <v/>
      </c>
      <c r="T379" s="6" t="str">
        <f t="shared" si="33"/>
        <v/>
      </c>
      <c r="U379" s="6" t="str">
        <f t="shared" si="34"/>
        <v/>
      </c>
      <c r="AB379" s="13"/>
    </row>
    <row r="380" spans="17:28" ht="15.6" customHeight="1" x14ac:dyDescent="0.3">
      <c r="Q380" s="13" t="str">
        <f t="shared" si="30"/>
        <v/>
      </c>
      <c r="R380" s="6" t="str">
        <f t="shared" si="31"/>
        <v/>
      </c>
      <c r="S380" s="6" t="str">
        <f t="shared" si="32"/>
        <v/>
      </c>
      <c r="T380" s="6" t="str">
        <f t="shared" si="33"/>
        <v/>
      </c>
      <c r="U380" s="6" t="str">
        <f t="shared" si="34"/>
        <v/>
      </c>
      <c r="AB380" s="13"/>
    </row>
    <row r="381" spans="17:28" ht="15.6" customHeight="1" x14ac:dyDescent="0.3">
      <c r="Q381" s="13" t="str">
        <f t="shared" si="30"/>
        <v/>
      </c>
      <c r="R381" s="6" t="str">
        <f t="shared" si="31"/>
        <v/>
      </c>
      <c r="S381" s="6" t="str">
        <f t="shared" si="32"/>
        <v/>
      </c>
      <c r="T381" s="6" t="str">
        <f t="shared" si="33"/>
        <v/>
      </c>
      <c r="U381" s="6" t="str">
        <f t="shared" si="34"/>
        <v/>
      </c>
      <c r="AB381" s="13"/>
    </row>
    <row r="382" spans="17:28" ht="15.6" customHeight="1" x14ac:dyDescent="0.3">
      <c r="Q382" s="13" t="str">
        <f t="shared" si="30"/>
        <v/>
      </c>
      <c r="R382" s="6" t="str">
        <f t="shared" si="31"/>
        <v/>
      </c>
      <c r="S382" s="6" t="str">
        <f t="shared" si="32"/>
        <v/>
      </c>
      <c r="T382" s="6" t="str">
        <f t="shared" si="33"/>
        <v/>
      </c>
      <c r="U382" s="6" t="str">
        <f t="shared" si="34"/>
        <v/>
      </c>
      <c r="AB382" s="13"/>
    </row>
    <row r="383" spans="17:28" ht="15.6" customHeight="1" x14ac:dyDescent="0.3">
      <c r="Q383" s="13" t="str">
        <f t="shared" si="30"/>
        <v/>
      </c>
      <c r="R383" s="6" t="str">
        <f t="shared" si="31"/>
        <v/>
      </c>
      <c r="S383" s="6" t="str">
        <f t="shared" si="32"/>
        <v/>
      </c>
      <c r="T383" s="6" t="str">
        <f t="shared" si="33"/>
        <v/>
      </c>
      <c r="U383" s="6" t="str">
        <f t="shared" si="34"/>
        <v/>
      </c>
      <c r="AB383" s="13"/>
    </row>
    <row r="384" spans="17:28" ht="15.6" customHeight="1" x14ac:dyDescent="0.3">
      <c r="Q384" s="13" t="str">
        <f t="shared" si="30"/>
        <v/>
      </c>
      <c r="R384" s="6" t="str">
        <f t="shared" si="31"/>
        <v/>
      </c>
      <c r="S384" s="6" t="str">
        <f t="shared" si="32"/>
        <v/>
      </c>
      <c r="T384" s="6" t="str">
        <f t="shared" si="33"/>
        <v/>
      </c>
      <c r="U384" s="6" t="str">
        <f t="shared" si="34"/>
        <v/>
      </c>
      <c r="AB384" s="13"/>
    </row>
    <row r="385" spans="17:28" ht="15.6" customHeight="1" x14ac:dyDescent="0.3">
      <c r="Q385" s="13" t="str">
        <f t="shared" si="30"/>
        <v/>
      </c>
      <c r="R385" s="6" t="str">
        <f t="shared" si="31"/>
        <v/>
      </c>
      <c r="S385" s="6" t="str">
        <f t="shared" si="32"/>
        <v/>
      </c>
      <c r="T385" s="6" t="str">
        <f t="shared" si="33"/>
        <v/>
      </c>
      <c r="U385" s="6" t="str">
        <f t="shared" si="34"/>
        <v/>
      </c>
      <c r="AB385" s="13"/>
    </row>
    <row r="386" spans="17:28" ht="15.6" customHeight="1" x14ac:dyDescent="0.3">
      <c r="Q386" s="13" t="str">
        <f t="shared" si="30"/>
        <v/>
      </c>
      <c r="R386" s="6" t="str">
        <f t="shared" si="31"/>
        <v/>
      </c>
      <c r="S386" s="6" t="str">
        <f t="shared" si="32"/>
        <v/>
      </c>
      <c r="T386" s="6" t="str">
        <f t="shared" si="33"/>
        <v/>
      </c>
      <c r="U386" s="6" t="str">
        <f t="shared" si="34"/>
        <v/>
      </c>
      <c r="AB386" s="13"/>
    </row>
    <row r="387" spans="17:28" ht="15.6" customHeight="1" x14ac:dyDescent="0.3">
      <c r="Q387" s="13" t="str">
        <f t="shared" si="30"/>
        <v/>
      </c>
      <c r="R387" s="6" t="str">
        <f t="shared" si="31"/>
        <v/>
      </c>
      <c r="S387" s="6" t="str">
        <f t="shared" si="32"/>
        <v/>
      </c>
      <c r="T387" s="6" t="str">
        <f t="shared" si="33"/>
        <v/>
      </c>
      <c r="U387" s="6" t="str">
        <f t="shared" si="34"/>
        <v/>
      </c>
      <c r="AB387" s="13"/>
    </row>
    <row r="388" spans="17:28" ht="15.6" customHeight="1" x14ac:dyDescent="0.3">
      <c r="Q388" s="13" t="str">
        <f t="shared" ref="Q388:Q403" si="35">IF(K388="","",VLOOKUP(K388,$A$4:$H$22,8,FALSE))</f>
        <v/>
      </c>
      <c r="R388" s="6" t="str">
        <f t="shared" ref="R388:R403" si="36">IF(L388="","",VLOOKUP(L388,$A$4:$H$22,8,FALSE))</f>
        <v/>
      </c>
      <c r="S388" s="6" t="str">
        <f t="shared" ref="S388:S403" si="37">IF(M388="","",VLOOKUP(M388,$A$4:$H$22,8,FALSE))</f>
        <v/>
      </c>
      <c r="T388" s="6" t="str">
        <f t="shared" ref="T388:T403" si="38">IF(N388="","",VLOOKUP(N388,$A$4:$H$22,8,FALSE))</f>
        <v/>
      </c>
      <c r="U388" s="6" t="str">
        <f t="shared" ref="U388:U403" si="39">IF(O388="","",VLOOKUP(O388,$A$4:$H$22,8,FALSE))</f>
        <v/>
      </c>
      <c r="AB388" s="13"/>
    </row>
    <row r="389" spans="17:28" ht="15.6" customHeight="1" x14ac:dyDescent="0.3">
      <c r="Q389" s="13" t="str">
        <f t="shared" si="35"/>
        <v/>
      </c>
      <c r="R389" s="6" t="str">
        <f t="shared" si="36"/>
        <v/>
      </c>
      <c r="S389" s="6" t="str">
        <f t="shared" si="37"/>
        <v/>
      </c>
      <c r="T389" s="6" t="str">
        <f t="shared" si="38"/>
        <v/>
      </c>
      <c r="U389" s="6" t="str">
        <f t="shared" si="39"/>
        <v/>
      </c>
      <c r="AB389" s="13"/>
    </row>
    <row r="390" spans="17:28" ht="15.6" customHeight="1" x14ac:dyDescent="0.3">
      <c r="Q390" s="13" t="str">
        <f t="shared" si="35"/>
        <v/>
      </c>
      <c r="R390" s="6" t="str">
        <f t="shared" si="36"/>
        <v/>
      </c>
      <c r="S390" s="6" t="str">
        <f t="shared" si="37"/>
        <v/>
      </c>
      <c r="T390" s="6" t="str">
        <f t="shared" si="38"/>
        <v/>
      </c>
      <c r="U390" s="6" t="str">
        <f t="shared" si="39"/>
        <v/>
      </c>
      <c r="AB390" s="13"/>
    </row>
    <row r="391" spans="17:28" ht="15.6" customHeight="1" x14ac:dyDescent="0.3">
      <c r="Q391" s="13" t="str">
        <f t="shared" si="35"/>
        <v/>
      </c>
      <c r="R391" s="6" t="str">
        <f t="shared" si="36"/>
        <v/>
      </c>
      <c r="S391" s="6" t="str">
        <f t="shared" si="37"/>
        <v/>
      </c>
      <c r="T391" s="6" t="str">
        <f t="shared" si="38"/>
        <v/>
      </c>
      <c r="U391" s="6" t="str">
        <f t="shared" si="39"/>
        <v/>
      </c>
      <c r="AB391" s="13"/>
    </row>
    <row r="392" spans="17:28" ht="15.6" customHeight="1" x14ac:dyDescent="0.3">
      <c r="Q392" s="13" t="str">
        <f t="shared" si="35"/>
        <v/>
      </c>
      <c r="R392" s="6" t="str">
        <f t="shared" si="36"/>
        <v/>
      </c>
      <c r="S392" s="6" t="str">
        <f t="shared" si="37"/>
        <v/>
      </c>
      <c r="T392" s="6" t="str">
        <f t="shared" si="38"/>
        <v/>
      </c>
      <c r="U392" s="6" t="str">
        <f t="shared" si="39"/>
        <v/>
      </c>
      <c r="AB392" s="13"/>
    </row>
    <row r="393" spans="17:28" ht="15.6" customHeight="1" x14ac:dyDescent="0.3">
      <c r="Q393" s="13" t="str">
        <f t="shared" si="35"/>
        <v/>
      </c>
      <c r="R393" s="6" t="str">
        <f t="shared" si="36"/>
        <v/>
      </c>
      <c r="S393" s="6" t="str">
        <f t="shared" si="37"/>
        <v/>
      </c>
      <c r="T393" s="6" t="str">
        <f t="shared" si="38"/>
        <v/>
      </c>
      <c r="U393" s="6" t="str">
        <f t="shared" si="39"/>
        <v/>
      </c>
      <c r="AB393" s="13"/>
    </row>
    <row r="394" spans="17:28" ht="15.6" customHeight="1" x14ac:dyDescent="0.3">
      <c r="Q394" s="13" t="str">
        <f t="shared" si="35"/>
        <v/>
      </c>
      <c r="R394" s="6" t="str">
        <f t="shared" si="36"/>
        <v/>
      </c>
      <c r="S394" s="6" t="str">
        <f t="shared" si="37"/>
        <v/>
      </c>
      <c r="T394" s="6" t="str">
        <f t="shared" si="38"/>
        <v/>
      </c>
      <c r="U394" s="6" t="str">
        <f t="shared" si="39"/>
        <v/>
      </c>
      <c r="AB394" s="13"/>
    </row>
    <row r="395" spans="17:28" ht="15.6" customHeight="1" x14ac:dyDescent="0.3">
      <c r="Q395" s="13" t="str">
        <f t="shared" si="35"/>
        <v/>
      </c>
      <c r="R395" s="6" t="str">
        <f t="shared" si="36"/>
        <v/>
      </c>
      <c r="S395" s="6" t="str">
        <f t="shared" si="37"/>
        <v/>
      </c>
      <c r="T395" s="6" t="str">
        <f t="shared" si="38"/>
        <v/>
      </c>
      <c r="U395" s="6" t="str">
        <f t="shared" si="39"/>
        <v/>
      </c>
      <c r="AB395" s="13"/>
    </row>
    <row r="396" spans="17:28" ht="15.6" customHeight="1" x14ac:dyDescent="0.3">
      <c r="Q396" s="13" t="str">
        <f t="shared" si="35"/>
        <v/>
      </c>
      <c r="R396" s="6" t="str">
        <f t="shared" si="36"/>
        <v/>
      </c>
      <c r="S396" s="6" t="str">
        <f t="shared" si="37"/>
        <v/>
      </c>
      <c r="T396" s="6" t="str">
        <f t="shared" si="38"/>
        <v/>
      </c>
      <c r="U396" s="6" t="str">
        <f t="shared" si="39"/>
        <v/>
      </c>
      <c r="AB396" s="13"/>
    </row>
    <row r="397" spans="17:28" ht="15.6" customHeight="1" x14ac:dyDescent="0.3">
      <c r="Q397" s="13" t="str">
        <f t="shared" si="35"/>
        <v/>
      </c>
      <c r="R397" s="6" t="str">
        <f t="shared" si="36"/>
        <v/>
      </c>
      <c r="S397" s="6" t="str">
        <f t="shared" si="37"/>
        <v/>
      </c>
      <c r="T397" s="6" t="str">
        <f t="shared" si="38"/>
        <v/>
      </c>
      <c r="U397" s="6" t="str">
        <f t="shared" si="39"/>
        <v/>
      </c>
      <c r="AB397" s="13"/>
    </row>
    <row r="398" spans="17:28" ht="15.6" customHeight="1" x14ac:dyDescent="0.3">
      <c r="Q398" s="13" t="str">
        <f t="shared" si="35"/>
        <v/>
      </c>
      <c r="R398" s="6" t="str">
        <f t="shared" si="36"/>
        <v/>
      </c>
      <c r="S398" s="6" t="str">
        <f t="shared" si="37"/>
        <v/>
      </c>
      <c r="T398" s="6" t="str">
        <f t="shared" si="38"/>
        <v/>
      </c>
      <c r="U398" s="6" t="str">
        <f t="shared" si="39"/>
        <v/>
      </c>
      <c r="AB398" s="13"/>
    </row>
    <row r="399" spans="17:28" ht="15.6" customHeight="1" x14ac:dyDescent="0.3">
      <c r="Q399" s="13" t="str">
        <f t="shared" si="35"/>
        <v/>
      </c>
      <c r="R399" s="6" t="str">
        <f t="shared" si="36"/>
        <v/>
      </c>
      <c r="S399" s="6" t="str">
        <f t="shared" si="37"/>
        <v/>
      </c>
      <c r="T399" s="6" t="str">
        <f t="shared" si="38"/>
        <v/>
      </c>
      <c r="U399" s="6" t="str">
        <f t="shared" si="39"/>
        <v/>
      </c>
      <c r="AB399" s="13"/>
    </row>
    <row r="400" spans="17:28" ht="15.6" customHeight="1" x14ac:dyDescent="0.3">
      <c r="Q400" s="13" t="str">
        <f t="shared" si="35"/>
        <v/>
      </c>
      <c r="R400" s="6" t="str">
        <f t="shared" si="36"/>
        <v/>
      </c>
      <c r="S400" s="6" t="str">
        <f t="shared" si="37"/>
        <v/>
      </c>
      <c r="T400" s="6" t="str">
        <f t="shared" si="38"/>
        <v/>
      </c>
      <c r="U400" s="6" t="str">
        <f t="shared" si="39"/>
        <v/>
      </c>
      <c r="AB400" s="13"/>
    </row>
    <row r="401" spans="17:28" ht="15.6" customHeight="1" x14ac:dyDescent="0.3">
      <c r="Q401" s="13" t="str">
        <f t="shared" si="35"/>
        <v/>
      </c>
      <c r="R401" s="6" t="str">
        <f t="shared" si="36"/>
        <v/>
      </c>
      <c r="S401" s="6" t="str">
        <f t="shared" si="37"/>
        <v/>
      </c>
      <c r="T401" s="6" t="str">
        <f t="shared" si="38"/>
        <v/>
      </c>
      <c r="U401" s="6" t="str">
        <f t="shared" si="39"/>
        <v/>
      </c>
      <c r="AB401" s="13"/>
    </row>
    <row r="402" spans="17:28" ht="15.6" customHeight="1" x14ac:dyDescent="0.3">
      <c r="Q402" s="13" t="str">
        <f t="shared" si="35"/>
        <v/>
      </c>
      <c r="R402" s="6" t="str">
        <f t="shared" si="36"/>
        <v/>
      </c>
      <c r="S402" s="6" t="str">
        <f t="shared" si="37"/>
        <v/>
      </c>
      <c r="T402" s="6" t="str">
        <f t="shared" si="38"/>
        <v/>
      </c>
      <c r="U402" s="6" t="str">
        <f t="shared" si="39"/>
        <v/>
      </c>
      <c r="AB402" s="13"/>
    </row>
    <row r="403" spans="17:28" ht="15.6" customHeight="1" x14ac:dyDescent="0.3">
      <c r="Q403" s="13" t="str">
        <f t="shared" si="35"/>
        <v/>
      </c>
      <c r="R403" s="6" t="str">
        <f t="shared" si="36"/>
        <v/>
      </c>
      <c r="S403" s="6" t="str">
        <f t="shared" si="37"/>
        <v/>
      </c>
      <c r="T403" s="6" t="str">
        <f t="shared" si="38"/>
        <v/>
      </c>
      <c r="U403" s="6" t="str">
        <f t="shared" si="39"/>
        <v/>
      </c>
      <c r="AB403" s="13"/>
    </row>
  </sheetData>
  <phoneticPr fontId="20" type="noConversion"/>
  <conditionalFormatting sqref="K1:O3 K198:O1048576">
    <cfRule type="cellIs" dxfId="65" priority="16" operator="equal">
      <formula>$A$10</formula>
    </cfRule>
    <cfRule type="cellIs" dxfId="64" priority="17" operator="equal">
      <formula>$A$9</formula>
    </cfRule>
    <cfRule type="cellIs" dxfId="63" priority="18" operator="equal">
      <formula>$A$8</formula>
    </cfRule>
    <cfRule type="cellIs" dxfId="62" priority="19" operator="equal">
      <formula>$A$7</formula>
    </cfRule>
    <cfRule type="cellIs" dxfId="61" priority="20" operator="equal">
      <formula>$A$6</formula>
    </cfRule>
    <cfRule type="cellIs" dxfId="60" priority="21" operator="equal">
      <formula>$A$5</formula>
    </cfRule>
    <cfRule type="cellIs" dxfId="59" priority="22" operator="equal">
      <formula>$A$4</formula>
    </cfRule>
  </conditionalFormatting>
  <conditionalFormatting sqref="K4:O197">
    <cfRule type="cellIs" dxfId="58" priority="9" operator="equal">
      <formula>$A$10</formula>
    </cfRule>
    <cfRule type="cellIs" dxfId="57" priority="10" operator="equal">
      <formula>$A$9</formula>
    </cfRule>
    <cfRule type="cellIs" dxfId="56" priority="11" operator="equal">
      <formula>$A$8</formula>
    </cfRule>
    <cfRule type="cellIs" dxfId="55" priority="12" operator="equal">
      <formula>$A$7</formula>
    </cfRule>
    <cfRule type="cellIs" dxfId="54" priority="13" operator="equal">
      <formula>$A$6</formula>
    </cfRule>
    <cfRule type="cellIs" dxfId="53" priority="14" operator="equal">
      <formula>$A$5</formula>
    </cfRule>
    <cfRule type="cellIs" dxfId="52" priority="15" operator="equal">
      <formula>$A$4</formula>
    </cfRule>
  </conditionalFormatting>
  <conditionalFormatting sqref="AA1">
    <cfRule type="cellIs" dxfId="51" priority="2" operator="equal">
      <formula>$A$10</formula>
    </cfRule>
    <cfRule type="cellIs" dxfId="50" priority="3" operator="equal">
      <formula>$A$9</formula>
    </cfRule>
    <cfRule type="cellIs" dxfId="49" priority="4" operator="equal">
      <formula>$A$8</formula>
    </cfRule>
    <cfRule type="cellIs" dxfId="48" priority="5" operator="equal">
      <formula>$A$7</formula>
    </cfRule>
    <cfRule type="cellIs" dxfId="47" priority="6" operator="equal">
      <formula>$A$6</formula>
    </cfRule>
    <cfRule type="cellIs" dxfId="46" priority="7" operator="equal">
      <formula>$A$5</formula>
    </cfRule>
    <cfRule type="cellIs" dxfId="45" priority="8" operator="equal">
      <formula>$A$4</formula>
    </cfRule>
  </conditionalFormatting>
  <conditionalFormatting sqref="W4:AA203">
    <cfRule type="expression" dxfId="44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403"/>
  <sheetViews>
    <sheetView workbookViewId="0">
      <selection activeCell="AA1" sqref="W1:AA1048576"/>
    </sheetView>
  </sheetViews>
  <sheetFormatPr defaultColWidth="9" defaultRowHeight="15.6" x14ac:dyDescent="0.3"/>
  <cols>
    <col min="1" max="1" width="10.21875" style="13" bestFit="1" customWidth="1"/>
    <col min="2" max="2" width="17.88671875" style="13" bestFit="1" customWidth="1"/>
    <col min="3" max="7" width="6.109375" style="13" bestFit="1" customWidth="1"/>
    <col min="8" max="8" width="4.6640625" style="13" bestFit="1" customWidth="1"/>
    <col min="9" max="9" width="4.33203125" style="13" customWidth="1"/>
    <col min="10" max="10" width="10.21875" style="13" bestFit="1" customWidth="1"/>
    <col min="11" max="15" width="4.6640625" style="13" bestFit="1" customWidth="1"/>
    <col min="16" max="16" width="4.33203125" style="13" customWidth="1"/>
    <col min="17" max="17" width="14.6640625" style="13" bestFit="1" customWidth="1"/>
    <col min="18" max="21" width="4.6640625" style="6" bestFit="1" customWidth="1"/>
    <col min="22" max="22" width="4.33203125" style="13" customWidth="1"/>
    <col min="23" max="23" width="19.77734375" style="13" bestFit="1" customWidth="1"/>
    <col min="24" max="27" width="8.21875" style="6" bestFit="1" customWidth="1"/>
    <col min="28" max="28" width="9" style="11" customWidth="1"/>
    <col min="29" max="29" width="41" style="13" bestFit="1" customWidth="1"/>
    <col min="30" max="30" width="10.21875" style="13" bestFit="1" customWidth="1"/>
    <col min="31" max="31" width="9" style="13" customWidth="1"/>
    <col min="32" max="32" width="28.5546875" style="6" bestFit="1" customWidth="1"/>
    <col min="33" max="37" width="10.21875" style="13" bestFit="1" customWidth="1"/>
    <col min="38" max="49" width="9" style="13" customWidth="1"/>
    <col min="50" max="16384" width="9" style="13"/>
  </cols>
  <sheetData>
    <row r="1" spans="1:37" ht="15.6" customHeight="1" x14ac:dyDescent="0.3"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3"/>
    </row>
    <row r="2" spans="1:37" ht="15.9" customHeight="1" x14ac:dyDescent="0.3">
      <c r="I2" s="4"/>
      <c r="J2" s="16" t="s">
        <v>19</v>
      </c>
      <c r="K2" s="16"/>
      <c r="L2" s="16"/>
      <c r="M2" s="16"/>
      <c r="N2" s="16"/>
      <c r="O2" s="16"/>
      <c r="P2" s="16"/>
      <c r="Q2" s="16" t="s">
        <v>68</v>
      </c>
      <c r="R2" s="46"/>
      <c r="S2" s="46"/>
      <c r="T2" s="46"/>
      <c r="U2" s="46"/>
      <c r="V2" s="16"/>
      <c r="W2" s="16" t="s">
        <v>69</v>
      </c>
      <c r="X2" s="46"/>
      <c r="AB2" s="13"/>
      <c r="AC2" s="16" t="s">
        <v>70</v>
      </c>
      <c r="AF2" s="6" t="s">
        <v>71</v>
      </c>
    </row>
    <row r="3" spans="1:37" ht="15.9" customHeight="1" x14ac:dyDescent="0.3">
      <c r="A3" s="5" t="s">
        <v>19</v>
      </c>
      <c r="B3" s="5" t="s">
        <v>20</v>
      </c>
      <c r="C3" s="5" t="s">
        <v>72</v>
      </c>
      <c r="D3" s="5" t="s">
        <v>73</v>
      </c>
      <c r="E3" s="5" t="s">
        <v>74</v>
      </c>
      <c r="F3" s="5" t="s">
        <v>75</v>
      </c>
      <c r="G3" s="5" t="s">
        <v>76</v>
      </c>
      <c r="H3" s="5" t="s">
        <v>77</v>
      </c>
      <c r="I3" s="4"/>
      <c r="J3" s="5" t="s">
        <v>78</v>
      </c>
      <c r="K3" s="5" t="s">
        <v>72</v>
      </c>
      <c r="L3" s="5" t="s">
        <v>73</v>
      </c>
      <c r="M3" s="5" t="s">
        <v>74</v>
      </c>
      <c r="N3" s="5" t="s">
        <v>75</v>
      </c>
      <c r="O3" s="5" t="s">
        <v>76</v>
      </c>
      <c r="Q3" s="5" t="s">
        <v>72</v>
      </c>
      <c r="R3" s="5" t="s">
        <v>73</v>
      </c>
      <c r="S3" s="5" t="s">
        <v>74</v>
      </c>
      <c r="T3" s="5" t="s">
        <v>75</v>
      </c>
      <c r="U3" s="5" t="s">
        <v>76</v>
      </c>
      <c r="W3" s="5" t="s">
        <v>72</v>
      </c>
      <c r="X3" s="5" t="s">
        <v>73</v>
      </c>
      <c r="Y3" s="5" t="s">
        <v>74</v>
      </c>
      <c r="Z3" s="5" t="s">
        <v>75</v>
      </c>
      <c r="AA3" s="5" t="s">
        <v>76</v>
      </c>
      <c r="AB3" s="13"/>
      <c r="AC3" s="5" t="s">
        <v>79</v>
      </c>
      <c r="AD3" s="5" t="s">
        <v>54</v>
      </c>
      <c r="AF3" s="5" t="s">
        <v>19</v>
      </c>
      <c r="AG3" s="5" t="s">
        <v>72</v>
      </c>
      <c r="AH3" s="5" t="s">
        <v>73</v>
      </c>
      <c r="AI3" s="5" t="s">
        <v>74</v>
      </c>
      <c r="AJ3" s="5" t="s">
        <v>75</v>
      </c>
      <c r="AK3" s="5" t="s">
        <v>76</v>
      </c>
    </row>
    <row r="4" spans="1:37" ht="15.9" customHeight="1" x14ac:dyDescent="0.3">
      <c r="A4" s="9" t="str">
        <f t="array" ref="A4:A22">Overview!A30:A48</f>
        <v>WW</v>
      </c>
      <c r="B4" s="38" t="str">
        <f t="array" ref="B4:B22">Overview!B30:B48</f>
        <v>Wild</v>
      </c>
      <c r="C4" s="9">
        <f t="shared" ref="C4:C22" si="0">COUNTIF(K:K,$A4)</f>
        <v>0</v>
      </c>
      <c r="D4" s="9">
        <f t="shared" ref="D4:D22" si="1">COUNTIF(L:L,$A4)</f>
        <v>0</v>
      </c>
      <c r="E4" s="9">
        <f t="shared" ref="E4:E22" si="2">COUNTIF(M:M,$A4)</f>
        <v>0</v>
      </c>
      <c r="F4" s="9">
        <f t="shared" ref="F4:F22" si="3">COUNTIF(N:N,$A4)</f>
        <v>0</v>
      </c>
      <c r="G4" s="9">
        <f t="shared" ref="G4:G22" si="4">COUNTIF(O:O,$A4)</f>
        <v>0</v>
      </c>
      <c r="H4" s="38">
        <f t="array" ref="H4:H22">Overview!H30:H48</f>
        <v>0</v>
      </c>
      <c r="I4" s="52"/>
      <c r="J4" s="7">
        <v>0</v>
      </c>
      <c r="K4" s="41" t="s">
        <v>35</v>
      </c>
      <c r="L4" s="8" t="s">
        <v>38</v>
      </c>
      <c r="M4" s="8" t="s">
        <v>48</v>
      </c>
      <c r="N4" s="8" t="s">
        <v>48</v>
      </c>
      <c r="O4" s="8" t="s">
        <v>32</v>
      </c>
      <c r="Q4" s="17">
        <f t="shared" ref="Q4:Q35" si="5">IF(K4="","",VLOOKUP(K4,$A$4:$H$22,8,FALSE))</f>
        <v>10</v>
      </c>
      <c r="R4" s="17">
        <f t="shared" ref="R4:R35" si="6">IF(L4="","",VLOOKUP(L4,$A$4:$H$22,8,FALSE))</f>
        <v>12</v>
      </c>
      <c r="S4" s="17">
        <f t="shared" ref="S4:S35" si="7">IF(M4="","",VLOOKUP(M4,$A$4:$H$22,8,FALSE))</f>
        <v>17</v>
      </c>
      <c r="T4" s="17">
        <f t="shared" ref="T4:T35" si="8">IF(N4="","",VLOOKUP(N4,$A$4:$H$22,8,FALSE))</f>
        <v>17</v>
      </c>
      <c r="U4" s="17">
        <f t="shared" ref="U4:U35" si="9">IF(O4="","",VLOOKUP(O4,$A$4:$H$22,8,FALSE))</f>
        <v>7</v>
      </c>
      <c r="W4" s="7">
        <v>2161</v>
      </c>
      <c r="X4" s="7">
        <v>6812</v>
      </c>
      <c r="Y4" s="7">
        <v>2025</v>
      </c>
      <c r="Z4" s="7">
        <v>8927</v>
      </c>
      <c r="AA4" s="7">
        <v>25609</v>
      </c>
      <c r="AB4" s="13"/>
      <c r="AC4" s="38">
        <v>0</v>
      </c>
      <c r="AD4" s="10">
        <v>0</v>
      </c>
      <c r="AF4" s="9" t="str">
        <f t="array" ref="AF4:AF22">A4:A22</f>
        <v>WW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</row>
    <row r="5" spans="1:37" ht="15.9" customHeight="1" x14ac:dyDescent="0.3">
      <c r="A5" s="2" t="str">
        <v>W2</v>
      </c>
      <c r="B5" s="38" t="str">
        <v>Super Wild</v>
      </c>
      <c r="C5" s="9">
        <f t="shared" si="0"/>
        <v>0</v>
      </c>
      <c r="D5" s="9">
        <f t="shared" si="1"/>
        <v>0</v>
      </c>
      <c r="E5" s="9">
        <f t="shared" si="2"/>
        <v>0</v>
      </c>
      <c r="F5" s="9">
        <f t="shared" si="3"/>
        <v>0</v>
      </c>
      <c r="G5" s="9">
        <f t="shared" si="4"/>
        <v>0</v>
      </c>
      <c r="H5" s="38">
        <v>1</v>
      </c>
      <c r="I5" s="52"/>
      <c r="J5" s="2">
        <v>1</v>
      </c>
      <c r="K5" s="41" t="s">
        <v>30</v>
      </c>
      <c r="L5" s="41" t="s">
        <v>44</v>
      </c>
      <c r="M5" s="41" t="s">
        <v>30</v>
      </c>
      <c r="N5" s="41" t="s">
        <v>31</v>
      </c>
      <c r="O5" s="41" t="s">
        <v>33</v>
      </c>
      <c r="Q5" s="17">
        <f t="shared" si="5"/>
        <v>5</v>
      </c>
      <c r="R5" s="17">
        <f t="shared" si="6"/>
        <v>15</v>
      </c>
      <c r="S5" s="17">
        <f t="shared" si="7"/>
        <v>5</v>
      </c>
      <c r="T5" s="17">
        <f t="shared" si="8"/>
        <v>6</v>
      </c>
      <c r="U5" s="17">
        <f t="shared" si="9"/>
        <v>8</v>
      </c>
      <c r="W5" s="7">
        <v>2161</v>
      </c>
      <c r="X5" s="7">
        <v>8223</v>
      </c>
      <c r="Y5" s="7">
        <v>2851</v>
      </c>
      <c r="Z5" s="7">
        <v>6243</v>
      </c>
      <c r="AA5" s="7">
        <v>9093</v>
      </c>
      <c r="AB5" s="13"/>
      <c r="AC5" s="38">
        <v>2</v>
      </c>
      <c r="AD5" s="10">
        <v>700</v>
      </c>
      <c r="AF5" s="2" t="str">
        <v>W2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</row>
    <row r="6" spans="1:37" ht="15.9" customHeight="1" x14ac:dyDescent="0.3">
      <c r="A6" s="2" t="str">
        <v>C1</v>
      </c>
      <c r="B6" s="38" t="str">
        <v>Scatter</v>
      </c>
      <c r="C6" s="9">
        <f t="shared" si="0"/>
        <v>2</v>
      </c>
      <c r="D6" s="9">
        <f t="shared" si="1"/>
        <v>3</v>
      </c>
      <c r="E6" s="9">
        <f t="shared" si="2"/>
        <v>2</v>
      </c>
      <c r="F6" s="9">
        <f t="shared" si="3"/>
        <v>3</v>
      </c>
      <c r="G6" s="9">
        <f t="shared" si="4"/>
        <v>3</v>
      </c>
      <c r="H6" s="38">
        <v>2</v>
      </c>
      <c r="I6" s="52"/>
      <c r="J6" s="2">
        <v>2</v>
      </c>
      <c r="K6" s="41" t="s">
        <v>33</v>
      </c>
      <c r="L6" s="41" t="s">
        <v>29</v>
      </c>
      <c r="M6" s="41" t="s">
        <v>30</v>
      </c>
      <c r="N6" s="41" t="s">
        <v>31</v>
      </c>
      <c r="O6" s="41" t="s">
        <v>29</v>
      </c>
      <c r="Q6" s="17">
        <f t="shared" si="5"/>
        <v>8</v>
      </c>
      <c r="R6" s="17">
        <f t="shared" si="6"/>
        <v>4</v>
      </c>
      <c r="S6" s="17">
        <f t="shared" si="7"/>
        <v>5</v>
      </c>
      <c r="T6" s="17">
        <f t="shared" si="8"/>
        <v>6</v>
      </c>
      <c r="U6" s="17">
        <f t="shared" si="9"/>
        <v>4</v>
      </c>
      <c r="W6" s="7">
        <v>2161</v>
      </c>
      <c r="X6" s="7">
        <v>23081</v>
      </c>
      <c r="Y6" s="7">
        <v>58388</v>
      </c>
      <c r="Z6" s="7">
        <v>19039</v>
      </c>
      <c r="AA6" s="7">
        <v>7960</v>
      </c>
      <c r="AB6" s="13"/>
      <c r="AC6" s="38">
        <v>3</v>
      </c>
      <c r="AD6" s="10">
        <v>500</v>
      </c>
      <c r="AF6" s="2" t="str">
        <v>C1</v>
      </c>
      <c r="AG6" s="9">
        <v>4165</v>
      </c>
      <c r="AH6" s="9">
        <v>4403</v>
      </c>
      <c r="AI6" s="9">
        <v>5471</v>
      </c>
      <c r="AJ6" s="9">
        <v>4778</v>
      </c>
      <c r="AK6" s="9">
        <v>5578</v>
      </c>
    </row>
    <row r="7" spans="1:37" ht="15.9" customHeight="1" x14ac:dyDescent="0.3">
      <c r="A7" s="2" t="str">
        <v>M1</v>
      </c>
      <c r="B7" s="38" t="str">
        <v>M1</v>
      </c>
      <c r="C7" s="9">
        <f t="shared" si="0"/>
        <v>14</v>
      </c>
      <c r="D7" s="9">
        <f t="shared" si="1"/>
        <v>7</v>
      </c>
      <c r="E7" s="9">
        <f t="shared" si="2"/>
        <v>7</v>
      </c>
      <c r="F7" s="9">
        <f t="shared" si="3"/>
        <v>6</v>
      </c>
      <c r="G7" s="9">
        <f t="shared" si="4"/>
        <v>15</v>
      </c>
      <c r="H7" s="38">
        <v>3</v>
      </c>
      <c r="I7" s="52"/>
      <c r="J7" s="2">
        <v>3</v>
      </c>
      <c r="K7" s="41" t="s">
        <v>33</v>
      </c>
      <c r="L7" s="41" t="s">
        <v>42</v>
      </c>
      <c r="M7" s="41" t="s">
        <v>34</v>
      </c>
      <c r="N7" s="41" t="s">
        <v>34</v>
      </c>
      <c r="O7" s="41" t="s">
        <v>30</v>
      </c>
      <c r="Q7" s="17">
        <f t="shared" si="5"/>
        <v>8</v>
      </c>
      <c r="R7" s="17">
        <f t="shared" si="6"/>
        <v>14</v>
      </c>
      <c r="S7" s="17">
        <f t="shared" si="7"/>
        <v>9</v>
      </c>
      <c r="T7" s="17">
        <f t="shared" si="8"/>
        <v>9</v>
      </c>
      <c r="U7" s="17">
        <f t="shared" si="9"/>
        <v>5</v>
      </c>
      <c r="W7" s="7">
        <v>8651</v>
      </c>
      <c r="X7" s="7">
        <v>23532</v>
      </c>
      <c r="Y7" s="7">
        <v>18713</v>
      </c>
      <c r="Z7" s="7">
        <v>22158</v>
      </c>
      <c r="AA7" s="7">
        <v>8086</v>
      </c>
      <c r="AB7" s="13"/>
      <c r="AC7" s="38">
        <v>4</v>
      </c>
      <c r="AD7" s="10">
        <v>200</v>
      </c>
      <c r="AF7" s="2" t="str">
        <v>M1</v>
      </c>
      <c r="AG7" s="9">
        <v>22077</v>
      </c>
      <c r="AH7" s="9">
        <v>35839</v>
      </c>
      <c r="AI7" s="9">
        <v>19439</v>
      </c>
      <c r="AJ7" s="9">
        <v>39681</v>
      </c>
      <c r="AK7" s="9">
        <v>21243</v>
      </c>
    </row>
    <row r="8" spans="1:37" ht="15.9" customHeight="1" x14ac:dyDescent="0.3">
      <c r="A8" s="2" t="str">
        <v>M2</v>
      </c>
      <c r="B8" s="38" t="str">
        <v>M2</v>
      </c>
      <c r="C8" s="9">
        <f t="shared" si="0"/>
        <v>28</v>
      </c>
      <c r="D8" s="9">
        <f t="shared" si="1"/>
        <v>26</v>
      </c>
      <c r="E8" s="9">
        <f t="shared" si="2"/>
        <v>12</v>
      </c>
      <c r="F8" s="9">
        <f t="shared" si="3"/>
        <v>9</v>
      </c>
      <c r="G8" s="9">
        <f t="shared" si="4"/>
        <v>24</v>
      </c>
      <c r="H8" s="38">
        <v>4</v>
      </c>
      <c r="I8" s="52"/>
      <c r="J8" s="2">
        <v>4</v>
      </c>
      <c r="K8" s="41" t="s">
        <v>32</v>
      </c>
      <c r="L8" s="41" t="s">
        <v>48</v>
      </c>
      <c r="M8" s="41" t="s">
        <v>29</v>
      </c>
      <c r="N8" s="41" t="s">
        <v>32</v>
      </c>
      <c r="O8" s="41" t="s">
        <v>34</v>
      </c>
      <c r="Q8" s="17">
        <f t="shared" si="5"/>
        <v>7</v>
      </c>
      <c r="R8" s="17">
        <f t="shared" si="6"/>
        <v>17</v>
      </c>
      <c r="S8" s="17">
        <f t="shared" si="7"/>
        <v>4</v>
      </c>
      <c r="T8" s="17">
        <f t="shared" si="8"/>
        <v>7</v>
      </c>
      <c r="U8" s="17">
        <f t="shared" si="9"/>
        <v>9</v>
      </c>
      <c r="W8" s="7">
        <v>8651</v>
      </c>
      <c r="X8" s="7">
        <v>7299</v>
      </c>
      <c r="Y8" s="7">
        <v>8061</v>
      </c>
      <c r="Z8" s="7">
        <v>2398</v>
      </c>
      <c r="AA8" s="7">
        <v>7960</v>
      </c>
      <c r="AB8" s="13"/>
      <c r="AF8" s="2" t="str">
        <v>M2</v>
      </c>
      <c r="AG8" s="9">
        <v>45294</v>
      </c>
      <c r="AH8" s="9">
        <v>18187</v>
      </c>
      <c r="AI8" s="9">
        <v>38572</v>
      </c>
      <c r="AJ8" s="9">
        <v>20867</v>
      </c>
      <c r="AK8" s="9">
        <v>47231</v>
      </c>
    </row>
    <row r="9" spans="1:37" ht="15.9" customHeight="1" x14ac:dyDescent="0.3">
      <c r="A9" s="2" t="str">
        <v>M3</v>
      </c>
      <c r="B9" s="38" t="str">
        <v>M3</v>
      </c>
      <c r="C9" s="9">
        <f t="shared" si="0"/>
        <v>18</v>
      </c>
      <c r="D9" s="9">
        <f t="shared" si="1"/>
        <v>7</v>
      </c>
      <c r="E9" s="9">
        <f t="shared" si="2"/>
        <v>22</v>
      </c>
      <c r="F9" s="9">
        <f t="shared" si="3"/>
        <v>11</v>
      </c>
      <c r="G9" s="9">
        <f t="shared" si="4"/>
        <v>30</v>
      </c>
      <c r="H9" s="38">
        <v>5</v>
      </c>
      <c r="I9" s="52"/>
      <c r="J9" s="2">
        <v>5</v>
      </c>
      <c r="K9" s="41" t="s">
        <v>33</v>
      </c>
      <c r="L9" s="41" t="s">
        <v>32</v>
      </c>
      <c r="M9" s="41" t="s">
        <v>34</v>
      </c>
      <c r="N9" s="41" t="s">
        <v>42</v>
      </c>
      <c r="O9" s="41" t="s">
        <v>31</v>
      </c>
      <c r="Q9" s="17">
        <f t="shared" si="5"/>
        <v>8</v>
      </c>
      <c r="R9" s="17">
        <f t="shared" si="6"/>
        <v>7</v>
      </c>
      <c r="S9" s="17">
        <f t="shared" si="7"/>
        <v>9</v>
      </c>
      <c r="T9" s="17">
        <f t="shared" si="8"/>
        <v>14</v>
      </c>
      <c r="U9" s="17">
        <f t="shared" si="9"/>
        <v>6</v>
      </c>
      <c r="W9" s="7">
        <v>8651</v>
      </c>
      <c r="X9" s="7">
        <v>6762</v>
      </c>
      <c r="Y9" s="7">
        <v>8061</v>
      </c>
      <c r="Z9" s="7">
        <v>2383</v>
      </c>
      <c r="AA9" s="7">
        <v>9266</v>
      </c>
      <c r="AB9" s="13"/>
      <c r="AF9" s="2" t="str">
        <v>M3</v>
      </c>
      <c r="AG9" s="9">
        <v>48740</v>
      </c>
      <c r="AH9" s="9">
        <v>30021</v>
      </c>
      <c r="AI9" s="9">
        <v>30502</v>
      </c>
      <c r="AJ9" s="9">
        <v>31531</v>
      </c>
      <c r="AK9" s="9">
        <v>37797</v>
      </c>
    </row>
    <row r="10" spans="1:37" ht="15.9" customHeight="1" x14ac:dyDescent="0.3">
      <c r="A10" s="2" t="str">
        <v>M4</v>
      </c>
      <c r="B10" s="38" t="str">
        <v>M4</v>
      </c>
      <c r="C10" s="9">
        <f t="shared" si="0"/>
        <v>17</v>
      </c>
      <c r="D10" s="9">
        <f t="shared" si="1"/>
        <v>27</v>
      </c>
      <c r="E10" s="9">
        <f t="shared" si="2"/>
        <v>10</v>
      </c>
      <c r="F10" s="9">
        <f t="shared" si="3"/>
        <v>28</v>
      </c>
      <c r="G10" s="9">
        <f t="shared" si="4"/>
        <v>14</v>
      </c>
      <c r="H10" s="38">
        <v>6</v>
      </c>
      <c r="I10" s="52"/>
      <c r="J10" s="2">
        <v>6</v>
      </c>
      <c r="K10" s="41" t="s">
        <v>29</v>
      </c>
      <c r="L10" s="41" t="s">
        <v>33</v>
      </c>
      <c r="M10" s="41" t="s">
        <v>30</v>
      </c>
      <c r="N10" s="41" t="s">
        <v>34</v>
      </c>
      <c r="O10" s="41" t="s">
        <v>29</v>
      </c>
      <c r="Q10" s="17">
        <f t="shared" si="5"/>
        <v>4</v>
      </c>
      <c r="R10" s="17">
        <f t="shared" si="6"/>
        <v>8</v>
      </c>
      <c r="S10" s="17">
        <f t="shared" si="7"/>
        <v>5</v>
      </c>
      <c r="T10" s="17">
        <f t="shared" si="8"/>
        <v>9</v>
      </c>
      <c r="U10" s="17">
        <f t="shared" si="9"/>
        <v>4</v>
      </c>
      <c r="W10" s="7">
        <v>8651</v>
      </c>
      <c r="X10" s="7">
        <v>5433</v>
      </c>
      <c r="Y10" s="7">
        <v>8061</v>
      </c>
      <c r="Z10" s="7">
        <v>6906</v>
      </c>
      <c r="AA10" s="7">
        <v>8327</v>
      </c>
      <c r="AB10" s="13"/>
      <c r="AF10" s="2" t="str">
        <v>M4</v>
      </c>
      <c r="AG10" s="9">
        <v>137762</v>
      </c>
      <c r="AH10" s="9">
        <v>146500</v>
      </c>
      <c r="AI10" s="9">
        <v>90478</v>
      </c>
      <c r="AJ10" s="9">
        <v>157539</v>
      </c>
      <c r="AK10" s="9">
        <v>109647</v>
      </c>
    </row>
    <row r="11" spans="1:37" ht="15.9" customHeight="1" x14ac:dyDescent="0.3">
      <c r="A11" s="2" t="str">
        <v>A</v>
      </c>
      <c r="B11" s="38" t="str">
        <v>A</v>
      </c>
      <c r="C11" s="9">
        <f t="shared" si="0"/>
        <v>33</v>
      </c>
      <c r="D11" s="9">
        <f t="shared" si="1"/>
        <v>30</v>
      </c>
      <c r="E11" s="9">
        <f t="shared" si="2"/>
        <v>11</v>
      </c>
      <c r="F11" s="9">
        <f t="shared" si="3"/>
        <v>6</v>
      </c>
      <c r="G11" s="9">
        <f t="shared" si="4"/>
        <v>29</v>
      </c>
      <c r="H11" s="38">
        <v>7</v>
      </c>
      <c r="I11" s="52"/>
      <c r="J11" s="2">
        <v>7</v>
      </c>
      <c r="K11" s="41" t="s">
        <v>33</v>
      </c>
      <c r="L11" s="41" t="s">
        <v>31</v>
      </c>
      <c r="M11" s="41" t="s">
        <v>28</v>
      </c>
      <c r="N11" s="41" t="s">
        <v>34</v>
      </c>
      <c r="O11" s="41" t="s">
        <v>30</v>
      </c>
      <c r="Q11" s="17">
        <f t="shared" si="5"/>
        <v>8</v>
      </c>
      <c r="R11" s="17">
        <f t="shared" si="6"/>
        <v>6</v>
      </c>
      <c r="S11" s="17">
        <f t="shared" si="7"/>
        <v>3</v>
      </c>
      <c r="T11" s="17">
        <f t="shared" si="8"/>
        <v>9</v>
      </c>
      <c r="U11" s="17">
        <f t="shared" si="9"/>
        <v>5</v>
      </c>
      <c r="W11" s="7">
        <v>9345</v>
      </c>
      <c r="X11" s="7">
        <v>6448</v>
      </c>
      <c r="Y11" s="7">
        <v>8061</v>
      </c>
      <c r="Z11" s="7">
        <v>6640</v>
      </c>
      <c r="AA11" s="7">
        <v>7960</v>
      </c>
      <c r="AB11" s="13"/>
      <c r="AF11" s="2" t="str">
        <v>A</v>
      </c>
      <c r="AG11" s="9">
        <v>212033</v>
      </c>
      <c r="AH11" s="9">
        <v>209652</v>
      </c>
      <c r="AI11" s="9">
        <v>200600</v>
      </c>
      <c r="AJ11" s="9">
        <v>225917</v>
      </c>
      <c r="AK11" s="9">
        <v>213031</v>
      </c>
    </row>
    <row r="12" spans="1:37" ht="15.9" customHeight="1" x14ac:dyDescent="0.3">
      <c r="A12" s="2" t="str">
        <v>K</v>
      </c>
      <c r="B12" s="38" t="str">
        <v>K</v>
      </c>
      <c r="C12" s="9">
        <f t="shared" si="0"/>
        <v>37</v>
      </c>
      <c r="D12" s="9">
        <f t="shared" si="1"/>
        <v>8</v>
      </c>
      <c r="E12" s="9">
        <f t="shared" si="2"/>
        <v>8</v>
      </c>
      <c r="F12" s="9">
        <f t="shared" si="3"/>
        <v>30</v>
      </c>
      <c r="G12" s="9">
        <f t="shared" si="4"/>
        <v>24</v>
      </c>
      <c r="H12" s="38">
        <v>8</v>
      </c>
      <c r="I12" s="52"/>
      <c r="J12" s="2">
        <v>8</v>
      </c>
      <c r="K12" s="41" t="s">
        <v>30</v>
      </c>
      <c r="L12" s="41" t="s">
        <v>30</v>
      </c>
      <c r="M12" s="41" t="s">
        <v>38</v>
      </c>
      <c r="N12" s="41" t="s">
        <v>31</v>
      </c>
      <c r="O12" s="41" t="s">
        <v>29</v>
      </c>
      <c r="Q12" s="17">
        <f t="shared" si="5"/>
        <v>5</v>
      </c>
      <c r="R12" s="17">
        <f t="shared" si="6"/>
        <v>5</v>
      </c>
      <c r="S12" s="17">
        <f t="shared" si="7"/>
        <v>12</v>
      </c>
      <c r="T12" s="17">
        <f t="shared" si="8"/>
        <v>6</v>
      </c>
      <c r="U12" s="17">
        <f t="shared" si="9"/>
        <v>4</v>
      </c>
      <c r="W12" s="7">
        <v>8861</v>
      </c>
      <c r="X12" s="7">
        <v>6448</v>
      </c>
      <c r="Y12" s="7">
        <v>8061</v>
      </c>
      <c r="Z12" s="7">
        <v>15265</v>
      </c>
      <c r="AA12" s="7">
        <v>6713</v>
      </c>
      <c r="AB12" s="13"/>
      <c r="AF12" s="2" t="str">
        <v>K</v>
      </c>
      <c r="AG12" s="9">
        <v>54943</v>
      </c>
      <c r="AH12" s="9">
        <v>53686</v>
      </c>
      <c r="AI12" s="9">
        <v>47497</v>
      </c>
      <c r="AJ12" s="9">
        <v>55349</v>
      </c>
      <c r="AK12" s="9">
        <v>51545</v>
      </c>
    </row>
    <row r="13" spans="1:37" ht="15.9" customHeight="1" x14ac:dyDescent="0.3">
      <c r="A13" s="2" t="str">
        <v>Q</v>
      </c>
      <c r="B13" s="38" t="str">
        <v>Q</v>
      </c>
      <c r="C13" s="9">
        <f t="shared" si="0"/>
        <v>18</v>
      </c>
      <c r="D13" s="9">
        <f t="shared" si="1"/>
        <v>8</v>
      </c>
      <c r="E13" s="9">
        <f t="shared" si="2"/>
        <v>34</v>
      </c>
      <c r="F13" s="9">
        <f t="shared" si="3"/>
        <v>25</v>
      </c>
      <c r="G13" s="9">
        <f t="shared" si="4"/>
        <v>31</v>
      </c>
      <c r="H13" s="38">
        <v>9</v>
      </c>
      <c r="I13" s="52"/>
      <c r="J13" s="2">
        <v>9</v>
      </c>
      <c r="K13" s="41" t="s">
        <v>33</v>
      </c>
      <c r="L13" s="41" t="s">
        <v>31</v>
      </c>
      <c r="M13" s="41" t="s">
        <v>26</v>
      </c>
      <c r="N13" s="41" t="s">
        <v>31</v>
      </c>
      <c r="O13" s="41" t="s">
        <v>33</v>
      </c>
      <c r="Q13" s="17">
        <f t="shared" si="5"/>
        <v>8</v>
      </c>
      <c r="R13" s="17">
        <f t="shared" si="6"/>
        <v>6</v>
      </c>
      <c r="S13" s="17">
        <f t="shared" si="7"/>
        <v>2</v>
      </c>
      <c r="T13" s="17">
        <f t="shared" si="8"/>
        <v>6</v>
      </c>
      <c r="U13" s="17">
        <f t="shared" si="9"/>
        <v>8</v>
      </c>
      <c r="W13" s="7">
        <v>8722</v>
      </c>
      <c r="X13" s="7">
        <v>1993</v>
      </c>
      <c r="Y13" s="7">
        <v>6717</v>
      </c>
      <c r="Z13" s="7">
        <v>3639</v>
      </c>
      <c r="AA13" s="7">
        <v>6634</v>
      </c>
      <c r="AB13" s="13"/>
      <c r="AF13" s="2" t="str">
        <v>Q</v>
      </c>
      <c r="AG13" s="9">
        <v>262278</v>
      </c>
      <c r="AH13" s="9">
        <v>186994</v>
      </c>
      <c r="AI13" s="9">
        <v>245360</v>
      </c>
      <c r="AJ13" s="9">
        <v>205177</v>
      </c>
      <c r="AK13" s="9">
        <v>283374</v>
      </c>
    </row>
    <row r="14" spans="1:37" ht="15.9" customHeight="1" x14ac:dyDescent="0.3">
      <c r="A14" s="2" t="str">
        <v>J</v>
      </c>
      <c r="B14" s="38" t="str">
        <v>J</v>
      </c>
      <c r="C14" s="9">
        <f t="shared" si="0"/>
        <v>33</v>
      </c>
      <c r="D14" s="9">
        <f t="shared" si="1"/>
        <v>6</v>
      </c>
      <c r="E14" s="9">
        <f t="shared" si="2"/>
        <v>28</v>
      </c>
      <c r="F14" s="9">
        <f t="shared" si="3"/>
        <v>10</v>
      </c>
      <c r="G14" s="9">
        <f t="shared" si="4"/>
        <v>30</v>
      </c>
      <c r="H14" s="38">
        <v>10</v>
      </c>
      <c r="I14" s="52"/>
      <c r="J14" s="2">
        <v>10</v>
      </c>
      <c r="K14" s="41" t="s">
        <v>29</v>
      </c>
      <c r="L14" s="41" t="s">
        <v>44</v>
      </c>
      <c r="M14" s="41" t="s">
        <v>30</v>
      </c>
      <c r="N14" s="41" t="s">
        <v>31</v>
      </c>
      <c r="O14" s="41" t="s">
        <v>30</v>
      </c>
      <c r="Q14" s="17">
        <f t="shared" si="5"/>
        <v>4</v>
      </c>
      <c r="R14" s="17">
        <f t="shared" si="6"/>
        <v>15</v>
      </c>
      <c r="S14" s="17">
        <f t="shared" si="7"/>
        <v>5</v>
      </c>
      <c r="T14" s="17">
        <f t="shared" si="8"/>
        <v>6</v>
      </c>
      <c r="U14" s="17">
        <f t="shared" si="9"/>
        <v>5</v>
      </c>
      <c r="W14" s="7">
        <v>8942</v>
      </c>
      <c r="X14" s="7">
        <v>2469</v>
      </c>
      <c r="Y14" s="7">
        <v>6717</v>
      </c>
      <c r="Z14" s="7">
        <v>8592</v>
      </c>
      <c r="AA14" s="7">
        <v>19172</v>
      </c>
      <c r="AB14" s="13"/>
      <c r="AF14" s="2" t="str">
        <v>J</v>
      </c>
      <c r="AG14" s="9">
        <v>212708</v>
      </c>
      <c r="AH14" s="9">
        <v>156675</v>
      </c>
      <c r="AI14" s="9">
        <v>195445</v>
      </c>
      <c r="AJ14" s="9">
        <v>161598</v>
      </c>
      <c r="AK14" s="9">
        <v>230554</v>
      </c>
    </row>
    <row r="15" spans="1:37" ht="15.9" customHeight="1" x14ac:dyDescent="0.3">
      <c r="A15" s="2" t="str">
        <v>G1</v>
      </c>
      <c r="B15" s="38" t="str">
        <v>Golden M1</v>
      </c>
      <c r="C15" s="9">
        <f t="shared" si="0"/>
        <v>0</v>
      </c>
      <c r="D15" s="9">
        <f t="shared" si="1"/>
        <v>4</v>
      </c>
      <c r="E15" s="9">
        <f t="shared" si="2"/>
        <v>4</v>
      </c>
      <c r="F15" s="9">
        <f t="shared" si="3"/>
        <v>4</v>
      </c>
      <c r="G15" s="9">
        <f t="shared" si="4"/>
        <v>0</v>
      </c>
      <c r="H15" s="38">
        <v>11</v>
      </c>
      <c r="I15" s="52"/>
      <c r="J15" s="2">
        <v>11</v>
      </c>
      <c r="K15" s="41" t="s">
        <v>28</v>
      </c>
      <c r="L15" s="41" t="s">
        <v>42</v>
      </c>
      <c r="M15" s="41" t="s">
        <v>38</v>
      </c>
      <c r="N15" s="41" t="s">
        <v>34</v>
      </c>
      <c r="O15" s="41" t="s">
        <v>31</v>
      </c>
      <c r="Q15" s="17">
        <f t="shared" si="5"/>
        <v>3</v>
      </c>
      <c r="R15" s="17">
        <f t="shared" si="6"/>
        <v>14</v>
      </c>
      <c r="S15" s="17">
        <f t="shared" si="7"/>
        <v>12</v>
      </c>
      <c r="T15" s="17">
        <f t="shared" si="8"/>
        <v>9</v>
      </c>
      <c r="U15" s="17">
        <f t="shared" si="9"/>
        <v>6</v>
      </c>
      <c r="W15" s="7">
        <v>8651</v>
      </c>
      <c r="X15" s="7">
        <v>6926</v>
      </c>
      <c r="Y15" s="7">
        <v>6717</v>
      </c>
      <c r="Z15" s="7">
        <v>6396</v>
      </c>
      <c r="AA15" s="7">
        <v>7960</v>
      </c>
      <c r="AB15" s="13"/>
      <c r="AF15" s="2" t="str">
        <v>G1</v>
      </c>
      <c r="AG15" s="9">
        <v>0</v>
      </c>
      <c r="AH15" s="9">
        <v>7180</v>
      </c>
      <c r="AI15" s="9">
        <v>3316</v>
      </c>
      <c r="AJ15" s="9">
        <v>4487</v>
      </c>
      <c r="AK15" s="9">
        <v>0</v>
      </c>
    </row>
    <row r="16" spans="1:37" ht="15.9" customHeight="1" x14ac:dyDescent="0.3">
      <c r="A16" s="2" t="str">
        <v>G2</v>
      </c>
      <c r="B16" s="38" t="str">
        <v>Golden M2</v>
      </c>
      <c r="C16" s="9">
        <f t="shared" si="0"/>
        <v>0</v>
      </c>
      <c r="D16" s="9">
        <f t="shared" si="1"/>
        <v>14</v>
      </c>
      <c r="E16" s="9">
        <f t="shared" si="2"/>
        <v>6</v>
      </c>
      <c r="F16" s="9">
        <f t="shared" si="3"/>
        <v>4</v>
      </c>
      <c r="G16" s="9">
        <f t="shared" si="4"/>
        <v>0</v>
      </c>
      <c r="H16" s="38">
        <v>12</v>
      </c>
      <c r="I16" s="52"/>
      <c r="J16" s="2">
        <v>12</v>
      </c>
      <c r="K16" s="41" t="s">
        <v>35</v>
      </c>
      <c r="L16" s="41" t="s">
        <v>31</v>
      </c>
      <c r="M16" s="41" t="s">
        <v>35</v>
      </c>
      <c r="N16" s="41" t="s">
        <v>31</v>
      </c>
      <c r="O16" s="41" t="s">
        <v>33</v>
      </c>
      <c r="Q16" s="17">
        <f t="shared" si="5"/>
        <v>10</v>
      </c>
      <c r="R16" s="17">
        <f t="shared" si="6"/>
        <v>6</v>
      </c>
      <c r="S16" s="17">
        <f t="shared" si="7"/>
        <v>10</v>
      </c>
      <c r="T16" s="17">
        <f t="shared" si="8"/>
        <v>6</v>
      </c>
      <c r="U16" s="17">
        <f t="shared" si="9"/>
        <v>8</v>
      </c>
      <c r="W16" s="7">
        <v>7915</v>
      </c>
      <c r="X16" s="7">
        <v>6957</v>
      </c>
      <c r="Y16" s="7">
        <v>8061</v>
      </c>
      <c r="Z16" s="7">
        <v>12130</v>
      </c>
      <c r="AA16" s="7">
        <v>8641</v>
      </c>
      <c r="AB16" s="13"/>
      <c r="AF16" s="2" t="str">
        <v>G2</v>
      </c>
      <c r="AG16" s="9">
        <v>0</v>
      </c>
      <c r="AH16" s="9">
        <v>3519</v>
      </c>
      <c r="AI16" s="9">
        <v>5939</v>
      </c>
      <c r="AJ16" s="9">
        <v>2254</v>
      </c>
      <c r="AK16" s="9">
        <v>0</v>
      </c>
    </row>
    <row r="17" spans="1:37" ht="15.9" customHeight="1" x14ac:dyDescent="0.3">
      <c r="A17" s="2" t="str">
        <v>G3</v>
      </c>
      <c r="B17" s="38" t="str">
        <v>Golden M3</v>
      </c>
      <c r="C17" s="9">
        <f t="shared" si="0"/>
        <v>0</v>
      </c>
      <c r="D17" s="9">
        <f t="shared" si="1"/>
        <v>6</v>
      </c>
      <c r="E17" s="9">
        <f t="shared" si="2"/>
        <v>12</v>
      </c>
      <c r="F17" s="9">
        <f t="shared" si="3"/>
        <v>4</v>
      </c>
      <c r="G17" s="9">
        <f t="shared" si="4"/>
        <v>0</v>
      </c>
      <c r="H17" s="38">
        <v>13</v>
      </c>
      <c r="I17" s="52"/>
      <c r="J17" s="2">
        <v>13</v>
      </c>
      <c r="K17" s="41" t="s">
        <v>29</v>
      </c>
      <c r="L17" s="41" t="s">
        <v>34</v>
      </c>
      <c r="M17" s="41" t="s">
        <v>29</v>
      </c>
      <c r="N17" s="41" t="s">
        <v>33</v>
      </c>
      <c r="O17" s="41" t="s">
        <v>28</v>
      </c>
      <c r="Q17" s="17">
        <f t="shared" si="5"/>
        <v>4</v>
      </c>
      <c r="R17" s="17">
        <f t="shared" si="6"/>
        <v>9</v>
      </c>
      <c r="S17" s="17">
        <f t="shared" si="7"/>
        <v>4</v>
      </c>
      <c r="T17" s="17">
        <f t="shared" si="8"/>
        <v>8</v>
      </c>
      <c r="U17" s="17">
        <f t="shared" si="9"/>
        <v>3</v>
      </c>
      <c r="W17" s="7">
        <v>19088</v>
      </c>
      <c r="X17" s="7">
        <v>1900</v>
      </c>
      <c r="Y17" s="7">
        <v>22539</v>
      </c>
      <c r="Z17" s="7">
        <v>3639</v>
      </c>
      <c r="AA17" s="7">
        <v>23080</v>
      </c>
      <c r="AB17" s="13"/>
      <c r="AF17" s="2" t="str">
        <v>G3</v>
      </c>
      <c r="AG17" s="9">
        <v>0</v>
      </c>
      <c r="AH17" s="9">
        <v>5872</v>
      </c>
      <c r="AI17" s="9">
        <v>4871</v>
      </c>
      <c r="AJ17" s="9">
        <v>4103</v>
      </c>
      <c r="AK17" s="9">
        <v>0</v>
      </c>
    </row>
    <row r="18" spans="1:37" ht="15.9" customHeight="1" x14ac:dyDescent="0.3">
      <c r="A18" s="2" t="str">
        <v>G4</v>
      </c>
      <c r="B18" s="38" t="str">
        <v>Golden M4</v>
      </c>
      <c r="C18" s="9">
        <f t="shared" si="0"/>
        <v>0</v>
      </c>
      <c r="D18" s="9">
        <f t="shared" si="1"/>
        <v>16</v>
      </c>
      <c r="E18" s="9">
        <f t="shared" si="2"/>
        <v>4</v>
      </c>
      <c r="F18" s="9">
        <f t="shared" si="3"/>
        <v>16</v>
      </c>
      <c r="G18" s="9">
        <f t="shared" si="4"/>
        <v>0</v>
      </c>
      <c r="H18" s="38">
        <v>14</v>
      </c>
      <c r="I18" s="52"/>
      <c r="J18" s="9">
        <v>14</v>
      </c>
      <c r="K18" s="41" t="s">
        <v>31</v>
      </c>
      <c r="L18" s="41" t="s">
        <v>29</v>
      </c>
      <c r="M18" s="41" t="s">
        <v>33</v>
      </c>
      <c r="N18" s="41" t="s">
        <v>31</v>
      </c>
      <c r="O18" s="41" t="s">
        <v>29</v>
      </c>
      <c r="Q18" s="17">
        <f t="shared" si="5"/>
        <v>6</v>
      </c>
      <c r="R18" s="17">
        <f t="shared" si="6"/>
        <v>4</v>
      </c>
      <c r="S18" s="17">
        <f t="shared" si="7"/>
        <v>8</v>
      </c>
      <c r="T18" s="17">
        <f t="shared" si="8"/>
        <v>6</v>
      </c>
      <c r="U18" s="17">
        <f t="shared" si="9"/>
        <v>4</v>
      </c>
      <c r="W18" s="7">
        <v>62321</v>
      </c>
      <c r="X18" s="7">
        <v>1610</v>
      </c>
      <c r="Y18" s="7">
        <v>20691</v>
      </c>
      <c r="Z18" s="7">
        <v>2579</v>
      </c>
      <c r="AA18" s="7">
        <v>7960</v>
      </c>
      <c r="AB18" s="13"/>
      <c r="AF18" s="2" t="str">
        <v>G4</v>
      </c>
      <c r="AG18" s="9">
        <v>0</v>
      </c>
      <c r="AH18" s="9">
        <v>28352</v>
      </c>
      <c r="AI18" s="9">
        <v>13496</v>
      </c>
      <c r="AJ18" s="9">
        <v>15079</v>
      </c>
      <c r="AK18" s="9">
        <v>0</v>
      </c>
    </row>
    <row r="19" spans="1:37" ht="15.9" customHeight="1" x14ac:dyDescent="0.3">
      <c r="A19" s="2" t="str">
        <v>GA</v>
      </c>
      <c r="B19" s="38" t="str">
        <v>Golden A</v>
      </c>
      <c r="C19" s="9">
        <f t="shared" si="0"/>
        <v>0</v>
      </c>
      <c r="D19" s="9">
        <f t="shared" si="1"/>
        <v>22</v>
      </c>
      <c r="E19" s="9">
        <f t="shared" si="2"/>
        <v>6</v>
      </c>
      <c r="F19" s="9">
        <f t="shared" si="3"/>
        <v>4</v>
      </c>
      <c r="G19" s="9">
        <f t="shared" si="4"/>
        <v>0</v>
      </c>
      <c r="H19" s="38">
        <v>15</v>
      </c>
      <c r="I19" s="52"/>
      <c r="J19" s="2">
        <v>15</v>
      </c>
      <c r="K19" s="41" t="s">
        <v>35</v>
      </c>
      <c r="L19" s="41" t="s">
        <v>29</v>
      </c>
      <c r="M19" s="41" t="s">
        <v>48</v>
      </c>
      <c r="N19" s="41" t="s">
        <v>46</v>
      </c>
      <c r="O19" s="41" t="s">
        <v>33</v>
      </c>
      <c r="Q19" s="17">
        <f t="shared" si="5"/>
        <v>10</v>
      </c>
      <c r="R19" s="17">
        <f t="shared" si="6"/>
        <v>4</v>
      </c>
      <c r="S19" s="17">
        <f t="shared" si="7"/>
        <v>17</v>
      </c>
      <c r="T19" s="17">
        <f t="shared" si="8"/>
        <v>16</v>
      </c>
      <c r="U19" s="17">
        <f t="shared" si="9"/>
        <v>8</v>
      </c>
      <c r="W19" s="7">
        <v>18626</v>
      </c>
      <c r="X19" s="7">
        <v>1610</v>
      </c>
      <c r="Y19" s="7">
        <v>55831</v>
      </c>
      <c r="Z19" s="7">
        <v>1920</v>
      </c>
      <c r="AA19" s="7">
        <v>13037</v>
      </c>
      <c r="AB19" s="13"/>
      <c r="AF19" s="2" t="str">
        <v>GA</v>
      </c>
      <c r="AG19" s="9">
        <v>0</v>
      </c>
      <c r="AH19" s="9">
        <v>38739</v>
      </c>
      <c r="AI19" s="9">
        <v>28424</v>
      </c>
      <c r="AJ19" s="9">
        <v>22154</v>
      </c>
      <c r="AK19" s="9">
        <v>0</v>
      </c>
    </row>
    <row r="20" spans="1:37" ht="15.9" customHeight="1" x14ac:dyDescent="0.3">
      <c r="A20" s="2" t="str">
        <v>GK</v>
      </c>
      <c r="B20" s="38" t="str">
        <v>Golden K</v>
      </c>
      <c r="C20" s="9">
        <f t="shared" si="0"/>
        <v>0</v>
      </c>
      <c r="D20" s="9">
        <f t="shared" si="1"/>
        <v>6</v>
      </c>
      <c r="E20" s="9">
        <f t="shared" si="2"/>
        <v>4</v>
      </c>
      <c r="F20" s="9">
        <f t="shared" si="3"/>
        <v>22</v>
      </c>
      <c r="G20" s="9">
        <f t="shared" si="4"/>
        <v>0</v>
      </c>
      <c r="H20" s="38">
        <v>16</v>
      </c>
      <c r="I20" s="52"/>
      <c r="J20" s="2">
        <v>16</v>
      </c>
      <c r="K20" s="41" t="s">
        <v>34</v>
      </c>
      <c r="L20" s="41" t="s">
        <v>31</v>
      </c>
      <c r="M20" s="41" t="s">
        <v>44</v>
      </c>
      <c r="N20" s="41" t="s">
        <v>46</v>
      </c>
      <c r="O20" s="41" t="s">
        <v>29</v>
      </c>
      <c r="Q20" s="17">
        <f t="shared" si="5"/>
        <v>9</v>
      </c>
      <c r="R20" s="17">
        <f t="shared" si="6"/>
        <v>6</v>
      </c>
      <c r="S20" s="17">
        <f t="shared" si="7"/>
        <v>15</v>
      </c>
      <c r="T20" s="17">
        <f t="shared" si="8"/>
        <v>16</v>
      </c>
      <c r="U20" s="17">
        <f t="shared" si="9"/>
        <v>4</v>
      </c>
      <c r="W20" s="7">
        <v>7208</v>
      </c>
      <c r="X20" s="7">
        <v>1610</v>
      </c>
      <c r="Y20" s="7">
        <v>67166</v>
      </c>
      <c r="Z20" s="7">
        <v>3639</v>
      </c>
      <c r="AA20" s="7">
        <v>22031</v>
      </c>
      <c r="AB20" s="13"/>
      <c r="AF20" s="2" t="str">
        <v>GK</v>
      </c>
      <c r="AG20" s="9">
        <v>0</v>
      </c>
      <c r="AH20" s="9">
        <v>9952</v>
      </c>
      <c r="AI20" s="9">
        <v>6962</v>
      </c>
      <c r="AJ20" s="9">
        <v>6081</v>
      </c>
      <c r="AK20" s="9">
        <v>0</v>
      </c>
    </row>
    <row r="21" spans="1:37" ht="15.9" customHeight="1" x14ac:dyDescent="0.3">
      <c r="A21" s="2" t="str">
        <v>GQ</v>
      </c>
      <c r="B21" s="38" t="str">
        <v>Golden Q</v>
      </c>
      <c r="C21" s="9">
        <f t="shared" si="0"/>
        <v>0</v>
      </c>
      <c r="D21" s="9">
        <f t="shared" si="1"/>
        <v>6</v>
      </c>
      <c r="E21" s="9">
        <f t="shared" si="2"/>
        <v>14</v>
      </c>
      <c r="F21" s="9">
        <f t="shared" si="3"/>
        <v>14</v>
      </c>
      <c r="G21" s="9">
        <f t="shared" si="4"/>
        <v>0</v>
      </c>
      <c r="H21" s="38">
        <v>17</v>
      </c>
      <c r="I21" s="52"/>
      <c r="J21" s="2">
        <v>17</v>
      </c>
      <c r="K21" s="41" t="s">
        <v>35</v>
      </c>
      <c r="L21" s="41" t="s">
        <v>36</v>
      </c>
      <c r="M21" s="41" t="s">
        <v>50</v>
      </c>
      <c r="N21" s="41" t="s">
        <v>33</v>
      </c>
      <c r="O21" s="41" t="s">
        <v>34</v>
      </c>
      <c r="Q21" s="17">
        <f t="shared" si="5"/>
        <v>10</v>
      </c>
      <c r="R21" s="17">
        <f t="shared" si="6"/>
        <v>11</v>
      </c>
      <c r="S21" s="17">
        <f t="shared" si="7"/>
        <v>18</v>
      </c>
      <c r="T21" s="17">
        <f t="shared" si="8"/>
        <v>8</v>
      </c>
      <c r="U21" s="17">
        <f t="shared" si="9"/>
        <v>9</v>
      </c>
      <c r="W21" s="7">
        <v>8651</v>
      </c>
      <c r="X21" s="7">
        <v>1786</v>
      </c>
      <c r="Y21" s="7">
        <v>63362</v>
      </c>
      <c r="Z21" s="7">
        <v>3639</v>
      </c>
      <c r="AA21" s="7">
        <v>22736</v>
      </c>
      <c r="AB21" s="13"/>
      <c r="AF21" s="2" t="str">
        <v>GQ</v>
      </c>
      <c r="AG21" s="9">
        <v>0</v>
      </c>
      <c r="AH21" s="9">
        <v>34501</v>
      </c>
      <c r="AI21" s="9">
        <v>36098</v>
      </c>
      <c r="AJ21" s="9">
        <v>22655</v>
      </c>
      <c r="AK21" s="9">
        <v>0</v>
      </c>
    </row>
    <row r="22" spans="1:37" ht="15.9" customHeight="1" x14ac:dyDescent="0.3">
      <c r="A22" s="2" t="str">
        <v>GJ</v>
      </c>
      <c r="B22" s="38" t="str">
        <v>Golden J</v>
      </c>
      <c r="C22" s="9">
        <f t="shared" si="0"/>
        <v>0</v>
      </c>
      <c r="D22" s="9">
        <f t="shared" si="1"/>
        <v>4</v>
      </c>
      <c r="E22" s="9">
        <f t="shared" si="2"/>
        <v>16</v>
      </c>
      <c r="F22" s="9">
        <f t="shared" si="3"/>
        <v>4</v>
      </c>
      <c r="G22" s="9">
        <f t="shared" si="4"/>
        <v>0</v>
      </c>
      <c r="H22" s="38">
        <v>18</v>
      </c>
      <c r="I22" s="52"/>
      <c r="J22" s="2">
        <v>18</v>
      </c>
      <c r="K22" s="41" t="s">
        <v>33</v>
      </c>
      <c r="L22" s="41" t="s">
        <v>28</v>
      </c>
      <c r="M22" s="41" t="s">
        <v>34</v>
      </c>
      <c r="N22" s="41" t="s">
        <v>33</v>
      </c>
      <c r="O22" s="41" t="s">
        <v>31</v>
      </c>
      <c r="Q22" s="17">
        <f t="shared" si="5"/>
        <v>8</v>
      </c>
      <c r="R22" s="17">
        <f t="shared" si="6"/>
        <v>3</v>
      </c>
      <c r="S22" s="17">
        <f t="shared" si="7"/>
        <v>9</v>
      </c>
      <c r="T22" s="17">
        <f t="shared" si="8"/>
        <v>8</v>
      </c>
      <c r="U22" s="17">
        <f t="shared" si="9"/>
        <v>6</v>
      </c>
      <c r="W22" s="7">
        <v>8650</v>
      </c>
      <c r="X22" s="7">
        <v>8635</v>
      </c>
      <c r="Y22" s="7">
        <v>16695</v>
      </c>
      <c r="Z22" s="7">
        <v>2579</v>
      </c>
      <c r="AA22" s="7">
        <v>77148</v>
      </c>
      <c r="AB22" s="13"/>
      <c r="AF22" s="2" t="str">
        <v>GJ</v>
      </c>
      <c r="AG22" s="9">
        <v>0</v>
      </c>
      <c r="AH22" s="9">
        <v>29928</v>
      </c>
      <c r="AI22" s="9">
        <v>27530</v>
      </c>
      <c r="AJ22" s="9">
        <v>20750</v>
      </c>
      <c r="AK22" s="9">
        <v>0</v>
      </c>
    </row>
    <row r="23" spans="1:37" ht="15.9" customHeight="1" x14ac:dyDescent="0.3">
      <c r="C23" s="19">
        <f>SUM(C4:C22)</f>
        <v>200</v>
      </c>
      <c r="D23" s="19">
        <f>SUM(D4:D22)</f>
        <v>200</v>
      </c>
      <c r="E23" s="19">
        <f>SUM(E4:E22)</f>
        <v>200</v>
      </c>
      <c r="F23" s="19">
        <f>SUM(F4:F22)</f>
        <v>200</v>
      </c>
      <c r="G23" s="19">
        <f>SUM(G4:G22)</f>
        <v>200</v>
      </c>
      <c r="I23" s="52"/>
      <c r="J23" s="2">
        <v>19</v>
      </c>
      <c r="K23" s="41" t="s">
        <v>28</v>
      </c>
      <c r="L23" s="41" t="s">
        <v>29</v>
      </c>
      <c r="M23" s="41" t="s">
        <v>32</v>
      </c>
      <c r="N23" s="41" t="s">
        <v>46</v>
      </c>
      <c r="O23" s="41" t="s">
        <v>32</v>
      </c>
      <c r="Q23" s="17">
        <f t="shared" si="5"/>
        <v>3</v>
      </c>
      <c r="R23" s="17">
        <f t="shared" si="6"/>
        <v>4</v>
      </c>
      <c r="S23" s="17">
        <f t="shared" si="7"/>
        <v>7</v>
      </c>
      <c r="T23" s="17">
        <f t="shared" si="8"/>
        <v>16</v>
      </c>
      <c r="U23" s="17">
        <f t="shared" si="9"/>
        <v>7</v>
      </c>
      <c r="W23" s="7">
        <v>9383</v>
      </c>
      <c r="X23" s="7">
        <v>8143</v>
      </c>
      <c r="Y23" s="7">
        <v>15323</v>
      </c>
      <c r="Z23" s="7">
        <v>1920</v>
      </c>
      <c r="AA23" s="7">
        <v>61717</v>
      </c>
      <c r="AB23" s="13"/>
    </row>
    <row r="24" spans="1:37" ht="15.9" customHeight="1" x14ac:dyDescent="0.3">
      <c r="I24" s="52"/>
      <c r="J24" s="2">
        <v>20</v>
      </c>
      <c r="K24" s="41" t="s">
        <v>29</v>
      </c>
      <c r="L24" s="41" t="s">
        <v>44</v>
      </c>
      <c r="M24" s="41" t="s">
        <v>42</v>
      </c>
      <c r="N24" s="41" t="s">
        <v>33</v>
      </c>
      <c r="O24" s="41" t="s">
        <v>35</v>
      </c>
      <c r="Q24" s="17">
        <f t="shared" si="5"/>
        <v>4</v>
      </c>
      <c r="R24" s="17">
        <f t="shared" si="6"/>
        <v>15</v>
      </c>
      <c r="S24" s="17">
        <f t="shared" si="7"/>
        <v>14</v>
      </c>
      <c r="T24" s="17">
        <f t="shared" si="8"/>
        <v>8</v>
      </c>
      <c r="U24" s="17">
        <f t="shared" si="9"/>
        <v>10</v>
      </c>
      <c r="W24" s="7">
        <v>8650</v>
      </c>
      <c r="X24" s="7">
        <v>6932</v>
      </c>
      <c r="Y24" s="7">
        <v>5072</v>
      </c>
      <c r="Z24" s="7">
        <v>12130</v>
      </c>
      <c r="AA24" s="7">
        <v>22736</v>
      </c>
    </row>
    <row r="25" spans="1:37" ht="16.5" customHeight="1" x14ac:dyDescent="0.3">
      <c r="I25" s="52"/>
      <c r="J25" s="2">
        <v>21</v>
      </c>
      <c r="K25" s="41" t="s">
        <v>31</v>
      </c>
      <c r="L25" s="41" t="s">
        <v>42</v>
      </c>
      <c r="M25" s="41" t="s">
        <v>42</v>
      </c>
      <c r="N25" s="41" t="s">
        <v>42</v>
      </c>
      <c r="O25" s="41" t="s">
        <v>34</v>
      </c>
      <c r="Q25" s="17">
        <f t="shared" si="5"/>
        <v>6</v>
      </c>
      <c r="R25" s="17">
        <f t="shared" si="6"/>
        <v>14</v>
      </c>
      <c r="S25" s="17">
        <f t="shared" si="7"/>
        <v>14</v>
      </c>
      <c r="T25" s="17">
        <f t="shared" si="8"/>
        <v>14</v>
      </c>
      <c r="U25" s="17">
        <f t="shared" si="9"/>
        <v>9</v>
      </c>
      <c r="W25" s="7">
        <v>8861</v>
      </c>
      <c r="X25" s="7">
        <v>2304</v>
      </c>
      <c r="Y25" s="7">
        <v>6168</v>
      </c>
      <c r="Z25" s="7">
        <v>18931</v>
      </c>
      <c r="AA25" s="7">
        <v>17955</v>
      </c>
      <c r="AB25" s="13"/>
    </row>
    <row r="26" spans="1:37" ht="16.5" customHeight="1" x14ac:dyDescent="0.3">
      <c r="I26" s="52"/>
      <c r="J26" s="2">
        <v>22</v>
      </c>
      <c r="K26" s="41" t="s">
        <v>30</v>
      </c>
      <c r="L26" s="41" t="s">
        <v>31</v>
      </c>
      <c r="M26" s="41" t="s">
        <v>35</v>
      </c>
      <c r="N26" s="41" t="s">
        <v>28</v>
      </c>
      <c r="O26" s="41" t="s">
        <v>35</v>
      </c>
      <c r="Q26" s="17">
        <f t="shared" si="5"/>
        <v>5</v>
      </c>
      <c r="R26" s="17">
        <f t="shared" si="6"/>
        <v>6</v>
      </c>
      <c r="S26" s="17">
        <f t="shared" si="7"/>
        <v>10</v>
      </c>
      <c r="T26" s="17">
        <f t="shared" si="8"/>
        <v>3</v>
      </c>
      <c r="U26" s="17">
        <f t="shared" si="9"/>
        <v>10</v>
      </c>
      <c r="W26" s="7">
        <v>8650</v>
      </c>
      <c r="X26" s="7">
        <v>7448</v>
      </c>
      <c r="Y26" s="7">
        <v>2417</v>
      </c>
      <c r="Z26" s="7">
        <v>7418</v>
      </c>
      <c r="AA26" s="7">
        <v>22279</v>
      </c>
      <c r="AB26" s="13"/>
    </row>
    <row r="27" spans="1:37" ht="16.5" customHeight="1" x14ac:dyDescent="0.3">
      <c r="I27" s="52"/>
      <c r="J27" s="2">
        <v>23</v>
      </c>
      <c r="K27" s="41" t="s">
        <v>33</v>
      </c>
      <c r="L27" s="41" t="s">
        <v>29</v>
      </c>
      <c r="M27" s="41" t="s">
        <v>50</v>
      </c>
      <c r="N27" s="41" t="s">
        <v>48</v>
      </c>
      <c r="O27" s="41" t="s">
        <v>31</v>
      </c>
      <c r="Q27" s="17">
        <f t="shared" si="5"/>
        <v>8</v>
      </c>
      <c r="R27" s="17">
        <f t="shared" si="6"/>
        <v>4</v>
      </c>
      <c r="S27" s="17">
        <f t="shared" si="7"/>
        <v>18</v>
      </c>
      <c r="T27" s="17">
        <f t="shared" si="8"/>
        <v>17</v>
      </c>
      <c r="U27" s="17">
        <f t="shared" si="9"/>
        <v>6</v>
      </c>
      <c r="W27" s="7">
        <v>8650</v>
      </c>
      <c r="X27" s="7">
        <v>7806</v>
      </c>
      <c r="Y27" s="7">
        <v>8061</v>
      </c>
      <c r="Z27" s="7">
        <v>7837</v>
      </c>
      <c r="AA27" s="7">
        <v>7960</v>
      </c>
      <c r="AB27" s="13"/>
    </row>
    <row r="28" spans="1:37" ht="16.5" customHeight="1" x14ac:dyDescent="0.3">
      <c r="I28" s="52"/>
      <c r="J28" s="2">
        <v>24</v>
      </c>
      <c r="K28" s="41" t="s">
        <v>29</v>
      </c>
      <c r="L28" s="41" t="s">
        <v>31</v>
      </c>
      <c r="M28" s="41" t="s">
        <v>40</v>
      </c>
      <c r="N28" s="41" t="s">
        <v>46</v>
      </c>
      <c r="O28" s="41" t="s">
        <v>32</v>
      </c>
      <c r="Q28" s="17">
        <f t="shared" si="5"/>
        <v>4</v>
      </c>
      <c r="R28" s="17">
        <f t="shared" si="6"/>
        <v>6</v>
      </c>
      <c r="S28" s="17">
        <f t="shared" si="7"/>
        <v>13</v>
      </c>
      <c r="T28" s="17">
        <f t="shared" si="8"/>
        <v>16</v>
      </c>
      <c r="U28" s="17">
        <f t="shared" si="9"/>
        <v>7</v>
      </c>
      <c r="W28" s="7">
        <v>18868</v>
      </c>
      <c r="X28" s="7">
        <v>6448</v>
      </c>
      <c r="Y28" s="7">
        <v>2538</v>
      </c>
      <c r="Z28" s="7">
        <v>7676</v>
      </c>
      <c r="AA28" s="7">
        <v>7960</v>
      </c>
      <c r="AB28" s="13"/>
    </row>
    <row r="29" spans="1:37" ht="16.5" customHeight="1" x14ac:dyDescent="0.3">
      <c r="I29" s="52"/>
      <c r="J29" s="2">
        <v>25</v>
      </c>
      <c r="K29" s="41" t="s">
        <v>32</v>
      </c>
      <c r="L29" s="41" t="s">
        <v>32</v>
      </c>
      <c r="M29" s="41" t="s">
        <v>50</v>
      </c>
      <c r="N29" s="41" t="s">
        <v>38</v>
      </c>
      <c r="O29" s="41" t="s">
        <v>30</v>
      </c>
      <c r="Q29" s="17">
        <f t="shared" si="5"/>
        <v>7</v>
      </c>
      <c r="R29" s="17">
        <f t="shared" si="6"/>
        <v>7</v>
      </c>
      <c r="S29" s="17">
        <f t="shared" si="7"/>
        <v>18</v>
      </c>
      <c r="T29" s="17">
        <f t="shared" si="8"/>
        <v>12</v>
      </c>
      <c r="U29" s="17">
        <f t="shared" si="9"/>
        <v>5</v>
      </c>
      <c r="W29" s="7">
        <v>23666</v>
      </c>
      <c r="X29" s="7">
        <v>6448</v>
      </c>
      <c r="Y29" s="7">
        <v>2417</v>
      </c>
      <c r="Z29" s="7">
        <v>8329</v>
      </c>
      <c r="AA29" s="7">
        <v>2390</v>
      </c>
      <c r="AB29" s="13"/>
    </row>
    <row r="30" spans="1:37" ht="16.5" customHeight="1" x14ac:dyDescent="0.3">
      <c r="I30" s="52"/>
      <c r="J30" s="2">
        <v>26</v>
      </c>
      <c r="K30" s="41" t="s">
        <v>30</v>
      </c>
      <c r="L30" s="41" t="s">
        <v>36</v>
      </c>
      <c r="M30" s="41" t="s">
        <v>30</v>
      </c>
      <c r="N30" s="41" t="s">
        <v>36</v>
      </c>
      <c r="O30" s="41" t="s">
        <v>32</v>
      </c>
      <c r="Q30" s="17">
        <f t="shared" si="5"/>
        <v>5</v>
      </c>
      <c r="R30" s="17">
        <f t="shared" si="6"/>
        <v>11</v>
      </c>
      <c r="S30" s="17">
        <f t="shared" si="7"/>
        <v>5</v>
      </c>
      <c r="T30" s="17">
        <f t="shared" si="8"/>
        <v>11</v>
      </c>
      <c r="U30" s="17">
        <f t="shared" si="9"/>
        <v>7</v>
      </c>
      <c r="W30" s="7">
        <v>2595</v>
      </c>
      <c r="X30" s="7">
        <v>10133</v>
      </c>
      <c r="Y30" s="7">
        <v>2459</v>
      </c>
      <c r="Z30" s="7">
        <v>23550</v>
      </c>
      <c r="AA30" s="7">
        <v>2390</v>
      </c>
      <c r="AB30" s="13"/>
    </row>
    <row r="31" spans="1:37" ht="16.5" customHeight="1" x14ac:dyDescent="0.3">
      <c r="I31" s="52"/>
      <c r="J31" s="2">
        <v>27</v>
      </c>
      <c r="K31" s="41" t="s">
        <v>33</v>
      </c>
      <c r="L31" s="41" t="s">
        <v>26</v>
      </c>
      <c r="M31" s="41" t="s">
        <v>40</v>
      </c>
      <c r="N31" s="41" t="s">
        <v>32</v>
      </c>
      <c r="O31" s="41" t="s">
        <v>30</v>
      </c>
      <c r="Q31" s="17">
        <f t="shared" si="5"/>
        <v>8</v>
      </c>
      <c r="R31" s="17">
        <f t="shared" si="6"/>
        <v>2</v>
      </c>
      <c r="S31" s="17">
        <f t="shared" si="7"/>
        <v>13</v>
      </c>
      <c r="T31" s="17">
        <f t="shared" si="8"/>
        <v>7</v>
      </c>
      <c r="U31" s="17">
        <f t="shared" si="9"/>
        <v>5</v>
      </c>
      <c r="W31" s="7">
        <v>2595</v>
      </c>
      <c r="X31" s="7">
        <v>9717</v>
      </c>
      <c r="Y31" s="7">
        <v>8061</v>
      </c>
      <c r="Z31" s="7">
        <v>19566</v>
      </c>
      <c r="AA31" s="7">
        <v>2390</v>
      </c>
      <c r="AB31" s="13"/>
    </row>
    <row r="32" spans="1:37" ht="16.5" customHeight="1" x14ac:dyDescent="0.3">
      <c r="J32" s="2">
        <v>28</v>
      </c>
      <c r="K32" s="41" t="s">
        <v>35</v>
      </c>
      <c r="L32" s="41" t="s">
        <v>34</v>
      </c>
      <c r="M32" s="41" t="s">
        <v>33</v>
      </c>
      <c r="N32" s="41" t="s">
        <v>34</v>
      </c>
      <c r="O32" s="41" t="s">
        <v>30</v>
      </c>
      <c r="Q32" s="17">
        <f t="shared" si="5"/>
        <v>10</v>
      </c>
      <c r="R32" s="17">
        <f t="shared" si="6"/>
        <v>9</v>
      </c>
      <c r="S32" s="17">
        <f t="shared" si="7"/>
        <v>8</v>
      </c>
      <c r="T32" s="17">
        <f t="shared" si="8"/>
        <v>9</v>
      </c>
      <c r="U32" s="17">
        <f t="shared" si="9"/>
        <v>5</v>
      </c>
      <c r="W32" s="7">
        <v>2161</v>
      </c>
      <c r="X32" s="7">
        <v>24197</v>
      </c>
      <c r="Y32" s="7">
        <v>7797</v>
      </c>
      <c r="Z32" s="7">
        <v>18353</v>
      </c>
      <c r="AA32" s="7">
        <v>7960</v>
      </c>
      <c r="AB32" s="13"/>
    </row>
    <row r="33" spans="10:28" ht="16.5" customHeight="1" x14ac:dyDescent="0.3">
      <c r="J33" s="2">
        <v>29</v>
      </c>
      <c r="K33" s="41" t="s">
        <v>35</v>
      </c>
      <c r="L33" s="41" t="s">
        <v>36</v>
      </c>
      <c r="M33" s="41" t="s">
        <v>29</v>
      </c>
      <c r="N33" s="41" t="s">
        <v>31</v>
      </c>
      <c r="O33" s="41" t="s">
        <v>32</v>
      </c>
      <c r="Q33" s="17">
        <f t="shared" si="5"/>
        <v>10</v>
      </c>
      <c r="R33" s="17">
        <f t="shared" si="6"/>
        <v>11</v>
      </c>
      <c r="S33" s="17">
        <f t="shared" si="7"/>
        <v>4</v>
      </c>
      <c r="T33" s="17">
        <f t="shared" si="8"/>
        <v>6</v>
      </c>
      <c r="U33" s="17">
        <f t="shared" si="9"/>
        <v>7</v>
      </c>
      <c r="W33" s="7">
        <v>7208</v>
      </c>
      <c r="X33" s="7">
        <v>49636</v>
      </c>
      <c r="Y33" s="7">
        <v>6717</v>
      </c>
      <c r="Z33" s="7">
        <v>7448</v>
      </c>
      <c r="AA33" s="7">
        <v>7960</v>
      </c>
      <c r="AB33" s="13"/>
    </row>
    <row r="34" spans="10:28" ht="16.5" customHeight="1" x14ac:dyDescent="0.3">
      <c r="J34" s="2">
        <v>30</v>
      </c>
      <c r="K34" s="41" t="s">
        <v>33</v>
      </c>
      <c r="L34" s="41" t="s">
        <v>31</v>
      </c>
      <c r="M34" s="41" t="s">
        <v>46</v>
      </c>
      <c r="N34" s="41" t="s">
        <v>33</v>
      </c>
      <c r="O34" s="41" t="s">
        <v>34</v>
      </c>
      <c r="Q34" s="17">
        <f t="shared" si="5"/>
        <v>8</v>
      </c>
      <c r="R34" s="17">
        <f t="shared" si="6"/>
        <v>6</v>
      </c>
      <c r="S34" s="17">
        <f t="shared" si="7"/>
        <v>16</v>
      </c>
      <c r="T34" s="17">
        <f t="shared" si="8"/>
        <v>8</v>
      </c>
      <c r="U34" s="17">
        <f t="shared" si="9"/>
        <v>9</v>
      </c>
      <c r="W34" s="7">
        <v>7208</v>
      </c>
      <c r="X34" s="7">
        <v>53721</v>
      </c>
      <c r="Y34" s="7">
        <v>17943</v>
      </c>
      <c r="Z34" s="7">
        <v>1920</v>
      </c>
      <c r="AA34" s="7">
        <v>21606</v>
      </c>
      <c r="AB34" s="13"/>
    </row>
    <row r="35" spans="10:28" ht="16.5" customHeight="1" x14ac:dyDescent="0.3">
      <c r="J35" s="2">
        <v>31</v>
      </c>
      <c r="K35" s="41" t="s">
        <v>35</v>
      </c>
      <c r="L35" s="41" t="s">
        <v>44</v>
      </c>
      <c r="M35" s="41" t="s">
        <v>31</v>
      </c>
      <c r="N35" s="41" t="s">
        <v>30</v>
      </c>
      <c r="O35" s="41" t="s">
        <v>33</v>
      </c>
      <c r="Q35" s="17">
        <f t="shared" si="5"/>
        <v>10</v>
      </c>
      <c r="R35" s="17">
        <f t="shared" si="6"/>
        <v>15</v>
      </c>
      <c r="S35" s="17">
        <f t="shared" si="7"/>
        <v>6</v>
      </c>
      <c r="T35" s="17">
        <f t="shared" si="8"/>
        <v>5</v>
      </c>
      <c r="U35" s="17">
        <f t="shared" si="9"/>
        <v>8</v>
      </c>
      <c r="W35" s="7">
        <v>8650</v>
      </c>
      <c r="X35" s="7">
        <v>44503</v>
      </c>
      <c r="Y35" s="7">
        <v>16278</v>
      </c>
      <c r="Z35" s="7">
        <v>1920</v>
      </c>
      <c r="AA35" s="7">
        <v>7986</v>
      </c>
      <c r="AB35" s="13"/>
    </row>
    <row r="36" spans="10:28" ht="16.5" customHeight="1" x14ac:dyDescent="0.3">
      <c r="J36" s="2">
        <v>32</v>
      </c>
      <c r="K36" s="41" t="s">
        <v>29</v>
      </c>
      <c r="L36" s="41" t="s">
        <v>35</v>
      </c>
      <c r="M36" s="41" t="s">
        <v>48</v>
      </c>
      <c r="N36" s="41" t="s">
        <v>29</v>
      </c>
      <c r="O36" s="41" t="s">
        <v>28</v>
      </c>
      <c r="Q36" s="17">
        <f t="shared" ref="Q36:Q67" si="10">IF(K36="","",VLOOKUP(K36,$A$4:$H$22,8,FALSE))</f>
        <v>4</v>
      </c>
      <c r="R36" s="17">
        <f t="shared" ref="R36:R67" si="11">IF(L36="","",VLOOKUP(L36,$A$4:$H$22,8,FALSE))</f>
        <v>10</v>
      </c>
      <c r="S36" s="17">
        <f t="shared" ref="S36:S67" si="12">IF(M36="","",VLOOKUP(M36,$A$4:$H$22,8,FALSE))</f>
        <v>17</v>
      </c>
      <c r="T36" s="17">
        <f t="shared" ref="T36:T67" si="13">IF(N36="","",VLOOKUP(N36,$A$4:$H$22,8,FALSE))</f>
        <v>4</v>
      </c>
      <c r="U36" s="17">
        <f t="shared" ref="U36:U67" si="14">IF(O36="","",VLOOKUP(O36,$A$4:$H$22,8,FALSE))</f>
        <v>3</v>
      </c>
      <c r="W36" s="7">
        <v>8650</v>
      </c>
      <c r="X36" s="7">
        <v>52873</v>
      </c>
      <c r="Y36" s="7">
        <v>8275</v>
      </c>
      <c r="Z36" s="7">
        <v>2302</v>
      </c>
      <c r="AA36" s="7">
        <v>7960</v>
      </c>
      <c r="AB36" s="13"/>
    </row>
    <row r="37" spans="10:28" ht="16.5" customHeight="1" x14ac:dyDescent="0.3">
      <c r="J37" s="2">
        <v>33</v>
      </c>
      <c r="K37" s="41" t="s">
        <v>28</v>
      </c>
      <c r="L37" s="41" t="s">
        <v>44</v>
      </c>
      <c r="M37" s="41" t="s">
        <v>29</v>
      </c>
      <c r="N37" s="41" t="s">
        <v>29</v>
      </c>
      <c r="O37" s="41" t="s">
        <v>29</v>
      </c>
      <c r="Q37" s="17">
        <f t="shared" si="10"/>
        <v>3</v>
      </c>
      <c r="R37" s="17">
        <f t="shared" si="11"/>
        <v>15</v>
      </c>
      <c r="S37" s="17">
        <f t="shared" si="12"/>
        <v>4</v>
      </c>
      <c r="T37" s="17">
        <f t="shared" si="13"/>
        <v>4</v>
      </c>
      <c r="U37" s="17">
        <f t="shared" si="14"/>
        <v>4</v>
      </c>
      <c r="W37" s="7">
        <v>8650</v>
      </c>
      <c r="X37" s="7">
        <v>16995</v>
      </c>
      <c r="Y37" s="7">
        <v>6755</v>
      </c>
      <c r="Z37" s="7">
        <v>7676</v>
      </c>
      <c r="AA37" s="7">
        <v>6634</v>
      </c>
      <c r="AB37" s="13"/>
    </row>
    <row r="38" spans="10:28" ht="16.5" customHeight="1" x14ac:dyDescent="0.3">
      <c r="J38" s="2">
        <v>34</v>
      </c>
      <c r="K38" s="41" t="s">
        <v>35</v>
      </c>
      <c r="L38" s="41" t="s">
        <v>31</v>
      </c>
      <c r="M38" s="41" t="s">
        <v>50</v>
      </c>
      <c r="N38" s="41" t="s">
        <v>36</v>
      </c>
      <c r="O38" s="41" t="s">
        <v>34</v>
      </c>
      <c r="Q38" s="17">
        <f t="shared" si="10"/>
        <v>10</v>
      </c>
      <c r="R38" s="17">
        <f t="shared" si="11"/>
        <v>6</v>
      </c>
      <c r="S38" s="17">
        <f t="shared" si="12"/>
        <v>18</v>
      </c>
      <c r="T38" s="17">
        <f t="shared" si="13"/>
        <v>11</v>
      </c>
      <c r="U38" s="17">
        <f t="shared" si="14"/>
        <v>9</v>
      </c>
      <c r="W38" s="7">
        <v>12794</v>
      </c>
      <c r="X38" s="7">
        <v>2273</v>
      </c>
      <c r="Y38" s="7">
        <v>6755</v>
      </c>
      <c r="Z38" s="7">
        <v>7676</v>
      </c>
      <c r="AA38" s="7">
        <v>6634</v>
      </c>
      <c r="AB38" s="13"/>
    </row>
    <row r="39" spans="10:28" ht="16.5" customHeight="1" x14ac:dyDescent="0.3">
      <c r="J39" s="2">
        <v>35</v>
      </c>
      <c r="K39" s="41" t="s">
        <v>26</v>
      </c>
      <c r="L39" s="41" t="s">
        <v>28</v>
      </c>
      <c r="M39" s="41" t="s">
        <v>40</v>
      </c>
      <c r="N39" s="41" t="s">
        <v>30</v>
      </c>
      <c r="O39" s="41" t="s">
        <v>28</v>
      </c>
      <c r="Q39" s="17">
        <f t="shared" si="10"/>
        <v>2</v>
      </c>
      <c r="R39" s="17">
        <f t="shared" si="11"/>
        <v>3</v>
      </c>
      <c r="S39" s="17">
        <f t="shared" si="12"/>
        <v>13</v>
      </c>
      <c r="T39" s="17">
        <f t="shared" si="13"/>
        <v>5</v>
      </c>
      <c r="U39" s="17">
        <f t="shared" si="14"/>
        <v>3</v>
      </c>
      <c r="W39" s="7">
        <v>8650</v>
      </c>
      <c r="X39" s="7">
        <v>1610</v>
      </c>
      <c r="Y39" s="7">
        <v>6717</v>
      </c>
      <c r="Z39" s="7">
        <v>7676</v>
      </c>
      <c r="AA39" s="7">
        <v>6634</v>
      </c>
      <c r="AB39" s="13"/>
    </row>
    <row r="40" spans="10:28" ht="16.5" customHeight="1" x14ac:dyDescent="0.3">
      <c r="J40" s="2">
        <v>36</v>
      </c>
      <c r="K40" s="41" t="s">
        <v>29</v>
      </c>
      <c r="L40" s="41" t="s">
        <v>46</v>
      </c>
      <c r="M40" s="41" t="s">
        <v>28</v>
      </c>
      <c r="N40" s="41" t="s">
        <v>33</v>
      </c>
      <c r="O40" s="41" t="s">
        <v>30</v>
      </c>
      <c r="Q40" s="17">
        <f t="shared" si="10"/>
        <v>4</v>
      </c>
      <c r="R40" s="17">
        <f t="shared" si="11"/>
        <v>16</v>
      </c>
      <c r="S40" s="17">
        <f t="shared" si="12"/>
        <v>3</v>
      </c>
      <c r="T40" s="17">
        <f t="shared" si="13"/>
        <v>8</v>
      </c>
      <c r="U40" s="17">
        <f t="shared" si="14"/>
        <v>5</v>
      </c>
      <c r="W40" s="7">
        <v>2161</v>
      </c>
      <c r="X40" s="7">
        <v>1610</v>
      </c>
      <c r="Y40" s="7">
        <v>6717</v>
      </c>
      <c r="Z40" s="7">
        <v>2342</v>
      </c>
      <c r="AA40" s="7">
        <v>8559</v>
      </c>
      <c r="AB40" s="13"/>
    </row>
    <row r="41" spans="10:28" ht="16.5" customHeight="1" x14ac:dyDescent="0.3">
      <c r="J41" s="2">
        <v>37</v>
      </c>
      <c r="K41" s="41" t="s">
        <v>33</v>
      </c>
      <c r="L41" s="41" t="s">
        <v>46</v>
      </c>
      <c r="M41" s="41" t="s">
        <v>30</v>
      </c>
      <c r="N41" s="41" t="s">
        <v>48</v>
      </c>
      <c r="O41" s="41" t="s">
        <v>28</v>
      </c>
      <c r="Q41" s="17">
        <f t="shared" si="10"/>
        <v>8</v>
      </c>
      <c r="R41" s="17">
        <f t="shared" si="11"/>
        <v>16</v>
      </c>
      <c r="S41" s="17">
        <f t="shared" si="12"/>
        <v>5</v>
      </c>
      <c r="T41" s="17">
        <f t="shared" si="13"/>
        <v>17</v>
      </c>
      <c r="U41" s="17">
        <f t="shared" si="14"/>
        <v>3</v>
      </c>
      <c r="W41" s="7">
        <v>2411</v>
      </c>
      <c r="X41" s="7">
        <v>1610</v>
      </c>
      <c r="Y41" s="7">
        <v>6717</v>
      </c>
      <c r="Z41" s="7">
        <v>5816</v>
      </c>
      <c r="AA41" s="7">
        <v>7960</v>
      </c>
      <c r="AB41" s="13"/>
    </row>
    <row r="42" spans="10:28" ht="16.5" customHeight="1" x14ac:dyDescent="0.3">
      <c r="J42" s="2">
        <v>38</v>
      </c>
      <c r="K42" s="41" t="s">
        <v>29</v>
      </c>
      <c r="L42" s="41" t="s">
        <v>40</v>
      </c>
      <c r="M42" s="41" t="s">
        <v>34</v>
      </c>
      <c r="N42" s="41" t="s">
        <v>31</v>
      </c>
      <c r="O42" s="41" t="s">
        <v>30</v>
      </c>
      <c r="Q42" s="17">
        <f t="shared" si="10"/>
        <v>4</v>
      </c>
      <c r="R42" s="17">
        <f t="shared" si="11"/>
        <v>13</v>
      </c>
      <c r="S42" s="17">
        <f t="shared" si="12"/>
        <v>9</v>
      </c>
      <c r="T42" s="17">
        <f t="shared" si="13"/>
        <v>6</v>
      </c>
      <c r="U42" s="17">
        <f t="shared" si="14"/>
        <v>5</v>
      </c>
      <c r="W42" s="7">
        <v>2621</v>
      </c>
      <c r="X42" s="7">
        <v>2040</v>
      </c>
      <c r="Y42" s="7">
        <v>6755</v>
      </c>
      <c r="Z42" s="7">
        <v>1920</v>
      </c>
      <c r="AA42" s="7">
        <v>7960</v>
      </c>
      <c r="AB42" s="13"/>
    </row>
    <row r="43" spans="10:28" ht="16.5" customHeight="1" x14ac:dyDescent="0.3">
      <c r="J43" s="2">
        <v>39</v>
      </c>
      <c r="K43" s="41" t="s">
        <v>29</v>
      </c>
      <c r="L43" s="41" t="s">
        <v>40</v>
      </c>
      <c r="M43" s="41" t="s">
        <v>44</v>
      </c>
      <c r="N43" s="41" t="s">
        <v>42</v>
      </c>
      <c r="O43" s="41" t="s">
        <v>35</v>
      </c>
      <c r="Q43" s="17">
        <f t="shared" si="10"/>
        <v>4</v>
      </c>
      <c r="R43" s="17">
        <f t="shared" si="11"/>
        <v>13</v>
      </c>
      <c r="S43" s="17">
        <f t="shared" si="12"/>
        <v>15</v>
      </c>
      <c r="T43" s="17">
        <f t="shared" si="13"/>
        <v>14</v>
      </c>
      <c r="U43" s="17">
        <f t="shared" si="14"/>
        <v>10</v>
      </c>
      <c r="W43" s="7">
        <v>7790</v>
      </c>
      <c r="X43" s="7">
        <v>6841</v>
      </c>
      <c r="Y43" s="7">
        <v>6755</v>
      </c>
      <c r="Z43" s="7">
        <v>6395</v>
      </c>
      <c r="AA43" s="7">
        <v>7960</v>
      </c>
      <c r="AB43" s="13"/>
    </row>
    <row r="44" spans="10:28" ht="16.5" customHeight="1" x14ac:dyDescent="0.3">
      <c r="J44" s="2">
        <v>40</v>
      </c>
      <c r="K44" s="41" t="s">
        <v>32</v>
      </c>
      <c r="L44" s="41" t="s">
        <v>38</v>
      </c>
      <c r="M44" s="41" t="s">
        <v>34</v>
      </c>
      <c r="N44" s="41" t="s">
        <v>33</v>
      </c>
      <c r="O44" s="41" t="s">
        <v>31</v>
      </c>
      <c r="Q44" s="17">
        <f t="shared" si="10"/>
        <v>7</v>
      </c>
      <c r="R44" s="17">
        <f t="shared" si="11"/>
        <v>12</v>
      </c>
      <c r="S44" s="17">
        <f t="shared" si="12"/>
        <v>9</v>
      </c>
      <c r="T44" s="17">
        <f t="shared" si="13"/>
        <v>8</v>
      </c>
      <c r="U44" s="17">
        <f t="shared" si="14"/>
        <v>6</v>
      </c>
      <c r="W44" s="7">
        <v>17604</v>
      </c>
      <c r="X44" s="7">
        <v>8136</v>
      </c>
      <c r="Y44" s="7">
        <v>2851</v>
      </c>
      <c r="Z44" s="7">
        <v>7676</v>
      </c>
      <c r="AA44" s="7">
        <v>7960</v>
      </c>
      <c r="AB44" s="13"/>
    </row>
    <row r="45" spans="10:28" ht="16.5" customHeight="1" x14ac:dyDescent="0.3">
      <c r="J45" s="2">
        <v>41</v>
      </c>
      <c r="K45" s="41" t="s">
        <v>32</v>
      </c>
      <c r="L45" s="41" t="s">
        <v>32</v>
      </c>
      <c r="M45" s="41" t="s">
        <v>35</v>
      </c>
      <c r="N45" s="41" t="s">
        <v>38</v>
      </c>
      <c r="O45" s="41" t="s">
        <v>28</v>
      </c>
      <c r="Q45" s="17">
        <f t="shared" si="10"/>
        <v>7</v>
      </c>
      <c r="R45" s="17">
        <f t="shared" si="11"/>
        <v>7</v>
      </c>
      <c r="S45" s="17">
        <f t="shared" si="12"/>
        <v>10</v>
      </c>
      <c r="T45" s="17">
        <f t="shared" si="13"/>
        <v>12</v>
      </c>
      <c r="U45" s="17">
        <f t="shared" si="14"/>
        <v>3</v>
      </c>
      <c r="W45" s="7">
        <v>5584</v>
      </c>
      <c r="X45" s="7">
        <v>24356</v>
      </c>
      <c r="Y45" s="7">
        <v>5604</v>
      </c>
      <c r="Z45" s="7">
        <v>7676</v>
      </c>
      <c r="AA45" s="7">
        <v>7960</v>
      </c>
      <c r="AB45" s="13"/>
    </row>
    <row r="46" spans="10:28" ht="16.5" customHeight="1" x14ac:dyDescent="0.3">
      <c r="J46" s="2">
        <v>42</v>
      </c>
      <c r="K46" s="41" t="s">
        <v>31</v>
      </c>
      <c r="L46" s="41" t="s">
        <v>29</v>
      </c>
      <c r="M46" s="41" t="s">
        <v>48</v>
      </c>
      <c r="N46" s="41" t="s">
        <v>46</v>
      </c>
      <c r="O46" s="41" t="s">
        <v>32</v>
      </c>
      <c r="Q46" s="17">
        <f t="shared" si="10"/>
        <v>6</v>
      </c>
      <c r="R46" s="17">
        <f t="shared" si="11"/>
        <v>4</v>
      </c>
      <c r="S46" s="17">
        <f t="shared" si="12"/>
        <v>17</v>
      </c>
      <c r="T46" s="17">
        <f t="shared" si="13"/>
        <v>16</v>
      </c>
      <c r="U46" s="17">
        <f t="shared" si="14"/>
        <v>7</v>
      </c>
      <c r="W46" s="7">
        <v>2161</v>
      </c>
      <c r="X46" s="7">
        <v>6416</v>
      </c>
      <c r="Y46" s="7">
        <v>4717</v>
      </c>
      <c r="Z46" s="7">
        <v>2302</v>
      </c>
      <c r="AA46" s="7">
        <v>7960</v>
      </c>
      <c r="AB46" s="13"/>
    </row>
    <row r="47" spans="10:28" ht="16.5" customHeight="1" x14ac:dyDescent="0.3">
      <c r="J47" s="2">
        <v>43</v>
      </c>
      <c r="K47" s="41" t="s">
        <v>31</v>
      </c>
      <c r="L47" s="41" t="s">
        <v>32</v>
      </c>
      <c r="M47" s="41" t="s">
        <v>48</v>
      </c>
      <c r="N47" s="41" t="s">
        <v>30</v>
      </c>
      <c r="O47" s="41" t="s">
        <v>34</v>
      </c>
      <c r="Q47" s="17">
        <f t="shared" si="10"/>
        <v>6</v>
      </c>
      <c r="R47" s="17">
        <f t="shared" si="11"/>
        <v>7</v>
      </c>
      <c r="S47" s="17">
        <f t="shared" si="12"/>
        <v>17</v>
      </c>
      <c r="T47" s="17">
        <f t="shared" si="13"/>
        <v>5</v>
      </c>
      <c r="U47" s="17">
        <f t="shared" si="14"/>
        <v>9</v>
      </c>
      <c r="W47" s="7">
        <v>8649</v>
      </c>
      <c r="X47" s="7">
        <v>9965</v>
      </c>
      <c r="Y47" s="7">
        <v>2417</v>
      </c>
      <c r="Z47" s="7">
        <v>1920</v>
      </c>
      <c r="AA47" s="7">
        <v>8247</v>
      </c>
      <c r="AB47" s="13"/>
    </row>
    <row r="48" spans="10:28" ht="16.5" customHeight="1" x14ac:dyDescent="0.3">
      <c r="J48" s="2">
        <v>44</v>
      </c>
      <c r="K48" s="41" t="s">
        <v>33</v>
      </c>
      <c r="L48" s="41" t="s">
        <v>29</v>
      </c>
      <c r="M48" s="41" t="s">
        <v>40</v>
      </c>
      <c r="N48" s="41" t="s">
        <v>33</v>
      </c>
      <c r="O48" s="41" t="s">
        <v>33</v>
      </c>
      <c r="Q48" s="17">
        <f t="shared" si="10"/>
        <v>8</v>
      </c>
      <c r="R48" s="17">
        <f t="shared" si="11"/>
        <v>4</v>
      </c>
      <c r="S48" s="17">
        <f t="shared" si="12"/>
        <v>13</v>
      </c>
      <c r="T48" s="17">
        <f t="shared" si="13"/>
        <v>8</v>
      </c>
      <c r="U48" s="17">
        <f t="shared" si="14"/>
        <v>8</v>
      </c>
      <c r="W48" s="7">
        <v>7757</v>
      </c>
      <c r="X48" s="7">
        <v>5614</v>
      </c>
      <c r="Y48" s="7">
        <v>2515</v>
      </c>
      <c r="Z48" s="7">
        <v>1920</v>
      </c>
      <c r="AA48" s="7">
        <v>7960</v>
      </c>
      <c r="AB48" s="13"/>
    </row>
    <row r="49" spans="10:28" ht="16.5" customHeight="1" x14ac:dyDescent="0.3">
      <c r="J49" s="2">
        <v>45</v>
      </c>
      <c r="K49" s="41" t="s">
        <v>28</v>
      </c>
      <c r="L49" s="41" t="s">
        <v>32</v>
      </c>
      <c r="M49" s="41" t="s">
        <v>42</v>
      </c>
      <c r="N49" s="41" t="s">
        <v>33</v>
      </c>
      <c r="O49" s="41" t="s">
        <v>31</v>
      </c>
      <c r="Q49" s="17">
        <f t="shared" si="10"/>
        <v>3</v>
      </c>
      <c r="R49" s="17">
        <f t="shared" si="11"/>
        <v>7</v>
      </c>
      <c r="S49" s="17">
        <f t="shared" si="12"/>
        <v>14</v>
      </c>
      <c r="T49" s="17">
        <f t="shared" si="13"/>
        <v>8</v>
      </c>
      <c r="U49" s="17">
        <f t="shared" si="14"/>
        <v>6</v>
      </c>
      <c r="W49" s="7">
        <v>23449</v>
      </c>
      <c r="X49" s="7">
        <v>5467</v>
      </c>
      <c r="Y49" s="7">
        <v>4885</v>
      </c>
      <c r="Z49" s="7">
        <v>1920</v>
      </c>
      <c r="AA49" s="7">
        <v>7960</v>
      </c>
      <c r="AB49" s="13"/>
    </row>
    <row r="50" spans="10:28" ht="16.5" customHeight="1" x14ac:dyDescent="0.3">
      <c r="J50" s="2">
        <v>46</v>
      </c>
      <c r="K50" s="41" t="s">
        <v>35</v>
      </c>
      <c r="L50" s="41" t="s">
        <v>31</v>
      </c>
      <c r="M50" s="41" t="s">
        <v>42</v>
      </c>
      <c r="N50" s="41" t="s">
        <v>33</v>
      </c>
      <c r="O50" s="41" t="s">
        <v>32</v>
      </c>
      <c r="Q50" s="17">
        <f t="shared" si="10"/>
        <v>10</v>
      </c>
      <c r="R50" s="17">
        <f t="shared" si="11"/>
        <v>6</v>
      </c>
      <c r="S50" s="17">
        <f t="shared" si="12"/>
        <v>14</v>
      </c>
      <c r="T50" s="17">
        <f t="shared" si="13"/>
        <v>8</v>
      </c>
      <c r="U50" s="17">
        <f t="shared" si="14"/>
        <v>7</v>
      </c>
      <c r="W50" s="7">
        <v>21619</v>
      </c>
      <c r="X50" s="7">
        <v>5476</v>
      </c>
      <c r="Y50" s="7">
        <v>3378</v>
      </c>
      <c r="Z50" s="7">
        <v>6395</v>
      </c>
      <c r="AA50" s="7">
        <v>7960</v>
      </c>
      <c r="AB50" s="13"/>
    </row>
    <row r="51" spans="10:28" ht="16.5" customHeight="1" x14ac:dyDescent="0.3">
      <c r="J51" s="2">
        <v>47</v>
      </c>
      <c r="K51" s="41" t="s">
        <v>29</v>
      </c>
      <c r="L51" s="41" t="s">
        <v>29</v>
      </c>
      <c r="M51" s="41" t="s">
        <v>31</v>
      </c>
      <c r="N51" s="41" t="s">
        <v>48</v>
      </c>
      <c r="O51" s="41" t="s">
        <v>35</v>
      </c>
      <c r="Q51" s="17">
        <f t="shared" si="10"/>
        <v>4</v>
      </c>
      <c r="R51" s="17">
        <f t="shared" si="11"/>
        <v>4</v>
      </c>
      <c r="S51" s="17">
        <f t="shared" si="12"/>
        <v>6</v>
      </c>
      <c r="T51" s="17">
        <f t="shared" si="13"/>
        <v>17</v>
      </c>
      <c r="U51" s="17">
        <f t="shared" si="14"/>
        <v>10</v>
      </c>
      <c r="W51" s="7">
        <v>6401</v>
      </c>
      <c r="X51" s="7">
        <v>5634</v>
      </c>
      <c r="Y51" s="7">
        <v>18225</v>
      </c>
      <c r="Z51" s="7">
        <v>6395</v>
      </c>
      <c r="AA51" s="7">
        <v>7960</v>
      </c>
      <c r="AB51" s="13"/>
    </row>
    <row r="52" spans="10:28" ht="16.5" customHeight="1" x14ac:dyDescent="0.3">
      <c r="J52" s="2">
        <v>48</v>
      </c>
      <c r="K52" s="41" t="s">
        <v>32</v>
      </c>
      <c r="L52" s="41" t="s">
        <v>32</v>
      </c>
      <c r="M52" s="41" t="s">
        <v>34</v>
      </c>
      <c r="N52" s="41" t="s">
        <v>42</v>
      </c>
      <c r="O52" s="41" t="s">
        <v>32</v>
      </c>
      <c r="Q52" s="17">
        <f t="shared" si="10"/>
        <v>7</v>
      </c>
      <c r="R52" s="17">
        <f t="shared" si="11"/>
        <v>7</v>
      </c>
      <c r="S52" s="17">
        <f t="shared" si="12"/>
        <v>9</v>
      </c>
      <c r="T52" s="17">
        <f t="shared" si="13"/>
        <v>14</v>
      </c>
      <c r="U52" s="17">
        <f t="shared" si="14"/>
        <v>7</v>
      </c>
      <c r="W52" s="7">
        <v>2595</v>
      </c>
      <c r="X52" s="7">
        <v>4524</v>
      </c>
      <c r="Y52" s="7">
        <v>16125</v>
      </c>
      <c r="Z52" s="7">
        <v>6395</v>
      </c>
      <c r="AA52" s="7">
        <v>8038</v>
      </c>
      <c r="AB52" s="13"/>
    </row>
    <row r="53" spans="10:28" ht="16.5" customHeight="1" x14ac:dyDescent="0.3">
      <c r="J53" s="2">
        <v>49</v>
      </c>
      <c r="K53" s="41" t="s">
        <v>32</v>
      </c>
      <c r="L53" s="41" t="s">
        <v>42</v>
      </c>
      <c r="M53" s="41" t="s">
        <v>34</v>
      </c>
      <c r="N53" s="41" t="s">
        <v>46</v>
      </c>
      <c r="O53" s="41" t="s">
        <v>30</v>
      </c>
      <c r="Q53" s="17">
        <f t="shared" si="10"/>
        <v>7</v>
      </c>
      <c r="R53" s="17">
        <f t="shared" si="11"/>
        <v>14</v>
      </c>
      <c r="S53" s="17">
        <f t="shared" si="12"/>
        <v>9</v>
      </c>
      <c r="T53" s="17">
        <f t="shared" si="13"/>
        <v>16</v>
      </c>
      <c r="U53" s="17">
        <f t="shared" si="14"/>
        <v>5</v>
      </c>
      <c r="W53" s="7">
        <v>8649</v>
      </c>
      <c r="X53" s="7">
        <v>5979</v>
      </c>
      <c r="Y53" s="7">
        <v>7871</v>
      </c>
      <c r="Z53" s="7">
        <v>1920</v>
      </c>
      <c r="AA53" s="7">
        <v>8825</v>
      </c>
      <c r="AB53" s="13"/>
    </row>
    <row r="54" spans="10:28" ht="16.5" customHeight="1" x14ac:dyDescent="0.3">
      <c r="J54" s="2">
        <v>50</v>
      </c>
      <c r="K54" s="41" t="s">
        <v>31</v>
      </c>
      <c r="L54" s="41" t="s">
        <v>32</v>
      </c>
      <c r="M54" s="41" t="s">
        <v>32</v>
      </c>
      <c r="N54" s="41" t="s">
        <v>30</v>
      </c>
      <c r="O54" s="41" t="s">
        <v>34</v>
      </c>
      <c r="Q54" s="17">
        <f t="shared" si="10"/>
        <v>6</v>
      </c>
      <c r="R54" s="17">
        <f t="shared" si="11"/>
        <v>7</v>
      </c>
      <c r="S54" s="17">
        <f t="shared" si="12"/>
        <v>7</v>
      </c>
      <c r="T54" s="17">
        <f t="shared" si="13"/>
        <v>5</v>
      </c>
      <c r="U54" s="17">
        <f t="shared" si="14"/>
        <v>9</v>
      </c>
      <c r="W54" s="7">
        <v>2595</v>
      </c>
      <c r="X54" s="7">
        <v>5979</v>
      </c>
      <c r="Y54" s="7">
        <v>2506</v>
      </c>
      <c r="Z54" s="7">
        <v>1920</v>
      </c>
      <c r="AA54" s="7">
        <v>1993</v>
      </c>
      <c r="AB54" s="13"/>
    </row>
    <row r="55" spans="10:28" ht="16.5" customHeight="1" x14ac:dyDescent="0.3">
      <c r="J55" s="2">
        <v>51</v>
      </c>
      <c r="K55" s="41" t="s">
        <v>32</v>
      </c>
      <c r="L55" s="41" t="s">
        <v>32</v>
      </c>
      <c r="M55" s="41" t="s">
        <v>32</v>
      </c>
      <c r="N55" s="41" t="s">
        <v>34</v>
      </c>
      <c r="O55" s="41" t="s">
        <v>30</v>
      </c>
      <c r="Q55" s="17">
        <f t="shared" si="10"/>
        <v>7</v>
      </c>
      <c r="R55" s="17">
        <f t="shared" si="11"/>
        <v>7</v>
      </c>
      <c r="S55" s="17">
        <f t="shared" si="12"/>
        <v>7</v>
      </c>
      <c r="T55" s="17">
        <f t="shared" si="13"/>
        <v>9</v>
      </c>
      <c r="U55" s="17">
        <f t="shared" si="14"/>
        <v>5</v>
      </c>
      <c r="W55" s="7">
        <v>3014</v>
      </c>
      <c r="X55" s="7">
        <v>5979</v>
      </c>
      <c r="Y55" s="7">
        <v>8061</v>
      </c>
      <c r="Z55" s="7">
        <v>1920</v>
      </c>
      <c r="AA55" s="7">
        <v>1993</v>
      </c>
      <c r="AB55" s="13"/>
    </row>
    <row r="56" spans="10:28" ht="16.5" customHeight="1" x14ac:dyDescent="0.3">
      <c r="J56" s="2">
        <v>52</v>
      </c>
      <c r="K56" s="41" t="s">
        <v>35</v>
      </c>
      <c r="L56" s="41" t="s">
        <v>31</v>
      </c>
      <c r="M56" s="41" t="s">
        <v>28</v>
      </c>
      <c r="N56" s="41" t="s">
        <v>34</v>
      </c>
      <c r="O56" s="41" t="s">
        <v>28</v>
      </c>
      <c r="Q56" s="17">
        <f t="shared" si="10"/>
        <v>10</v>
      </c>
      <c r="R56" s="17">
        <f t="shared" si="11"/>
        <v>6</v>
      </c>
      <c r="S56" s="17">
        <f t="shared" si="12"/>
        <v>3</v>
      </c>
      <c r="T56" s="17">
        <f t="shared" si="13"/>
        <v>9</v>
      </c>
      <c r="U56" s="17">
        <f t="shared" si="14"/>
        <v>3</v>
      </c>
      <c r="W56" s="7">
        <v>2595</v>
      </c>
      <c r="X56" s="7">
        <v>5979</v>
      </c>
      <c r="Y56" s="7">
        <v>2016</v>
      </c>
      <c r="Z56" s="7">
        <v>1920</v>
      </c>
      <c r="AA56" s="7">
        <v>1993</v>
      </c>
      <c r="AB56" s="13"/>
    </row>
    <row r="57" spans="10:28" ht="16.5" customHeight="1" x14ac:dyDescent="0.3">
      <c r="J57" s="2">
        <v>53</v>
      </c>
      <c r="K57" s="41" t="s">
        <v>35</v>
      </c>
      <c r="L57" s="41" t="s">
        <v>44</v>
      </c>
      <c r="M57" s="41" t="s">
        <v>46</v>
      </c>
      <c r="N57" s="41" t="s">
        <v>40</v>
      </c>
      <c r="O57" s="41" t="s">
        <v>28</v>
      </c>
      <c r="Q57" s="17">
        <f t="shared" si="10"/>
        <v>10</v>
      </c>
      <c r="R57" s="17">
        <f t="shared" si="11"/>
        <v>15</v>
      </c>
      <c r="S57" s="17">
        <f t="shared" si="12"/>
        <v>16</v>
      </c>
      <c r="T57" s="17">
        <f t="shared" si="13"/>
        <v>13</v>
      </c>
      <c r="U57" s="17">
        <f t="shared" si="14"/>
        <v>3</v>
      </c>
      <c r="W57" s="7">
        <v>25346</v>
      </c>
      <c r="X57" s="7">
        <v>5979</v>
      </c>
      <c r="Y57" s="7">
        <v>5506</v>
      </c>
      <c r="Z57" s="7">
        <v>1920</v>
      </c>
      <c r="AA57" s="7">
        <v>1993</v>
      </c>
      <c r="AB57" s="13"/>
    </row>
    <row r="58" spans="10:28" ht="16.5" customHeight="1" x14ac:dyDescent="0.3">
      <c r="J58" s="2">
        <v>54</v>
      </c>
      <c r="K58" s="41" t="s">
        <v>32</v>
      </c>
      <c r="L58" s="41" t="s">
        <v>32</v>
      </c>
      <c r="M58" s="41" t="s">
        <v>34</v>
      </c>
      <c r="N58" s="41" t="s">
        <v>46</v>
      </c>
      <c r="O58" s="41" t="s">
        <v>28</v>
      </c>
      <c r="Q58" s="17">
        <f t="shared" si="10"/>
        <v>7</v>
      </c>
      <c r="R58" s="17">
        <f t="shared" si="11"/>
        <v>7</v>
      </c>
      <c r="S58" s="17">
        <f t="shared" si="12"/>
        <v>9</v>
      </c>
      <c r="T58" s="17">
        <f t="shared" si="13"/>
        <v>16</v>
      </c>
      <c r="U58" s="17">
        <f t="shared" si="14"/>
        <v>3</v>
      </c>
      <c r="W58" s="7">
        <v>27550</v>
      </c>
      <c r="X58" s="7">
        <v>5979</v>
      </c>
      <c r="Y58" s="7">
        <v>17544</v>
      </c>
      <c r="Z58" s="7">
        <v>1920</v>
      </c>
      <c r="AA58" s="7">
        <v>7960</v>
      </c>
      <c r="AB58" s="13"/>
    </row>
    <row r="59" spans="10:28" ht="16.5" customHeight="1" x14ac:dyDescent="0.3">
      <c r="J59" s="2">
        <v>55</v>
      </c>
      <c r="K59" s="41" t="s">
        <v>28</v>
      </c>
      <c r="L59" s="41" t="s">
        <v>44</v>
      </c>
      <c r="M59" s="41" t="s">
        <v>34</v>
      </c>
      <c r="N59" s="41" t="s">
        <v>33</v>
      </c>
      <c r="O59" s="41" t="s">
        <v>34</v>
      </c>
      <c r="Q59" s="17">
        <f t="shared" si="10"/>
        <v>3</v>
      </c>
      <c r="R59" s="17">
        <f t="shared" si="11"/>
        <v>15</v>
      </c>
      <c r="S59" s="17">
        <f t="shared" si="12"/>
        <v>9</v>
      </c>
      <c r="T59" s="17">
        <f t="shared" si="13"/>
        <v>8</v>
      </c>
      <c r="U59" s="17">
        <f t="shared" si="14"/>
        <v>9</v>
      </c>
      <c r="W59" s="7">
        <v>8649</v>
      </c>
      <c r="X59" s="7">
        <v>5979</v>
      </c>
      <c r="Y59" s="7">
        <v>25096</v>
      </c>
      <c r="Z59" s="7">
        <v>6395</v>
      </c>
      <c r="AA59" s="7">
        <v>23728</v>
      </c>
      <c r="AB59" s="13"/>
    </row>
    <row r="60" spans="10:28" ht="16.5" customHeight="1" x14ac:dyDescent="0.3">
      <c r="J60" s="2">
        <v>56</v>
      </c>
      <c r="K60" s="41" t="s">
        <v>33</v>
      </c>
      <c r="L60" s="41" t="s">
        <v>32</v>
      </c>
      <c r="M60" s="41" t="s">
        <v>50</v>
      </c>
      <c r="N60" s="41" t="s">
        <v>48</v>
      </c>
      <c r="O60" s="41" t="s">
        <v>29</v>
      </c>
      <c r="Q60" s="17">
        <f t="shared" si="10"/>
        <v>8</v>
      </c>
      <c r="R60" s="17">
        <f t="shared" si="11"/>
        <v>7</v>
      </c>
      <c r="S60" s="17">
        <f t="shared" si="12"/>
        <v>18</v>
      </c>
      <c r="T60" s="17">
        <f t="shared" si="13"/>
        <v>17</v>
      </c>
      <c r="U60" s="17">
        <f t="shared" si="14"/>
        <v>4</v>
      </c>
      <c r="W60" s="7">
        <v>25886</v>
      </c>
      <c r="X60" s="7">
        <v>19932</v>
      </c>
      <c r="Y60" s="7">
        <v>28205</v>
      </c>
      <c r="Z60" s="7">
        <v>6395</v>
      </c>
      <c r="AA60" s="7">
        <v>8078</v>
      </c>
      <c r="AB60" s="13"/>
    </row>
    <row r="61" spans="10:28" ht="15.6" customHeight="1" x14ac:dyDescent="0.3">
      <c r="J61" s="2">
        <v>57</v>
      </c>
      <c r="K61" s="41" t="s">
        <v>31</v>
      </c>
      <c r="L61" s="41" t="s">
        <v>34</v>
      </c>
      <c r="M61" s="41" t="s">
        <v>33</v>
      </c>
      <c r="N61" s="41" t="s">
        <v>33</v>
      </c>
      <c r="O61" s="41" t="s">
        <v>32</v>
      </c>
      <c r="Q61" s="17">
        <f t="shared" si="10"/>
        <v>6</v>
      </c>
      <c r="R61" s="17">
        <f t="shared" si="11"/>
        <v>9</v>
      </c>
      <c r="S61" s="17">
        <f t="shared" si="12"/>
        <v>8</v>
      </c>
      <c r="T61" s="17">
        <f t="shared" si="13"/>
        <v>8</v>
      </c>
      <c r="U61" s="17">
        <f t="shared" si="14"/>
        <v>7</v>
      </c>
      <c r="W61" s="7">
        <v>8649</v>
      </c>
      <c r="X61" s="7">
        <v>19932</v>
      </c>
      <c r="Y61" s="7">
        <v>10816</v>
      </c>
      <c r="Z61" s="7">
        <v>7676</v>
      </c>
      <c r="AA61" s="7">
        <v>18835</v>
      </c>
      <c r="AB61" s="13"/>
    </row>
    <row r="62" spans="10:28" ht="15.6" customHeight="1" x14ac:dyDescent="0.3">
      <c r="J62" s="2">
        <v>58</v>
      </c>
      <c r="K62" s="41" t="s">
        <v>34</v>
      </c>
      <c r="L62" s="41" t="s">
        <v>31</v>
      </c>
      <c r="M62" s="41" t="s">
        <v>26</v>
      </c>
      <c r="N62" s="41" t="s">
        <v>35</v>
      </c>
      <c r="O62" s="41" t="s">
        <v>35</v>
      </c>
      <c r="Q62" s="17">
        <f t="shared" si="10"/>
        <v>9</v>
      </c>
      <c r="R62" s="17">
        <f t="shared" si="11"/>
        <v>6</v>
      </c>
      <c r="S62" s="17">
        <f t="shared" si="12"/>
        <v>2</v>
      </c>
      <c r="T62" s="17">
        <f t="shared" si="13"/>
        <v>10</v>
      </c>
      <c r="U62" s="17">
        <f t="shared" si="14"/>
        <v>10</v>
      </c>
      <c r="W62" s="7">
        <v>8649</v>
      </c>
      <c r="X62" s="7">
        <v>36549</v>
      </c>
      <c r="Y62" s="7">
        <v>8061</v>
      </c>
      <c r="Z62" s="7">
        <v>2302</v>
      </c>
      <c r="AA62" s="7">
        <v>15264</v>
      </c>
      <c r="AB62" s="13"/>
    </row>
    <row r="63" spans="10:28" ht="16.5" customHeight="1" x14ac:dyDescent="0.3">
      <c r="J63" s="2">
        <v>59</v>
      </c>
      <c r="K63" s="41" t="s">
        <v>29</v>
      </c>
      <c r="L63" s="41" t="s">
        <v>44</v>
      </c>
      <c r="M63" s="41" t="s">
        <v>34</v>
      </c>
      <c r="N63" s="41" t="s">
        <v>26</v>
      </c>
      <c r="O63" s="41" t="s">
        <v>35</v>
      </c>
      <c r="Q63" s="17">
        <f t="shared" si="10"/>
        <v>4</v>
      </c>
      <c r="R63" s="17">
        <f t="shared" si="11"/>
        <v>15</v>
      </c>
      <c r="S63" s="17">
        <f t="shared" si="12"/>
        <v>9</v>
      </c>
      <c r="T63" s="17">
        <f t="shared" si="13"/>
        <v>2</v>
      </c>
      <c r="U63" s="17">
        <f t="shared" si="14"/>
        <v>10</v>
      </c>
      <c r="W63" s="7">
        <v>11666</v>
      </c>
      <c r="X63" s="7">
        <v>6103</v>
      </c>
      <c r="Y63" s="7">
        <v>9231</v>
      </c>
      <c r="Z63" s="7">
        <v>2302</v>
      </c>
      <c r="AA63" s="7">
        <v>25869</v>
      </c>
      <c r="AB63" s="13"/>
    </row>
    <row r="64" spans="10:28" ht="16.5" customHeight="1" x14ac:dyDescent="0.3">
      <c r="J64" s="2">
        <v>60</v>
      </c>
      <c r="K64" s="41" t="s">
        <v>30</v>
      </c>
      <c r="L64" s="41" t="s">
        <v>28</v>
      </c>
      <c r="M64" s="41" t="s">
        <v>33</v>
      </c>
      <c r="N64" s="41" t="s">
        <v>46</v>
      </c>
      <c r="O64" s="41" t="s">
        <v>34</v>
      </c>
      <c r="Q64" s="17">
        <f t="shared" si="10"/>
        <v>5</v>
      </c>
      <c r="R64" s="17">
        <f t="shared" si="11"/>
        <v>3</v>
      </c>
      <c r="S64" s="17">
        <f t="shared" si="12"/>
        <v>8</v>
      </c>
      <c r="T64" s="17">
        <f t="shared" si="13"/>
        <v>16</v>
      </c>
      <c r="U64" s="17">
        <f t="shared" si="14"/>
        <v>9</v>
      </c>
      <c r="W64" s="7">
        <v>3928</v>
      </c>
      <c r="X64" s="7">
        <v>6414</v>
      </c>
      <c r="Y64" s="7">
        <v>8060</v>
      </c>
      <c r="Z64" s="7">
        <v>3931</v>
      </c>
      <c r="AA64" s="7">
        <v>23976</v>
      </c>
      <c r="AB64" s="13"/>
    </row>
    <row r="65" spans="10:28" ht="16.5" customHeight="1" x14ac:dyDescent="0.3">
      <c r="J65" s="2">
        <v>61</v>
      </c>
      <c r="K65" s="41" t="s">
        <v>26</v>
      </c>
      <c r="L65" s="41" t="s">
        <v>32</v>
      </c>
      <c r="M65" s="41" t="s">
        <v>31</v>
      </c>
      <c r="N65" s="41" t="s">
        <v>46</v>
      </c>
      <c r="O65" s="41" t="s">
        <v>32</v>
      </c>
      <c r="Q65" s="17">
        <f t="shared" si="10"/>
        <v>2</v>
      </c>
      <c r="R65" s="17">
        <f t="shared" si="11"/>
        <v>7</v>
      </c>
      <c r="S65" s="17">
        <f t="shared" si="12"/>
        <v>6</v>
      </c>
      <c r="T65" s="17">
        <f t="shared" si="13"/>
        <v>16</v>
      </c>
      <c r="U65" s="17">
        <f t="shared" si="14"/>
        <v>7</v>
      </c>
      <c r="W65" s="7">
        <v>2718</v>
      </c>
      <c r="X65" s="7">
        <v>2619</v>
      </c>
      <c r="Y65" s="7">
        <v>6717</v>
      </c>
      <c r="Z65" s="7">
        <v>6395</v>
      </c>
      <c r="AA65" s="7">
        <v>8032</v>
      </c>
      <c r="AB65" s="13"/>
    </row>
    <row r="66" spans="10:28" ht="16.5" customHeight="1" x14ac:dyDescent="0.3">
      <c r="J66" s="2">
        <v>62</v>
      </c>
      <c r="K66" s="41" t="s">
        <v>32</v>
      </c>
      <c r="L66" s="41" t="s">
        <v>32</v>
      </c>
      <c r="M66" s="41" t="s">
        <v>50</v>
      </c>
      <c r="N66" s="41" t="s">
        <v>31</v>
      </c>
      <c r="O66" s="41" t="s">
        <v>35</v>
      </c>
      <c r="Q66" s="17">
        <f t="shared" si="10"/>
        <v>7</v>
      </c>
      <c r="R66" s="17">
        <f t="shared" si="11"/>
        <v>7</v>
      </c>
      <c r="S66" s="17">
        <f t="shared" si="12"/>
        <v>18</v>
      </c>
      <c r="T66" s="17">
        <f t="shared" si="13"/>
        <v>6</v>
      </c>
      <c r="U66" s="17">
        <f t="shared" si="14"/>
        <v>10</v>
      </c>
      <c r="W66" s="7">
        <v>2161</v>
      </c>
      <c r="X66" s="7">
        <v>2547</v>
      </c>
      <c r="Y66" s="7">
        <v>6717</v>
      </c>
      <c r="Z66" s="7">
        <v>2579</v>
      </c>
      <c r="AA66" s="7">
        <v>7960</v>
      </c>
      <c r="AB66" s="13"/>
    </row>
    <row r="67" spans="10:28" ht="16.5" customHeight="1" x14ac:dyDescent="0.3">
      <c r="J67" s="2">
        <v>63</v>
      </c>
      <c r="K67" s="41" t="s">
        <v>32</v>
      </c>
      <c r="L67" s="41" t="s">
        <v>42</v>
      </c>
      <c r="M67" s="41" t="s">
        <v>40</v>
      </c>
      <c r="N67" s="41" t="s">
        <v>50</v>
      </c>
      <c r="O67" s="41" t="s">
        <v>33</v>
      </c>
      <c r="Q67" s="17">
        <f t="shared" si="10"/>
        <v>7</v>
      </c>
      <c r="R67" s="17">
        <f t="shared" si="11"/>
        <v>14</v>
      </c>
      <c r="S67" s="17">
        <f t="shared" si="12"/>
        <v>13</v>
      </c>
      <c r="T67" s="17">
        <f t="shared" si="13"/>
        <v>18</v>
      </c>
      <c r="U67" s="17">
        <f t="shared" si="14"/>
        <v>8</v>
      </c>
      <c r="W67" s="7">
        <v>7208</v>
      </c>
      <c r="X67" s="7">
        <v>5016</v>
      </c>
      <c r="Y67" s="7">
        <v>2016</v>
      </c>
      <c r="Z67" s="7">
        <v>6504</v>
      </c>
      <c r="AA67" s="7">
        <v>23879</v>
      </c>
      <c r="AB67" s="13"/>
    </row>
    <row r="68" spans="10:28" ht="16.5" customHeight="1" x14ac:dyDescent="0.3">
      <c r="J68" s="2">
        <v>64</v>
      </c>
      <c r="K68" s="41" t="s">
        <v>29</v>
      </c>
      <c r="L68" s="41" t="s">
        <v>32</v>
      </c>
      <c r="M68" s="41" t="s">
        <v>35</v>
      </c>
      <c r="N68" s="41" t="s">
        <v>31</v>
      </c>
      <c r="O68" s="41" t="s">
        <v>28</v>
      </c>
      <c r="Q68" s="17">
        <f t="shared" ref="Q68:Q99" si="15">IF(K68="","",VLOOKUP(K68,$A$4:$H$22,8,FALSE))</f>
        <v>4</v>
      </c>
      <c r="R68" s="17">
        <f t="shared" ref="R68:R99" si="16">IF(L68="","",VLOOKUP(L68,$A$4:$H$22,8,FALSE))</f>
        <v>7</v>
      </c>
      <c r="S68" s="17">
        <f t="shared" ref="S68:S99" si="17">IF(M68="","",VLOOKUP(M68,$A$4:$H$22,8,FALSE))</f>
        <v>10</v>
      </c>
      <c r="T68" s="17">
        <f t="shared" ref="T68:T99" si="18">IF(N68="","",VLOOKUP(N68,$A$4:$H$22,8,FALSE))</f>
        <v>6</v>
      </c>
      <c r="U68" s="17">
        <f t="shared" ref="U68:U99" si="19">IF(O68="","",VLOOKUP(O68,$A$4:$H$22,8,FALSE))</f>
        <v>3</v>
      </c>
      <c r="W68" s="7">
        <v>7208</v>
      </c>
      <c r="X68" s="7">
        <v>5762</v>
      </c>
      <c r="Y68" s="7">
        <v>2016</v>
      </c>
      <c r="Z68" s="7">
        <v>5042</v>
      </c>
      <c r="AA68" s="7">
        <v>8600</v>
      </c>
      <c r="AB68" s="13"/>
    </row>
    <row r="69" spans="10:28" ht="16.5" customHeight="1" x14ac:dyDescent="0.3">
      <c r="J69" s="2">
        <v>65</v>
      </c>
      <c r="K69" s="41" t="s">
        <v>33</v>
      </c>
      <c r="L69" s="41" t="s">
        <v>32</v>
      </c>
      <c r="M69" s="41" t="s">
        <v>30</v>
      </c>
      <c r="N69" s="41" t="s">
        <v>31</v>
      </c>
      <c r="O69" s="41" t="s">
        <v>34</v>
      </c>
      <c r="Q69" s="17">
        <f t="shared" si="15"/>
        <v>8</v>
      </c>
      <c r="R69" s="17">
        <f t="shared" si="16"/>
        <v>7</v>
      </c>
      <c r="S69" s="17">
        <f t="shared" si="17"/>
        <v>5</v>
      </c>
      <c r="T69" s="17">
        <f t="shared" si="18"/>
        <v>6</v>
      </c>
      <c r="U69" s="17">
        <f t="shared" si="19"/>
        <v>9</v>
      </c>
      <c r="W69" s="7">
        <v>2595</v>
      </c>
      <c r="X69" s="7">
        <v>5006</v>
      </c>
      <c r="Y69" s="7">
        <v>2417</v>
      </c>
      <c r="Z69" s="7">
        <v>8401</v>
      </c>
      <c r="AA69" s="7">
        <v>7562</v>
      </c>
      <c r="AB69" s="13"/>
    </row>
    <row r="70" spans="10:28" ht="16.5" customHeight="1" x14ac:dyDescent="0.3">
      <c r="J70" s="2">
        <v>66</v>
      </c>
      <c r="K70" s="41" t="s">
        <v>28</v>
      </c>
      <c r="L70" s="41" t="s">
        <v>34</v>
      </c>
      <c r="M70" s="41" t="s">
        <v>40</v>
      </c>
      <c r="N70" s="41" t="s">
        <v>29</v>
      </c>
      <c r="O70" s="41" t="s">
        <v>31</v>
      </c>
      <c r="Q70" s="17">
        <f t="shared" si="15"/>
        <v>3</v>
      </c>
      <c r="R70" s="17">
        <f t="shared" si="16"/>
        <v>9</v>
      </c>
      <c r="S70" s="17">
        <f t="shared" si="17"/>
        <v>13</v>
      </c>
      <c r="T70" s="17">
        <f t="shared" si="18"/>
        <v>4</v>
      </c>
      <c r="U70" s="17">
        <f t="shared" si="19"/>
        <v>6</v>
      </c>
      <c r="W70" s="7">
        <v>2595</v>
      </c>
      <c r="X70" s="7">
        <v>5798</v>
      </c>
      <c r="Y70" s="7">
        <v>2417</v>
      </c>
      <c r="Z70" s="7">
        <v>11625</v>
      </c>
      <c r="AA70" s="7">
        <v>2771</v>
      </c>
      <c r="AB70" s="13"/>
    </row>
    <row r="71" spans="10:28" ht="16.5" customHeight="1" x14ac:dyDescent="0.3">
      <c r="J71" s="2">
        <v>67</v>
      </c>
      <c r="K71" s="41" t="s">
        <v>33</v>
      </c>
      <c r="L71" s="41" t="s">
        <v>48</v>
      </c>
      <c r="M71" s="41" t="s">
        <v>30</v>
      </c>
      <c r="N71" s="41" t="s">
        <v>46</v>
      </c>
      <c r="O71" s="41" t="s">
        <v>32</v>
      </c>
      <c r="Q71" s="17">
        <f t="shared" si="15"/>
        <v>8</v>
      </c>
      <c r="R71" s="17">
        <f t="shared" si="16"/>
        <v>17</v>
      </c>
      <c r="S71" s="17">
        <f t="shared" si="17"/>
        <v>5</v>
      </c>
      <c r="T71" s="17">
        <f t="shared" si="18"/>
        <v>16</v>
      </c>
      <c r="U71" s="17">
        <f t="shared" si="19"/>
        <v>7</v>
      </c>
      <c r="W71" s="7">
        <v>2595</v>
      </c>
      <c r="X71" s="7">
        <v>7836</v>
      </c>
      <c r="Y71" s="7">
        <v>2417</v>
      </c>
      <c r="Z71" s="7">
        <v>13106</v>
      </c>
      <c r="AA71" s="7">
        <v>2390</v>
      </c>
      <c r="AB71" s="13"/>
    </row>
    <row r="72" spans="10:28" ht="16.5" customHeight="1" x14ac:dyDescent="0.3">
      <c r="J72" s="2">
        <v>68</v>
      </c>
      <c r="K72" s="41" t="s">
        <v>33</v>
      </c>
      <c r="L72" s="41" t="s">
        <v>42</v>
      </c>
      <c r="M72" s="41" t="s">
        <v>31</v>
      </c>
      <c r="N72" s="41" t="s">
        <v>31</v>
      </c>
      <c r="O72" s="41" t="s">
        <v>32</v>
      </c>
      <c r="Q72" s="17">
        <f t="shared" si="15"/>
        <v>8</v>
      </c>
      <c r="R72" s="17">
        <f t="shared" si="16"/>
        <v>14</v>
      </c>
      <c r="S72" s="17">
        <f t="shared" si="17"/>
        <v>6</v>
      </c>
      <c r="T72" s="17">
        <f t="shared" si="18"/>
        <v>6</v>
      </c>
      <c r="U72" s="17">
        <f t="shared" si="19"/>
        <v>7</v>
      </c>
      <c r="W72" s="7">
        <v>8649</v>
      </c>
      <c r="X72" s="7">
        <v>6448</v>
      </c>
      <c r="Y72" s="7">
        <v>7111</v>
      </c>
      <c r="Z72" s="7">
        <v>6395</v>
      </c>
      <c r="AA72" s="7">
        <v>2696</v>
      </c>
      <c r="AB72" s="13"/>
    </row>
    <row r="73" spans="10:28" ht="16.5" customHeight="1" x14ac:dyDescent="0.3">
      <c r="J73" s="2">
        <v>69</v>
      </c>
      <c r="K73" s="41" t="s">
        <v>29</v>
      </c>
      <c r="L73" s="41" t="s">
        <v>44</v>
      </c>
      <c r="M73" s="41" t="s">
        <v>35</v>
      </c>
      <c r="N73" s="41" t="s">
        <v>30</v>
      </c>
      <c r="O73" s="41" t="s">
        <v>32</v>
      </c>
      <c r="Q73" s="17">
        <f t="shared" si="15"/>
        <v>4</v>
      </c>
      <c r="R73" s="17">
        <f t="shared" si="16"/>
        <v>15</v>
      </c>
      <c r="S73" s="17">
        <f t="shared" si="17"/>
        <v>10</v>
      </c>
      <c r="T73" s="17">
        <f t="shared" si="18"/>
        <v>5</v>
      </c>
      <c r="U73" s="17">
        <f t="shared" si="19"/>
        <v>7</v>
      </c>
      <c r="W73" s="7">
        <v>7208</v>
      </c>
      <c r="X73" s="7">
        <v>10154</v>
      </c>
      <c r="Y73" s="7">
        <v>20138</v>
      </c>
      <c r="Z73" s="7">
        <v>23175</v>
      </c>
      <c r="AA73" s="7">
        <v>2138</v>
      </c>
      <c r="AB73" s="13"/>
    </row>
    <row r="74" spans="10:28" ht="16.5" customHeight="1" x14ac:dyDescent="0.3">
      <c r="J74" s="2">
        <v>70</v>
      </c>
      <c r="K74" s="41" t="s">
        <v>32</v>
      </c>
      <c r="L74" s="41" t="s">
        <v>33</v>
      </c>
      <c r="M74" s="41" t="s">
        <v>35</v>
      </c>
      <c r="N74" s="41" t="s">
        <v>33</v>
      </c>
      <c r="O74" s="41" t="s">
        <v>33</v>
      </c>
      <c r="Q74" s="17">
        <f t="shared" si="15"/>
        <v>7</v>
      </c>
      <c r="R74" s="17">
        <f t="shared" si="16"/>
        <v>8</v>
      </c>
      <c r="S74" s="17">
        <f t="shared" si="17"/>
        <v>10</v>
      </c>
      <c r="T74" s="17">
        <f t="shared" si="18"/>
        <v>8</v>
      </c>
      <c r="U74" s="17">
        <f t="shared" si="19"/>
        <v>8</v>
      </c>
      <c r="W74" s="7">
        <v>7208</v>
      </c>
      <c r="X74" s="7">
        <v>7863</v>
      </c>
      <c r="Y74" s="7">
        <v>19596</v>
      </c>
      <c r="Z74" s="7">
        <v>7676</v>
      </c>
      <c r="AA74" s="7">
        <v>2014</v>
      </c>
      <c r="AB74" s="13"/>
    </row>
    <row r="75" spans="10:28" ht="16.5" customHeight="1" x14ac:dyDescent="0.3">
      <c r="J75" s="2">
        <v>71</v>
      </c>
      <c r="K75" s="41" t="s">
        <v>34</v>
      </c>
      <c r="L75" s="41" t="s">
        <v>38</v>
      </c>
      <c r="M75" s="41" t="s">
        <v>31</v>
      </c>
      <c r="N75" s="41" t="s">
        <v>28</v>
      </c>
      <c r="O75" s="41" t="s">
        <v>33</v>
      </c>
      <c r="Q75" s="17">
        <f t="shared" si="15"/>
        <v>9</v>
      </c>
      <c r="R75" s="17">
        <f t="shared" si="16"/>
        <v>12</v>
      </c>
      <c r="S75" s="17">
        <f t="shared" si="17"/>
        <v>6</v>
      </c>
      <c r="T75" s="17">
        <f t="shared" si="18"/>
        <v>3</v>
      </c>
      <c r="U75" s="17">
        <f t="shared" si="19"/>
        <v>8</v>
      </c>
      <c r="W75" s="7">
        <v>7208</v>
      </c>
      <c r="X75" s="7">
        <v>23853</v>
      </c>
      <c r="Y75" s="7">
        <v>24441</v>
      </c>
      <c r="Z75" s="7">
        <v>7676</v>
      </c>
      <c r="AA75" s="7">
        <v>2304</v>
      </c>
      <c r="AB75" s="13"/>
    </row>
    <row r="76" spans="10:28" ht="16.5" customHeight="1" x14ac:dyDescent="0.3">
      <c r="J76" s="2">
        <v>72</v>
      </c>
      <c r="K76" s="41" t="s">
        <v>29</v>
      </c>
      <c r="L76" s="41" t="s">
        <v>32</v>
      </c>
      <c r="M76" s="41" t="s">
        <v>35</v>
      </c>
      <c r="N76" s="41" t="s">
        <v>34</v>
      </c>
      <c r="O76" s="41" t="s">
        <v>33</v>
      </c>
      <c r="Q76" s="17">
        <f t="shared" si="15"/>
        <v>4</v>
      </c>
      <c r="R76" s="17">
        <f t="shared" si="16"/>
        <v>7</v>
      </c>
      <c r="S76" s="17">
        <f t="shared" si="17"/>
        <v>10</v>
      </c>
      <c r="T76" s="17">
        <f t="shared" si="18"/>
        <v>9</v>
      </c>
      <c r="U76" s="17">
        <f t="shared" si="19"/>
        <v>8</v>
      </c>
      <c r="W76" s="7">
        <v>2595</v>
      </c>
      <c r="X76" s="7">
        <v>20958</v>
      </c>
      <c r="Y76" s="7">
        <v>6565</v>
      </c>
      <c r="Z76" s="7">
        <v>19799</v>
      </c>
      <c r="AA76" s="7">
        <v>2567</v>
      </c>
      <c r="AB76" s="13"/>
    </row>
    <row r="77" spans="10:28" ht="16.5" customHeight="1" x14ac:dyDescent="0.3">
      <c r="J77" s="2">
        <v>73</v>
      </c>
      <c r="K77" s="41" t="s">
        <v>32</v>
      </c>
      <c r="L77" s="41" t="s">
        <v>28</v>
      </c>
      <c r="M77" s="41" t="s">
        <v>36</v>
      </c>
      <c r="N77" s="41" t="s">
        <v>31</v>
      </c>
      <c r="O77" s="41" t="s">
        <v>30</v>
      </c>
      <c r="Q77" s="17">
        <f t="shared" si="15"/>
        <v>7</v>
      </c>
      <c r="R77" s="17">
        <f t="shared" si="16"/>
        <v>3</v>
      </c>
      <c r="S77" s="17">
        <f t="shared" si="17"/>
        <v>11</v>
      </c>
      <c r="T77" s="17">
        <f t="shared" si="18"/>
        <v>6</v>
      </c>
      <c r="U77" s="17">
        <f t="shared" si="19"/>
        <v>5</v>
      </c>
      <c r="W77" s="7">
        <v>2595</v>
      </c>
      <c r="X77" s="7">
        <v>26048</v>
      </c>
      <c r="Y77" s="7">
        <v>2016</v>
      </c>
      <c r="Z77" s="7">
        <v>5072</v>
      </c>
      <c r="AA77" s="7">
        <v>2395</v>
      </c>
      <c r="AB77" s="13"/>
    </row>
    <row r="78" spans="10:28" ht="16.5" customHeight="1" x14ac:dyDescent="0.3">
      <c r="J78" s="2">
        <v>74</v>
      </c>
      <c r="K78" s="41" t="s">
        <v>33</v>
      </c>
      <c r="L78" s="41" t="s">
        <v>31</v>
      </c>
      <c r="M78" s="41" t="s">
        <v>30</v>
      </c>
      <c r="N78" s="41" t="s">
        <v>35</v>
      </c>
      <c r="O78" s="41" t="s">
        <v>33</v>
      </c>
      <c r="Q78" s="17">
        <f t="shared" si="15"/>
        <v>8</v>
      </c>
      <c r="R78" s="17">
        <f t="shared" si="16"/>
        <v>6</v>
      </c>
      <c r="S78" s="17">
        <f t="shared" si="17"/>
        <v>5</v>
      </c>
      <c r="T78" s="17">
        <f t="shared" si="18"/>
        <v>10</v>
      </c>
      <c r="U78" s="17">
        <f t="shared" si="19"/>
        <v>8</v>
      </c>
      <c r="W78" s="7">
        <v>2595</v>
      </c>
      <c r="X78" s="7">
        <v>8951</v>
      </c>
      <c r="Y78" s="7">
        <v>2016</v>
      </c>
      <c r="Z78" s="7">
        <v>5982</v>
      </c>
      <c r="AA78" s="7">
        <v>2390</v>
      </c>
      <c r="AB78" s="13"/>
    </row>
    <row r="79" spans="10:28" ht="16.5" customHeight="1" x14ac:dyDescent="0.3">
      <c r="J79" s="2">
        <v>75</v>
      </c>
      <c r="K79" s="41" t="s">
        <v>33</v>
      </c>
      <c r="L79" s="41" t="s">
        <v>30</v>
      </c>
      <c r="M79" s="41" t="s">
        <v>30</v>
      </c>
      <c r="N79" s="41" t="s">
        <v>31</v>
      </c>
      <c r="O79" s="41" t="s">
        <v>33</v>
      </c>
      <c r="Q79" s="17">
        <f t="shared" si="15"/>
        <v>8</v>
      </c>
      <c r="R79" s="17">
        <f t="shared" si="16"/>
        <v>5</v>
      </c>
      <c r="S79" s="17">
        <f t="shared" si="17"/>
        <v>5</v>
      </c>
      <c r="T79" s="17">
        <f t="shared" si="18"/>
        <v>6</v>
      </c>
      <c r="U79" s="17">
        <f t="shared" si="19"/>
        <v>8</v>
      </c>
      <c r="W79" s="7">
        <v>8649</v>
      </c>
      <c r="X79" s="7">
        <v>9916</v>
      </c>
      <c r="Y79" s="7">
        <v>2025</v>
      </c>
      <c r="Z79" s="7">
        <v>3488</v>
      </c>
      <c r="AA79" s="7">
        <v>3910</v>
      </c>
      <c r="AB79" s="13"/>
    </row>
    <row r="80" spans="10:28" ht="15.6" customHeight="1" x14ac:dyDescent="0.3">
      <c r="J80" s="2">
        <v>76</v>
      </c>
      <c r="K80" s="41" t="s">
        <v>29</v>
      </c>
      <c r="L80" s="41" t="s">
        <v>50</v>
      </c>
      <c r="M80" s="41" t="s">
        <v>40</v>
      </c>
      <c r="N80" s="41" t="s">
        <v>31</v>
      </c>
      <c r="O80" s="41" t="s">
        <v>30</v>
      </c>
      <c r="Q80" s="17">
        <f t="shared" si="15"/>
        <v>4</v>
      </c>
      <c r="R80" s="17">
        <f t="shared" si="16"/>
        <v>18</v>
      </c>
      <c r="S80" s="17">
        <f t="shared" si="17"/>
        <v>13</v>
      </c>
      <c r="T80" s="17">
        <f t="shared" si="18"/>
        <v>6</v>
      </c>
      <c r="U80" s="17">
        <f t="shared" si="19"/>
        <v>5</v>
      </c>
      <c r="W80" s="7">
        <v>8649</v>
      </c>
      <c r="X80" s="7">
        <v>7517</v>
      </c>
      <c r="Y80" s="7">
        <v>6755</v>
      </c>
      <c r="Z80" s="7">
        <v>3931</v>
      </c>
      <c r="AA80" s="7">
        <v>6611</v>
      </c>
      <c r="AB80" s="13"/>
    </row>
    <row r="81" spans="10:28" ht="15.6" customHeight="1" x14ac:dyDescent="0.3">
      <c r="J81" s="2">
        <v>77</v>
      </c>
      <c r="K81" s="41" t="s">
        <v>28</v>
      </c>
      <c r="L81" s="41" t="s">
        <v>29</v>
      </c>
      <c r="M81" s="41" t="s">
        <v>50</v>
      </c>
      <c r="N81" s="41" t="s">
        <v>42</v>
      </c>
      <c r="O81" s="41" t="s">
        <v>34</v>
      </c>
      <c r="Q81" s="17">
        <f t="shared" si="15"/>
        <v>3</v>
      </c>
      <c r="R81" s="17">
        <f t="shared" si="16"/>
        <v>4</v>
      </c>
      <c r="S81" s="17">
        <f t="shared" si="17"/>
        <v>18</v>
      </c>
      <c r="T81" s="17">
        <f t="shared" si="18"/>
        <v>14</v>
      </c>
      <c r="U81" s="17">
        <f t="shared" si="19"/>
        <v>9</v>
      </c>
      <c r="W81" s="7">
        <v>8649</v>
      </c>
      <c r="X81" s="7">
        <v>2531</v>
      </c>
      <c r="Y81" s="7">
        <v>7330</v>
      </c>
      <c r="Z81" s="7">
        <v>2941</v>
      </c>
      <c r="AA81" s="7">
        <v>5274</v>
      </c>
      <c r="AB81" s="13"/>
    </row>
    <row r="82" spans="10:28" ht="15.6" customHeight="1" x14ac:dyDescent="0.3">
      <c r="J82" s="2">
        <v>78</v>
      </c>
      <c r="K82" s="41" t="s">
        <v>33</v>
      </c>
      <c r="L82" s="41" t="s">
        <v>44</v>
      </c>
      <c r="M82" s="41" t="s">
        <v>44</v>
      </c>
      <c r="N82" s="41" t="s">
        <v>46</v>
      </c>
      <c r="O82" s="41" t="s">
        <v>34</v>
      </c>
      <c r="Q82" s="17">
        <f t="shared" si="15"/>
        <v>8</v>
      </c>
      <c r="R82" s="17">
        <f t="shared" si="16"/>
        <v>15</v>
      </c>
      <c r="S82" s="17">
        <f t="shared" si="17"/>
        <v>15</v>
      </c>
      <c r="T82" s="17">
        <f t="shared" si="18"/>
        <v>16</v>
      </c>
      <c r="U82" s="17">
        <f t="shared" si="19"/>
        <v>9</v>
      </c>
      <c r="W82" s="7">
        <v>8649</v>
      </c>
      <c r="X82" s="7">
        <v>7118</v>
      </c>
      <c r="Y82" s="7">
        <v>20138</v>
      </c>
      <c r="Z82" s="7">
        <v>5328</v>
      </c>
      <c r="AA82" s="7">
        <v>16300</v>
      </c>
      <c r="AB82" s="13"/>
    </row>
    <row r="83" spans="10:28" ht="15.6" customHeight="1" x14ac:dyDescent="0.3">
      <c r="J83" s="2">
        <v>79</v>
      </c>
      <c r="K83" s="41" t="s">
        <v>29</v>
      </c>
      <c r="L83" s="41" t="s">
        <v>42</v>
      </c>
      <c r="M83" s="41" t="s">
        <v>35</v>
      </c>
      <c r="N83" s="41" t="s">
        <v>42</v>
      </c>
      <c r="O83" s="41" t="s">
        <v>34</v>
      </c>
      <c r="Q83" s="17">
        <f t="shared" si="15"/>
        <v>4</v>
      </c>
      <c r="R83" s="17">
        <f t="shared" si="16"/>
        <v>14</v>
      </c>
      <c r="S83" s="17">
        <f t="shared" si="17"/>
        <v>10</v>
      </c>
      <c r="T83" s="17">
        <f t="shared" si="18"/>
        <v>14</v>
      </c>
      <c r="U83" s="17">
        <f t="shared" si="19"/>
        <v>9</v>
      </c>
      <c r="W83" s="7">
        <v>8649</v>
      </c>
      <c r="X83" s="7">
        <v>5451</v>
      </c>
      <c r="Y83" s="7">
        <v>6859</v>
      </c>
      <c r="Z83" s="7">
        <v>8927</v>
      </c>
      <c r="AA83" s="7">
        <v>16115</v>
      </c>
      <c r="AB83" s="13"/>
    </row>
    <row r="84" spans="10:28" ht="15.6" customHeight="1" x14ac:dyDescent="0.3">
      <c r="J84" s="2">
        <v>80</v>
      </c>
      <c r="K84" s="41" t="s">
        <v>33</v>
      </c>
      <c r="L84" s="41" t="s">
        <v>42</v>
      </c>
      <c r="M84" s="41" t="s">
        <v>35</v>
      </c>
      <c r="N84" s="41" t="s">
        <v>31</v>
      </c>
      <c r="O84" s="41" t="s">
        <v>35</v>
      </c>
      <c r="Q84" s="17">
        <f t="shared" si="15"/>
        <v>8</v>
      </c>
      <c r="R84" s="17">
        <f t="shared" si="16"/>
        <v>14</v>
      </c>
      <c r="S84" s="17">
        <f t="shared" si="17"/>
        <v>10</v>
      </c>
      <c r="T84" s="17">
        <f t="shared" si="18"/>
        <v>6</v>
      </c>
      <c r="U84" s="17">
        <f t="shared" si="19"/>
        <v>10</v>
      </c>
      <c r="W84" s="7">
        <v>24429</v>
      </c>
      <c r="X84" s="7">
        <v>60063</v>
      </c>
      <c r="Y84" s="7">
        <v>8060</v>
      </c>
      <c r="Z84" s="7">
        <v>6243</v>
      </c>
      <c r="AA84" s="7">
        <v>11217</v>
      </c>
      <c r="AB84" s="13"/>
    </row>
    <row r="85" spans="10:28" ht="15.6" customHeight="1" x14ac:dyDescent="0.3">
      <c r="J85" s="2">
        <v>81</v>
      </c>
      <c r="K85" s="41" t="s">
        <v>31</v>
      </c>
      <c r="L85" s="41" t="s">
        <v>35</v>
      </c>
      <c r="M85" s="41" t="s">
        <v>40</v>
      </c>
      <c r="N85" s="41" t="s">
        <v>42</v>
      </c>
      <c r="O85" s="41" t="s">
        <v>32</v>
      </c>
      <c r="Q85" s="17">
        <f t="shared" si="15"/>
        <v>6</v>
      </c>
      <c r="R85" s="17">
        <f t="shared" si="16"/>
        <v>10</v>
      </c>
      <c r="S85" s="17">
        <f t="shared" si="17"/>
        <v>13</v>
      </c>
      <c r="T85" s="17">
        <f t="shared" si="18"/>
        <v>14</v>
      </c>
      <c r="U85" s="17">
        <f t="shared" si="19"/>
        <v>7</v>
      </c>
      <c r="W85" s="7">
        <v>20713</v>
      </c>
      <c r="X85" s="7">
        <v>35273</v>
      </c>
      <c r="Y85" s="7">
        <v>2422</v>
      </c>
      <c r="Z85" s="7">
        <v>5328</v>
      </c>
      <c r="AA85" s="7">
        <v>10988</v>
      </c>
      <c r="AB85" s="13"/>
    </row>
    <row r="86" spans="10:28" ht="15.6" customHeight="1" x14ac:dyDescent="0.3">
      <c r="J86" s="2">
        <v>82</v>
      </c>
      <c r="K86" s="41" t="s">
        <v>33</v>
      </c>
      <c r="L86" s="41" t="s">
        <v>33</v>
      </c>
      <c r="M86" s="41" t="s">
        <v>48</v>
      </c>
      <c r="N86" s="41" t="s">
        <v>34</v>
      </c>
      <c r="O86" s="41" t="s">
        <v>33</v>
      </c>
      <c r="Q86" s="17">
        <f t="shared" si="15"/>
        <v>8</v>
      </c>
      <c r="R86" s="17">
        <f t="shared" si="16"/>
        <v>8</v>
      </c>
      <c r="S86" s="17">
        <f t="shared" si="17"/>
        <v>17</v>
      </c>
      <c r="T86" s="17">
        <f t="shared" si="18"/>
        <v>9</v>
      </c>
      <c r="U86" s="17">
        <f t="shared" si="19"/>
        <v>8</v>
      </c>
      <c r="W86" s="7">
        <v>19419</v>
      </c>
      <c r="X86" s="7">
        <v>10784</v>
      </c>
      <c r="Y86" s="7">
        <v>2417</v>
      </c>
      <c r="Z86" s="7">
        <v>8927</v>
      </c>
      <c r="AA86" s="7">
        <v>7960</v>
      </c>
      <c r="AB86" s="13"/>
    </row>
    <row r="87" spans="10:28" ht="15.6" customHeight="1" x14ac:dyDescent="0.3">
      <c r="J87" s="2">
        <v>83</v>
      </c>
      <c r="K87" s="41" t="s">
        <v>34</v>
      </c>
      <c r="L87" s="41" t="s">
        <v>48</v>
      </c>
      <c r="M87" s="41" t="s">
        <v>30</v>
      </c>
      <c r="N87" s="41" t="s">
        <v>48</v>
      </c>
      <c r="O87" s="41" t="s">
        <v>26</v>
      </c>
      <c r="Q87" s="17">
        <f t="shared" si="15"/>
        <v>9</v>
      </c>
      <c r="R87" s="17">
        <f t="shared" si="16"/>
        <v>17</v>
      </c>
      <c r="S87" s="17">
        <f t="shared" si="17"/>
        <v>5</v>
      </c>
      <c r="T87" s="17">
        <f t="shared" si="18"/>
        <v>17</v>
      </c>
      <c r="U87" s="17">
        <f t="shared" si="19"/>
        <v>2</v>
      </c>
      <c r="W87" s="7">
        <v>58045</v>
      </c>
      <c r="X87" s="7">
        <v>9755</v>
      </c>
      <c r="Y87" s="7">
        <v>2417</v>
      </c>
      <c r="Z87" s="7">
        <v>20816</v>
      </c>
      <c r="AA87" s="7">
        <v>12421</v>
      </c>
      <c r="AB87" s="13"/>
    </row>
    <row r="88" spans="10:28" ht="15.6" customHeight="1" x14ac:dyDescent="0.3">
      <c r="J88" s="2">
        <v>84</v>
      </c>
      <c r="K88" s="41" t="s">
        <v>31</v>
      </c>
      <c r="L88" s="41" t="s">
        <v>26</v>
      </c>
      <c r="M88" s="41" t="s">
        <v>30</v>
      </c>
      <c r="N88" s="41" t="s">
        <v>31</v>
      </c>
      <c r="O88" s="41" t="s">
        <v>29</v>
      </c>
      <c r="Q88" s="17">
        <f t="shared" si="15"/>
        <v>6</v>
      </c>
      <c r="R88" s="17">
        <f t="shared" si="16"/>
        <v>2</v>
      </c>
      <c r="S88" s="17">
        <f t="shared" si="17"/>
        <v>5</v>
      </c>
      <c r="T88" s="17">
        <f t="shared" si="18"/>
        <v>6</v>
      </c>
      <c r="U88" s="17">
        <f t="shared" si="19"/>
        <v>4</v>
      </c>
      <c r="W88" s="7">
        <v>20948</v>
      </c>
      <c r="X88" s="7">
        <v>6448</v>
      </c>
      <c r="Y88" s="7">
        <v>21533</v>
      </c>
      <c r="Z88" s="7">
        <v>17758</v>
      </c>
      <c r="AA88" s="7">
        <v>7960</v>
      </c>
      <c r="AB88" s="13"/>
    </row>
    <row r="89" spans="10:28" ht="15.6" customHeight="1" x14ac:dyDescent="0.3">
      <c r="J89" s="2">
        <v>85</v>
      </c>
      <c r="K89" s="41" t="s">
        <v>34</v>
      </c>
      <c r="L89" s="41" t="s">
        <v>46</v>
      </c>
      <c r="M89" s="41" t="s">
        <v>36</v>
      </c>
      <c r="N89" s="41" t="s">
        <v>48</v>
      </c>
      <c r="O89" s="41" t="s">
        <v>28</v>
      </c>
      <c r="Q89" s="17">
        <f t="shared" si="15"/>
        <v>9</v>
      </c>
      <c r="R89" s="17">
        <f t="shared" si="16"/>
        <v>16</v>
      </c>
      <c r="S89" s="17">
        <f t="shared" si="17"/>
        <v>11</v>
      </c>
      <c r="T89" s="17">
        <f t="shared" si="18"/>
        <v>17</v>
      </c>
      <c r="U89" s="17">
        <f t="shared" si="19"/>
        <v>3</v>
      </c>
      <c r="W89" s="7">
        <v>7208</v>
      </c>
      <c r="X89" s="7">
        <v>8120</v>
      </c>
      <c r="Y89" s="7">
        <v>8060</v>
      </c>
      <c r="Z89" s="7">
        <v>29757</v>
      </c>
      <c r="AA89" s="7">
        <v>2030</v>
      </c>
      <c r="AB89" s="13"/>
    </row>
    <row r="90" spans="10:28" ht="15.6" customHeight="1" x14ac:dyDescent="0.3">
      <c r="J90" s="2">
        <v>86</v>
      </c>
      <c r="K90" s="41" t="s">
        <v>32</v>
      </c>
      <c r="L90" s="41" t="s">
        <v>31</v>
      </c>
      <c r="M90" s="41" t="s">
        <v>35</v>
      </c>
      <c r="N90" s="41" t="s">
        <v>32</v>
      </c>
      <c r="O90" s="41" t="s">
        <v>30</v>
      </c>
      <c r="Q90" s="17">
        <f t="shared" si="15"/>
        <v>7</v>
      </c>
      <c r="R90" s="17">
        <f t="shared" si="16"/>
        <v>6</v>
      </c>
      <c r="S90" s="17">
        <f t="shared" si="17"/>
        <v>10</v>
      </c>
      <c r="T90" s="17">
        <f t="shared" si="18"/>
        <v>7</v>
      </c>
      <c r="U90" s="17">
        <f t="shared" si="19"/>
        <v>5</v>
      </c>
      <c r="W90" s="7">
        <v>8649</v>
      </c>
      <c r="X90" s="7">
        <v>7149</v>
      </c>
      <c r="Y90" s="7">
        <v>8060</v>
      </c>
      <c r="Z90" s="7">
        <v>59292</v>
      </c>
      <c r="AA90" s="7">
        <v>2052</v>
      </c>
      <c r="AB90" s="13"/>
    </row>
    <row r="91" spans="10:28" ht="15.6" customHeight="1" x14ac:dyDescent="0.3">
      <c r="J91" s="2">
        <v>87</v>
      </c>
      <c r="K91" s="41" t="s">
        <v>33</v>
      </c>
      <c r="L91" s="41" t="s">
        <v>29</v>
      </c>
      <c r="M91" s="41" t="s">
        <v>31</v>
      </c>
      <c r="N91" s="41" t="s">
        <v>34</v>
      </c>
      <c r="O91" s="41" t="s">
        <v>29</v>
      </c>
      <c r="Q91" s="17">
        <f t="shared" si="15"/>
        <v>8</v>
      </c>
      <c r="R91" s="17">
        <f t="shared" si="16"/>
        <v>4</v>
      </c>
      <c r="S91" s="17">
        <f t="shared" si="17"/>
        <v>6</v>
      </c>
      <c r="T91" s="17">
        <f t="shared" si="18"/>
        <v>9</v>
      </c>
      <c r="U91" s="17">
        <f t="shared" si="19"/>
        <v>4</v>
      </c>
      <c r="W91" s="7">
        <v>8216</v>
      </c>
      <c r="X91" s="7">
        <v>5643</v>
      </c>
      <c r="Y91" s="7">
        <v>8060</v>
      </c>
      <c r="Z91" s="7">
        <v>50702</v>
      </c>
      <c r="AA91" s="7">
        <v>1993</v>
      </c>
      <c r="AB91" s="13"/>
    </row>
    <row r="92" spans="10:28" ht="15.6" customHeight="1" x14ac:dyDescent="0.3">
      <c r="J92" s="2">
        <v>88</v>
      </c>
      <c r="K92" s="41" t="s">
        <v>29</v>
      </c>
      <c r="L92" s="41" t="s">
        <v>35</v>
      </c>
      <c r="M92" s="41" t="s">
        <v>38</v>
      </c>
      <c r="N92" s="41" t="s">
        <v>31</v>
      </c>
      <c r="O92" s="41" t="s">
        <v>29</v>
      </c>
      <c r="Q92" s="17">
        <f t="shared" si="15"/>
        <v>4</v>
      </c>
      <c r="R92" s="17">
        <f t="shared" si="16"/>
        <v>10</v>
      </c>
      <c r="S92" s="17">
        <f t="shared" si="17"/>
        <v>12</v>
      </c>
      <c r="T92" s="17">
        <f t="shared" si="18"/>
        <v>6</v>
      </c>
      <c r="U92" s="17">
        <f t="shared" si="19"/>
        <v>4</v>
      </c>
      <c r="W92" s="7">
        <v>7535</v>
      </c>
      <c r="X92" s="7">
        <v>5855</v>
      </c>
      <c r="Y92" s="7">
        <v>8060</v>
      </c>
      <c r="Z92" s="7">
        <v>30346</v>
      </c>
      <c r="AA92" s="7">
        <v>1993</v>
      </c>
      <c r="AB92" s="13"/>
    </row>
    <row r="93" spans="10:28" ht="15.6" customHeight="1" x14ac:dyDescent="0.3">
      <c r="J93" s="2">
        <v>89</v>
      </c>
      <c r="K93" s="41" t="s">
        <v>35</v>
      </c>
      <c r="L93" s="41" t="s">
        <v>50</v>
      </c>
      <c r="M93" s="41" t="s">
        <v>40</v>
      </c>
      <c r="N93" s="41" t="s">
        <v>34</v>
      </c>
      <c r="O93" s="41" t="s">
        <v>29</v>
      </c>
      <c r="Q93" s="17">
        <f t="shared" si="15"/>
        <v>10</v>
      </c>
      <c r="R93" s="17">
        <f t="shared" si="16"/>
        <v>18</v>
      </c>
      <c r="S93" s="17">
        <f t="shared" si="17"/>
        <v>13</v>
      </c>
      <c r="T93" s="17">
        <f t="shared" si="18"/>
        <v>9</v>
      </c>
      <c r="U93" s="17">
        <f t="shared" si="19"/>
        <v>4</v>
      </c>
      <c r="W93" s="7">
        <v>6953</v>
      </c>
      <c r="X93" s="7">
        <v>5404</v>
      </c>
      <c r="Y93" s="7">
        <v>18249</v>
      </c>
      <c r="Z93" s="7">
        <v>8401</v>
      </c>
      <c r="AA93" s="7">
        <v>6634</v>
      </c>
      <c r="AB93" s="13"/>
    </row>
    <row r="94" spans="10:28" ht="15.6" customHeight="1" x14ac:dyDescent="0.3">
      <c r="J94" s="2">
        <v>90</v>
      </c>
      <c r="K94" s="41" t="s">
        <v>34</v>
      </c>
      <c r="L94" s="41" t="s">
        <v>50</v>
      </c>
      <c r="M94" s="41" t="s">
        <v>29</v>
      </c>
      <c r="N94" s="41" t="s">
        <v>42</v>
      </c>
      <c r="O94" s="41" t="s">
        <v>32</v>
      </c>
      <c r="Q94" s="17">
        <f t="shared" si="15"/>
        <v>9</v>
      </c>
      <c r="R94" s="17">
        <f t="shared" si="16"/>
        <v>18</v>
      </c>
      <c r="S94" s="17">
        <f t="shared" si="17"/>
        <v>4</v>
      </c>
      <c r="T94" s="17">
        <f t="shared" si="18"/>
        <v>14</v>
      </c>
      <c r="U94" s="17">
        <f t="shared" si="19"/>
        <v>7</v>
      </c>
      <c r="W94" s="7">
        <v>6442</v>
      </c>
      <c r="X94" s="7">
        <v>19175</v>
      </c>
      <c r="Y94" s="7">
        <v>6019</v>
      </c>
      <c r="Z94" s="7">
        <v>11625</v>
      </c>
      <c r="AA94" s="7">
        <v>6634</v>
      </c>
      <c r="AB94" s="13"/>
    </row>
    <row r="95" spans="10:28" ht="15.6" customHeight="1" x14ac:dyDescent="0.3">
      <c r="J95" s="2">
        <v>91</v>
      </c>
      <c r="K95" s="41" t="s">
        <v>34</v>
      </c>
      <c r="L95" s="41" t="s">
        <v>38</v>
      </c>
      <c r="M95" s="41" t="s">
        <v>44</v>
      </c>
      <c r="N95" s="41" t="s">
        <v>29</v>
      </c>
      <c r="O95" s="41" t="s">
        <v>29</v>
      </c>
      <c r="Q95" s="17">
        <f t="shared" si="15"/>
        <v>9</v>
      </c>
      <c r="R95" s="17">
        <f t="shared" si="16"/>
        <v>12</v>
      </c>
      <c r="S95" s="17">
        <f t="shared" si="17"/>
        <v>15</v>
      </c>
      <c r="T95" s="17">
        <f t="shared" si="18"/>
        <v>4</v>
      </c>
      <c r="U95" s="17">
        <f t="shared" si="19"/>
        <v>4</v>
      </c>
      <c r="W95" s="7">
        <v>8097</v>
      </c>
      <c r="X95" s="7">
        <v>23329</v>
      </c>
      <c r="Y95" s="7">
        <v>16536</v>
      </c>
      <c r="Z95" s="7">
        <v>2302</v>
      </c>
      <c r="AA95" s="7">
        <v>6634</v>
      </c>
      <c r="AB95" s="13"/>
    </row>
    <row r="96" spans="10:28" ht="15.6" customHeight="1" x14ac:dyDescent="0.3">
      <c r="J96" s="2">
        <v>92</v>
      </c>
      <c r="K96" s="41" t="s">
        <v>34</v>
      </c>
      <c r="L96" s="41" t="s">
        <v>48</v>
      </c>
      <c r="M96" s="41" t="s">
        <v>34</v>
      </c>
      <c r="N96" s="41" t="s">
        <v>42</v>
      </c>
      <c r="O96" s="41" t="s">
        <v>30</v>
      </c>
      <c r="Q96" s="17">
        <f t="shared" si="15"/>
        <v>9</v>
      </c>
      <c r="R96" s="17">
        <f t="shared" si="16"/>
        <v>17</v>
      </c>
      <c r="S96" s="17">
        <f t="shared" si="17"/>
        <v>9</v>
      </c>
      <c r="T96" s="17">
        <f t="shared" si="18"/>
        <v>14</v>
      </c>
      <c r="U96" s="17">
        <f t="shared" si="19"/>
        <v>5</v>
      </c>
      <c r="W96" s="7">
        <v>20574</v>
      </c>
      <c r="X96" s="7">
        <v>22701</v>
      </c>
      <c r="Y96" s="7">
        <v>6747</v>
      </c>
      <c r="Z96" s="7">
        <v>1920</v>
      </c>
      <c r="AA96" s="7">
        <v>7981</v>
      </c>
      <c r="AB96" s="13"/>
    </row>
    <row r="97" spans="10:28" ht="15.6" customHeight="1" x14ac:dyDescent="0.3">
      <c r="J97" s="2">
        <v>93</v>
      </c>
      <c r="K97" s="41" t="s">
        <v>32</v>
      </c>
      <c r="L97" s="41" t="s">
        <v>31</v>
      </c>
      <c r="M97" s="41" t="s">
        <v>34</v>
      </c>
      <c r="N97" s="41" t="s">
        <v>33</v>
      </c>
      <c r="O97" s="41" t="s">
        <v>33</v>
      </c>
      <c r="Q97" s="17">
        <f t="shared" si="15"/>
        <v>7</v>
      </c>
      <c r="R97" s="17">
        <f t="shared" si="16"/>
        <v>6</v>
      </c>
      <c r="S97" s="17">
        <f t="shared" si="17"/>
        <v>9</v>
      </c>
      <c r="T97" s="17">
        <f t="shared" si="18"/>
        <v>8</v>
      </c>
      <c r="U97" s="17">
        <f t="shared" si="19"/>
        <v>8</v>
      </c>
      <c r="W97" s="7">
        <v>57071</v>
      </c>
      <c r="X97" s="7">
        <v>22661</v>
      </c>
      <c r="Y97" s="7">
        <v>2235</v>
      </c>
      <c r="Z97" s="7">
        <v>1920</v>
      </c>
      <c r="AA97" s="7">
        <v>7960</v>
      </c>
      <c r="AB97" s="13"/>
    </row>
    <row r="98" spans="10:28" ht="15.6" customHeight="1" x14ac:dyDescent="0.3">
      <c r="J98" s="2">
        <v>94</v>
      </c>
      <c r="K98" s="41" t="s">
        <v>34</v>
      </c>
      <c r="L98" s="41" t="s">
        <v>32</v>
      </c>
      <c r="M98" s="41" t="s">
        <v>48</v>
      </c>
      <c r="N98" s="41" t="s">
        <v>33</v>
      </c>
      <c r="O98" s="41" t="s">
        <v>34</v>
      </c>
      <c r="Q98" s="17">
        <f t="shared" si="15"/>
        <v>9</v>
      </c>
      <c r="R98" s="17">
        <f t="shared" si="16"/>
        <v>7</v>
      </c>
      <c r="S98" s="17">
        <f t="shared" si="17"/>
        <v>17</v>
      </c>
      <c r="T98" s="17">
        <f t="shared" si="18"/>
        <v>8</v>
      </c>
      <c r="U98" s="17">
        <f t="shared" si="19"/>
        <v>9</v>
      </c>
      <c r="W98" s="7">
        <v>58045</v>
      </c>
      <c r="X98" s="7">
        <v>8923</v>
      </c>
      <c r="Y98" s="7">
        <v>2039</v>
      </c>
      <c r="Z98" s="7">
        <v>1920</v>
      </c>
      <c r="AA98" s="7">
        <v>24203</v>
      </c>
      <c r="AB98" s="13"/>
    </row>
    <row r="99" spans="10:28" ht="15.6" customHeight="1" x14ac:dyDescent="0.3">
      <c r="J99" s="2">
        <v>95</v>
      </c>
      <c r="K99" s="41" t="s">
        <v>35</v>
      </c>
      <c r="L99" s="41" t="s">
        <v>31</v>
      </c>
      <c r="M99" s="41" t="s">
        <v>29</v>
      </c>
      <c r="N99" s="41" t="s">
        <v>46</v>
      </c>
      <c r="O99" s="41" t="s">
        <v>35</v>
      </c>
      <c r="Q99" s="17">
        <f t="shared" si="15"/>
        <v>10</v>
      </c>
      <c r="R99" s="17">
        <f t="shared" si="16"/>
        <v>6</v>
      </c>
      <c r="S99" s="17">
        <f t="shared" si="17"/>
        <v>4</v>
      </c>
      <c r="T99" s="17">
        <f t="shared" si="18"/>
        <v>16</v>
      </c>
      <c r="U99" s="17">
        <f t="shared" si="19"/>
        <v>10</v>
      </c>
      <c r="W99" s="7">
        <v>5584</v>
      </c>
      <c r="X99" s="7">
        <v>1708</v>
      </c>
      <c r="Y99" s="7">
        <v>2016</v>
      </c>
      <c r="Z99" s="7">
        <v>2302</v>
      </c>
      <c r="AA99" s="7">
        <v>7960</v>
      </c>
      <c r="AB99" s="13"/>
    </row>
    <row r="100" spans="10:28" ht="15.6" customHeight="1" x14ac:dyDescent="0.3">
      <c r="J100" s="2">
        <v>96</v>
      </c>
      <c r="K100" s="41" t="s">
        <v>32</v>
      </c>
      <c r="L100" s="41" t="s">
        <v>30</v>
      </c>
      <c r="M100" s="41" t="s">
        <v>30</v>
      </c>
      <c r="N100" s="41" t="s">
        <v>33</v>
      </c>
      <c r="O100" s="41" t="s">
        <v>30</v>
      </c>
      <c r="Q100" s="17">
        <f t="shared" ref="Q100:Q131" si="20">IF(K100="","",VLOOKUP(K100,$A$4:$H$22,8,FALSE))</f>
        <v>7</v>
      </c>
      <c r="R100" s="17">
        <f t="shared" ref="R100:R131" si="21">IF(L100="","",VLOOKUP(L100,$A$4:$H$22,8,FALSE))</f>
        <v>5</v>
      </c>
      <c r="S100" s="17">
        <f t="shared" ref="S100:S131" si="22">IF(M100="","",VLOOKUP(M100,$A$4:$H$22,8,FALSE))</f>
        <v>5</v>
      </c>
      <c r="T100" s="17">
        <f t="shared" ref="T100:T131" si="23">IF(N100="","",VLOOKUP(N100,$A$4:$H$22,8,FALSE))</f>
        <v>8</v>
      </c>
      <c r="U100" s="17">
        <f t="shared" ref="U100:U131" si="24">IF(O100="","",VLOOKUP(O100,$A$4:$H$22,8,FALSE))</f>
        <v>5</v>
      </c>
      <c r="W100" s="7">
        <v>6524</v>
      </c>
      <c r="X100" s="7">
        <v>1610</v>
      </c>
      <c r="Y100" s="7">
        <v>2016</v>
      </c>
      <c r="Z100" s="7">
        <v>2302</v>
      </c>
      <c r="AA100" s="7">
        <v>8235</v>
      </c>
      <c r="AB100" s="13"/>
    </row>
    <row r="101" spans="10:28" ht="15.6" customHeight="1" x14ac:dyDescent="0.3">
      <c r="J101" s="2">
        <v>97</v>
      </c>
      <c r="K101" s="41" t="s">
        <v>31</v>
      </c>
      <c r="L101" s="41" t="s">
        <v>29</v>
      </c>
      <c r="M101" s="41" t="s">
        <v>40</v>
      </c>
      <c r="N101" s="41" t="s">
        <v>26</v>
      </c>
      <c r="O101" s="41" t="s">
        <v>32</v>
      </c>
      <c r="Q101" s="17">
        <f t="shared" si="20"/>
        <v>6</v>
      </c>
      <c r="R101" s="17">
        <f t="shared" si="21"/>
        <v>4</v>
      </c>
      <c r="S101" s="17">
        <f t="shared" si="22"/>
        <v>13</v>
      </c>
      <c r="T101" s="17">
        <f t="shared" si="23"/>
        <v>2</v>
      </c>
      <c r="U101" s="17">
        <f t="shared" si="24"/>
        <v>7</v>
      </c>
      <c r="W101" s="7">
        <v>7555</v>
      </c>
      <c r="X101" s="7">
        <v>1610</v>
      </c>
      <c r="Y101" s="7">
        <v>8060</v>
      </c>
      <c r="Z101" s="7">
        <v>2302</v>
      </c>
      <c r="AA101" s="7">
        <v>7960</v>
      </c>
      <c r="AB101" s="13"/>
    </row>
    <row r="102" spans="10:28" ht="15.6" customHeight="1" x14ac:dyDescent="0.3">
      <c r="J102" s="2">
        <v>98</v>
      </c>
      <c r="K102" s="41" t="s">
        <v>31</v>
      </c>
      <c r="L102" s="41" t="s">
        <v>38</v>
      </c>
      <c r="M102" s="41" t="s">
        <v>31</v>
      </c>
      <c r="N102" s="41" t="s">
        <v>46</v>
      </c>
      <c r="O102" s="41" t="s">
        <v>34</v>
      </c>
      <c r="Q102" s="17">
        <f t="shared" si="20"/>
        <v>6</v>
      </c>
      <c r="R102" s="17">
        <f t="shared" si="21"/>
        <v>12</v>
      </c>
      <c r="S102" s="17">
        <f t="shared" si="22"/>
        <v>6</v>
      </c>
      <c r="T102" s="17">
        <f t="shared" si="23"/>
        <v>16</v>
      </c>
      <c r="U102" s="17">
        <f t="shared" si="24"/>
        <v>9</v>
      </c>
      <c r="W102" s="7">
        <v>7673</v>
      </c>
      <c r="X102" s="7">
        <v>6448</v>
      </c>
      <c r="Y102" s="7">
        <v>2417</v>
      </c>
      <c r="Z102" s="7">
        <v>2302</v>
      </c>
      <c r="AA102" s="7">
        <v>7960</v>
      </c>
      <c r="AB102" s="13"/>
    </row>
    <row r="103" spans="10:28" ht="15.6" customHeight="1" x14ac:dyDescent="0.3">
      <c r="J103" s="2">
        <v>99</v>
      </c>
      <c r="K103" s="41" t="s">
        <v>31</v>
      </c>
      <c r="L103" s="41" t="s">
        <v>33</v>
      </c>
      <c r="M103" s="41" t="s">
        <v>38</v>
      </c>
      <c r="N103" s="41" t="s">
        <v>46</v>
      </c>
      <c r="O103" s="41" t="s">
        <v>30</v>
      </c>
      <c r="Q103" s="17">
        <f t="shared" si="20"/>
        <v>6</v>
      </c>
      <c r="R103" s="17">
        <f t="shared" si="21"/>
        <v>8</v>
      </c>
      <c r="S103" s="17">
        <f t="shared" si="22"/>
        <v>12</v>
      </c>
      <c r="T103" s="17">
        <f t="shared" si="23"/>
        <v>16</v>
      </c>
      <c r="U103" s="17">
        <f t="shared" si="24"/>
        <v>5</v>
      </c>
      <c r="W103" s="7">
        <v>19744</v>
      </c>
      <c r="X103" s="7">
        <v>6448</v>
      </c>
      <c r="Y103" s="7">
        <v>8137</v>
      </c>
      <c r="Z103" s="7">
        <v>1920</v>
      </c>
      <c r="AA103" s="7">
        <v>24019</v>
      </c>
      <c r="AB103" s="13"/>
    </row>
    <row r="104" spans="10:28" ht="15.6" customHeight="1" x14ac:dyDescent="0.3">
      <c r="J104" s="2">
        <v>100</v>
      </c>
      <c r="K104" s="41" t="s">
        <v>32</v>
      </c>
      <c r="L104" s="41" t="s">
        <v>38</v>
      </c>
      <c r="M104" s="41" t="s">
        <v>50</v>
      </c>
      <c r="N104" s="41" t="s">
        <v>46</v>
      </c>
      <c r="O104" s="41" t="s">
        <v>32</v>
      </c>
      <c r="Q104" s="17">
        <f t="shared" si="20"/>
        <v>7</v>
      </c>
      <c r="R104" s="17">
        <f t="shared" si="21"/>
        <v>12</v>
      </c>
      <c r="S104" s="17">
        <f t="shared" si="22"/>
        <v>18</v>
      </c>
      <c r="T104" s="17">
        <f t="shared" si="23"/>
        <v>16</v>
      </c>
      <c r="U104" s="17">
        <f t="shared" si="24"/>
        <v>7</v>
      </c>
      <c r="W104" s="7">
        <v>7085</v>
      </c>
      <c r="X104" s="7">
        <v>1993</v>
      </c>
      <c r="Y104" s="7">
        <v>7363</v>
      </c>
      <c r="Z104" s="7">
        <v>6395</v>
      </c>
      <c r="AA104" s="7">
        <v>7960</v>
      </c>
      <c r="AB104" s="13"/>
    </row>
    <row r="105" spans="10:28" ht="15.6" customHeight="1" x14ac:dyDescent="0.3">
      <c r="J105" s="2">
        <v>101</v>
      </c>
      <c r="K105" s="41" t="s">
        <v>32</v>
      </c>
      <c r="L105" s="41" t="s">
        <v>31</v>
      </c>
      <c r="M105" s="41" t="s">
        <v>35</v>
      </c>
      <c r="N105" s="41" t="s">
        <v>44</v>
      </c>
      <c r="O105" s="41" t="s">
        <v>31</v>
      </c>
      <c r="Q105" s="17">
        <f t="shared" si="20"/>
        <v>7</v>
      </c>
      <c r="R105" s="17">
        <f t="shared" si="21"/>
        <v>6</v>
      </c>
      <c r="S105" s="17">
        <f t="shared" si="22"/>
        <v>10</v>
      </c>
      <c r="T105" s="17">
        <f t="shared" si="23"/>
        <v>15</v>
      </c>
      <c r="U105" s="17">
        <f t="shared" si="24"/>
        <v>6</v>
      </c>
      <c r="W105" s="7">
        <v>2161</v>
      </c>
      <c r="X105" s="7">
        <v>1993</v>
      </c>
      <c r="Y105" s="7">
        <v>8473</v>
      </c>
      <c r="Z105" s="7">
        <v>6395</v>
      </c>
      <c r="AA105" s="7">
        <v>7353</v>
      </c>
      <c r="AB105" s="13"/>
    </row>
    <row r="106" spans="10:28" ht="15.6" customHeight="1" x14ac:dyDescent="0.3">
      <c r="J106" s="2">
        <v>102</v>
      </c>
      <c r="K106" s="41" t="s">
        <v>29</v>
      </c>
      <c r="L106" s="41" t="s">
        <v>29</v>
      </c>
      <c r="M106" s="41" t="s">
        <v>34</v>
      </c>
      <c r="N106" s="41" t="s">
        <v>42</v>
      </c>
      <c r="O106" s="41" t="s">
        <v>32</v>
      </c>
      <c r="Q106" s="17">
        <f t="shared" si="20"/>
        <v>4</v>
      </c>
      <c r="R106" s="17">
        <f t="shared" si="21"/>
        <v>4</v>
      </c>
      <c r="S106" s="17">
        <f t="shared" si="22"/>
        <v>9</v>
      </c>
      <c r="T106" s="17">
        <f t="shared" si="23"/>
        <v>14</v>
      </c>
      <c r="U106" s="17">
        <f t="shared" si="24"/>
        <v>7</v>
      </c>
      <c r="W106" s="7">
        <v>2595</v>
      </c>
      <c r="X106" s="7">
        <v>2583</v>
      </c>
      <c r="Y106" s="7">
        <v>7595</v>
      </c>
      <c r="Z106" s="7">
        <v>7676</v>
      </c>
      <c r="AA106" s="7">
        <v>6634</v>
      </c>
      <c r="AB106" s="13"/>
    </row>
    <row r="107" spans="10:28" ht="15.6" customHeight="1" x14ac:dyDescent="0.3">
      <c r="J107" s="2">
        <v>103</v>
      </c>
      <c r="K107" s="41" t="s">
        <v>30</v>
      </c>
      <c r="L107" s="41" t="s">
        <v>29</v>
      </c>
      <c r="M107" s="41" t="s">
        <v>29</v>
      </c>
      <c r="N107" s="41" t="s">
        <v>44</v>
      </c>
      <c r="O107" s="41" t="s">
        <v>31</v>
      </c>
      <c r="Q107" s="17">
        <f t="shared" si="20"/>
        <v>5</v>
      </c>
      <c r="R107" s="17">
        <f t="shared" si="21"/>
        <v>4</v>
      </c>
      <c r="S107" s="17">
        <f t="shared" si="22"/>
        <v>4</v>
      </c>
      <c r="T107" s="17">
        <f t="shared" si="23"/>
        <v>15</v>
      </c>
      <c r="U107" s="17">
        <f t="shared" si="24"/>
        <v>6</v>
      </c>
      <c r="W107" s="7">
        <v>2595</v>
      </c>
      <c r="X107" s="7">
        <v>2733</v>
      </c>
      <c r="Y107" s="7">
        <v>6755</v>
      </c>
      <c r="Z107" s="7">
        <v>7679</v>
      </c>
      <c r="AA107" s="7">
        <v>6634</v>
      </c>
      <c r="AB107" s="13"/>
    </row>
    <row r="108" spans="10:28" ht="15.6" customHeight="1" x14ac:dyDescent="0.3">
      <c r="J108" s="2">
        <v>104</v>
      </c>
      <c r="K108" s="41" t="s">
        <v>30</v>
      </c>
      <c r="L108" s="41" t="s">
        <v>29</v>
      </c>
      <c r="M108" s="41" t="s">
        <v>50</v>
      </c>
      <c r="N108" s="41" t="s">
        <v>33</v>
      </c>
      <c r="O108" s="41" t="s">
        <v>29</v>
      </c>
      <c r="Q108" s="17">
        <f t="shared" si="20"/>
        <v>5</v>
      </c>
      <c r="R108" s="17">
        <f t="shared" si="21"/>
        <v>4</v>
      </c>
      <c r="S108" s="17">
        <f t="shared" si="22"/>
        <v>18</v>
      </c>
      <c r="T108" s="17">
        <f t="shared" si="23"/>
        <v>8</v>
      </c>
      <c r="U108" s="17">
        <f t="shared" si="24"/>
        <v>4</v>
      </c>
      <c r="W108" s="7">
        <v>8649</v>
      </c>
      <c r="X108" s="7">
        <v>6414</v>
      </c>
      <c r="Y108" s="7">
        <v>2576</v>
      </c>
      <c r="Z108" s="7">
        <v>8221</v>
      </c>
      <c r="AA108" s="7">
        <v>6634</v>
      </c>
      <c r="AB108" s="13"/>
    </row>
    <row r="109" spans="10:28" ht="15.6" customHeight="1" x14ac:dyDescent="0.3">
      <c r="J109" s="2">
        <v>105</v>
      </c>
      <c r="K109" s="41" t="s">
        <v>32</v>
      </c>
      <c r="L109" s="41" t="s">
        <v>31</v>
      </c>
      <c r="M109" s="41" t="s">
        <v>33</v>
      </c>
      <c r="N109" s="41" t="s">
        <v>32</v>
      </c>
      <c r="O109" s="41" t="s">
        <v>30</v>
      </c>
      <c r="Q109" s="17">
        <f t="shared" si="20"/>
        <v>7</v>
      </c>
      <c r="R109" s="17">
        <f t="shared" si="21"/>
        <v>6</v>
      </c>
      <c r="S109" s="17">
        <f t="shared" si="22"/>
        <v>8</v>
      </c>
      <c r="T109" s="17">
        <f t="shared" si="23"/>
        <v>7</v>
      </c>
      <c r="U109" s="17">
        <f t="shared" si="24"/>
        <v>5</v>
      </c>
      <c r="W109" s="7">
        <v>8649</v>
      </c>
      <c r="X109" s="7">
        <v>6564</v>
      </c>
      <c r="Y109" s="7">
        <v>6877</v>
      </c>
      <c r="Z109" s="7">
        <v>9875</v>
      </c>
      <c r="AA109" s="7">
        <v>7960</v>
      </c>
      <c r="AB109" s="13"/>
    </row>
    <row r="110" spans="10:28" ht="15.6" customHeight="1" x14ac:dyDescent="0.3">
      <c r="J110" s="2">
        <v>106</v>
      </c>
      <c r="K110" s="41" t="s">
        <v>33</v>
      </c>
      <c r="L110" s="41" t="s">
        <v>42</v>
      </c>
      <c r="M110" s="41" t="s">
        <v>32</v>
      </c>
      <c r="N110" s="41" t="s">
        <v>28</v>
      </c>
      <c r="O110" s="41" t="s">
        <v>32</v>
      </c>
      <c r="Q110" s="17">
        <f t="shared" si="20"/>
        <v>8</v>
      </c>
      <c r="R110" s="17">
        <f t="shared" si="21"/>
        <v>14</v>
      </c>
      <c r="S110" s="17">
        <f t="shared" si="22"/>
        <v>7</v>
      </c>
      <c r="T110" s="17">
        <f t="shared" si="23"/>
        <v>3</v>
      </c>
      <c r="U110" s="17">
        <f t="shared" si="24"/>
        <v>7</v>
      </c>
      <c r="W110" s="7">
        <v>8649</v>
      </c>
      <c r="X110" s="7">
        <v>2687</v>
      </c>
      <c r="Y110" s="7">
        <v>4260</v>
      </c>
      <c r="Z110" s="7">
        <v>8398</v>
      </c>
      <c r="AA110" s="7">
        <v>7960</v>
      </c>
      <c r="AB110" s="13"/>
    </row>
    <row r="111" spans="10:28" ht="15.6" customHeight="1" x14ac:dyDescent="0.3">
      <c r="J111" s="2">
        <v>107</v>
      </c>
      <c r="K111" s="41" t="s">
        <v>35</v>
      </c>
      <c r="L111" s="41" t="s">
        <v>31</v>
      </c>
      <c r="M111" s="41" t="s">
        <v>32</v>
      </c>
      <c r="N111" s="41" t="s">
        <v>29</v>
      </c>
      <c r="O111" s="41" t="s">
        <v>35</v>
      </c>
      <c r="Q111" s="17">
        <f t="shared" si="20"/>
        <v>10</v>
      </c>
      <c r="R111" s="17">
        <f t="shared" si="21"/>
        <v>6</v>
      </c>
      <c r="S111" s="17">
        <f t="shared" si="22"/>
        <v>7</v>
      </c>
      <c r="T111" s="17">
        <f t="shared" si="23"/>
        <v>4</v>
      </c>
      <c r="U111" s="17">
        <f t="shared" si="24"/>
        <v>10</v>
      </c>
      <c r="W111" s="7">
        <v>10550</v>
      </c>
      <c r="X111" s="7">
        <v>8213</v>
      </c>
      <c r="Y111" s="7">
        <v>2114</v>
      </c>
      <c r="Z111" s="7">
        <v>6395</v>
      </c>
      <c r="AA111" s="7">
        <v>7960</v>
      </c>
      <c r="AB111" s="13"/>
    </row>
    <row r="112" spans="10:28" ht="15.6" customHeight="1" x14ac:dyDescent="0.3">
      <c r="J112" s="2">
        <v>108</v>
      </c>
      <c r="K112" s="41" t="s">
        <v>34</v>
      </c>
      <c r="L112" s="41" t="s">
        <v>28</v>
      </c>
      <c r="M112" s="41" t="s">
        <v>32</v>
      </c>
      <c r="N112" s="41" t="s">
        <v>42</v>
      </c>
      <c r="O112" s="41" t="s">
        <v>32</v>
      </c>
      <c r="Q112" s="17">
        <f t="shared" si="20"/>
        <v>9</v>
      </c>
      <c r="R112" s="17">
        <f t="shared" si="21"/>
        <v>3</v>
      </c>
      <c r="S112" s="17">
        <f t="shared" si="22"/>
        <v>7</v>
      </c>
      <c r="T112" s="17">
        <f t="shared" si="23"/>
        <v>14</v>
      </c>
      <c r="U112" s="17">
        <f t="shared" si="24"/>
        <v>7</v>
      </c>
      <c r="W112" s="7">
        <v>2871</v>
      </c>
      <c r="X112" s="7">
        <v>6448</v>
      </c>
      <c r="Y112" s="7">
        <v>8060</v>
      </c>
      <c r="Z112" s="7">
        <v>21926</v>
      </c>
      <c r="AA112" s="7">
        <v>7960</v>
      </c>
      <c r="AB112" s="13"/>
    </row>
    <row r="113" spans="10:28" ht="15.6" customHeight="1" x14ac:dyDescent="0.3">
      <c r="J113" s="2">
        <v>109</v>
      </c>
      <c r="K113" s="41" t="s">
        <v>32</v>
      </c>
      <c r="L113" s="41" t="s">
        <v>30</v>
      </c>
      <c r="M113" s="41" t="s">
        <v>50</v>
      </c>
      <c r="N113" s="41" t="s">
        <v>33</v>
      </c>
      <c r="O113" s="41" t="s">
        <v>29</v>
      </c>
      <c r="Q113" s="17">
        <f t="shared" si="20"/>
        <v>7</v>
      </c>
      <c r="R113" s="17">
        <f t="shared" si="21"/>
        <v>5</v>
      </c>
      <c r="S113" s="17">
        <f t="shared" si="22"/>
        <v>18</v>
      </c>
      <c r="T113" s="17">
        <f t="shared" si="23"/>
        <v>8</v>
      </c>
      <c r="U113" s="17">
        <f t="shared" si="24"/>
        <v>4</v>
      </c>
      <c r="W113" s="7">
        <v>8046</v>
      </c>
      <c r="X113" s="7">
        <v>6448</v>
      </c>
      <c r="Y113" s="7">
        <v>8060</v>
      </c>
      <c r="Z113" s="7">
        <v>20707</v>
      </c>
      <c r="AA113" s="7">
        <v>7960</v>
      </c>
      <c r="AB113" s="13"/>
    </row>
    <row r="114" spans="10:28" ht="15.6" customHeight="1" x14ac:dyDescent="0.3">
      <c r="J114" s="2">
        <v>110</v>
      </c>
      <c r="K114" s="41" t="s">
        <v>35</v>
      </c>
      <c r="L114" s="41" t="s">
        <v>34</v>
      </c>
      <c r="M114" s="41" t="s">
        <v>30</v>
      </c>
      <c r="N114" s="41" t="s">
        <v>29</v>
      </c>
      <c r="O114" s="41" t="s">
        <v>31</v>
      </c>
      <c r="Q114" s="17">
        <f t="shared" si="20"/>
        <v>10</v>
      </c>
      <c r="R114" s="17">
        <f t="shared" si="21"/>
        <v>9</v>
      </c>
      <c r="S114" s="17">
        <f t="shared" si="22"/>
        <v>5</v>
      </c>
      <c r="T114" s="17">
        <f t="shared" si="23"/>
        <v>4</v>
      </c>
      <c r="U114" s="17">
        <f t="shared" si="24"/>
        <v>6</v>
      </c>
      <c r="W114" s="7">
        <v>23116</v>
      </c>
      <c r="X114" s="7">
        <v>7415</v>
      </c>
      <c r="Y114" s="7">
        <v>8060</v>
      </c>
      <c r="Z114" s="7">
        <v>6514</v>
      </c>
      <c r="AA114" s="7">
        <v>21449</v>
      </c>
      <c r="AB114" s="13"/>
    </row>
    <row r="115" spans="10:28" ht="15.6" customHeight="1" x14ac:dyDescent="0.3">
      <c r="J115" s="2">
        <v>111</v>
      </c>
      <c r="K115" s="41" t="s">
        <v>35</v>
      </c>
      <c r="L115" s="41" t="s">
        <v>31</v>
      </c>
      <c r="M115" s="41" t="s">
        <v>50</v>
      </c>
      <c r="N115" s="41" t="s">
        <v>33</v>
      </c>
      <c r="O115" s="41" t="s">
        <v>33</v>
      </c>
      <c r="Q115" s="17">
        <f t="shared" si="20"/>
        <v>10</v>
      </c>
      <c r="R115" s="17">
        <f t="shared" si="21"/>
        <v>6</v>
      </c>
      <c r="S115" s="17">
        <f t="shared" si="22"/>
        <v>18</v>
      </c>
      <c r="T115" s="17">
        <f t="shared" si="23"/>
        <v>8</v>
      </c>
      <c r="U115" s="17">
        <f t="shared" si="24"/>
        <v>8</v>
      </c>
      <c r="W115" s="7">
        <v>29125</v>
      </c>
      <c r="X115" s="7">
        <v>7868</v>
      </c>
      <c r="Y115" s="7">
        <v>16278</v>
      </c>
      <c r="Z115" s="7">
        <v>1920</v>
      </c>
      <c r="AA115" s="7">
        <v>7960</v>
      </c>
      <c r="AB115" s="13"/>
    </row>
    <row r="116" spans="10:28" ht="15.6" customHeight="1" x14ac:dyDescent="0.3">
      <c r="J116" s="2">
        <v>112</v>
      </c>
      <c r="K116" s="41" t="s">
        <v>28</v>
      </c>
      <c r="L116" s="41" t="s">
        <v>38</v>
      </c>
      <c r="M116" s="41" t="s">
        <v>34</v>
      </c>
      <c r="N116" s="41" t="s">
        <v>30</v>
      </c>
      <c r="O116" s="41" t="s">
        <v>29</v>
      </c>
      <c r="Q116" s="17">
        <f t="shared" si="20"/>
        <v>3</v>
      </c>
      <c r="R116" s="17">
        <f t="shared" si="21"/>
        <v>12</v>
      </c>
      <c r="S116" s="17">
        <f t="shared" si="22"/>
        <v>9</v>
      </c>
      <c r="T116" s="17">
        <f t="shared" si="23"/>
        <v>5</v>
      </c>
      <c r="U116" s="17">
        <f t="shared" si="24"/>
        <v>4</v>
      </c>
      <c r="W116" s="7">
        <v>7262</v>
      </c>
      <c r="X116" s="7">
        <v>8660</v>
      </c>
      <c r="Y116" s="7">
        <v>11261</v>
      </c>
      <c r="Z116" s="7">
        <v>1920</v>
      </c>
      <c r="AA116" s="7">
        <v>1993</v>
      </c>
      <c r="AB116" s="13"/>
    </row>
    <row r="117" spans="10:28" ht="15.6" customHeight="1" x14ac:dyDescent="0.3">
      <c r="J117" s="2">
        <v>113</v>
      </c>
      <c r="K117" s="41" t="s">
        <v>35</v>
      </c>
      <c r="L117" s="41" t="s">
        <v>40</v>
      </c>
      <c r="M117" s="41" t="s">
        <v>44</v>
      </c>
      <c r="N117" s="41" t="s">
        <v>35</v>
      </c>
      <c r="O117" s="41" t="s">
        <v>30</v>
      </c>
      <c r="Q117" s="17">
        <f t="shared" si="20"/>
        <v>10</v>
      </c>
      <c r="R117" s="17">
        <f t="shared" si="21"/>
        <v>13</v>
      </c>
      <c r="S117" s="17">
        <f t="shared" si="22"/>
        <v>15</v>
      </c>
      <c r="T117" s="17">
        <f t="shared" si="23"/>
        <v>10</v>
      </c>
      <c r="U117" s="17">
        <f t="shared" si="24"/>
        <v>5</v>
      </c>
      <c r="W117" s="7">
        <v>7208</v>
      </c>
      <c r="X117" s="7">
        <v>6448</v>
      </c>
      <c r="Y117" s="7">
        <v>34379</v>
      </c>
      <c r="Z117" s="7">
        <v>2302</v>
      </c>
      <c r="AA117" s="7">
        <v>2052</v>
      </c>
      <c r="AB117" s="13"/>
    </row>
    <row r="118" spans="10:28" ht="15.6" customHeight="1" x14ac:dyDescent="0.3">
      <c r="J118" s="2">
        <v>114</v>
      </c>
      <c r="K118" s="41" t="s">
        <v>28</v>
      </c>
      <c r="L118" s="41" t="s">
        <v>34</v>
      </c>
      <c r="M118" s="41" t="s">
        <v>34</v>
      </c>
      <c r="N118" s="41" t="s">
        <v>35</v>
      </c>
      <c r="O118" s="41" t="s">
        <v>29</v>
      </c>
      <c r="Q118" s="17">
        <f t="shared" si="20"/>
        <v>3</v>
      </c>
      <c r="R118" s="17">
        <f t="shared" si="21"/>
        <v>9</v>
      </c>
      <c r="S118" s="17">
        <f t="shared" si="22"/>
        <v>9</v>
      </c>
      <c r="T118" s="17">
        <f t="shared" si="23"/>
        <v>10</v>
      </c>
      <c r="U118" s="17">
        <f t="shared" si="24"/>
        <v>4</v>
      </c>
      <c r="W118" s="7">
        <v>7208</v>
      </c>
      <c r="X118" s="7">
        <v>6448</v>
      </c>
      <c r="Y118" s="7">
        <v>14202</v>
      </c>
      <c r="Z118" s="7">
        <v>7676</v>
      </c>
      <c r="AA118" s="7">
        <v>1993</v>
      </c>
      <c r="AB118" s="13"/>
    </row>
    <row r="119" spans="10:28" ht="15.6" customHeight="1" x14ac:dyDescent="0.3">
      <c r="J119" s="2">
        <v>115</v>
      </c>
      <c r="K119" s="41" t="s">
        <v>33</v>
      </c>
      <c r="L119" s="41" t="s">
        <v>38</v>
      </c>
      <c r="M119" s="41" t="s">
        <v>38</v>
      </c>
      <c r="N119" s="41" t="s">
        <v>44</v>
      </c>
      <c r="O119" s="41" t="s">
        <v>29</v>
      </c>
      <c r="Q119" s="17">
        <f t="shared" si="20"/>
        <v>8</v>
      </c>
      <c r="R119" s="17">
        <f t="shared" si="21"/>
        <v>12</v>
      </c>
      <c r="S119" s="17">
        <f t="shared" si="22"/>
        <v>12</v>
      </c>
      <c r="T119" s="17">
        <f t="shared" si="23"/>
        <v>15</v>
      </c>
      <c r="U119" s="17">
        <f t="shared" si="24"/>
        <v>4</v>
      </c>
      <c r="W119" s="7">
        <v>7208</v>
      </c>
      <c r="X119" s="7">
        <v>6448</v>
      </c>
      <c r="Y119" s="7">
        <v>7049</v>
      </c>
      <c r="Z119" s="7">
        <v>7676</v>
      </c>
      <c r="AA119" s="7">
        <v>1987</v>
      </c>
      <c r="AB119" s="13"/>
    </row>
    <row r="120" spans="10:28" ht="15.6" customHeight="1" x14ac:dyDescent="0.3">
      <c r="J120" s="2">
        <v>116</v>
      </c>
      <c r="K120" s="41" t="s">
        <v>35</v>
      </c>
      <c r="L120" s="41" t="s">
        <v>46</v>
      </c>
      <c r="M120" s="41" t="s">
        <v>30</v>
      </c>
      <c r="N120" s="41" t="s">
        <v>46</v>
      </c>
      <c r="O120" s="41" t="s">
        <v>29</v>
      </c>
      <c r="Q120" s="17">
        <f t="shared" si="20"/>
        <v>10</v>
      </c>
      <c r="R120" s="17">
        <f t="shared" si="21"/>
        <v>16</v>
      </c>
      <c r="S120" s="17">
        <f t="shared" si="22"/>
        <v>5</v>
      </c>
      <c r="T120" s="17">
        <f t="shared" si="23"/>
        <v>16</v>
      </c>
      <c r="U120" s="17">
        <f t="shared" si="24"/>
        <v>4</v>
      </c>
      <c r="W120" s="7">
        <v>18701</v>
      </c>
      <c r="X120" s="7">
        <v>8431</v>
      </c>
      <c r="Y120" s="7">
        <v>8060</v>
      </c>
      <c r="Z120" s="7">
        <v>3353</v>
      </c>
      <c r="AA120" s="7">
        <v>6634</v>
      </c>
      <c r="AB120" s="13"/>
    </row>
    <row r="121" spans="10:28" ht="15.6" customHeight="1" x14ac:dyDescent="0.3">
      <c r="J121" s="2">
        <v>117</v>
      </c>
      <c r="K121" s="41" t="s">
        <v>33</v>
      </c>
      <c r="L121" s="41" t="s">
        <v>42</v>
      </c>
      <c r="M121" s="41" t="s">
        <v>33</v>
      </c>
      <c r="N121" s="41" t="s">
        <v>26</v>
      </c>
      <c r="O121" s="41" t="s">
        <v>33</v>
      </c>
      <c r="Q121" s="17">
        <f t="shared" si="20"/>
        <v>8</v>
      </c>
      <c r="R121" s="17">
        <f t="shared" si="21"/>
        <v>14</v>
      </c>
      <c r="S121" s="17">
        <f t="shared" si="22"/>
        <v>8</v>
      </c>
      <c r="T121" s="17">
        <f t="shared" si="23"/>
        <v>2</v>
      </c>
      <c r="U121" s="17">
        <f t="shared" si="24"/>
        <v>8</v>
      </c>
      <c r="W121" s="7">
        <v>2595</v>
      </c>
      <c r="X121" s="7">
        <v>24456</v>
      </c>
      <c r="Y121" s="7">
        <v>8060</v>
      </c>
      <c r="Z121" s="7">
        <v>3433</v>
      </c>
      <c r="AA121" s="7">
        <v>1987</v>
      </c>
      <c r="AB121" s="13"/>
    </row>
    <row r="122" spans="10:28" ht="15.6" customHeight="1" x14ac:dyDescent="0.3">
      <c r="J122" s="2">
        <v>118</v>
      </c>
      <c r="K122" s="41" t="s">
        <v>29</v>
      </c>
      <c r="L122" s="41" t="s">
        <v>50</v>
      </c>
      <c r="M122" s="41" t="s">
        <v>34</v>
      </c>
      <c r="N122" s="41" t="s">
        <v>42</v>
      </c>
      <c r="O122" s="41" t="s">
        <v>30</v>
      </c>
      <c r="Q122" s="17">
        <f t="shared" si="20"/>
        <v>4</v>
      </c>
      <c r="R122" s="17">
        <f t="shared" si="21"/>
        <v>18</v>
      </c>
      <c r="S122" s="17">
        <f t="shared" si="22"/>
        <v>9</v>
      </c>
      <c r="T122" s="17">
        <f t="shared" si="23"/>
        <v>14</v>
      </c>
      <c r="U122" s="17">
        <f t="shared" si="24"/>
        <v>5</v>
      </c>
      <c r="W122" s="7">
        <v>2595</v>
      </c>
      <c r="X122" s="7">
        <v>23216</v>
      </c>
      <c r="Y122" s="7">
        <v>8060</v>
      </c>
      <c r="Z122" s="7">
        <v>7384</v>
      </c>
      <c r="AA122" s="7">
        <v>1987</v>
      </c>
      <c r="AB122" s="13"/>
    </row>
    <row r="123" spans="10:28" ht="15.6" customHeight="1" x14ac:dyDescent="0.3">
      <c r="J123" s="2">
        <v>119</v>
      </c>
      <c r="K123" s="41" t="s">
        <v>33</v>
      </c>
      <c r="L123" s="41" t="s">
        <v>40</v>
      </c>
      <c r="M123" s="41" t="s">
        <v>29</v>
      </c>
      <c r="N123" s="41" t="s">
        <v>42</v>
      </c>
      <c r="O123" s="41" t="s">
        <v>32</v>
      </c>
      <c r="Q123" s="17">
        <f t="shared" si="20"/>
        <v>8</v>
      </c>
      <c r="R123" s="17">
        <f t="shared" si="21"/>
        <v>13</v>
      </c>
      <c r="S123" s="17">
        <f t="shared" si="22"/>
        <v>4</v>
      </c>
      <c r="T123" s="17">
        <f t="shared" si="23"/>
        <v>14</v>
      </c>
      <c r="U123" s="17">
        <f t="shared" si="24"/>
        <v>7</v>
      </c>
      <c r="W123" s="7">
        <v>2595</v>
      </c>
      <c r="X123" s="7">
        <v>18358</v>
      </c>
      <c r="Y123" s="7">
        <v>5226</v>
      </c>
      <c r="Z123" s="7">
        <v>19186</v>
      </c>
      <c r="AA123" s="7">
        <v>2390</v>
      </c>
      <c r="AB123" s="13"/>
    </row>
    <row r="124" spans="10:28" ht="15.6" customHeight="1" x14ac:dyDescent="0.3">
      <c r="J124" s="2">
        <v>120</v>
      </c>
      <c r="K124" s="41" t="s">
        <v>33</v>
      </c>
      <c r="L124" s="41" t="s">
        <v>34</v>
      </c>
      <c r="M124" s="41" t="s">
        <v>30</v>
      </c>
      <c r="N124" s="41" t="s">
        <v>31</v>
      </c>
      <c r="O124" s="41" t="s">
        <v>32</v>
      </c>
      <c r="Q124" s="17">
        <f t="shared" si="20"/>
        <v>8</v>
      </c>
      <c r="R124" s="17">
        <f t="shared" si="21"/>
        <v>9</v>
      </c>
      <c r="S124" s="17">
        <f t="shared" si="22"/>
        <v>5</v>
      </c>
      <c r="T124" s="17">
        <f t="shared" si="23"/>
        <v>6</v>
      </c>
      <c r="U124" s="17">
        <f t="shared" si="24"/>
        <v>7</v>
      </c>
      <c r="W124" s="7">
        <v>8649</v>
      </c>
      <c r="X124" s="7">
        <v>49773</v>
      </c>
      <c r="Y124" s="7">
        <v>4185</v>
      </c>
      <c r="Z124" s="7">
        <v>55917</v>
      </c>
      <c r="AA124" s="7">
        <v>7960</v>
      </c>
      <c r="AB124" s="13"/>
    </row>
    <row r="125" spans="10:28" ht="15.6" customHeight="1" x14ac:dyDescent="0.3">
      <c r="J125" s="2">
        <v>121</v>
      </c>
      <c r="K125" s="41" t="s">
        <v>32</v>
      </c>
      <c r="L125" s="41" t="s">
        <v>32</v>
      </c>
      <c r="M125" s="41" t="s">
        <v>34</v>
      </c>
      <c r="N125" s="41" t="s">
        <v>34</v>
      </c>
      <c r="O125" s="41" t="s">
        <v>34</v>
      </c>
      <c r="Q125" s="17">
        <f t="shared" si="20"/>
        <v>7</v>
      </c>
      <c r="R125" s="17">
        <f t="shared" si="21"/>
        <v>7</v>
      </c>
      <c r="S125" s="17">
        <f t="shared" si="22"/>
        <v>9</v>
      </c>
      <c r="T125" s="17">
        <f t="shared" si="23"/>
        <v>9</v>
      </c>
      <c r="U125" s="17">
        <f t="shared" si="24"/>
        <v>9</v>
      </c>
      <c r="W125" s="7">
        <v>8649</v>
      </c>
      <c r="X125" s="7">
        <v>17826</v>
      </c>
      <c r="Y125" s="7">
        <v>3103</v>
      </c>
      <c r="Z125" s="7">
        <v>61778</v>
      </c>
      <c r="AA125" s="7">
        <v>4560</v>
      </c>
      <c r="AB125" s="13"/>
    </row>
    <row r="126" spans="10:28" ht="15.6" customHeight="1" x14ac:dyDescent="0.3">
      <c r="J126" s="2">
        <v>122</v>
      </c>
      <c r="K126" s="41" t="s">
        <v>35</v>
      </c>
      <c r="L126" s="41" t="s">
        <v>42</v>
      </c>
      <c r="M126" s="41" t="s">
        <v>34</v>
      </c>
      <c r="N126" s="41" t="s">
        <v>50</v>
      </c>
      <c r="O126" s="41" t="s">
        <v>35</v>
      </c>
      <c r="Q126" s="17">
        <f t="shared" si="20"/>
        <v>10</v>
      </c>
      <c r="R126" s="17">
        <f t="shared" si="21"/>
        <v>14</v>
      </c>
      <c r="S126" s="17">
        <f t="shared" si="22"/>
        <v>9</v>
      </c>
      <c r="T126" s="17">
        <f t="shared" si="23"/>
        <v>18</v>
      </c>
      <c r="U126" s="17">
        <f t="shared" si="24"/>
        <v>10</v>
      </c>
      <c r="W126" s="7">
        <v>2595</v>
      </c>
      <c r="X126" s="7">
        <v>20344</v>
      </c>
      <c r="Y126" s="7">
        <v>3103</v>
      </c>
      <c r="Z126" s="7">
        <v>20707</v>
      </c>
      <c r="AA126" s="7">
        <v>5462</v>
      </c>
      <c r="AB126" s="13"/>
    </row>
    <row r="127" spans="10:28" ht="15.6" customHeight="1" x14ac:dyDescent="0.3">
      <c r="J127" s="2">
        <v>123</v>
      </c>
      <c r="K127" s="41" t="s">
        <v>32</v>
      </c>
      <c r="L127" s="41" t="s">
        <v>44</v>
      </c>
      <c r="M127" s="41" t="s">
        <v>35</v>
      </c>
      <c r="N127" s="41" t="s">
        <v>31</v>
      </c>
      <c r="O127" s="41" t="s">
        <v>32</v>
      </c>
      <c r="Q127" s="17">
        <f t="shared" si="20"/>
        <v>7</v>
      </c>
      <c r="R127" s="17">
        <f t="shared" si="21"/>
        <v>15</v>
      </c>
      <c r="S127" s="17">
        <f t="shared" si="22"/>
        <v>10</v>
      </c>
      <c r="T127" s="17">
        <f t="shared" si="23"/>
        <v>6</v>
      </c>
      <c r="U127" s="17">
        <f t="shared" si="24"/>
        <v>7</v>
      </c>
      <c r="W127" s="7">
        <v>2595</v>
      </c>
      <c r="X127" s="7">
        <v>7433</v>
      </c>
      <c r="Y127" s="7">
        <v>3103</v>
      </c>
      <c r="Z127" s="7">
        <v>23554</v>
      </c>
      <c r="AA127" s="7">
        <v>6090</v>
      </c>
      <c r="AB127" s="13"/>
    </row>
    <row r="128" spans="10:28" ht="15.6" customHeight="1" x14ac:dyDescent="0.3">
      <c r="J128" s="2">
        <v>124</v>
      </c>
      <c r="K128" s="41" t="s">
        <v>30</v>
      </c>
      <c r="L128" s="41" t="s">
        <v>38</v>
      </c>
      <c r="M128" s="41" t="s">
        <v>35</v>
      </c>
      <c r="N128" s="41" t="s">
        <v>34</v>
      </c>
      <c r="O128" s="41" t="s">
        <v>32</v>
      </c>
      <c r="Q128" s="17">
        <f t="shared" si="20"/>
        <v>5</v>
      </c>
      <c r="R128" s="17">
        <f t="shared" si="21"/>
        <v>12</v>
      </c>
      <c r="S128" s="17">
        <f t="shared" si="22"/>
        <v>10</v>
      </c>
      <c r="T128" s="17">
        <f t="shared" si="23"/>
        <v>9</v>
      </c>
      <c r="U128" s="17">
        <f t="shared" si="24"/>
        <v>7</v>
      </c>
      <c r="W128" s="7">
        <v>2595</v>
      </c>
      <c r="X128" s="7">
        <v>6448</v>
      </c>
      <c r="Y128" s="7">
        <v>3103</v>
      </c>
      <c r="Z128" s="7">
        <v>8071</v>
      </c>
      <c r="AA128" s="7">
        <v>21660</v>
      </c>
      <c r="AB128" s="13"/>
    </row>
    <row r="129" spans="10:28" ht="15.6" customHeight="1" x14ac:dyDescent="0.3">
      <c r="J129" s="2">
        <v>125</v>
      </c>
      <c r="K129" s="41" t="s">
        <v>30</v>
      </c>
      <c r="L129" s="41" t="s">
        <v>33</v>
      </c>
      <c r="M129" s="41" t="s">
        <v>35</v>
      </c>
      <c r="N129" s="41" t="s">
        <v>29</v>
      </c>
      <c r="O129" s="41" t="s">
        <v>35</v>
      </c>
      <c r="Q129" s="17">
        <f t="shared" si="20"/>
        <v>5</v>
      </c>
      <c r="R129" s="17">
        <f t="shared" si="21"/>
        <v>8</v>
      </c>
      <c r="S129" s="17">
        <f t="shared" si="22"/>
        <v>10</v>
      </c>
      <c r="T129" s="17">
        <f t="shared" si="23"/>
        <v>4</v>
      </c>
      <c r="U129" s="17">
        <f t="shared" si="24"/>
        <v>10</v>
      </c>
      <c r="W129" s="7">
        <v>8649</v>
      </c>
      <c r="X129" s="7">
        <v>2210</v>
      </c>
      <c r="Y129" s="7">
        <v>3103</v>
      </c>
      <c r="Z129" s="7">
        <v>6395</v>
      </c>
      <c r="AA129" s="7">
        <v>21442</v>
      </c>
      <c r="AB129" s="13"/>
    </row>
    <row r="130" spans="10:28" ht="15.6" customHeight="1" x14ac:dyDescent="0.3">
      <c r="J130" s="2">
        <v>126</v>
      </c>
      <c r="K130" s="41" t="s">
        <v>32</v>
      </c>
      <c r="L130" s="41" t="s">
        <v>28</v>
      </c>
      <c r="M130" s="41" t="s">
        <v>35</v>
      </c>
      <c r="N130" s="41" t="s">
        <v>28</v>
      </c>
      <c r="O130" s="41" t="s">
        <v>33</v>
      </c>
      <c r="Q130" s="17">
        <f t="shared" si="20"/>
        <v>7</v>
      </c>
      <c r="R130" s="17">
        <f t="shared" si="21"/>
        <v>3</v>
      </c>
      <c r="S130" s="17">
        <f t="shared" si="22"/>
        <v>10</v>
      </c>
      <c r="T130" s="17">
        <f t="shared" si="23"/>
        <v>3</v>
      </c>
      <c r="U130" s="17">
        <f t="shared" si="24"/>
        <v>8</v>
      </c>
      <c r="W130" s="7">
        <v>8649</v>
      </c>
      <c r="X130" s="7">
        <v>2366</v>
      </c>
      <c r="Y130" s="7">
        <v>49401</v>
      </c>
      <c r="Z130" s="7">
        <v>1920</v>
      </c>
      <c r="AA130" s="7">
        <v>8218</v>
      </c>
      <c r="AB130" s="13"/>
    </row>
    <row r="131" spans="10:28" ht="15.6" customHeight="1" x14ac:dyDescent="0.3">
      <c r="J131" s="2">
        <v>127</v>
      </c>
      <c r="K131" s="41" t="s">
        <v>29</v>
      </c>
      <c r="L131" s="41" t="s">
        <v>31</v>
      </c>
      <c r="M131" s="41" t="s">
        <v>33</v>
      </c>
      <c r="N131" s="41" t="s">
        <v>33</v>
      </c>
      <c r="O131" s="41" t="s">
        <v>34</v>
      </c>
      <c r="Q131" s="17">
        <f t="shared" si="20"/>
        <v>4</v>
      </c>
      <c r="R131" s="17">
        <f t="shared" si="21"/>
        <v>6</v>
      </c>
      <c r="S131" s="17">
        <f t="shared" si="22"/>
        <v>8</v>
      </c>
      <c r="T131" s="17">
        <f t="shared" si="23"/>
        <v>8</v>
      </c>
      <c r="U131" s="17">
        <f t="shared" si="24"/>
        <v>9</v>
      </c>
      <c r="W131" s="7">
        <v>8649</v>
      </c>
      <c r="X131" s="7">
        <v>5182</v>
      </c>
      <c r="Y131" s="7">
        <v>5137</v>
      </c>
      <c r="Z131" s="7">
        <v>1920</v>
      </c>
      <c r="AA131" s="7">
        <v>21075</v>
      </c>
      <c r="AB131" s="13"/>
    </row>
    <row r="132" spans="10:28" ht="15.6" customHeight="1" x14ac:dyDescent="0.3">
      <c r="J132" s="2">
        <v>128</v>
      </c>
      <c r="K132" s="41" t="s">
        <v>33</v>
      </c>
      <c r="L132" s="41" t="s">
        <v>31</v>
      </c>
      <c r="M132" s="41" t="s">
        <v>35</v>
      </c>
      <c r="N132" s="41" t="s">
        <v>31</v>
      </c>
      <c r="O132" s="41" t="s">
        <v>32</v>
      </c>
      <c r="Q132" s="17">
        <f t="shared" ref="Q132:Q163" si="25">IF(K132="","",VLOOKUP(K132,$A$4:$H$22,8,FALSE))</f>
        <v>8</v>
      </c>
      <c r="R132" s="17">
        <f t="shared" ref="R132:R163" si="26">IF(L132="","",VLOOKUP(L132,$A$4:$H$22,8,FALSE))</f>
        <v>6</v>
      </c>
      <c r="S132" s="17">
        <f t="shared" ref="S132:S163" si="27">IF(M132="","",VLOOKUP(M132,$A$4:$H$22,8,FALSE))</f>
        <v>10</v>
      </c>
      <c r="T132" s="17">
        <f t="shared" ref="T132:T163" si="28">IF(N132="","",VLOOKUP(N132,$A$4:$H$22,8,FALSE))</f>
        <v>6</v>
      </c>
      <c r="U132" s="17">
        <f t="shared" ref="U132:U163" si="29">IF(O132="","",VLOOKUP(O132,$A$4:$H$22,8,FALSE))</f>
        <v>7</v>
      </c>
      <c r="W132" s="7">
        <v>8649</v>
      </c>
      <c r="X132" s="7">
        <v>2987</v>
      </c>
      <c r="Y132" s="7">
        <v>2417</v>
      </c>
      <c r="Z132" s="7">
        <v>1920</v>
      </c>
      <c r="AA132" s="7">
        <v>21930</v>
      </c>
      <c r="AB132" s="13"/>
    </row>
    <row r="133" spans="10:28" ht="15.6" customHeight="1" x14ac:dyDescent="0.3">
      <c r="J133" s="2">
        <v>129</v>
      </c>
      <c r="K133" s="41" t="s">
        <v>30</v>
      </c>
      <c r="L133" s="41" t="s">
        <v>31</v>
      </c>
      <c r="M133" s="41" t="s">
        <v>48</v>
      </c>
      <c r="N133" s="41" t="s">
        <v>31</v>
      </c>
      <c r="O133" s="41" t="s">
        <v>33</v>
      </c>
      <c r="Q133" s="17">
        <f t="shared" si="25"/>
        <v>5</v>
      </c>
      <c r="R133" s="17">
        <f t="shared" si="26"/>
        <v>6</v>
      </c>
      <c r="S133" s="17">
        <f t="shared" si="27"/>
        <v>17</v>
      </c>
      <c r="T133" s="17">
        <f t="shared" si="28"/>
        <v>6</v>
      </c>
      <c r="U133" s="17">
        <f t="shared" si="29"/>
        <v>8</v>
      </c>
      <c r="W133" s="7">
        <v>8649</v>
      </c>
      <c r="X133" s="7">
        <v>1682</v>
      </c>
      <c r="Y133" s="7">
        <v>2659</v>
      </c>
      <c r="Z133" s="7">
        <v>19129</v>
      </c>
      <c r="AA133" s="7">
        <v>2390</v>
      </c>
      <c r="AB133" s="13"/>
    </row>
    <row r="134" spans="10:28" ht="15.6" customHeight="1" x14ac:dyDescent="0.3">
      <c r="J134" s="2">
        <v>130</v>
      </c>
      <c r="K134" s="41" t="s">
        <v>35</v>
      </c>
      <c r="L134" s="41" t="s">
        <v>44</v>
      </c>
      <c r="M134" s="41" t="s">
        <v>34</v>
      </c>
      <c r="N134" s="41" t="s">
        <v>30</v>
      </c>
      <c r="O134" s="41" t="s">
        <v>35</v>
      </c>
      <c r="Q134" s="17">
        <f t="shared" si="25"/>
        <v>10</v>
      </c>
      <c r="R134" s="17">
        <f t="shared" si="26"/>
        <v>15</v>
      </c>
      <c r="S134" s="17">
        <f t="shared" si="27"/>
        <v>9</v>
      </c>
      <c r="T134" s="17">
        <f t="shared" si="28"/>
        <v>5</v>
      </c>
      <c r="U134" s="17">
        <f t="shared" si="29"/>
        <v>10</v>
      </c>
      <c r="W134" s="7">
        <v>8649</v>
      </c>
      <c r="X134" s="7">
        <v>1641</v>
      </c>
      <c r="Y134" s="7">
        <v>7049</v>
      </c>
      <c r="Z134" s="7">
        <v>65049</v>
      </c>
      <c r="AA134" s="7">
        <v>1987</v>
      </c>
      <c r="AB134" s="13"/>
    </row>
    <row r="135" spans="10:28" ht="15.6" customHeight="1" x14ac:dyDescent="0.3">
      <c r="J135" s="2">
        <v>131</v>
      </c>
      <c r="K135" s="41" t="s">
        <v>32</v>
      </c>
      <c r="L135" s="41" t="s">
        <v>29</v>
      </c>
      <c r="M135" s="41" t="s">
        <v>32</v>
      </c>
      <c r="N135" s="41" t="s">
        <v>34</v>
      </c>
      <c r="O135" s="41" t="s">
        <v>29</v>
      </c>
      <c r="Q135" s="17">
        <f t="shared" si="25"/>
        <v>7</v>
      </c>
      <c r="R135" s="17">
        <f t="shared" si="26"/>
        <v>4</v>
      </c>
      <c r="S135" s="17">
        <f t="shared" si="27"/>
        <v>7</v>
      </c>
      <c r="T135" s="17">
        <f t="shared" si="28"/>
        <v>9</v>
      </c>
      <c r="U135" s="17">
        <f t="shared" si="29"/>
        <v>4</v>
      </c>
      <c r="W135" s="7">
        <v>8649</v>
      </c>
      <c r="X135" s="7">
        <v>1641</v>
      </c>
      <c r="Y135" s="7">
        <v>20045</v>
      </c>
      <c r="Z135" s="7">
        <v>23658</v>
      </c>
      <c r="AA135" s="7">
        <v>1987</v>
      </c>
      <c r="AB135" s="13"/>
    </row>
    <row r="136" spans="10:28" ht="15.6" customHeight="1" x14ac:dyDescent="0.3">
      <c r="J136" s="2">
        <v>132</v>
      </c>
      <c r="K136" s="41" t="s">
        <v>35</v>
      </c>
      <c r="L136" s="41" t="s">
        <v>29</v>
      </c>
      <c r="M136" s="41" t="s">
        <v>30</v>
      </c>
      <c r="N136" s="41" t="s">
        <v>35</v>
      </c>
      <c r="O136" s="41" t="s">
        <v>29</v>
      </c>
      <c r="Q136" s="17">
        <f t="shared" si="25"/>
        <v>10</v>
      </c>
      <c r="R136" s="17">
        <f t="shared" si="26"/>
        <v>4</v>
      </c>
      <c r="S136" s="17">
        <f t="shared" si="27"/>
        <v>5</v>
      </c>
      <c r="T136" s="17">
        <f t="shared" si="28"/>
        <v>10</v>
      </c>
      <c r="U136" s="17">
        <f t="shared" si="29"/>
        <v>4</v>
      </c>
      <c r="W136" s="7">
        <v>2595</v>
      </c>
      <c r="X136" s="7">
        <v>1693</v>
      </c>
      <c r="Y136" s="7">
        <v>3373</v>
      </c>
      <c r="Z136" s="7">
        <v>7855</v>
      </c>
      <c r="AA136" s="7">
        <v>1987</v>
      </c>
      <c r="AB136" s="13"/>
    </row>
    <row r="137" spans="10:28" ht="15.6" customHeight="1" x14ac:dyDescent="0.3">
      <c r="J137" s="2">
        <v>133</v>
      </c>
      <c r="K137" s="41" t="s">
        <v>33</v>
      </c>
      <c r="L137" s="41" t="s">
        <v>46</v>
      </c>
      <c r="M137" s="41" t="s">
        <v>48</v>
      </c>
      <c r="N137" s="41" t="s">
        <v>48</v>
      </c>
      <c r="O137" s="41" t="s">
        <v>29</v>
      </c>
      <c r="Q137" s="17">
        <f t="shared" si="25"/>
        <v>8</v>
      </c>
      <c r="R137" s="17">
        <f t="shared" si="26"/>
        <v>16</v>
      </c>
      <c r="S137" s="17">
        <f t="shared" si="27"/>
        <v>17</v>
      </c>
      <c r="T137" s="17">
        <f t="shared" si="28"/>
        <v>17</v>
      </c>
      <c r="U137" s="17">
        <f t="shared" si="29"/>
        <v>4</v>
      </c>
      <c r="W137" s="7">
        <v>2595</v>
      </c>
      <c r="X137" s="7">
        <v>4524</v>
      </c>
      <c r="Y137" s="7">
        <v>3551</v>
      </c>
      <c r="Z137" s="7">
        <v>8383</v>
      </c>
      <c r="AA137" s="7">
        <v>6634</v>
      </c>
      <c r="AB137" s="13"/>
    </row>
    <row r="138" spans="10:28" ht="15.6" customHeight="1" x14ac:dyDescent="0.3">
      <c r="J138" s="2">
        <v>134</v>
      </c>
      <c r="K138" s="41" t="s">
        <v>35</v>
      </c>
      <c r="L138" s="41" t="s">
        <v>42</v>
      </c>
      <c r="M138" s="41" t="s">
        <v>50</v>
      </c>
      <c r="N138" s="41" t="s">
        <v>32</v>
      </c>
      <c r="O138" s="41" t="s">
        <v>34</v>
      </c>
      <c r="Q138" s="17">
        <f t="shared" si="25"/>
        <v>10</v>
      </c>
      <c r="R138" s="17">
        <f t="shared" si="26"/>
        <v>14</v>
      </c>
      <c r="S138" s="17">
        <f t="shared" si="27"/>
        <v>18</v>
      </c>
      <c r="T138" s="17">
        <f t="shared" si="28"/>
        <v>7</v>
      </c>
      <c r="U138" s="17">
        <f t="shared" si="29"/>
        <v>9</v>
      </c>
      <c r="W138" s="7">
        <v>2595</v>
      </c>
      <c r="X138" s="7">
        <v>10964</v>
      </c>
      <c r="Y138" s="7">
        <v>4647</v>
      </c>
      <c r="Z138" s="7">
        <v>7676</v>
      </c>
      <c r="AA138" s="7">
        <v>7960</v>
      </c>
      <c r="AB138" s="13"/>
    </row>
    <row r="139" spans="10:28" ht="15.6" customHeight="1" x14ac:dyDescent="0.3">
      <c r="J139" s="2">
        <v>135</v>
      </c>
      <c r="K139" s="41" t="s">
        <v>35</v>
      </c>
      <c r="L139" s="41" t="s">
        <v>42</v>
      </c>
      <c r="M139" s="41" t="s">
        <v>35</v>
      </c>
      <c r="N139" s="41" t="s">
        <v>48</v>
      </c>
      <c r="O139" s="41" t="s">
        <v>28</v>
      </c>
      <c r="Q139" s="17">
        <f t="shared" si="25"/>
        <v>10</v>
      </c>
      <c r="R139" s="17">
        <f t="shared" si="26"/>
        <v>14</v>
      </c>
      <c r="S139" s="17">
        <f t="shared" si="27"/>
        <v>10</v>
      </c>
      <c r="T139" s="17">
        <f t="shared" si="28"/>
        <v>17</v>
      </c>
      <c r="U139" s="17">
        <f t="shared" si="29"/>
        <v>3</v>
      </c>
      <c r="W139" s="7">
        <v>24207</v>
      </c>
      <c r="X139" s="7">
        <v>8723</v>
      </c>
      <c r="Y139" s="7">
        <v>3793</v>
      </c>
      <c r="Z139" s="7">
        <v>7676</v>
      </c>
      <c r="AA139" s="7">
        <v>12232</v>
      </c>
      <c r="AB139" s="13"/>
    </row>
    <row r="140" spans="10:28" ht="15.6" customHeight="1" x14ac:dyDescent="0.3">
      <c r="J140" s="2">
        <v>136</v>
      </c>
      <c r="K140" s="41" t="s">
        <v>28</v>
      </c>
      <c r="L140" s="41" t="s">
        <v>32</v>
      </c>
      <c r="M140" s="41" t="s">
        <v>35</v>
      </c>
      <c r="N140" s="41" t="s">
        <v>46</v>
      </c>
      <c r="O140" s="41" t="s">
        <v>33</v>
      </c>
      <c r="Q140" s="17">
        <f t="shared" si="25"/>
        <v>3</v>
      </c>
      <c r="R140" s="17">
        <f t="shared" si="26"/>
        <v>7</v>
      </c>
      <c r="S140" s="17">
        <f t="shared" si="27"/>
        <v>10</v>
      </c>
      <c r="T140" s="17">
        <f t="shared" si="28"/>
        <v>16</v>
      </c>
      <c r="U140" s="17">
        <f t="shared" si="29"/>
        <v>8</v>
      </c>
      <c r="W140" s="7">
        <v>8649</v>
      </c>
      <c r="X140" s="7">
        <v>2987</v>
      </c>
      <c r="Y140" s="7">
        <v>10312</v>
      </c>
      <c r="Z140" s="7">
        <v>20252</v>
      </c>
      <c r="AA140" s="7">
        <v>11894</v>
      </c>
      <c r="AB140" s="13"/>
    </row>
    <row r="141" spans="10:28" ht="15.6" customHeight="1" x14ac:dyDescent="0.3">
      <c r="J141" s="2">
        <v>137</v>
      </c>
      <c r="K141" s="41" t="s">
        <v>33</v>
      </c>
      <c r="L141" s="41" t="s">
        <v>32</v>
      </c>
      <c r="M141" s="41" t="s">
        <v>50</v>
      </c>
      <c r="N141" s="41" t="s">
        <v>29</v>
      </c>
      <c r="O141" s="41" t="s">
        <v>26</v>
      </c>
      <c r="Q141" s="17">
        <f t="shared" si="25"/>
        <v>8</v>
      </c>
      <c r="R141" s="17">
        <f t="shared" si="26"/>
        <v>7</v>
      </c>
      <c r="S141" s="17">
        <f t="shared" si="27"/>
        <v>18</v>
      </c>
      <c r="T141" s="17">
        <f t="shared" si="28"/>
        <v>4</v>
      </c>
      <c r="U141" s="17">
        <f t="shared" si="29"/>
        <v>2</v>
      </c>
      <c r="W141" s="7">
        <v>7208</v>
      </c>
      <c r="X141" s="7">
        <v>1682</v>
      </c>
      <c r="Y141" s="7">
        <v>7804</v>
      </c>
      <c r="Z141" s="7">
        <v>2513</v>
      </c>
      <c r="AA141" s="7">
        <v>28838</v>
      </c>
      <c r="AB141" s="13"/>
    </row>
    <row r="142" spans="10:28" ht="15.6" customHeight="1" x14ac:dyDescent="0.3">
      <c r="J142" s="2">
        <v>138</v>
      </c>
      <c r="K142" s="41" t="s">
        <v>35</v>
      </c>
      <c r="L142" s="41" t="s">
        <v>32</v>
      </c>
      <c r="M142" s="41" t="s">
        <v>34</v>
      </c>
      <c r="N142" s="41" t="s">
        <v>46</v>
      </c>
      <c r="O142" s="41" t="s">
        <v>28</v>
      </c>
      <c r="Q142" s="17">
        <f t="shared" si="25"/>
        <v>10</v>
      </c>
      <c r="R142" s="17">
        <f t="shared" si="26"/>
        <v>7</v>
      </c>
      <c r="S142" s="17">
        <f t="shared" si="27"/>
        <v>9</v>
      </c>
      <c r="T142" s="17">
        <f t="shared" si="28"/>
        <v>16</v>
      </c>
      <c r="U142" s="17">
        <f t="shared" si="29"/>
        <v>3</v>
      </c>
      <c r="W142" s="7">
        <v>7208</v>
      </c>
      <c r="X142" s="7">
        <v>1983</v>
      </c>
      <c r="Y142" s="7">
        <v>7804</v>
      </c>
      <c r="Z142" s="7">
        <v>2342</v>
      </c>
      <c r="AA142" s="7">
        <v>5382</v>
      </c>
      <c r="AB142" s="13"/>
    </row>
    <row r="143" spans="10:28" ht="15.6" customHeight="1" x14ac:dyDescent="0.3">
      <c r="J143" s="2">
        <v>139</v>
      </c>
      <c r="K143" s="41" t="s">
        <v>28</v>
      </c>
      <c r="L143" s="41" t="s">
        <v>32</v>
      </c>
      <c r="M143" s="41" t="s">
        <v>28</v>
      </c>
      <c r="N143" s="41" t="s">
        <v>34</v>
      </c>
      <c r="O143" s="41" t="s">
        <v>35</v>
      </c>
      <c r="Q143" s="17">
        <f t="shared" si="25"/>
        <v>3</v>
      </c>
      <c r="R143" s="17">
        <f t="shared" si="26"/>
        <v>7</v>
      </c>
      <c r="S143" s="17">
        <f t="shared" si="27"/>
        <v>3</v>
      </c>
      <c r="T143" s="17">
        <f t="shared" si="28"/>
        <v>9</v>
      </c>
      <c r="U143" s="17">
        <f t="shared" si="29"/>
        <v>10</v>
      </c>
      <c r="W143" s="7">
        <v>7208</v>
      </c>
      <c r="X143" s="7">
        <v>5467</v>
      </c>
      <c r="Y143" s="7">
        <v>7804</v>
      </c>
      <c r="Z143" s="7">
        <v>2302</v>
      </c>
      <c r="AA143" s="7">
        <v>6010</v>
      </c>
      <c r="AB143" s="13"/>
    </row>
    <row r="144" spans="10:28" ht="15.6" customHeight="1" x14ac:dyDescent="0.3">
      <c r="J144" s="2">
        <v>140</v>
      </c>
      <c r="K144" s="41" t="s">
        <v>29</v>
      </c>
      <c r="L144" s="41" t="s">
        <v>38</v>
      </c>
      <c r="M144" s="41" t="s">
        <v>35</v>
      </c>
      <c r="N144" s="41" t="s">
        <v>34</v>
      </c>
      <c r="O144" s="41" t="s">
        <v>34</v>
      </c>
      <c r="Q144" s="17">
        <f t="shared" si="25"/>
        <v>4</v>
      </c>
      <c r="R144" s="17">
        <f t="shared" si="26"/>
        <v>12</v>
      </c>
      <c r="S144" s="17">
        <f t="shared" si="27"/>
        <v>10</v>
      </c>
      <c r="T144" s="17">
        <f t="shared" si="28"/>
        <v>9</v>
      </c>
      <c r="U144" s="17">
        <f t="shared" si="29"/>
        <v>9</v>
      </c>
      <c r="W144" s="7">
        <v>8649</v>
      </c>
      <c r="X144" s="7">
        <v>8070</v>
      </c>
      <c r="Y144" s="7">
        <v>7804</v>
      </c>
      <c r="Z144" s="7">
        <v>7676</v>
      </c>
      <c r="AA144" s="7">
        <v>5854</v>
      </c>
      <c r="AB144" s="13"/>
    </row>
    <row r="145" spans="10:28" ht="15.6" customHeight="1" x14ac:dyDescent="0.3">
      <c r="J145" s="2">
        <v>141</v>
      </c>
      <c r="K145" s="41" t="s">
        <v>30</v>
      </c>
      <c r="L145" s="41" t="s">
        <v>32</v>
      </c>
      <c r="M145" s="41" t="s">
        <v>34</v>
      </c>
      <c r="N145" s="41" t="s">
        <v>38</v>
      </c>
      <c r="O145" s="41" t="s">
        <v>34</v>
      </c>
      <c r="Q145" s="17">
        <f t="shared" si="25"/>
        <v>5</v>
      </c>
      <c r="R145" s="17">
        <f t="shared" si="26"/>
        <v>7</v>
      </c>
      <c r="S145" s="17">
        <f t="shared" si="27"/>
        <v>9</v>
      </c>
      <c r="T145" s="17">
        <f t="shared" si="28"/>
        <v>12</v>
      </c>
      <c r="U145" s="17">
        <f t="shared" si="29"/>
        <v>9</v>
      </c>
      <c r="W145" s="7">
        <v>8649</v>
      </c>
      <c r="X145" s="7">
        <v>8990</v>
      </c>
      <c r="Y145" s="7">
        <v>2342</v>
      </c>
      <c r="Z145" s="7">
        <v>7676</v>
      </c>
      <c r="AA145" s="7">
        <v>2390</v>
      </c>
      <c r="AB145" s="13"/>
    </row>
    <row r="146" spans="10:28" ht="15.6" customHeight="1" x14ac:dyDescent="0.3">
      <c r="J146" s="2">
        <v>142</v>
      </c>
      <c r="K146" s="41" t="s">
        <v>35</v>
      </c>
      <c r="L146" s="41" t="s">
        <v>28</v>
      </c>
      <c r="M146" s="41" t="s">
        <v>35</v>
      </c>
      <c r="N146" s="41" t="s">
        <v>50</v>
      </c>
      <c r="O146" s="41" t="s">
        <v>34</v>
      </c>
      <c r="Q146" s="17">
        <f t="shared" si="25"/>
        <v>10</v>
      </c>
      <c r="R146" s="17">
        <f t="shared" si="26"/>
        <v>3</v>
      </c>
      <c r="S146" s="17">
        <f t="shared" si="27"/>
        <v>10</v>
      </c>
      <c r="T146" s="17">
        <f t="shared" si="28"/>
        <v>18</v>
      </c>
      <c r="U146" s="17">
        <f t="shared" si="29"/>
        <v>9</v>
      </c>
      <c r="W146" s="7">
        <v>8649</v>
      </c>
      <c r="X146" s="7">
        <v>6414</v>
      </c>
      <c r="Y146" s="7">
        <v>2342</v>
      </c>
      <c r="Z146" s="7">
        <v>7806</v>
      </c>
      <c r="AA146" s="7">
        <v>7981</v>
      </c>
      <c r="AB146" s="13"/>
    </row>
    <row r="147" spans="10:28" ht="15.6" customHeight="1" x14ac:dyDescent="0.3">
      <c r="J147" s="2">
        <v>143</v>
      </c>
      <c r="K147" s="41" t="s">
        <v>29</v>
      </c>
      <c r="L147" s="41" t="s">
        <v>29</v>
      </c>
      <c r="M147" s="41" t="s">
        <v>34</v>
      </c>
      <c r="N147" s="41" t="s">
        <v>31</v>
      </c>
      <c r="O147" s="41" t="s">
        <v>33</v>
      </c>
      <c r="Q147" s="17">
        <f t="shared" si="25"/>
        <v>4</v>
      </c>
      <c r="R147" s="17">
        <f t="shared" si="26"/>
        <v>4</v>
      </c>
      <c r="S147" s="17">
        <f t="shared" si="27"/>
        <v>9</v>
      </c>
      <c r="T147" s="17">
        <f t="shared" si="28"/>
        <v>6</v>
      </c>
      <c r="U147" s="17">
        <f t="shared" si="29"/>
        <v>8</v>
      </c>
      <c r="W147" s="7">
        <v>8649</v>
      </c>
      <c r="X147" s="7">
        <v>9965</v>
      </c>
      <c r="Y147" s="7">
        <v>2342</v>
      </c>
      <c r="Z147" s="7">
        <v>6903</v>
      </c>
      <c r="AA147" s="7">
        <v>8038</v>
      </c>
      <c r="AB147" s="13"/>
    </row>
    <row r="148" spans="10:28" ht="15.6" customHeight="1" x14ac:dyDescent="0.3">
      <c r="J148" s="2">
        <v>144</v>
      </c>
      <c r="K148" s="41" t="s">
        <v>32</v>
      </c>
      <c r="L148" s="41" t="s">
        <v>44</v>
      </c>
      <c r="M148" s="41" t="s">
        <v>34</v>
      </c>
      <c r="N148" s="41" t="s">
        <v>46</v>
      </c>
      <c r="O148" s="41" t="s">
        <v>34</v>
      </c>
      <c r="Q148" s="17">
        <f t="shared" si="25"/>
        <v>7</v>
      </c>
      <c r="R148" s="17">
        <f t="shared" si="26"/>
        <v>15</v>
      </c>
      <c r="S148" s="17">
        <f t="shared" si="27"/>
        <v>9</v>
      </c>
      <c r="T148" s="17">
        <f t="shared" si="28"/>
        <v>16</v>
      </c>
      <c r="U148" s="17">
        <f t="shared" si="29"/>
        <v>9</v>
      </c>
      <c r="W148" s="7">
        <v>6396</v>
      </c>
      <c r="X148" s="7">
        <v>6807</v>
      </c>
      <c r="Y148" s="7">
        <v>2342</v>
      </c>
      <c r="Z148" s="7">
        <v>18167</v>
      </c>
      <c r="AA148" s="7">
        <v>7794</v>
      </c>
      <c r="AB148" s="13"/>
    </row>
    <row r="149" spans="10:28" ht="15.6" customHeight="1" x14ac:dyDescent="0.3">
      <c r="J149" s="2">
        <v>145</v>
      </c>
      <c r="K149" s="41" t="s">
        <v>31</v>
      </c>
      <c r="L149" s="41" t="s">
        <v>29</v>
      </c>
      <c r="M149" s="41" t="s">
        <v>34</v>
      </c>
      <c r="N149" s="41" t="s">
        <v>29</v>
      </c>
      <c r="O149" s="41" t="s">
        <v>32</v>
      </c>
      <c r="Q149" s="17">
        <f t="shared" si="25"/>
        <v>6</v>
      </c>
      <c r="R149" s="17">
        <f t="shared" si="26"/>
        <v>4</v>
      </c>
      <c r="S149" s="17">
        <f t="shared" si="27"/>
        <v>9</v>
      </c>
      <c r="T149" s="17">
        <f t="shared" si="28"/>
        <v>4</v>
      </c>
      <c r="U149" s="17">
        <f t="shared" si="29"/>
        <v>7</v>
      </c>
      <c r="W149" s="7">
        <v>2273</v>
      </c>
      <c r="X149" s="7">
        <v>8990</v>
      </c>
      <c r="Y149" s="7">
        <v>2342</v>
      </c>
      <c r="Z149" s="7">
        <v>22226</v>
      </c>
      <c r="AA149" s="7">
        <v>23391</v>
      </c>
      <c r="AB149" s="13"/>
    </row>
    <row r="150" spans="10:28" ht="15.6" customHeight="1" x14ac:dyDescent="0.3">
      <c r="J150" s="2">
        <v>146</v>
      </c>
      <c r="K150" s="41" t="s">
        <v>30</v>
      </c>
      <c r="L150" s="41" t="s">
        <v>31</v>
      </c>
      <c r="M150" s="41" t="s">
        <v>34</v>
      </c>
      <c r="N150" s="41" t="s">
        <v>32</v>
      </c>
      <c r="O150" s="41" t="s">
        <v>35</v>
      </c>
      <c r="Q150" s="17">
        <f t="shared" si="25"/>
        <v>5</v>
      </c>
      <c r="R150" s="17">
        <f t="shared" si="26"/>
        <v>6</v>
      </c>
      <c r="S150" s="17">
        <f t="shared" si="27"/>
        <v>9</v>
      </c>
      <c r="T150" s="17">
        <f t="shared" si="28"/>
        <v>7</v>
      </c>
      <c r="U150" s="17">
        <f t="shared" si="29"/>
        <v>10</v>
      </c>
      <c r="W150" s="7">
        <v>2437</v>
      </c>
      <c r="X150" s="7">
        <v>6414</v>
      </c>
      <c r="Y150" s="7">
        <v>4260</v>
      </c>
      <c r="Z150" s="7">
        <v>7676</v>
      </c>
      <c r="AA150" s="7">
        <v>9616</v>
      </c>
      <c r="AB150" s="13"/>
    </row>
    <row r="151" spans="10:28" ht="15.6" customHeight="1" x14ac:dyDescent="0.3">
      <c r="J151" s="2">
        <v>147</v>
      </c>
      <c r="K151" s="41" t="s">
        <v>30</v>
      </c>
      <c r="L151" s="41" t="s">
        <v>38</v>
      </c>
      <c r="M151" s="41" t="s">
        <v>50</v>
      </c>
      <c r="N151" s="41" t="s">
        <v>31</v>
      </c>
      <c r="O151" s="41" t="s">
        <v>30</v>
      </c>
      <c r="Q151" s="17">
        <f t="shared" si="25"/>
        <v>5</v>
      </c>
      <c r="R151" s="17">
        <f t="shared" si="26"/>
        <v>12</v>
      </c>
      <c r="S151" s="17">
        <f t="shared" si="27"/>
        <v>18</v>
      </c>
      <c r="T151" s="17">
        <f t="shared" si="28"/>
        <v>6</v>
      </c>
      <c r="U151" s="17">
        <f t="shared" si="29"/>
        <v>5</v>
      </c>
      <c r="W151" s="7">
        <v>2595</v>
      </c>
      <c r="X151" s="7">
        <v>9965</v>
      </c>
      <c r="Y151" s="7">
        <v>2114</v>
      </c>
      <c r="Z151" s="7">
        <v>7818</v>
      </c>
      <c r="AA151" s="7">
        <v>10747</v>
      </c>
      <c r="AB151" s="13"/>
    </row>
    <row r="152" spans="10:28" ht="15.6" customHeight="1" x14ac:dyDescent="0.3">
      <c r="J152" s="2">
        <v>148</v>
      </c>
      <c r="K152" s="41" t="s">
        <v>34</v>
      </c>
      <c r="L152" s="41" t="s">
        <v>32</v>
      </c>
      <c r="M152" s="41" t="s">
        <v>33</v>
      </c>
      <c r="N152" s="41" t="s">
        <v>40</v>
      </c>
      <c r="O152" s="41" t="s">
        <v>31</v>
      </c>
      <c r="Q152" s="17">
        <f t="shared" si="25"/>
        <v>9</v>
      </c>
      <c r="R152" s="17">
        <f t="shared" si="26"/>
        <v>7</v>
      </c>
      <c r="S152" s="17">
        <f t="shared" si="27"/>
        <v>8</v>
      </c>
      <c r="T152" s="17">
        <f t="shared" si="28"/>
        <v>13</v>
      </c>
      <c r="U152" s="17">
        <f t="shared" si="29"/>
        <v>6</v>
      </c>
      <c r="W152" s="7">
        <v>2401</v>
      </c>
      <c r="X152" s="7">
        <v>6807</v>
      </c>
      <c r="Y152" s="7">
        <v>2417</v>
      </c>
      <c r="Z152" s="7">
        <v>7676</v>
      </c>
      <c r="AA152" s="7">
        <v>9314</v>
      </c>
      <c r="AB152" s="13"/>
    </row>
    <row r="153" spans="10:28" ht="15.6" customHeight="1" x14ac:dyDescent="0.3">
      <c r="J153" s="2">
        <v>149</v>
      </c>
      <c r="K153" s="41" t="s">
        <v>34</v>
      </c>
      <c r="L153" s="41" t="s">
        <v>29</v>
      </c>
      <c r="M153" s="41" t="s">
        <v>46</v>
      </c>
      <c r="N153" s="41" t="s">
        <v>34</v>
      </c>
      <c r="O153" s="41" t="s">
        <v>30</v>
      </c>
      <c r="Q153" s="17">
        <f t="shared" si="25"/>
        <v>9</v>
      </c>
      <c r="R153" s="17">
        <f t="shared" si="26"/>
        <v>4</v>
      </c>
      <c r="S153" s="17">
        <f t="shared" si="27"/>
        <v>16</v>
      </c>
      <c r="T153" s="17">
        <f t="shared" si="28"/>
        <v>9</v>
      </c>
      <c r="U153" s="17">
        <f t="shared" si="29"/>
        <v>5</v>
      </c>
      <c r="W153" s="7">
        <v>20360</v>
      </c>
      <c r="X153" s="7">
        <v>2697</v>
      </c>
      <c r="Y153" s="7">
        <v>8060</v>
      </c>
      <c r="Z153" s="7">
        <v>2302</v>
      </c>
      <c r="AA153" s="7">
        <v>9445</v>
      </c>
      <c r="AB153" s="13"/>
    </row>
    <row r="154" spans="10:28" ht="15.6" customHeight="1" x14ac:dyDescent="0.3">
      <c r="J154" s="2">
        <v>150</v>
      </c>
      <c r="K154" s="41" t="s">
        <v>33</v>
      </c>
      <c r="L154" s="41" t="s">
        <v>31</v>
      </c>
      <c r="M154" s="41" t="s">
        <v>35</v>
      </c>
      <c r="N154" s="41" t="s">
        <v>31</v>
      </c>
      <c r="O154" s="41" t="s">
        <v>34</v>
      </c>
      <c r="Q154" s="17">
        <f t="shared" si="25"/>
        <v>8</v>
      </c>
      <c r="R154" s="17">
        <f t="shared" si="26"/>
        <v>6</v>
      </c>
      <c r="S154" s="17">
        <f t="shared" si="27"/>
        <v>10</v>
      </c>
      <c r="T154" s="17">
        <f t="shared" si="28"/>
        <v>6</v>
      </c>
      <c r="U154" s="17">
        <f t="shared" si="29"/>
        <v>9</v>
      </c>
      <c r="W154" s="7">
        <v>21631</v>
      </c>
      <c r="X154" s="7">
        <v>6621</v>
      </c>
      <c r="Y154" s="7">
        <v>9945</v>
      </c>
      <c r="Z154" s="7">
        <v>2302</v>
      </c>
      <c r="AA154" s="7">
        <v>27901</v>
      </c>
      <c r="AB154" s="13"/>
    </row>
    <row r="155" spans="10:28" ht="15.6" customHeight="1" x14ac:dyDescent="0.3">
      <c r="J155" s="2">
        <v>151</v>
      </c>
      <c r="K155" s="41" t="s">
        <v>32</v>
      </c>
      <c r="L155" s="41" t="s">
        <v>35</v>
      </c>
      <c r="M155" s="41" t="s">
        <v>28</v>
      </c>
      <c r="N155" s="41" t="s">
        <v>33</v>
      </c>
      <c r="O155" s="41" t="s">
        <v>35</v>
      </c>
      <c r="Q155" s="17">
        <f t="shared" si="25"/>
        <v>7</v>
      </c>
      <c r="R155" s="17">
        <f t="shared" si="26"/>
        <v>10</v>
      </c>
      <c r="S155" s="17">
        <f t="shared" si="27"/>
        <v>3</v>
      </c>
      <c r="T155" s="17">
        <f t="shared" si="28"/>
        <v>8</v>
      </c>
      <c r="U155" s="17">
        <f t="shared" si="29"/>
        <v>10</v>
      </c>
      <c r="W155" s="7">
        <v>9456</v>
      </c>
      <c r="X155" s="7">
        <v>7341</v>
      </c>
      <c r="Y155" s="7">
        <v>26581</v>
      </c>
      <c r="Z155" s="7">
        <v>2302</v>
      </c>
      <c r="AA155" s="7">
        <v>9499</v>
      </c>
      <c r="AB155" s="13"/>
    </row>
    <row r="156" spans="10:28" ht="15.6" customHeight="1" x14ac:dyDescent="0.3">
      <c r="J156" s="2">
        <v>152</v>
      </c>
      <c r="K156" s="41" t="s">
        <v>35</v>
      </c>
      <c r="L156" s="41" t="s">
        <v>35</v>
      </c>
      <c r="M156" s="41" t="s">
        <v>32</v>
      </c>
      <c r="N156" s="41" t="s">
        <v>33</v>
      </c>
      <c r="O156" s="41" t="s">
        <v>34</v>
      </c>
      <c r="Q156" s="17">
        <f t="shared" si="25"/>
        <v>10</v>
      </c>
      <c r="R156" s="17">
        <f t="shared" si="26"/>
        <v>10</v>
      </c>
      <c r="S156" s="17">
        <f t="shared" si="27"/>
        <v>7</v>
      </c>
      <c r="T156" s="17">
        <f t="shared" si="28"/>
        <v>8</v>
      </c>
      <c r="U156" s="17">
        <f t="shared" si="29"/>
        <v>9</v>
      </c>
      <c r="W156" s="7">
        <v>7208</v>
      </c>
      <c r="X156" s="7">
        <v>24473</v>
      </c>
      <c r="Y156" s="7">
        <v>20159</v>
      </c>
      <c r="Z156" s="7">
        <v>7675</v>
      </c>
      <c r="AA156" s="7">
        <v>7960</v>
      </c>
      <c r="AB156" s="13"/>
    </row>
    <row r="157" spans="10:28" ht="15.6" customHeight="1" x14ac:dyDescent="0.3">
      <c r="J157" s="2">
        <v>153</v>
      </c>
      <c r="K157" s="41" t="s">
        <v>33</v>
      </c>
      <c r="L157" s="41" t="s">
        <v>48</v>
      </c>
      <c r="M157" s="41" t="s">
        <v>34</v>
      </c>
      <c r="N157" s="41" t="s">
        <v>28</v>
      </c>
      <c r="O157" s="41" t="s">
        <v>30</v>
      </c>
      <c r="Q157" s="17">
        <f t="shared" si="25"/>
        <v>8</v>
      </c>
      <c r="R157" s="17">
        <f t="shared" si="26"/>
        <v>17</v>
      </c>
      <c r="S157" s="17">
        <f t="shared" si="27"/>
        <v>9</v>
      </c>
      <c r="T157" s="17">
        <f t="shared" si="28"/>
        <v>3</v>
      </c>
      <c r="U157" s="17">
        <f t="shared" si="29"/>
        <v>5</v>
      </c>
      <c r="W157" s="7">
        <v>7208</v>
      </c>
      <c r="X157" s="7">
        <v>18536</v>
      </c>
      <c r="Y157" s="7">
        <v>8059</v>
      </c>
      <c r="Z157" s="7">
        <v>7675</v>
      </c>
      <c r="AA157" s="7">
        <v>7960</v>
      </c>
      <c r="AB157" s="13"/>
    </row>
    <row r="158" spans="10:28" ht="15.6" customHeight="1" x14ac:dyDescent="0.3">
      <c r="J158" s="2">
        <v>154</v>
      </c>
      <c r="K158" s="41" t="s">
        <v>29</v>
      </c>
      <c r="L158" s="41" t="s">
        <v>46</v>
      </c>
      <c r="M158" s="41" t="s">
        <v>30</v>
      </c>
      <c r="N158" s="41" t="s">
        <v>35</v>
      </c>
      <c r="O158" s="41" t="s">
        <v>35</v>
      </c>
      <c r="Q158" s="17">
        <f t="shared" si="25"/>
        <v>4</v>
      </c>
      <c r="R158" s="17">
        <f t="shared" si="26"/>
        <v>16</v>
      </c>
      <c r="S158" s="17">
        <f t="shared" si="27"/>
        <v>5</v>
      </c>
      <c r="T158" s="17">
        <f t="shared" si="28"/>
        <v>10</v>
      </c>
      <c r="U158" s="17">
        <f t="shared" si="29"/>
        <v>10</v>
      </c>
      <c r="W158" s="7">
        <v>2161</v>
      </c>
      <c r="X158" s="7">
        <v>8781</v>
      </c>
      <c r="Y158" s="7">
        <v>8059</v>
      </c>
      <c r="Z158" s="7">
        <v>23052</v>
      </c>
      <c r="AA158" s="7">
        <v>7960</v>
      </c>
      <c r="AB158" s="13"/>
    </row>
    <row r="159" spans="10:28" ht="15.6" customHeight="1" x14ac:dyDescent="0.3">
      <c r="J159" s="2">
        <v>155</v>
      </c>
      <c r="K159" s="41" t="s">
        <v>33</v>
      </c>
      <c r="L159" s="41" t="s">
        <v>31</v>
      </c>
      <c r="M159" s="41" t="s">
        <v>35</v>
      </c>
      <c r="N159" s="41" t="s">
        <v>36</v>
      </c>
      <c r="O159" s="41" t="s">
        <v>29</v>
      </c>
      <c r="Q159" s="17">
        <f t="shared" si="25"/>
        <v>8</v>
      </c>
      <c r="R159" s="17">
        <f t="shared" si="26"/>
        <v>6</v>
      </c>
      <c r="S159" s="17">
        <f t="shared" si="27"/>
        <v>10</v>
      </c>
      <c r="T159" s="17">
        <f t="shared" si="28"/>
        <v>11</v>
      </c>
      <c r="U159" s="17">
        <f t="shared" si="29"/>
        <v>4</v>
      </c>
      <c r="W159" s="7">
        <v>6774</v>
      </c>
      <c r="X159" s="7">
        <v>9400</v>
      </c>
      <c r="Y159" s="7">
        <v>8059</v>
      </c>
      <c r="Z159" s="7">
        <v>19644</v>
      </c>
      <c r="AA159" s="7">
        <v>2009</v>
      </c>
      <c r="AB159" s="13"/>
    </row>
    <row r="160" spans="10:28" ht="15.6" customHeight="1" x14ac:dyDescent="0.3">
      <c r="J160" s="2">
        <v>156</v>
      </c>
      <c r="K160" s="41" t="s">
        <v>35</v>
      </c>
      <c r="L160" s="41" t="s">
        <v>48</v>
      </c>
      <c r="M160" s="41" t="s">
        <v>48</v>
      </c>
      <c r="N160" s="41" t="s">
        <v>44</v>
      </c>
      <c r="O160" s="41" t="s">
        <v>32</v>
      </c>
      <c r="Q160" s="17">
        <f t="shared" si="25"/>
        <v>10</v>
      </c>
      <c r="R160" s="17">
        <f t="shared" si="26"/>
        <v>17</v>
      </c>
      <c r="S160" s="17">
        <f t="shared" si="27"/>
        <v>17</v>
      </c>
      <c r="T160" s="17">
        <f t="shared" si="28"/>
        <v>15</v>
      </c>
      <c r="U160" s="17">
        <f t="shared" si="29"/>
        <v>7</v>
      </c>
      <c r="W160" s="7">
        <v>17124</v>
      </c>
      <c r="X160" s="7">
        <v>9215</v>
      </c>
      <c r="Y160" s="7">
        <v>8147</v>
      </c>
      <c r="Z160" s="7">
        <v>21363</v>
      </c>
      <c r="AA160" s="7">
        <v>3609</v>
      </c>
      <c r="AB160" s="13"/>
    </row>
    <row r="161" spans="10:28" ht="15.6" customHeight="1" x14ac:dyDescent="0.3">
      <c r="J161" s="2">
        <v>157</v>
      </c>
      <c r="K161" s="41" t="s">
        <v>35</v>
      </c>
      <c r="L161" s="41" t="s">
        <v>38</v>
      </c>
      <c r="M161" s="41" t="s">
        <v>30</v>
      </c>
      <c r="N161" s="41" t="s">
        <v>46</v>
      </c>
      <c r="O161" s="41" t="s">
        <v>35</v>
      </c>
      <c r="Q161" s="17">
        <f t="shared" si="25"/>
        <v>10</v>
      </c>
      <c r="R161" s="17">
        <f t="shared" si="26"/>
        <v>12</v>
      </c>
      <c r="S161" s="17">
        <f t="shared" si="27"/>
        <v>5</v>
      </c>
      <c r="T161" s="17">
        <f t="shared" si="28"/>
        <v>16</v>
      </c>
      <c r="U161" s="17">
        <f t="shared" si="29"/>
        <v>10</v>
      </c>
      <c r="W161" s="7">
        <v>21216</v>
      </c>
      <c r="X161" s="7">
        <v>6918</v>
      </c>
      <c r="Y161" s="7">
        <v>8059</v>
      </c>
      <c r="Z161" s="7">
        <v>25666</v>
      </c>
      <c r="AA161" s="7">
        <v>2884</v>
      </c>
      <c r="AB161" s="13"/>
    </row>
    <row r="162" spans="10:28" ht="15.6" customHeight="1" x14ac:dyDescent="0.3">
      <c r="J162" s="2">
        <v>158</v>
      </c>
      <c r="K162" s="41" t="s">
        <v>34</v>
      </c>
      <c r="L162" s="41" t="s">
        <v>40</v>
      </c>
      <c r="M162" s="41" t="s">
        <v>50</v>
      </c>
      <c r="N162" s="41" t="s">
        <v>48</v>
      </c>
      <c r="O162" s="41" t="s">
        <v>35</v>
      </c>
      <c r="Q162" s="17">
        <f t="shared" si="25"/>
        <v>9</v>
      </c>
      <c r="R162" s="17">
        <f t="shared" si="26"/>
        <v>13</v>
      </c>
      <c r="S162" s="17">
        <f t="shared" si="27"/>
        <v>18</v>
      </c>
      <c r="T162" s="17">
        <f t="shared" si="28"/>
        <v>17</v>
      </c>
      <c r="U162" s="17">
        <f t="shared" si="29"/>
        <v>10</v>
      </c>
      <c r="W162" s="7">
        <v>9738</v>
      </c>
      <c r="X162" s="7">
        <v>23022</v>
      </c>
      <c r="Y162" s="7">
        <v>8059</v>
      </c>
      <c r="Z162" s="7">
        <v>17248</v>
      </c>
      <c r="AA162" s="7">
        <v>3222</v>
      </c>
      <c r="AB162" s="13"/>
    </row>
    <row r="163" spans="10:28" ht="15.6" customHeight="1" x14ac:dyDescent="0.3">
      <c r="J163" s="2">
        <v>159</v>
      </c>
      <c r="K163" s="41" t="s">
        <v>32</v>
      </c>
      <c r="L163" s="41" t="s">
        <v>33</v>
      </c>
      <c r="M163" s="41" t="s">
        <v>30</v>
      </c>
      <c r="N163" s="41" t="s">
        <v>46</v>
      </c>
      <c r="O163" s="41" t="s">
        <v>35</v>
      </c>
      <c r="Q163" s="17">
        <f t="shared" si="25"/>
        <v>7</v>
      </c>
      <c r="R163" s="17">
        <f t="shared" si="26"/>
        <v>8</v>
      </c>
      <c r="S163" s="17">
        <f t="shared" si="27"/>
        <v>5</v>
      </c>
      <c r="T163" s="17">
        <f t="shared" si="28"/>
        <v>16</v>
      </c>
      <c r="U163" s="17">
        <f t="shared" si="29"/>
        <v>10</v>
      </c>
      <c r="W163" s="7">
        <v>2595</v>
      </c>
      <c r="X163" s="7">
        <v>49012</v>
      </c>
      <c r="Y163" s="7">
        <v>2016</v>
      </c>
      <c r="Z163" s="7">
        <v>7675</v>
      </c>
      <c r="AA163" s="7">
        <v>9314</v>
      </c>
      <c r="AB163" s="13"/>
    </row>
    <row r="164" spans="10:28" ht="15.6" customHeight="1" x14ac:dyDescent="0.3">
      <c r="J164" s="2">
        <v>160</v>
      </c>
      <c r="K164" s="41" t="s">
        <v>28</v>
      </c>
      <c r="L164" s="41" t="s">
        <v>29</v>
      </c>
      <c r="M164" s="41" t="s">
        <v>32</v>
      </c>
      <c r="N164" s="41" t="s">
        <v>35</v>
      </c>
      <c r="O164" s="41" t="s">
        <v>33</v>
      </c>
      <c r="Q164" s="17">
        <f t="shared" ref="Q164:Q195" si="30">IF(K164="","",VLOOKUP(K164,$A$4:$H$22,8,FALSE))</f>
        <v>3</v>
      </c>
      <c r="R164" s="17">
        <f t="shared" ref="R164:R195" si="31">IF(L164="","",VLOOKUP(L164,$A$4:$H$22,8,FALSE))</f>
        <v>4</v>
      </c>
      <c r="S164" s="17">
        <f t="shared" ref="S164:S195" si="32">IF(M164="","",VLOOKUP(M164,$A$4:$H$22,8,FALSE))</f>
        <v>7</v>
      </c>
      <c r="T164" s="17">
        <f t="shared" ref="T164:T195" si="33">IF(N164="","",VLOOKUP(N164,$A$4:$H$22,8,FALSE))</f>
        <v>10</v>
      </c>
      <c r="U164" s="17">
        <f t="shared" ref="U164:U195" si="34">IF(O164="","",VLOOKUP(O164,$A$4:$H$22,8,FALSE))</f>
        <v>8</v>
      </c>
      <c r="W164" s="7">
        <v>2595</v>
      </c>
      <c r="X164" s="7">
        <v>21709</v>
      </c>
      <c r="Y164" s="7">
        <v>2016</v>
      </c>
      <c r="Z164" s="7">
        <v>6395</v>
      </c>
      <c r="AA164" s="7">
        <v>9445</v>
      </c>
      <c r="AB164" s="13"/>
    </row>
    <row r="165" spans="10:28" ht="15.6" customHeight="1" x14ac:dyDescent="0.3">
      <c r="J165" s="2">
        <v>161</v>
      </c>
      <c r="K165" s="41" t="s">
        <v>34</v>
      </c>
      <c r="L165" s="41" t="s">
        <v>32</v>
      </c>
      <c r="M165" s="41" t="s">
        <v>38</v>
      </c>
      <c r="N165" s="41" t="s">
        <v>48</v>
      </c>
      <c r="O165" s="41" t="s">
        <v>28</v>
      </c>
      <c r="Q165" s="17">
        <f t="shared" si="30"/>
        <v>9</v>
      </c>
      <c r="R165" s="17">
        <f t="shared" si="31"/>
        <v>7</v>
      </c>
      <c r="S165" s="17">
        <f t="shared" si="32"/>
        <v>12</v>
      </c>
      <c r="T165" s="17">
        <f t="shared" si="33"/>
        <v>17</v>
      </c>
      <c r="U165" s="17">
        <f t="shared" si="34"/>
        <v>3</v>
      </c>
      <c r="W165" s="7">
        <v>8654</v>
      </c>
      <c r="X165" s="7">
        <v>24357</v>
      </c>
      <c r="Y165" s="7">
        <v>2016</v>
      </c>
      <c r="Z165" s="7">
        <v>1920</v>
      </c>
      <c r="AA165" s="7">
        <v>27901</v>
      </c>
      <c r="AB165" s="13"/>
    </row>
    <row r="166" spans="10:28" ht="15.6" customHeight="1" x14ac:dyDescent="0.3">
      <c r="J166" s="2">
        <v>162</v>
      </c>
      <c r="K166" s="41" t="s">
        <v>34</v>
      </c>
      <c r="L166" s="41" t="s">
        <v>31</v>
      </c>
      <c r="M166" s="41" t="s">
        <v>29</v>
      </c>
      <c r="N166" s="41" t="s">
        <v>42</v>
      </c>
      <c r="O166" s="41" t="s">
        <v>35</v>
      </c>
      <c r="Q166" s="17">
        <f t="shared" si="30"/>
        <v>9</v>
      </c>
      <c r="R166" s="17">
        <f t="shared" si="31"/>
        <v>6</v>
      </c>
      <c r="S166" s="17">
        <f t="shared" si="32"/>
        <v>4</v>
      </c>
      <c r="T166" s="17">
        <f t="shared" si="33"/>
        <v>14</v>
      </c>
      <c r="U166" s="17">
        <f t="shared" si="34"/>
        <v>10</v>
      </c>
      <c r="W166" s="7">
        <v>26461</v>
      </c>
      <c r="X166" s="7">
        <v>21212</v>
      </c>
      <c r="Y166" s="7">
        <v>2016</v>
      </c>
      <c r="Z166" s="7">
        <v>1920</v>
      </c>
      <c r="AA166" s="7">
        <v>2852</v>
      </c>
      <c r="AB166" s="13"/>
    </row>
    <row r="167" spans="10:28" ht="15.6" customHeight="1" x14ac:dyDescent="0.3">
      <c r="J167" s="2">
        <v>163</v>
      </c>
      <c r="K167" s="41" t="s">
        <v>30</v>
      </c>
      <c r="L167" s="41" t="s">
        <v>34</v>
      </c>
      <c r="M167" s="41" t="s">
        <v>29</v>
      </c>
      <c r="N167" s="41" t="s">
        <v>40</v>
      </c>
      <c r="O167" s="41" t="s">
        <v>31</v>
      </c>
      <c r="Q167" s="17">
        <f t="shared" si="30"/>
        <v>5</v>
      </c>
      <c r="R167" s="17">
        <f t="shared" si="31"/>
        <v>9</v>
      </c>
      <c r="S167" s="17">
        <f t="shared" si="32"/>
        <v>4</v>
      </c>
      <c r="T167" s="17">
        <f t="shared" si="33"/>
        <v>13</v>
      </c>
      <c r="U167" s="17">
        <f t="shared" si="34"/>
        <v>6</v>
      </c>
      <c r="W167" s="7">
        <v>7262</v>
      </c>
      <c r="X167" s="7">
        <v>7209</v>
      </c>
      <c r="Y167" s="7">
        <v>18872</v>
      </c>
      <c r="Z167" s="7">
        <v>2302</v>
      </c>
      <c r="AA167" s="7">
        <v>2390</v>
      </c>
      <c r="AB167" s="13"/>
    </row>
    <row r="168" spans="10:28" ht="15.6" customHeight="1" x14ac:dyDescent="0.3">
      <c r="J168" s="2">
        <v>164</v>
      </c>
      <c r="K168" s="41" t="s">
        <v>35</v>
      </c>
      <c r="L168" s="41" t="s">
        <v>33</v>
      </c>
      <c r="M168" s="41" t="s">
        <v>50</v>
      </c>
      <c r="N168" s="41" t="s">
        <v>30</v>
      </c>
      <c r="O168" s="41" t="s">
        <v>30</v>
      </c>
      <c r="Q168" s="17">
        <f t="shared" si="30"/>
        <v>10</v>
      </c>
      <c r="R168" s="17">
        <f t="shared" si="31"/>
        <v>8</v>
      </c>
      <c r="S168" s="17">
        <f t="shared" si="32"/>
        <v>18</v>
      </c>
      <c r="T168" s="17">
        <f t="shared" si="33"/>
        <v>5</v>
      </c>
      <c r="U168" s="17">
        <f t="shared" si="34"/>
        <v>5</v>
      </c>
      <c r="W168" s="7">
        <v>7721</v>
      </c>
      <c r="X168" s="7">
        <v>10820</v>
      </c>
      <c r="Y168" s="7">
        <v>24621</v>
      </c>
      <c r="Z168" s="7">
        <v>21864</v>
      </c>
      <c r="AA168" s="7">
        <v>2390</v>
      </c>
      <c r="AB168" s="13"/>
    </row>
    <row r="169" spans="10:28" ht="15.6" customHeight="1" x14ac:dyDescent="0.3">
      <c r="J169" s="2">
        <v>165</v>
      </c>
      <c r="K169" s="41" t="s">
        <v>29</v>
      </c>
      <c r="L169" s="41" t="s">
        <v>42</v>
      </c>
      <c r="M169" s="41" t="s">
        <v>29</v>
      </c>
      <c r="N169" s="41" t="s">
        <v>34</v>
      </c>
      <c r="O169" s="41" t="s">
        <v>30</v>
      </c>
      <c r="Q169" s="17">
        <f t="shared" si="30"/>
        <v>4</v>
      </c>
      <c r="R169" s="17">
        <f t="shared" si="31"/>
        <v>14</v>
      </c>
      <c r="S169" s="17">
        <f t="shared" si="32"/>
        <v>4</v>
      </c>
      <c r="T169" s="17">
        <f t="shared" si="33"/>
        <v>9</v>
      </c>
      <c r="U169" s="17">
        <f t="shared" si="34"/>
        <v>5</v>
      </c>
      <c r="W169" s="7">
        <v>7262</v>
      </c>
      <c r="X169" s="7">
        <v>11725</v>
      </c>
      <c r="Y169" s="7">
        <v>2417</v>
      </c>
      <c r="Z169" s="7">
        <v>20734</v>
      </c>
      <c r="AA169" s="7">
        <v>7960</v>
      </c>
      <c r="AB169" s="13"/>
    </row>
    <row r="170" spans="10:28" ht="15.6" customHeight="1" x14ac:dyDescent="0.3">
      <c r="J170" s="2">
        <v>166</v>
      </c>
      <c r="K170" s="41" t="s">
        <v>32</v>
      </c>
      <c r="L170" s="41" t="s">
        <v>30</v>
      </c>
      <c r="M170" s="41" t="s">
        <v>46</v>
      </c>
      <c r="N170" s="41" t="s">
        <v>42</v>
      </c>
      <c r="O170" s="41" t="s">
        <v>31</v>
      </c>
      <c r="Q170" s="17">
        <f t="shared" si="30"/>
        <v>7</v>
      </c>
      <c r="R170" s="17">
        <f t="shared" si="31"/>
        <v>5</v>
      </c>
      <c r="S170" s="17">
        <f t="shared" si="32"/>
        <v>16</v>
      </c>
      <c r="T170" s="17">
        <f t="shared" si="33"/>
        <v>14</v>
      </c>
      <c r="U170" s="17">
        <f t="shared" si="34"/>
        <v>6</v>
      </c>
      <c r="W170" s="7">
        <v>10271</v>
      </c>
      <c r="X170" s="7">
        <v>10158</v>
      </c>
      <c r="Y170" s="7">
        <v>2016</v>
      </c>
      <c r="Z170" s="7">
        <v>21192</v>
      </c>
      <c r="AA170" s="7">
        <v>6689</v>
      </c>
      <c r="AB170" s="13"/>
    </row>
    <row r="171" spans="10:28" ht="15.6" customHeight="1" x14ac:dyDescent="0.3">
      <c r="J171" s="2">
        <v>167</v>
      </c>
      <c r="K171" s="41" t="s">
        <v>34</v>
      </c>
      <c r="L171" s="41" t="s">
        <v>26</v>
      </c>
      <c r="M171" s="41" t="s">
        <v>28</v>
      </c>
      <c r="N171" s="41" t="s">
        <v>34</v>
      </c>
      <c r="O171" s="41" t="s">
        <v>33</v>
      </c>
      <c r="Q171" s="17">
        <f t="shared" si="30"/>
        <v>9</v>
      </c>
      <c r="R171" s="17">
        <f t="shared" si="31"/>
        <v>2</v>
      </c>
      <c r="S171" s="17">
        <f t="shared" si="32"/>
        <v>3</v>
      </c>
      <c r="T171" s="17">
        <f t="shared" si="33"/>
        <v>9</v>
      </c>
      <c r="U171" s="17">
        <f t="shared" si="34"/>
        <v>8</v>
      </c>
      <c r="W171" s="7">
        <v>8833</v>
      </c>
      <c r="X171" s="7">
        <v>7253</v>
      </c>
      <c r="Y171" s="7">
        <v>2016</v>
      </c>
      <c r="Z171" s="7">
        <v>17764</v>
      </c>
      <c r="AA171" s="7">
        <v>12025</v>
      </c>
      <c r="AB171" s="13"/>
    </row>
    <row r="172" spans="10:28" ht="15.6" customHeight="1" x14ac:dyDescent="0.3">
      <c r="J172" s="2">
        <v>168</v>
      </c>
      <c r="K172" s="41" t="s">
        <v>32</v>
      </c>
      <c r="L172" s="41" t="s">
        <v>30</v>
      </c>
      <c r="M172" s="41" t="s">
        <v>36</v>
      </c>
      <c r="N172" s="41" t="s">
        <v>34</v>
      </c>
      <c r="O172" s="41" t="s">
        <v>35</v>
      </c>
      <c r="Q172" s="17">
        <f t="shared" si="30"/>
        <v>7</v>
      </c>
      <c r="R172" s="17">
        <f t="shared" si="31"/>
        <v>5</v>
      </c>
      <c r="S172" s="17">
        <f t="shared" si="32"/>
        <v>11</v>
      </c>
      <c r="T172" s="17">
        <f t="shared" si="33"/>
        <v>9</v>
      </c>
      <c r="U172" s="17">
        <f t="shared" si="34"/>
        <v>10</v>
      </c>
      <c r="W172" s="7">
        <v>7208</v>
      </c>
      <c r="X172" s="7">
        <v>5653</v>
      </c>
      <c r="Y172" s="7">
        <v>2016</v>
      </c>
      <c r="Z172" s="7">
        <v>7691</v>
      </c>
      <c r="AA172" s="7">
        <v>66330</v>
      </c>
      <c r="AB172" s="13"/>
    </row>
    <row r="173" spans="10:28" ht="15.6" customHeight="1" x14ac:dyDescent="0.3">
      <c r="J173" s="2">
        <v>169</v>
      </c>
      <c r="K173" s="41" t="s">
        <v>29</v>
      </c>
      <c r="L173" s="41" t="s">
        <v>44</v>
      </c>
      <c r="M173" s="41" t="s">
        <v>28</v>
      </c>
      <c r="N173" s="41" t="s">
        <v>34</v>
      </c>
      <c r="O173" s="41" t="s">
        <v>34</v>
      </c>
      <c r="Q173" s="17">
        <f t="shared" si="30"/>
        <v>4</v>
      </c>
      <c r="R173" s="17">
        <f t="shared" si="31"/>
        <v>15</v>
      </c>
      <c r="S173" s="17">
        <f t="shared" si="32"/>
        <v>3</v>
      </c>
      <c r="T173" s="17">
        <f t="shared" si="33"/>
        <v>9</v>
      </c>
      <c r="U173" s="17">
        <f t="shared" si="34"/>
        <v>9</v>
      </c>
      <c r="W173" s="7">
        <v>7208</v>
      </c>
      <c r="X173" s="7">
        <v>1812</v>
      </c>
      <c r="Y173" s="7">
        <v>7330</v>
      </c>
      <c r="Z173" s="7">
        <v>8513</v>
      </c>
      <c r="AA173" s="7">
        <v>16596</v>
      </c>
      <c r="AB173" s="13"/>
    </row>
    <row r="174" spans="10:28" ht="15.6" customHeight="1" x14ac:dyDescent="0.3">
      <c r="J174" s="2">
        <v>170</v>
      </c>
      <c r="K174" s="41" t="s">
        <v>32</v>
      </c>
      <c r="L174" s="41" t="s">
        <v>44</v>
      </c>
      <c r="M174" s="41" t="s">
        <v>34</v>
      </c>
      <c r="N174" s="41" t="s">
        <v>38</v>
      </c>
      <c r="O174" s="41" t="s">
        <v>35</v>
      </c>
      <c r="Q174" s="17">
        <f t="shared" si="30"/>
        <v>7</v>
      </c>
      <c r="R174" s="17">
        <f t="shared" si="31"/>
        <v>15</v>
      </c>
      <c r="S174" s="17">
        <f t="shared" si="32"/>
        <v>9</v>
      </c>
      <c r="T174" s="17">
        <f t="shared" si="33"/>
        <v>12</v>
      </c>
      <c r="U174" s="17">
        <f t="shared" si="34"/>
        <v>10</v>
      </c>
      <c r="W174" s="7">
        <v>7208</v>
      </c>
      <c r="X174" s="7">
        <v>1962</v>
      </c>
      <c r="Y174" s="7">
        <v>14842</v>
      </c>
      <c r="Z174" s="7">
        <v>7675</v>
      </c>
      <c r="AA174" s="7">
        <v>25515</v>
      </c>
      <c r="AB174" s="13"/>
    </row>
    <row r="175" spans="10:28" ht="15.6" customHeight="1" x14ac:dyDescent="0.3">
      <c r="J175" s="2">
        <v>171</v>
      </c>
      <c r="K175" s="41" t="s">
        <v>29</v>
      </c>
      <c r="L175" s="41" t="s">
        <v>44</v>
      </c>
      <c r="M175" s="41" t="s">
        <v>48</v>
      </c>
      <c r="N175" s="41" t="s">
        <v>33</v>
      </c>
      <c r="O175" s="41" t="s">
        <v>33</v>
      </c>
      <c r="Q175" s="17">
        <f t="shared" si="30"/>
        <v>4</v>
      </c>
      <c r="R175" s="17">
        <f t="shared" si="31"/>
        <v>15</v>
      </c>
      <c r="S175" s="17">
        <f t="shared" si="32"/>
        <v>17</v>
      </c>
      <c r="T175" s="17">
        <f t="shared" si="33"/>
        <v>8</v>
      </c>
      <c r="U175" s="17">
        <f t="shared" si="34"/>
        <v>8</v>
      </c>
      <c r="W175" s="7">
        <v>7208</v>
      </c>
      <c r="X175" s="7">
        <v>15076</v>
      </c>
      <c r="Y175" s="7">
        <v>24154</v>
      </c>
      <c r="Z175" s="7">
        <v>7675</v>
      </c>
      <c r="AA175" s="7">
        <v>8701</v>
      </c>
      <c r="AB175" s="13"/>
    </row>
    <row r="176" spans="10:28" ht="15.6" customHeight="1" x14ac:dyDescent="0.3">
      <c r="J176" s="2">
        <v>172</v>
      </c>
      <c r="K176" s="41" t="s">
        <v>30</v>
      </c>
      <c r="L176" s="41" t="s">
        <v>30</v>
      </c>
      <c r="M176" s="41" t="s">
        <v>44</v>
      </c>
      <c r="N176" s="41" t="s">
        <v>34</v>
      </c>
      <c r="O176" s="41" t="s">
        <v>35</v>
      </c>
      <c r="Q176" s="17">
        <f t="shared" si="30"/>
        <v>5</v>
      </c>
      <c r="R176" s="17">
        <f t="shared" si="31"/>
        <v>5</v>
      </c>
      <c r="S176" s="17">
        <f t="shared" si="32"/>
        <v>15</v>
      </c>
      <c r="T176" s="17">
        <f t="shared" si="33"/>
        <v>9</v>
      </c>
      <c r="U176" s="17">
        <f t="shared" si="34"/>
        <v>10</v>
      </c>
      <c r="W176" s="7">
        <v>8722</v>
      </c>
      <c r="X176" s="7">
        <v>36549</v>
      </c>
      <c r="Y176" s="7">
        <v>7384</v>
      </c>
      <c r="Z176" s="7">
        <v>7675</v>
      </c>
      <c r="AA176" s="7">
        <v>6634</v>
      </c>
      <c r="AB176" s="13"/>
    </row>
    <row r="177" spans="10:28" ht="15.6" customHeight="1" x14ac:dyDescent="0.3">
      <c r="J177" s="2">
        <v>173</v>
      </c>
      <c r="K177" s="41" t="s">
        <v>33</v>
      </c>
      <c r="L177" s="41" t="s">
        <v>42</v>
      </c>
      <c r="M177" s="41" t="s">
        <v>34</v>
      </c>
      <c r="N177" s="41" t="s">
        <v>33</v>
      </c>
      <c r="O177" s="41" t="s">
        <v>28</v>
      </c>
      <c r="Q177" s="17">
        <f t="shared" si="30"/>
        <v>8</v>
      </c>
      <c r="R177" s="17">
        <f t="shared" si="31"/>
        <v>14</v>
      </c>
      <c r="S177" s="17">
        <f t="shared" si="32"/>
        <v>9</v>
      </c>
      <c r="T177" s="17">
        <f t="shared" si="33"/>
        <v>8</v>
      </c>
      <c r="U177" s="17">
        <f t="shared" si="34"/>
        <v>3</v>
      </c>
      <c r="W177" s="7">
        <v>29876</v>
      </c>
      <c r="X177" s="7">
        <v>29072</v>
      </c>
      <c r="Y177" s="7">
        <v>8415</v>
      </c>
      <c r="Z177" s="7">
        <v>7675</v>
      </c>
      <c r="AA177" s="7">
        <v>6634</v>
      </c>
      <c r="AB177" s="13"/>
    </row>
    <row r="178" spans="10:28" ht="15.6" customHeight="1" x14ac:dyDescent="0.3">
      <c r="J178" s="2">
        <v>174</v>
      </c>
      <c r="K178" s="41" t="s">
        <v>34</v>
      </c>
      <c r="L178" s="41" t="s">
        <v>44</v>
      </c>
      <c r="M178" s="41" t="s">
        <v>35</v>
      </c>
      <c r="N178" s="41" t="s">
        <v>28</v>
      </c>
      <c r="O178" s="41" t="s">
        <v>34</v>
      </c>
      <c r="Q178" s="17">
        <f t="shared" si="30"/>
        <v>9</v>
      </c>
      <c r="R178" s="17">
        <f t="shared" si="31"/>
        <v>15</v>
      </c>
      <c r="S178" s="17">
        <f t="shared" si="32"/>
        <v>10</v>
      </c>
      <c r="T178" s="17">
        <f t="shared" si="33"/>
        <v>3</v>
      </c>
      <c r="U178" s="17">
        <f t="shared" si="34"/>
        <v>9</v>
      </c>
      <c r="W178" s="7">
        <v>9440</v>
      </c>
      <c r="X178" s="7">
        <v>9965</v>
      </c>
      <c r="Y178" s="7">
        <v>8059</v>
      </c>
      <c r="Z178" s="7">
        <v>22953</v>
      </c>
      <c r="AA178" s="7">
        <v>1987</v>
      </c>
      <c r="AB178" s="13"/>
    </row>
    <row r="179" spans="10:28" ht="15.6" customHeight="1" x14ac:dyDescent="0.3">
      <c r="J179" s="2">
        <v>175</v>
      </c>
      <c r="K179" s="41" t="s">
        <v>33</v>
      </c>
      <c r="L179" s="41" t="s">
        <v>42</v>
      </c>
      <c r="M179" s="41" t="s">
        <v>40</v>
      </c>
      <c r="N179" s="41" t="s">
        <v>31</v>
      </c>
      <c r="O179" s="41" t="s">
        <v>29</v>
      </c>
      <c r="Q179" s="17">
        <f t="shared" si="30"/>
        <v>8</v>
      </c>
      <c r="R179" s="17">
        <f t="shared" si="31"/>
        <v>14</v>
      </c>
      <c r="S179" s="17">
        <f t="shared" si="32"/>
        <v>13</v>
      </c>
      <c r="T179" s="17">
        <f t="shared" si="33"/>
        <v>6</v>
      </c>
      <c r="U179" s="17">
        <f t="shared" si="34"/>
        <v>4</v>
      </c>
      <c r="W179" s="7">
        <v>8896</v>
      </c>
      <c r="X179" s="7">
        <v>6807</v>
      </c>
      <c r="Y179" s="7">
        <v>9015</v>
      </c>
      <c r="Z179" s="7">
        <v>8126</v>
      </c>
      <c r="AA179" s="7">
        <v>1987</v>
      </c>
      <c r="AB179" s="13"/>
    </row>
    <row r="180" spans="10:28" ht="15.6" customHeight="1" x14ac:dyDescent="0.3">
      <c r="J180" s="2">
        <v>176</v>
      </c>
      <c r="K180" s="41" t="s">
        <v>32</v>
      </c>
      <c r="L180" s="41" t="s">
        <v>38</v>
      </c>
      <c r="M180" s="41" t="s">
        <v>29</v>
      </c>
      <c r="N180" s="41" t="s">
        <v>50</v>
      </c>
      <c r="O180" s="41" t="s">
        <v>30</v>
      </c>
      <c r="Q180" s="17">
        <f t="shared" si="30"/>
        <v>7</v>
      </c>
      <c r="R180" s="17">
        <f t="shared" si="31"/>
        <v>12</v>
      </c>
      <c r="S180" s="17">
        <f t="shared" si="32"/>
        <v>4</v>
      </c>
      <c r="T180" s="17">
        <f t="shared" si="33"/>
        <v>18</v>
      </c>
      <c r="U180" s="17">
        <f t="shared" si="34"/>
        <v>5</v>
      </c>
      <c r="W180" s="7">
        <v>8649</v>
      </c>
      <c r="X180" s="7">
        <v>16631</v>
      </c>
      <c r="Y180" s="7">
        <v>24683</v>
      </c>
      <c r="Z180" s="7">
        <v>7675</v>
      </c>
      <c r="AA180" s="7">
        <v>2390</v>
      </c>
      <c r="AB180" s="13"/>
    </row>
    <row r="181" spans="10:28" ht="15.6" customHeight="1" x14ac:dyDescent="0.3">
      <c r="J181" s="2">
        <v>177</v>
      </c>
      <c r="K181" s="41" t="s">
        <v>30</v>
      </c>
      <c r="L181" s="41" t="s">
        <v>44</v>
      </c>
      <c r="M181" s="41" t="s">
        <v>36</v>
      </c>
      <c r="N181" s="41" t="s">
        <v>34</v>
      </c>
      <c r="O181" s="41" t="s">
        <v>30</v>
      </c>
      <c r="Q181" s="17">
        <f t="shared" si="30"/>
        <v>5</v>
      </c>
      <c r="R181" s="17">
        <f t="shared" si="31"/>
        <v>15</v>
      </c>
      <c r="S181" s="17">
        <f t="shared" si="32"/>
        <v>11</v>
      </c>
      <c r="T181" s="17">
        <f t="shared" si="33"/>
        <v>9</v>
      </c>
      <c r="U181" s="17">
        <f t="shared" si="34"/>
        <v>5</v>
      </c>
      <c r="W181" s="7">
        <v>2595</v>
      </c>
      <c r="X181" s="7">
        <v>15076</v>
      </c>
      <c r="Y181" s="7">
        <v>20045</v>
      </c>
      <c r="Z181" s="7">
        <v>8615</v>
      </c>
      <c r="AA181" s="7">
        <v>2390</v>
      </c>
      <c r="AB181" s="13"/>
    </row>
    <row r="182" spans="10:28" ht="15.6" customHeight="1" x14ac:dyDescent="0.3">
      <c r="J182" s="2">
        <v>178</v>
      </c>
      <c r="K182" s="41" t="s">
        <v>29</v>
      </c>
      <c r="L182" s="41" t="s">
        <v>35</v>
      </c>
      <c r="M182" s="41" t="s">
        <v>34</v>
      </c>
      <c r="N182" s="41" t="s">
        <v>36</v>
      </c>
      <c r="O182" s="41" t="s">
        <v>30</v>
      </c>
      <c r="Q182" s="17">
        <f t="shared" si="30"/>
        <v>4</v>
      </c>
      <c r="R182" s="17">
        <f t="shared" si="31"/>
        <v>10</v>
      </c>
      <c r="S182" s="17">
        <f t="shared" si="32"/>
        <v>9</v>
      </c>
      <c r="T182" s="17">
        <f t="shared" si="33"/>
        <v>11</v>
      </c>
      <c r="U182" s="17">
        <f t="shared" si="34"/>
        <v>5</v>
      </c>
      <c r="W182" s="7">
        <v>2161</v>
      </c>
      <c r="X182" s="7">
        <v>17103</v>
      </c>
      <c r="Y182" s="7">
        <v>3373</v>
      </c>
      <c r="Z182" s="7">
        <v>7675</v>
      </c>
      <c r="AA182" s="7">
        <v>11413</v>
      </c>
      <c r="AB182" s="13"/>
    </row>
    <row r="183" spans="10:28" ht="15.6" customHeight="1" x14ac:dyDescent="0.3">
      <c r="J183" s="2">
        <v>179</v>
      </c>
      <c r="K183" s="41" t="s">
        <v>31</v>
      </c>
      <c r="L183" s="41" t="s">
        <v>38</v>
      </c>
      <c r="M183" s="41" t="s">
        <v>32</v>
      </c>
      <c r="N183" s="41" t="s">
        <v>33</v>
      </c>
      <c r="O183" s="41" t="s">
        <v>26</v>
      </c>
      <c r="Q183" s="17">
        <f t="shared" si="30"/>
        <v>6</v>
      </c>
      <c r="R183" s="17">
        <f t="shared" si="31"/>
        <v>12</v>
      </c>
      <c r="S183" s="17">
        <f t="shared" si="32"/>
        <v>7</v>
      </c>
      <c r="T183" s="17">
        <f t="shared" si="33"/>
        <v>8</v>
      </c>
      <c r="U183" s="17">
        <f t="shared" si="34"/>
        <v>2</v>
      </c>
      <c r="W183" s="7">
        <v>5522</v>
      </c>
      <c r="X183" s="7">
        <v>6046</v>
      </c>
      <c r="Y183" s="7">
        <v>3551</v>
      </c>
      <c r="Z183" s="7">
        <v>7827</v>
      </c>
      <c r="AA183" s="7">
        <v>10483</v>
      </c>
      <c r="AB183" s="13"/>
    </row>
    <row r="184" spans="10:28" ht="15.6" customHeight="1" x14ac:dyDescent="0.3">
      <c r="J184" s="2">
        <v>180</v>
      </c>
      <c r="K184" s="41" t="s">
        <v>31</v>
      </c>
      <c r="L184" s="41" t="s">
        <v>36</v>
      </c>
      <c r="M184" s="41" t="s">
        <v>48</v>
      </c>
      <c r="N184" s="41" t="s">
        <v>48</v>
      </c>
      <c r="O184" s="41" t="s">
        <v>29</v>
      </c>
      <c r="Q184" s="17">
        <f t="shared" si="30"/>
        <v>6</v>
      </c>
      <c r="R184" s="17">
        <f t="shared" si="31"/>
        <v>11</v>
      </c>
      <c r="S184" s="17">
        <f t="shared" si="32"/>
        <v>17</v>
      </c>
      <c r="T184" s="17">
        <f t="shared" si="33"/>
        <v>17</v>
      </c>
      <c r="U184" s="17">
        <f t="shared" si="34"/>
        <v>4</v>
      </c>
      <c r="W184" s="7">
        <v>53823</v>
      </c>
      <c r="X184" s="7">
        <v>6536</v>
      </c>
      <c r="Y184" s="7">
        <v>4647</v>
      </c>
      <c r="Z184" s="7">
        <v>20508</v>
      </c>
      <c r="AA184" s="7">
        <v>6634</v>
      </c>
      <c r="AB184" s="13"/>
    </row>
    <row r="185" spans="10:28" ht="15.6" customHeight="1" x14ac:dyDescent="0.3">
      <c r="J185" s="2">
        <v>181</v>
      </c>
      <c r="K185" s="41" t="s">
        <v>35</v>
      </c>
      <c r="L185" s="41" t="s">
        <v>31</v>
      </c>
      <c r="M185" s="41" t="s">
        <v>34</v>
      </c>
      <c r="N185" s="41" t="s">
        <v>35</v>
      </c>
      <c r="O185" s="41" t="s">
        <v>34</v>
      </c>
      <c r="Q185" s="17">
        <f t="shared" si="30"/>
        <v>10</v>
      </c>
      <c r="R185" s="17">
        <f t="shared" si="31"/>
        <v>6</v>
      </c>
      <c r="S185" s="17">
        <f t="shared" si="32"/>
        <v>9</v>
      </c>
      <c r="T185" s="17">
        <f t="shared" si="33"/>
        <v>10</v>
      </c>
      <c r="U185" s="17">
        <f t="shared" si="34"/>
        <v>9</v>
      </c>
      <c r="W185" s="7">
        <v>5609</v>
      </c>
      <c r="X185" s="7">
        <v>5634</v>
      </c>
      <c r="Y185" s="7">
        <v>3793</v>
      </c>
      <c r="Z185" s="7">
        <v>9796</v>
      </c>
      <c r="AA185" s="7">
        <v>20037</v>
      </c>
      <c r="AB185" s="13"/>
    </row>
    <row r="186" spans="10:28" ht="15.6" customHeight="1" x14ac:dyDescent="0.3">
      <c r="J186" s="2">
        <v>182</v>
      </c>
      <c r="K186" s="41" t="s">
        <v>32</v>
      </c>
      <c r="L186" s="41" t="s">
        <v>40</v>
      </c>
      <c r="M186" s="41" t="s">
        <v>48</v>
      </c>
      <c r="N186" s="41" t="s">
        <v>30</v>
      </c>
      <c r="O186" s="41" t="s">
        <v>33</v>
      </c>
      <c r="Q186" s="17">
        <f t="shared" si="30"/>
        <v>7</v>
      </c>
      <c r="R186" s="17">
        <f t="shared" si="31"/>
        <v>13</v>
      </c>
      <c r="S186" s="17">
        <f t="shared" si="32"/>
        <v>17</v>
      </c>
      <c r="T186" s="17">
        <f t="shared" si="33"/>
        <v>5</v>
      </c>
      <c r="U186" s="17">
        <f t="shared" si="34"/>
        <v>8</v>
      </c>
      <c r="W186" s="7">
        <v>2161</v>
      </c>
      <c r="X186" s="7">
        <v>1812</v>
      </c>
      <c r="Y186" s="7">
        <v>8441</v>
      </c>
      <c r="Z186" s="7">
        <v>30346</v>
      </c>
      <c r="AA186" s="7">
        <v>7960</v>
      </c>
      <c r="AB186" s="13"/>
    </row>
    <row r="187" spans="10:28" ht="15.6" customHeight="1" x14ac:dyDescent="0.3">
      <c r="J187" s="2">
        <v>183</v>
      </c>
      <c r="K187" s="41" t="s">
        <v>35</v>
      </c>
      <c r="L187" s="41" t="s">
        <v>44</v>
      </c>
      <c r="M187" s="41" t="s">
        <v>48</v>
      </c>
      <c r="N187" s="41" t="s">
        <v>35</v>
      </c>
      <c r="O187" s="41" t="s">
        <v>35</v>
      </c>
      <c r="Q187" s="17">
        <f t="shared" si="30"/>
        <v>10</v>
      </c>
      <c r="R187" s="17">
        <f t="shared" si="31"/>
        <v>15</v>
      </c>
      <c r="S187" s="17">
        <f t="shared" si="32"/>
        <v>17</v>
      </c>
      <c r="T187" s="17">
        <f t="shared" si="33"/>
        <v>10</v>
      </c>
      <c r="U187" s="17">
        <f t="shared" si="34"/>
        <v>10</v>
      </c>
      <c r="W187" s="7">
        <v>2595</v>
      </c>
      <c r="X187" s="7">
        <v>1962</v>
      </c>
      <c r="Y187" s="7">
        <v>54607</v>
      </c>
      <c r="Z187" s="7">
        <v>59291</v>
      </c>
      <c r="AA187" s="7">
        <v>1987</v>
      </c>
      <c r="AB187" s="13"/>
    </row>
    <row r="188" spans="10:28" ht="15.6" customHeight="1" x14ac:dyDescent="0.3">
      <c r="J188" s="2">
        <v>184</v>
      </c>
      <c r="K188" s="41" t="s">
        <v>35</v>
      </c>
      <c r="L188" s="41" t="s">
        <v>29</v>
      </c>
      <c r="M188" s="41" t="s">
        <v>35</v>
      </c>
      <c r="N188" s="41" t="s">
        <v>31</v>
      </c>
      <c r="O188" s="41" t="s">
        <v>32</v>
      </c>
      <c r="Q188" s="17">
        <f t="shared" si="30"/>
        <v>10</v>
      </c>
      <c r="R188" s="17">
        <f t="shared" si="31"/>
        <v>4</v>
      </c>
      <c r="S188" s="17">
        <f t="shared" si="32"/>
        <v>10</v>
      </c>
      <c r="T188" s="17">
        <f t="shared" si="33"/>
        <v>6</v>
      </c>
      <c r="U188" s="17">
        <f t="shared" si="34"/>
        <v>7</v>
      </c>
      <c r="W188" s="7">
        <v>2595</v>
      </c>
      <c r="X188" s="7">
        <v>1693</v>
      </c>
      <c r="Y188" s="7">
        <v>9286</v>
      </c>
      <c r="Z188" s="7">
        <v>17268</v>
      </c>
      <c r="AA188" s="7">
        <v>1987</v>
      </c>
      <c r="AB188" s="13"/>
    </row>
    <row r="189" spans="10:28" ht="15.6" customHeight="1" x14ac:dyDescent="0.3">
      <c r="J189" s="2">
        <v>185</v>
      </c>
      <c r="K189" s="41" t="s">
        <v>31</v>
      </c>
      <c r="L189" s="41" t="s">
        <v>29</v>
      </c>
      <c r="M189" s="41" t="s">
        <v>34</v>
      </c>
      <c r="N189" s="41" t="s">
        <v>33</v>
      </c>
      <c r="O189" s="41" t="s">
        <v>30</v>
      </c>
      <c r="Q189" s="17">
        <f t="shared" si="30"/>
        <v>6</v>
      </c>
      <c r="R189" s="17">
        <f t="shared" si="31"/>
        <v>4</v>
      </c>
      <c r="S189" s="17">
        <f t="shared" si="32"/>
        <v>9</v>
      </c>
      <c r="T189" s="17">
        <f t="shared" si="33"/>
        <v>8</v>
      </c>
      <c r="U189" s="17">
        <f t="shared" si="34"/>
        <v>5</v>
      </c>
      <c r="W189" s="7">
        <v>2595</v>
      </c>
      <c r="X189" s="7">
        <v>1693</v>
      </c>
      <c r="Y189" s="7">
        <v>18285</v>
      </c>
      <c r="Z189" s="7">
        <v>5931</v>
      </c>
      <c r="AA189" s="7">
        <v>1987</v>
      </c>
      <c r="AB189" s="13"/>
    </row>
    <row r="190" spans="10:28" ht="15.6" customHeight="1" x14ac:dyDescent="0.3">
      <c r="J190" s="2">
        <v>186</v>
      </c>
      <c r="K190" s="41" t="s">
        <v>31</v>
      </c>
      <c r="L190" s="41" t="s">
        <v>29</v>
      </c>
      <c r="M190" s="41" t="s">
        <v>35</v>
      </c>
      <c r="N190" s="41" t="s">
        <v>42</v>
      </c>
      <c r="O190" s="41" t="s">
        <v>30</v>
      </c>
      <c r="Q190" s="17">
        <f t="shared" si="30"/>
        <v>6</v>
      </c>
      <c r="R190" s="17">
        <f t="shared" si="31"/>
        <v>4</v>
      </c>
      <c r="S190" s="17">
        <f t="shared" si="32"/>
        <v>10</v>
      </c>
      <c r="T190" s="17">
        <f t="shared" si="33"/>
        <v>14</v>
      </c>
      <c r="U190" s="17">
        <f t="shared" si="34"/>
        <v>5</v>
      </c>
      <c r="W190" s="7">
        <v>8649</v>
      </c>
      <c r="X190" s="7">
        <v>1641</v>
      </c>
      <c r="Y190" s="7">
        <v>15488</v>
      </c>
      <c r="Z190" s="7">
        <v>2302</v>
      </c>
      <c r="AA190" s="7">
        <v>3405</v>
      </c>
      <c r="AB190" s="13"/>
    </row>
    <row r="191" spans="10:28" ht="15.6" customHeight="1" x14ac:dyDescent="0.3">
      <c r="J191" s="2">
        <v>187</v>
      </c>
      <c r="K191" s="41" t="s">
        <v>32</v>
      </c>
      <c r="L191" s="41" t="s">
        <v>32</v>
      </c>
      <c r="M191" s="41" t="s">
        <v>34</v>
      </c>
      <c r="N191" s="41" t="s">
        <v>48</v>
      </c>
      <c r="O191" s="41" t="s">
        <v>32</v>
      </c>
      <c r="Q191" s="17">
        <f t="shared" si="30"/>
        <v>7</v>
      </c>
      <c r="R191" s="17">
        <f t="shared" si="31"/>
        <v>7</v>
      </c>
      <c r="S191" s="17">
        <f t="shared" si="32"/>
        <v>9</v>
      </c>
      <c r="T191" s="17">
        <f t="shared" si="33"/>
        <v>17</v>
      </c>
      <c r="U191" s="17">
        <f t="shared" si="34"/>
        <v>7</v>
      </c>
      <c r="W191" s="7">
        <v>7229</v>
      </c>
      <c r="X191" s="7">
        <v>1641</v>
      </c>
      <c r="Y191" s="7">
        <v>3793</v>
      </c>
      <c r="Z191" s="7">
        <v>2302</v>
      </c>
      <c r="AA191" s="7">
        <v>8599</v>
      </c>
      <c r="AB191" s="13"/>
    </row>
    <row r="192" spans="10:28" ht="15.6" customHeight="1" x14ac:dyDescent="0.3">
      <c r="J192" s="2">
        <v>188</v>
      </c>
      <c r="K192" s="41" t="s">
        <v>31</v>
      </c>
      <c r="L192" s="41" t="s">
        <v>44</v>
      </c>
      <c r="M192" s="41" t="s">
        <v>30</v>
      </c>
      <c r="N192" s="41" t="s">
        <v>34</v>
      </c>
      <c r="O192" s="41" t="s">
        <v>34</v>
      </c>
      <c r="Q192" s="17">
        <f t="shared" si="30"/>
        <v>6</v>
      </c>
      <c r="R192" s="17">
        <f t="shared" si="31"/>
        <v>15</v>
      </c>
      <c r="S192" s="17">
        <f t="shared" si="32"/>
        <v>5</v>
      </c>
      <c r="T192" s="17">
        <f t="shared" si="33"/>
        <v>9</v>
      </c>
      <c r="U192" s="17">
        <f t="shared" si="34"/>
        <v>9</v>
      </c>
      <c r="W192" s="7">
        <v>2171</v>
      </c>
      <c r="X192" s="7">
        <v>1693</v>
      </c>
      <c r="Y192" s="7">
        <v>8441</v>
      </c>
      <c r="Z192" s="7">
        <v>7675</v>
      </c>
      <c r="AA192" s="7">
        <v>11220</v>
      </c>
      <c r="AB192" s="13"/>
    </row>
    <row r="193" spans="10:28" ht="15.6" customHeight="1" x14ac:dyDescent="0.3">
      <c r="J193" s="2">
        <v>189</v>
      </c>
      <c r="K193" s="41" t="s">
        <v>32</v>
      </c>
      <c r="L193" s="41" t="s">
        <v>32</v>
      </c>
      <c r="M193" s="41" t="s">
        <v>31</v>
      </c>
      <c r="N193" s="41" t="s">
        <v>33</v>
      </c>
      <c r="O193" s="41" t="s">
        <v>34</v>
      </c>
      <c r="Q193" s="17">
        <f t="shared" si="30"/>
        <v>7</v>
      </c>
      <c r="R193" s="17">
        <f t="shared" si="31"/>
        <v>7</v>
      </c>
      <c r="S193" s="17">
        <f t="shared" si="32"/>
        <v>6</v>
      </c>
      <c r="T193" s="17">
        <f t="shared" si="33"/>
        <v>8</v>
      </c>
      <c r="U193" s="17">
        <f t="shared" si="34"/>
        <v>9</v>
      </c>
      <c r="W193" s="7">
        <v>2161</v>
      </c>
      <c r="X193" s="7">
        <v>1693</v>
      </c>
      <c r="Y193" s="7">
        <v>16475</v>
      </c>
      <c r="Z193" s="7">
        <v>6395</v>
      </c>
      <c r="AA193" s="7">
        <v>3308</v>
      </c>
      <c r="AB193" s="13"/>
    </row>
    <row r="194" spans="10:28" ht="15.6" customHeight="1" x14ac:dyDescent="0.3">
      <c r="J194" s="2">
        <v>190</v>
      </c>
      <c r="K194" s="41" t="s">
        <v>33</v>
      </c>
      <c r="L194" s="41" t="s">
        <v>44</v>
      </c>
      <c r="M194" s="41" t="s">
        <v>31</v>
      </c>
      <c r="N194" s="41" t="s">
        <v>35</v>
      </c>
      <c r="O194" s="41" t="s">
        <v>35</v>
      </c>
      <c r="Q194" s="17">
        <f t="shared" si="30"/>
        <v>8</v>
      </c>
      <c r="R194" s="17">
        <f t="shared" si="31"/>
        <v>15</v>
      </c>
      <c r="S194" s="17">
        <f t="shared" si="32"/>
        <v>6</v>
      </c>
      <c r="T194" s="17">
        <f t="shared" si="33"/>
        <v>10</v>
      </c>
      <c r="U194" s="17">
        <f t="shared" si="34"/>
        <v>10</v>
      </c>
      <c r="W194" s="7">
        <v>2595</v>
      </c>
      <c r="X194" s="7">
        <v>1693</v>
      </c>
      <c r="Y194" s="7">
        <v>72584</v>
      </c>
      <c r="Z194" s="7">
        <v>1920</v>
      </c>
      <c r="AA194" s="7">
        <v>3486</v>
      </c>
      <c r="AB194" s="13"/>
    </row>
    <row r="195" spans="10:28" ht="15.6" customHeight="1" x14ac:dyDescent="0.3">
      <c r="J195" s="2">
        <v>191</v>
      </c>
      <c r="K195" s="41" t="s">
        <v>33</v>
      </c>
      <c r="L195" s="41" t="s">
        <v>32</v>
      </c>
      <c r="M195" s="41" t="s">
        <v>35</v>
      </c>
      <c r="N195" s="41" t="s">
        <v>46</v>
      </c>
      <c r="O195" s="41" t="s">
        <v>35</v>
      </c>
      <c r="Q195" s="17">
        <f t="shared" si="30"/>
        <v>8</v>
      </c>
      <c r="R195" s="17">
        <f t="shared" si="31"/>
        <v>7</v>
      </c>
      <c r="S195" s="17">
        <f t="shared" si="32"/>
        <v>10</v>
      </c>
      <c r="T195" s="17">
        <f t="shared" si="33"/>
        <v>16</v>
      </c>
      <c r="U195" s="17">
        <f t="shared" si="34"/>
        <v>10</v>
      </c>
      <c r="W195" s="7">
        <v>2595</v>
      </c>
      <c r="X195" s="7">
        <v>1641</v>
      </c>
      <c r="Y195" s="7">
        <v>23494</v>
      </c>
      <c r="Z195" s="7">
        <v>1920</v>
      </c>
      <c r="AA195" s="7">
        <v>2390</v>
      </c>
      <c r="AB195" s="13"/>
    </row>
    <row r="196" spans="10:28" ht="15.6" customHeight="1" x14ac:dyDescent="0.3">
      <c r="J196" s="2">
        <v>192</v>
      </c>
      <c r="K196" s="41" t="s">
        <v>33</v>
      </c>
      <c r="L196" s="41" t="s">
        <v>29</v>
      </c>
      <c r="M196" s="41" t="s">
        <v>32</v>
      </c>
      <c r="N196" s="41" t="s">
        <v>30</v>
      </c>
      <c r="O196" s="41" t="s">
        <v>35</v>
      </c>
      <c r="Q196" s="17">
        <f t="shared" ref="Q196:Q203" si="35">IF(K196="","",VLOOKUP(K196,$A$4:$H$22,8,FALSE))</f>
        <v>8</v>
      </c>
      <c r="R196" s="17">
        <f t="shared" ref="R196:R203" si="36">IF(L196="","",VLOOKUP(L196,$A$4:$H$22,8,FALSE))</f>
        <v>4</v>
      </c>
      <c r="S196" s="17">
        <f t="shared" ref="S196:S203" si="37">IF(M196="","",VLOOKUP(M196,$A$4:$H$22,8,FALSE))</f>
        <v>7</v>
      </c>
      <c r="T196" s="17">
        <f t="shared" ref="T196:T203" si="38">IF(N196="","",VLOOKUP(N196,$A$4:$H$22,8,FALSE))</f>
        <v>5</v>
      </c>
      <c r="U196" s="17">
        <f t="shared" ref="U196:U203" si="39">IF(O196="","",VLOOKUP(O196,$A$4:$H$22,8,FALSE))</f>
        <v>10</v>
      </c>
      <c r="W196" s="7">
        <v>8649</v>
      </c>
      <c r="X196" s="7">
        <v>1641</v>
      </c>
      <c r="Y196" s="7">
        <v>7325</v>
      </c>
      <c r="Z196" s="7">
        <v>1920</v>
      </c>
      <c r="AA196" s="7">
        <v>6772</v>
      </c>
      <c r="AB196" s="13"/>
    </row>
    <row r="197" spans="10:28" ht="15.6" customHeight="1" x14ac:dyDescent="0.3">
      <c r="J197" s="2">
        <v>193</v>
      </c>
      <c r="K197" s="41" t="s">
        <v>29</v>
      </c>
      <c r="L197" s="41" t="s">
        <v>29</v>
      </c>
      <c r="M197" s="41" t="s">
        <v>31</v>
      </c>
      <c r="N197" s="41" t="s">
        <v>40</v>
      </c>
      <c r="O197" s="41" t="s">
        <v>28</v>
      </c>
      <c r="Q197" s="17">
        <f t="shared" si="35"/>
        <v>4</v>
      </c>
      <c r="R197" s="17">
        <f t="shared" si="36"/>
        <v>4</v>
      </c>
      <c r="S197" s="17">
        <f t="shared" si="37"/>
        <v>6</v>
      </c>
      <c r="T197" s="17">
        <f t="shared" si="38"/>
        <v>13</v>
      </c>
      <c r="U197" s="17">
        <f t="shared" si="39"/>
        <v>3</v>
      </c>
      <c r="W197" s="7">
        <v>8649</v>
      </c>
      <c r="X197" s="7">
        <v>1693</v>
      </c>
      <c r="Y197" s="7">
        <v>6336</v>
      </c>
      <c r="Z197" s="7">
        <v>6395</v>
      </c>
      <c r="AA197" s="7">
        <v>6634</v>
      </c>
      <c r="AB197" s="13"/>
    </row>
    <row r="198" spans="10:28" ht="15.6" customHeight="1" x14ac:dyDescent="0.3">
      <c r="J198" s="2">
        <v>194</v>
      </c>
      <c r="K198" s="41" t="s">
        <v>28</v>
      </c>
      <c r="L198" s="41" t="s">
        <v>29</v>
      </c>
      <c r="M198" s="41" t="s">
        <v>35</v>
      </c>
      <c r="N198" s="41" t="s">
        <v>33</v>
      </c>
      <c r="O198" s="41" t="s">
        <v>35</v>
      </c>
      <c r="Q198" s="17">
        <f t="shared" si="35"/>
        <v>3</v>
      </c>
      <c r="R198" s="17">
        <f t="shared" si="36"/>
        <v>4</v>
      </c>
      <c r="S198" s="17">
        <f t="shared" si="37"/>
        <v>10</v>
      </c>
      <c r="T198" s="17">
        <f t="shared" si="38"/>
        <v>8</v>
      </c>
      <c r="U198" s="17">
        <f t="shared" si="39"/>
        <v>10</v>
      </c>
      <c r="W198" s="7">
        <v>8679</v>
      </c>
      <c r="X198" s="7">
        <v>1693</v>
      </c>
      <c r="Y198" s="7">
        <v>5968</v>
      </c>
      <c r="Z198" s="7">
        <v>6395</v>
      </c>
      <c r="AA198" s="7">
        <v>6634</v>
      </c>
      <c r="AB198" s="13"/>
    </row>
    <row r="199" spans="10:28" ht="15.6" customHeight="1" x14ac:dyDescent="0.3">
      <c r="J199" s="2">
        <v>195</v>
      </c>
      <c r="K199" s="41" t="s">
        <v>35</v>
      </c>
      <c r="L199" s="41" t="s">
        <v>32</v>
      </c>
      <c r="M199" s="41" t="s">
        <v>35</v>
      </c>
      <c r="N199" s="41" t="s">
        <v>30</v>
      </c>
      <c r="O199" s="41" t="s">
        <v>30</v>
      </c>
      <c r="Q199" s="17">
        <f t="shared" si="35"/>
        <v>10</v>
      </c>
      <c r="R199" s="17">
        <f t="shared" si="36"/>
        <v>7</v>
      </c>
      <c r="S199" s="17">
        <f t="shared" si="37"/>
        <v>10</v>
      </c>
      <c r="T199" s="17">
        <f t="shared" si="38"/>
        <v>5</v>
      </c>
      <c r="U199" s="17">
        <f t="shared" si="39"/>
        <v>5</v>
      </c>
      <c r="W199" s="7">
        <v>25969</v>
      </c>
      <c r="X199" s="7">
        <v>6005</v>
      </c>
      <c r="Y199" s="7">
        <v>16382</v>
      </c>
      <c r="Z199" s="7">
        <v>6395</v>
      </c>
      <c r="AA199" s="7">
        <v>11348</v>
      </c>
      <c r="AB199" s="13"/>
    </row>
    <row r="200" spans="10:28" ht="15.6" customHeight="1" x14ac:dyDescent="0.3">
      <c r="J200" s="2">
        <v>196</v>
      </c>
      <c r="K200" s="41" t="s">
        <v>30</v>
      </c>
      <c r="L200" s="41" t="s">
        <v>44</v>
      </c>
      <c r="M200" s="41" t="s">
        <v>40</v>
      </c>
      <c r="N200" s="41" t="s">
        <v>33</v>
      </c>
      <c r="O200" s="41" t="s">
        <v>31</v>
      </c>
      <c r="Q200" s="17">
        <f t="shared" si="35"/>
        <v>5</v>
      </c>
      <c r="R200" s="17">
        <f t="shared" si="36"/>
        <v>15</v>
      </c>
      <c r="S200" s="17">
        <f t="shared" si="37"/>
        <v>13</v>
      </c>
      <c r="T200" s="17">
        <f t="shared" si="38"/>
        <v>8</v>
      </c>
      <c r="U200" s="17">
        <f t="shared" si="39"/>
        <v>6</v>
      </c>
      <c r="W200" s="7">
        <v>8649</v>
      </c>
      <c r="X200" s="7">
        <v>7045</v>
      </c>
      <c r="Y200" s="7">
        <v>2785</v>
      </c>
      <c r="Z200" s="7">
        <v>7675</v>
      </c>
      <c r="AA200" s="7">
        <v>28671</v>
      </c>
      <c r="AB200" s="13"/>
    </row>
    <row r="201" spans="10:28" ht="15.6" customHeight="1" x14ac:dyDescent="0.3">
      <c r="J201" s="2">
        <v>197</v>
      </c>
      <c r="K201" s="41" t="s">
        <v>28</v>
      </c>
      <c r="L201" s="41" t="s">
        <v>32</v>
      </c>
      <c r="M201" s="41" t="s">
        <v>34</v>
      </c>
      <c r="N201" s="41" t="s">
        <v>48</v>
      </c>
      <c r="O201" s="41" t="s">
        <v>34</v>
      </c>
      <c r="Q201" s="17">
        <f t="shared" si="35"/>
        <v>3</v>
      </c>
      <c r="R201" s="17">
        <f t="shared" si="36"/>
        <v>7</v>
      </c>
      <c r="S201" s="17">
        <f t="shared" si="37"/>
        <v>9</v>
      </c>
      <c r="T201" s="17">
        <f t="shared" si="38"/>
        <v>17</v>
      </c>
      <c r="U201" s="17">
        <f t="shared" si="39"/>
        <v>9</v>
      </c>
      <c r="W201" s="7">
        <v>22442</v>
      </c>
      <c r="X201" s="7">
        <v>2392</v>
      </c>
      <c r="Y201" s="7">
        <v>2016</v>
      </c>
      <c r="Z201" s="7">
        <v>6610</v>
      </c>
      <c r="AA201" s="7">
        <v>37395</v>
      </c>
      <c r="AB201" s="13"/>
    </row>
    <row r="202" spans="10:28" ht="15.6" customHeight="1" x14ac:dyDescent="0.3">
      <c r="J202" s="2">
        <v>198</v>
      </c>
      <c r="K202" s="41" t="s">
        <v>34</v>
      </c>
      <c r="L202" s="41" t="s">
        <v>32</v>
      </c>
      <c r="M202" s="41" t="s">
        <v>34</v>
      </c>
      <c r="N202" s="41" t="s">
        <v>33</v>
      </c>
      <c r="O202" s="41" t="s">
        <v>35</v>
      </c>
      <c r="Q202" s="17">
        <f t="shared" si="35"/>
        <v>9</v>
      </c>
      <c r="R202" s="17">
        <f t="shared" si="36"/>
        <v>7</v>
      </c>
      <c r="S202" s="17">
        <f t="shared" si="37"/>
        <v>9</v>
      </c>
      <c r="T202" s="17">
        <f t="shared" si="38"/>
        <v>8</v>
      </c>
      <c r="U202" s="17">
        <f t="shared" si="39"/>
        <v>10</v>
      </c>
      <c r="W202" s="7">
        <v>26617</v>
      </c>
      <c r="X202" s="7">
        <v>7667</v>
      </c>
      <c r="Y202" s="7">
        <v>6717</v>
      </c>
      <c r="Z202" s="7">
        <v>7268</v>
      </c>
      <c r="AA202" s="7">
        <v>11024</v>
      </c>
      <c r="AB202" s="13"/>
    </row>
    <row r="203" spans="10:28" ht="15.6" customHeight="1" x14ac:dyDescent="0.3">
      <c r="J203" s="2">
        <v>199</v>
      </c>
      <c r="K203" s="41" t="s">
        <v>30</v>
      </c>
      <c r="L203" s="41" t="s">
        <v>33</v>
      </c>
      <c r="M203" s="41" t="s">
        <v>30</v>
      </c>
      <c r="N203" s="41" t="s">
        <v>34</v>
      </c>
      <c r="O203" s="41" t="s">
        <v>34</v>
      </c>
      <c r="Q203" s="17">
        <f t="shared" si="35"/>
        <v>5</v>
      </c>
      <c r="R203" s="17">
        <f t="shared" si="36"/>
        <v>8</v>
      </c>
      <c r="S203" s="17">
        <f t="shared" si="37"/>
        <v>5</v>
      </c>
      <c r="T203" s="17">
        <f t="shared" si="38"/>
        <v>9</v>
      </c>
      <c r="U203" s="17">
        <f t="shared" si="39"/>
        <v>9</v>
      </c>
      <c r="W203" s="7">
        <v>8649</v>
      </c>
      <c r="X203" s="7">
        <v>6824</v>
      </c>
      <c r="Y203" s="7">
        <v>2086</v>
      </c>
      <c r="Z203" s="7">
        <v>20267</v>
      </c>
      <c r="AA203" s="7">
        <v>11627</v>
      </c>
      <c r="AB203" s="13"/>
    </row>
    <row r="204" spans="10:28" ht="15.6" customHeight="1" x14ac:dyDescent="0.3">
      <c r="AB204" s="13"/>
    </row>
    <row r="205" spans="10:28" ht="15.6" customHeight="1" x14ac:dyDescent="0.3">
      <c r="AB205" s="13"/>
    </row>
    <row r="206" spans="10:28" ht="15.6" customHeight="1" x14ac:dyDescent="0.3">
      <c r="AB206" s="13"/>
    </row>
    <row r="207" spans="10:28" ht="15.6" customHeight="1" x14ac:dyDescent="0.3">
      <c r="AB207" s="13"/>
    </row>
    <row r="208" spans="10:28" ht="15.6" customHeight="1" x14ac:dyDescent="0.3">
      <c r="AB208" s="13"/>
    </row>
    <row r="209" spans="28:28" ht="15.6" customHeight="1" x14ac:dyDescent="0.3">
      <c r="AB209" s="13"/>
    </row>
    <row r="210" spans="28:28" ht="15.6" customHeight="1" x14ac:dyDescent="0.3">
      <c r="AB210" s="13"/>
    </row>
    <row r="211" spans="28:28" ht="15.6" customHeight="1" x14ac:dyDescent="0.3">
      <c r="AB211" s="13"/>
    </row>
    <row r="212" spans="28:28" ht="15.6" customHeight="1" x14ac:dyDescent="0.3">
      <c r="AB212" s="13"/>
    </row>
    <row r="213" spans="28:28" ht="15.6" customHeight="1" x14ac:dyDescent="0.3">
      <c r="AB213" s="13"/>
    </row>
    <row r="214" spans="28:28" ht="15.6" customHeight="1" x14ac:dyDescent="0.3">
      <c r="AB214" s="13"/>
    </row>
    <row r="215" spans="28:28" ht="15.6" customHeight="1" x14ac:dyDescent="0.3">
      <c r="AB215" s="13"/>
    </row>
    <row r="216" spans="28:28" ht="15.6" customHeight="1" x14ac:dyDescent="0.3">
      <c r="AB216" s="13"/>
    </row>
    <row r="217" spans="28:28" ht="15.6" customHeight="1" x14ac:dyDescent="0.3">
      <c r="AB217" s="13"/>
    </row>
    <row r="218" spans="28:28" ht="15.6" customHeight="1" x14ac:dyDescent="0.3">
      <c r="AB218" s="13"/>
    </row>
    <row r="219" spans="28:28" ht="15.6" customHeight="1" x14ac:dyDescent="0.3">
      <c r="AB219" s="13"/>
    </row>
    <row r="220" spans="28:28" ht="15.6" customHeight="1" x14ac:dyDescent="0.3">
      <c r="AB220" s="13"/>
    </row>
    <row r="221" spans="28:28" ht="15.6" customHeight="1" x14ac:dyDescent="0.3">
      <c r="AB221" s="13"/>
    </row>
    <row r="222" spans="28:28" ht="15.6" customHeight="1" x14ac:dyDescent="0.3">
      <c r="AB222" s="13"/>
    </row>
    <row r="223" spans="28:28" ht="15.6" customHeight="1" x14ac:dyDescent="0.3">
      <c r="AB223" s="13"/>
    </row>
    <row r="224" spans="28:28" ht="15.6" customHeight="1" x14ac:dyDescent="0.3">
      <c r="AB224" s="13"/>
    </row>
    <row r="225" spans="28:28" ht="15.6" customHeight="1" x14ac:dyDescent="0.3">
      <c r="AB225" s="13"/>
    </row>
    <row r="226" spans="28:28" ht="15.6" customHeight="1" x14ac:dyDescent="0.3">
      <c r="AB226" s="13"/>
    </row>
    <row r="227" spans="28:28" ht="15.6" customHeight="1" x14ac:dyDescent="0.3">
      <c r="AB227" s="13"/>
    </row>
    <row r="228" spans="28:28" ht="15.6" customHeight="1" x14ac:dyDescent="0.3">
      <c r="AB228" s="13"/>
    </row>
    <row r="229" spans="28:28" ht="15.6" customHeight="1" x14ac:dyDescent="0.3">
      <c r="AB229" s="13"/>
    </row>
    <row r="230" spans="28:28" ht="15.6" customHeight="1" x14ac:dyDescent="0.3">
      <c r="AB230" s="13"/>
    </row>
    <row r="231" spans="28:28" ht="15.6" customHeight="1" x14ac:dyDescent="0.3">
      <c r="AB231" s="13"/>
    </row>
    <row r="232" spans="28:28" ht="15.6" customHeight="1" x14ac:dyDescent="0.3">
      <c r="AB232" s="13"/>
    </row>
    <row r="233" spans="28:28" ht="15.6" customHeight="1" x14ac:dyDescent="0.3">
      <c r="AB233" s="13"/>
    </row>
    <row r="234" spans="28:28" ht="15.6" customHeight="1" x14ac:dyDescent="0.3">
      <c r="AB234" s="13"/>
    </row>
    <row r="235" spans="28:28" ht="15.6" customHeight="1" x14ac:dyDescent="0.3">
      <c r="AB235" s="13"/>
    </row>
    <row r="236" spans="28:28" ht="15.6" customHeight="1" x14ac:dyDescent="0.3">
      <c r="AB236" s="13"/>
    </row>
    <row r="237" spans="28:28" ht="15.6" customHeight="1" x14ac:dyDescent="0.3">
      <c r="AB237" s="13"/>
    </row>
    <row r="238" spans="28:28" ht="15.6" customHeight="1" x14ac:dyDescent="0.3">
      <c r="AB238" s="13"/>
    </row>
    <row r="239" spans="28:28" ht="15.6" customHeight="1" x14ac:dyDescent="0.3">
      <c r="AB239" s="13"/>
    </row>
    <row r="240" spans="28:28" ht="15.6" customHeight="1" x14ac:dyDescent="0.3">
      <c r="AB240" s="13"/>
    </row>
    <row r="241" spans="28:28" ht="15.6" customHeight="1" x14ac:dyDescent="0.3">
      <c r="AB241" s="13"/>
    </row>
    <row r="242" spans="28:28" ht="15.6" customHeight="1" x14ac:dyDescent="0.3">
      <c r="AB242" s="13"/>
    </row>
    <row r="243" spans="28:28" ht="15.6" customHeight="1" x14ac:dyDescent="0.3">
      <c r="AB243" s="13"/>
    </row>
    <row r="244" spans="28:28" ht="15.6" customHeight="1" x14ac:dyDescent="0.3">
      <c r="AB244" s="13"/>
    </row>
    <row r="245" spans="28:28" ht="15.6" customHeight="1" x14ac:dyDescent="0.3">
      <c r="AB245" s="13"/>
    </row>
    <row r="246" spans="28:28" ht="15.6" customHeight="1" x14ac:dyDescent="0.3">
      <c r="AB246" s="13"/>
    </row>
    <row r="247" spans="28:28" ht="15.6" customHeight="1" x14ac:dyDescent="0.3">
      <c r="AB247" s="13"/>
    </row>
    <row r="248" spans="28:28" ht="15.6" customHeight="1" x14ac:dyDescent="0.3">
      <c r="AB248" s="13"/>
    </row>
    <row r="249" spans="28:28" ht="15.6" customHeight="1" x14ac:dyDescent="0.3">
      <c r="AB249" s="13"/>
    </row>
    <row r="250" spans="28:28" ht="15.6" customHeight="1" x14ac:dyDescent="0.3">
      <c r="AB250" s="13"/>
    </row>
    <row r="251" spans="28:28" ht="15.6" customHeight="1" x14ac:dyDescent="0.3">
      <c r="AB251" s="13"/>
    </row>
    <row r="252" spans="28:28" ht="15.6" customHeight="1" x14ac:dyDescent="0.3">
      <c r="AB252" s="13"/>
    </row>
    <row r="253" spans="28:28" ht="15.6" customHeight="1" x14ac:dyDescent="0.3">
      <c r="AB253" s="13"/>
    </row>
    <row r="254" spans="28:28" ht="15.6" customHeight="1" x14ac:dyDescent="0.3">
      <c r="AB254" s="13"/>
    </row>
    <row r="255" spans="28:28" ht="15.6" customHeight="1" x14ac:dyDescent="0.3">
      <c r="AB255" s="13"/>
    </row>
    <row r="256" spans="28:28" ht="15.6" customHeight="1" x14ac:dyDescent="0.3">
      <c r="AB256" s="13"/>
    </row>
    <row r="257" spans="28:28" ht="15.6" customHeight="1" x14ac:dyDescent="0.3">
      <c r="AB257" s="13"/>
    </row>
    <row r="258" spans="28:28" ht="15.6" customHeight="1" x14ac:dyDescent="0.3">
      <c r="AB258" s="13"/>
    </row>
    <row r="259" spans="28:28" ht="15.6" customHeight="1" x14ac:dyDescent="0.3">
      <c r="AB259" s="13"/>
    </row>
    <row r="260" spans="28:28" ht="15.6" customHeight="1" x14ac:dyDescent="0.3">
      <c r="AB260" s="13"/>
    </row>
    <row r="261" spans="28:28" ht="15.6" customHeight="1" x14ac:dyDescent="0.3">
      <c r="AB261" s="13"/>
    </row>
    <row r="262" spans="28:28" ht="15.6" customHeight="1" x14ac:dyDescent="0.3">
      <c r="AB262" s="13"/>
    </row>
    <row r="263" spans="28:28" ht="15.6" customHeight="1" x14ac:dyDescent="0.3">
      <c r="AB263" s="13"/>
    </row>
    <row r="264" spans="28:28" ht="15.6" customHeight="1" x14ac:dyDescent="0.3">
      <c r="AB264" s="13"/>
    </row>
    <row r="265" spans="28:28" ht="15.6" customHeight="1" x14ac:dyDescent="0.3">
      <c r="AB265" s="13"/>
    </row>
    <row r="266" spans="28:28" ht="15.6" customHeight="1" x14ac:dyDescent="0.3">
      <c r="AB266" s="13"/>
    </row>
    <row r="267" spans="28:28" ht="15.6" customHeight="1" x14ac:dyDescent="0.3">
      <c r="AB267" s="13"/>
    </row>
    <row r="268" spans="28:28" ht="15.6" customHeight="1" x14ac:dyDescent="0.3">
      <c r="AB268" s="13"/>
    </row>
    <row r="269" spans="28:28" ht="15.6" customHeight="1" x14ac:dyDescent="0.3">
      <c r="AB269" s="13"/>
    </row>
    <row r="270" spans="28:28" ht="15.6" customHeight="1" x14ac:dyDescent="0.3">
      <c r="AB270" s="13"/>
    </row>
    <row r="271" spans="28:28" ht="15.6" customHeight="1" x14ac:dyDescent="0.3">
      <c r="AB271" s="13"/>
    </row>
    <row r="272" spans="28:28" ht="15.6" customHeight="1" x14ac:dyDescent="0.3">
      <c r="AB272" s="13"/>
    </row>
    <row r="273" spans="28:28" ht="15.6" customHeight="1" x14ac:dyDescent="0.3">
      <c r="AB273" s="13"/>
    </row>
    <row r="274" spans="28:28" ht="15.6" customHeight="1" x14ac:dyDescent="0.3">
      <c r="AB274" s="13"/>
    </row>
    <row r="275" spans="28:28" ht="15.6" customHeight="1" x14ac:dyDescent="0.3">
      <c r="AB275" s="13"/>
    </row>
    <row r="276" spans="28:28" ht="15.6" customHeight="1" x14ac:dyDescent="0.3">
      <c r="AB276" s="13"/>
    </row>
    <row r="277" spans="28:28" ht="15.6" customHeight="1" x14ac:dyDescent="0.3">
      <c r="AB277" s="13"/>
    </row>
    <row r="278" spans="28:28" ht="15.6" customHeight="1" x14ac:dyDescent="0.3">
      <c r="AB278" s="13"/>
    </row>
    <row r="279" spans="28:28" ht="15.6" customHeight="1" x14ac:dyDescent="0.3">
      <c r="AB279" s="13"/>
    </row>
    <row r="280" spans="28:28" ht="15.6" customHeight="1" x14ac:dyDescent="0.3">
      <c r="AB280" s="13"/>
    </row>
    <row r="281" spans="28:28" ht="15.6" customHeight="1" x14ac:dyDescent="0.3">
      <c r="AB281" s="13"/>
    </row>
    <row r="282" spans="28:28" ht="15.6" customHeight="1" x14ac:dyDescent="0.3">
      <c r="AB282" s="13"/>
    </row>
    <row r="283" spans="28:28" ht="15.6" customHeight="1" x14ac:dyDescent="0.3">
      <c r="AB283" s="13"/>
    </row>
    <row r="284" spans="28:28" ht="15.6" customHeight="1" x14ac:dyDescent="0.3">
      <c r="AB284" s="13"/>
    </row>
    <row r="285" spans="28:28" ht="15.6" customHeight="1" x14ac:dyDescent="0.3">
      <c r="AB285" s="13"/>
    </row>
    <row r="286" spans="28:28" ht="15.6" customHeight="1" x14ac:dyDescent="0.3">
      <c r="AB286" s="13"/>
    </row>
    <row r="287" spans="28:28" ht="15.6" customHeight="1" x14ac:dyDescent="0.3">
      <c r="AB287" s="13"/>
    </row>
    <row r="288" spans="28:28" ht="15.6" customHeight="1" x14ac:dyDescent="0.3">
      <c r="AB288" s="13"/>
    </row>
    <row r="289" spans="28:28" ht="15.6" customHeight="1" x14ac:dyDescent="0.3">
      <c r="AB289" s="13"/>
    </row>
    <row r="290" spans="28:28" ht="15.6" customHeight="1" x14ac:dyDescent="0.3">
      <c r="AB290" s="13"/>
    </row>
    <row r="291" spans="28:28" ht="15.6" customHeight="1" x14ac:dyDescent="0.3">
      <c r="AB291" s="13"/>
    </row>
    <row r="292" spans="28:28" ht="15.6" customHeight="1" x14ac:dyDescent="0.3">
      <c r="AB292" s="13"/>
    </row>
    <row r="293" spans="28:28" ht="15.6" customHeight="1" x14ac:dyDescent="0.3">
      <c r="AB293" s="13"/>
    </row>
    <row r="294" spans="28:28" ht="15.6" customHeight="1" x14ac:dyDescent="0.3">
      <c r="AB294" s="13"/>
    </row>
    <row r="295" spans="28:28" ht="15.6" customHeight="1" x14ac:dyDescent="0.3">
      <c r="AB295" s="13"/>
    </row>
    <row r="296" spans="28:28" ht="15.6" customHeight="1" x14ac:dyDescent="0.3">
      <c r="AB296" s="13"/>
    </row>
    <row r="297" spans="28:28" ht="15.6" customHeight="1" x14ac:dyDescent="0.3">
      <c r="AB297" s="13"/>
    </row>
    <row r="298" spans="28:28" ht="15.6" customHeight="1" x14ac:dyDescent="0.3">
      <c r="AB298" s="13"/>
    </row>
    <row r="299" spans="28:28" ht="15.6" customHeight="1" x14ac:dyDescent="0.3">
      <c r="AB299" s="13"/>
    </row>
    <row r="300" spans="28:28" ht="15.6" customHeight="1" x14ac:dyDescent="0.3">
      <c r="AB300" s="13"/>
    </row>
    <row r="301" spans="28:28" ht="15.6" customHeight="1" x14ac:dyDescent="0.3">
      <c r="AB301" s="13"/>
    </row>
    <row r="302" spans="28:28" ht="15.6" customHeight="1" x14ac:dyDescent="0.3">
      <c r="AB302" s="13"/>
    </row>
    <row r="303" spans="28:28" ht="15.6" customHeight="1" x14ac:dyDescent="0.3">
      <c r="AB303" s="13"/>
    </row>
    <row r="304" spans="28:28" ht="15.6" customHeight="1" x14ac:dyDescent="0.3">
      <c r="AB304" s="13"/>
    </row>
    <row r="305" spans="28:28" ht="15.6" customHeight="1" x14ac:dyDescent="0.3">
      <c r="AB305" s="13"/>
    </row>
    <row r="306" spans="28:28" ht="15.6" customHeight="1" x14ac:dyDescent="0.3">
      <c r="AB306" s="13"/>
    </row>
    <row r="307" spans="28:28" ht="15.6" customHeight="1" x14ac:dyDescent="0.3">
      <c r="AB307" s="13"/>
    </row>
    <row r="308" spans="28:28" ht="15.6" customHeight="1" x14ac:dyDescent="0.3">
      <c r="AB308" s="13"/>
    </row>
    <row r="309" spans="28:28" ht="15.6" customHeight="1" x14ac:dyDescent="0.3">
      <c r="AB309" s="13"/>
    </row>
    <row r="310" spans="28:28" ht="15.6" customHeight="1" x14ac:dyDescent="0.3">
      <c r="AB310" s="13"/>
    </row>
    <row r="311" spans="28:28" ht="15.6" customHeight="1" x14ac:dyDescent="0.3">
      <c r="AB311" s="13"/>
    </row>
    <row r="312" spans="28:28" ht="15.6" customHeight="1" x14ac:dyDescent="0.3">
      <c r="AB312" s="13"/>
    </row>
    <row r="313" spans="28:28" ht="15.6" customHeight="1" x14ac:dyDescent="0.3">
      <c r="AB313" s="13"/>
    </row>
    <row r="314" spans="28:28" ht="15.6" customHeight="1" x14ac:dyDescent="0.3">
      <c r="AB314" s="13"/>
    </row>
    <row r="315" spans="28:28" ht="15.6" customHeight="1" x14ac:dyDescent="0.3">
      <c r="AB315" s="13"/>
    </row>
    <row r="316" spans="28:28" ht="15.6" customHeight="1" x14ac:dyDescent="0.3">
      <c r="AB316" s="13"/>
    </row>
    <row r="317" spans="28:28" ht="15.6" customHeight="1" x14ac:dyDescent="0.3">
      <c r="AB317" s="13"/>
    </row>
    <row r="318" spans="28:28" ht="15.6" customHeight="1" x14ac:dyDescent="0.3">
      <c r="AB318" s="13"/>
    </row>
    <row r="319" spans="28:28" ht="15.6" customHeight="1" x14ac:dyDescent="0.3">
      <c r="AB319" s="13"/>
    </row>
    <row r="320" spans="28:28" ht="15.6" customHeight="1" x14ac:dyDescent="0.3">
      <c r="AB320" s="13"/>
    </row>
    <row r="321" spans="28:28" ht="15.6" customHeight="1" x14ac:dyDescent="0.3">
      <c r="AB321" s="13"/>
    </row>
    <row r="322" spans="28:28" ht="15.6" customHeight="1" x14ac:dyDescent="0.3">
      <c r="AB322" s="13"/>
    </row>
    <row r="323" spans="28:28" ht="15.6" customHeight="1" x14ac:dyDescent="0.3">
      <c r="AB323" s="13"/>
    </row>
    <row r="324" spans="28:28" ht="15.6" customHeight="1" x14ac:dyDescent="0.3">
      <c r="AB324" s="13"/>
    </row>
    <row r="325" spans="28:28" ht="15.6" customHeight="1" x14ac:dyDescent="0.3">
      <c r="AB325" s="13"/>
    </row>
    <row r="326" spans="28:28" ht="15.6" customHeight="1" x14ac:dyDescent="0.3">
      <c r="AB326" s="13"/>
    </row>
    <row r="327" spans="28:28" ht="15.6" customHeight="1" x14ac:dyDescent="0.3">
      <c r="AB327" s="13"/>
    </row>
    <row r="328" spans="28:28" ht="15.6" customHeight="1" x14ac:dyDescent="0.3">
      <c r="AB328" s="13"/>
    </row>
    <row r="329" spans="28:28" ht="15.6" customHeight="1" x14ac:dyDescent="0.3">
      <c r="AB329" s="13"/>
    </row>
    <row r="330" spans="28:28" ht="15.6" customHeight="1" x14ac:dyDescent="0.3">
      <c r="AB330" s="13"/>
    </row>
    <row r="331" spans="28:28" ht="15.6" customHeight="1" x14ac:dyDescent="0.3">
      <c r="AB331" s="13"/>
    </row>
    <row r="332" spans="28:28" ht="15.6" customHeight="1" x14ac:dyDescent="0.3">
      <c r="AB332" s="13"/>
    </row>
    <row r="333" spans="28:28" ht="15.6" customHeight="1" x14ac:dyDescent="0.3">
      <c r="AB333" s="13"/>
    </row>
    <row r="334" spans="28:28" ht="15.6" customHeight="1" x14ac:dyDescent="0.3">
      <c r="AB334" s="13"/>
    </row>
    <row r="335" spans="28:28" ht="15.6" customHeight="1" x14ac:dyDescent="0.3">
      <c r="AB335" s="13"/>
    </row>
    <row r="336" spans="28:28" ht="15.6" customHeight="1" x14ac:dyDescent="0.3">
      <c r="AB336" s="13"/>
    </row>
    <row r="337" spans="28:28" ht="15.6" customHeight="1" x14ac:dyDescent="0.3">
      <c r="AB337" s="13"/>
    </row>
    <row r="338" spans="28:28" ht="15.6" customHeight="1" x14ac:dyDescent="0.3">
      <c r="AB338" s="13"/>
    </row>
    <row r="339" spans="28:28" ht="15.6" customHeight="1" x14ac:dyDescent="0.3">
      <c r="AB339" s="13"/>
    </row>
    <row r="340" spans="28:28" ht="15.6" customHeight="1" x14ac:dyDescent="0.3">
      <c r="AB340" s="13"/>
    </row>
    <row r="341" spans="28:28" ht="15.6" customHeight="1" x14ac:dyDescent="0.3">
      <c r="AB341" s="13"/>
    </row>
    <row r="342" spans="28:28" ht="15.6" customHeight="1" x14ac:dyDescent="0.3">
      <c r="AB342" s="13"/>
    </row>
    <row r="343" spans="28:28" ht="15.6" customHeight="1" x14ac:dyDescent="0.3">
      <c r="AB343" s="13"/>
    </row>
    <row r="344" spans="28:28" ht="15.6" customHeight="1" x14ac:dyDescent="0.3">
      <c r="AB344" s="13"/>
    </row>
    <row r="345" spans="28:28" ht="15.6" customHeight="1" x14ac:dyDescent="0.3">
      <c r="AB345" s="13"/>
    </row>
    <row r="346" spans="28:28" ht="15.6" customHeight="1" x14ac:dyDescent="0.3">
      <c r="AB346" s="13"/>
    </row>
    <row r="347" spans="28:28" ht="15.6" customHeight="1" x14ac:dyDescent="0.3">
      <c r="AB347" s="13"/>
    </row>
    <row r="348" spans="28:28" ht="15.6" customHeight="1" x14ac:dyDescent="0.3">
      <c r="AB348" s="13"/>
    </row>
    <row r="349" spans="28:28" ht="15.6" customHeight="1" x14ac:dyDescent="0.3">
      <c r="AB349" s="13"/>
    </row>
    <row r="350" spans="28:28" ht="15.6" customHeight="1" x14ac:dyDescent="0.3">
      <c r="AB350" s="13"/>
    </row>
    <row r="351" spans="28:28" ht="15.6" customHeight="1" x14ac:dyDescent="0.3">
      <c r="AB351" s="13"/>
    </row>
    <row r="352" spans="28:28" ht="15.6" customHeight="1" x14ac:dyDescent="0.3">
      <c r="AB352" s="13"/>
    </row>
    <row r="353" spans="28:28" ht="15.6" customHeight="1" x14ac:dyDescent="0.3">
      <c r="AB353" s="13"/>
    </row>
    <row r="354" spans="28:28" ht="15.6" customHeight="1" x14ac:dyDescent="0.3">
      <c r="AB354" s="13"/>
    </row>
    <row r="355" spans="28:28" ht="15.6" customHeight="1" x14ac:dyDescent="0.3">
      <c r="AB355" s="13"/>
    </row>
    <row r="356" spans="28:28" ht="15.6" customHeight="1" x14ac:dyDescent="0.3">
      <c r="AB356" s="13"/>
    </row>
    <row r="357" spans="28:28" ht="15.6" customHeight="1" x14ac:dyDescent="0.3">
      <c r="AB357" s="13"/>
    </row>
    <row r="358" spans="28:28" ht="15.6" customHeight="1" x14ac:dyDescent="0.3">
      <c r="AB358" s="13"/>
    </row>
    <row r="359" spans="28:28" ht="15.6" customHeight="1" x14ac:dyDescent="0.3">
      <c r="AB359" s="13"/>
    </row>
    <row r="360" spans="28:28" ht="15.6" customHeight="1" x14ac:dyDescent="0.3">
      <c r="AB360" s="13"/>
    </row>
    <row r="361" spans="28:28" ht="15.6" customHeight="1" x14ac:dyDescent="0.3">
      <c r="AB361" s="13"/>
    </row>
    <row r="362" spans="28:28" ht="15.6" customHeight="1" x14ac:dyDescent="0.3">
      <c r="AB362" s="13"/>
    </row>
    <row r="363" spans="28:28" ht="15.6" customHeight="1" x14ac:dyDescent="0.3">
      <c r="AB363" s="13"/>
    </row>
    <row r="364" spans="28:28" ht="15.6" customHeight="1" x14ac:dyDescent="0.3">
      <c r="AB364" s="13"/>
    </row>
    <row r="365" spans="28:28" ht="15.6" customHeight="1" x14ac:dyDescent="0.3">
      <c r="AB365" s="13"/>
    </row>
    <row r="366" spans="28:28" ht="15.6" customHeight="1" x14ac:dyDescent="0.3">
      <c r="AB366" s="13"/>
    </row>
    <row r="367" spans="28:28" ht="15.6" customHeight="1" x14ac:dyDescent="0.3">
      <c r="AB367" s="13"/>
    </row>
    <row r="368" spans="28:28" ht="15.6" customHeight="1" x14ac:dyDescent="0.3">
      <c r="AB368" s="13"/>
    </row>
    <row r="369" spans="28:28" ht="15.6" customHeight="1" x14ac:dyDescent="0.3">
      <c r="AB369" s="13"/>
    </row>
    <row r="370" spans="28:28" ht="15.6" customHeight="1" x14ac:dyDescent="0.3">
      <c r="AB370" s="13"/>
    </row>
    <row r="371" spans="28:28" ht="15.6" customHeight="1" x14ac:dyDescent="0.3">
      <c r="AB371" s="13"/>
    </row>
    <row r="372" spans="28:28" ht="15.6" customHeight="1" x14ac:dyDescent="0.3">
      <c r="AB372" s="13"/>
    </row>
    <row r="373" spans="28:28" ht="15.6" customHeight="1" x14ac:dyDescent="0.3">
      <c r="AB373" s="13"/>
    </row>
    <row r="374" spans="28:28" ht="15.6" customHeight="1" x14ac:dyDescent="0.3">
      <c r="AB374" s="13"/>
    </row>
    <row r="375" spans="28:28" ht="15.6" customHeight="1" x14ac:dyDescent="0.3">
      <c r="AB375" s="13"/>
    </row>
    <row r="376" spans="28:28" ht="15.6" customHeight="1" x14ac:dyDescent="0.3">
      <c r="AB376" s="13"/>
    </row>
    <row r="377" spans="28:28" ht="15.6" customHeight="1" x14ac:dyDescent="0.3">
      <c r="AB377" s="13"/>
    </row>
    <row r="378" spans="28:28" ht="15.6" customHeight="1" x14ac:dyDescent="0.3">
      <c r="AB378" s="13"/>
    </row>
    <row r="379" spans="28:28" ht="15.6" customHeight="1" x14ac:dyDescent="0.3">
      <c r="AB379" s="13"/>
    </row>
    <row r="380" spans="28:28" ht="15.6" customHeight="1" x14ac:dyDescent="0.3">
      <c r="AB380" s="13"/>
    </row>
    <row r="381" spans="28:28" ht="15.6" customHeight="1" x14ac:dyDescent="0.3">
      <c r="AB381" s="13"/>
    </row>
    <row r="382" spans="28:28" ht="15.6" customHeight="1" x14ac:dyDescent="0.3">
      <c r="AB382" s="13"/>
    </row>
    <row r="383" spans="28:28" ht="15.6" customHeight="1" x14ac:dyDescent="0.3">
      <c r="AB383" s="13"/>
    </row>
    <row r="384" spans="28:28" ht="15.6" customHeight="1" x14ac:dyDescent="0.3">
      <c r="AB384" s="13"/>
    </row>
    <row r="385" spans="28:28" ht="15.6" customHeight="1" x14ac:dyDescent="0.3">
      <c r="AB385" s="13"/>
    </row>
    <row r="386" spans="28:28" ht="15.6" customHeight="1" x14ac:dyDescent="0.3">
      <c r="AB386" s="13"/>
    </row>
    <row r="387" spans="28:28" ht="15.6" customHeight="1" x14ac:dyDescent="0.3">
      <c r="AB387" s="13"/>
    </row>
    <row r="388" spans="28:28" ht="15.6" customHeight="1" x14ac:dyDescent="0.3">
      <c r="AB388" s="13"/>
    </row>
    <row r="389" spans="28:28" ht="15.6" customHeight="1" x14ac:dyDescent="0.3">
      <c r="AB389" s="13"/>
    </row>
    <row r="390" spans="28:28" ht="15.6" customHeight="1" x14ac:dyDescent="0.3">
      <c r="AB390" s="13"/>
    </row>
    <row r="391" spans="28:28" ht="15.6" customHeight="1" x14ac:dyDescent="0.3">
      <c r="AB391" s="13"/>
    </row>
    <row r="392" spans="28:28" ht="15.6" customHeight="1" x14ac:dyDescent="0.3">
      <c r="AB392" s="13"/>
    </row>
    <row r="393" spans="28:28" ht="15.6" customHeight="1" x14ac:dyDescent="0.3">
      <c r="AB393" s="13"/>
    </row>
    <row r="394" spans="28:28" ht="15.6" customHeight="1" x14ac:dyDescent="0.3">
      <c r="AB394" s="13"/>
    </row>
    <row r="395" spans="28:28" ht="15.6" customHeight="1" x14ac:dyDescent="0.3">
      <c r="AB395" s="13"/>
    </row>
    <row r="396" spans="28:28" ht="15.6" customHeight="1" x14ac:dyDescent="0.3">
      <c r="AB396" s="13"/>
    </row>
    <row r="397" spans="28:28" ht="15.6" customHeight="1" x14ac:dyDescent="0.3">
      <c r="AB397" s="13"/>
    </row>
    <row r="398" spans="28:28" ht="15.6" customHeight="1" x14ac:dyDescent="0.3">
      <c r="AB398" s="13"/>
    </row>
    <row r="399" spans="28:28" ht="15.6" customHeight="1" x14ac:dyDescent="0.3">
      <c r="AB399" s="13"/>
    </row>
    <row r="400" spans="28:28" ht="15.6" customHeight="1" x14ac:dyDescent="0.3">
      <c r="AB400" s="13"/>
    </row>
    <row r="401" spans="28:28" ht="15.6" customHeight="1" x14ac:dyDescent="0.3">
      <c r="AB401" s="13"/>
    </row>
    <row r="402" spans="28:28" ht="15.6" customHeight="1" x14ac:dyDescent="0.3">
      <c r="AB402" s="13"/>
    </row>
    <row r="403" spans="28:28" ht="15.6" customHeight="1" x14ac:dyDescent="0.3">
      <c r="AB403" s="13"/>
    </row>
  </sheetData>
  <phoneticPr fontId="20" type="noConversion"/>
  <conditionalFormatting sqref="K1:O3 K198:O1048576">
    <cfRule type="cellIs" dxfId="43" priority="16" operator="equal">
      <formula>$A$10</formula>
    </cfRule>
    <cfRule type="cellIs" dxfId="42" priority="17" operator="equal">
      <formula>$A$9</formula>
    </cfRule>
    <cfRule type="cellIs" dxfId="41" priority="18" operator="equal">
      <formula>$A$8</formula>
    </cfRule>
    <cfRule type="cellIs" dxfId="40" priority="19" operator="equal">
      <formula>$A$7</formula>
    </cfRule>
    <cfRule type="cellIs" dxfId="39" priority="20" operator="equal">
      <formula>$A$6</formula>
    </cfRule>
    <cfRule type="cellIs" dxfId="38" priority="21" operator="equal">
      <formula>$A$5</formula>
    </cfRule>
    <cfRule type="cellIs" dxfId="37" priority="22" operator="equal">
      <formula>$A$4</formula>
    </cfRule>
  </conditionalFormatting>
  <conditionalFormatting sqref="K4:O197">
    <cfRule type="cellIs" dxfId="36" priority="9" operator="equal">
      <formula>$A$10</formula>
    </cfRule>
    <cfRule type="cellIs" dxfId="35" priority="10" operator="equal">
      <formula>$A$9</formula>
    </cfRule>
    <cfRule type="cellIs" dxfId="34" priority="11" operator="equal">
      <formula>$A$8</formula>
    </cfRule>
    <cfRule type="cellIs" dxfId="33" priority="12" operator="equal">
      <formula>$A$7</formula>
    </cfRule>
    <cfRule type="cellIs" dxfId="32" priority="13" operator="equal">
      <formula>$A$6</formula>
    </cfRule>
    <cfRule type="cellIs" dxfId="31" priority="14" operator="equal">
      <formula>$A$5</formula>
    </cfRule>
    <cfRule type="cellIs" dxfId="30" priority="15" operator="equal">
      <formula>$A$4</formula>
    </cfRule>
  </conditionalFormatting>
  <conditionalFormatting sqref="AA1">
    <cfRule type="cellIs" dxfId="29" priority="2" operator="equal">
      <formula>$A$10</formula>
    </cfRule>
    <cfRule type="cellIs" dxfId="28" priority="3" operator="equal">
      <formula>$A$9</formula>
    </cfRule>
    <cfRule type="cellIs" dxfId="27" priority="4" operator="equal">
      <formula>$A$8</formula>
    </cfRule>
    <cfRule type="cellIs" dxfId="26" priority="5" operator="equal">
      <formula>$A$7</formula>
    </cfRule>
    <cfRule type="cellIs" dxfId="25" priority="6" operator="equal">
      <formula>$A$6</formula>
    </cfRule>
    <cfRule type="cellIs" dxfId="24" priority="7" operator="equal">
      <formula>$A$5</formula>
    </cfRule>
    <cfRule type="cellIs" dxfId="23" priority="8" operator="equal">
      <formula>$A$4</formula>
    </cfRule>
  </conditionalFormatting>
  <conditionalFormatting sqref="W4:AA203">
    <cfRule type="expression" dxfId="22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K403"/>
  <sheetViews>
    <sheetView topLeftCell="L1" workbookViewId="0">
      <selection activeCell="AC16" sqref="AC16"/>
    </sheetView>
  </sheetViews>
  <sheetFormatPr defaultColWidth="9" defaultRowHeight="15.6" x14ac:dyDescent="0.3"/>
  <cols>
    <col min="1" max="1" width="10.21875" style="13" bestFit="1" customWidth="1"/>
    <col min="2" max="2" width="17.88671875" style="13" bestFit="1" customWidth="1"/>
    <col min="3" max="7" width="6.109375" style="13" bestFit="1" customWidth="1"/>
    <col min="8" max="8" width="4.6640625" style="13" bestFit="1" customWidth="1"/>
    <col min="9" max="9" width="4.33203125" style="13" customWidth="1"/>
    <col min="10" max="10" width="10.21875" style="13" bestFit="1" customWidth="1"/>
    <col min="11" max="15" width="4.6640625" style="13" bestFit="1" customWidth="1"/>
    <col min="16" max="16" width="4.33203125" style="13" customWidth="1"/>
    <col min="17" max="17" width="14.6640625" style="13" bestFit="1" customWidth="1"/>
    <col min="18" max="21" width="4.6640625" style="6" bestFit="1" customWidth="1"/>
    <col min="22" max="22" width="4.33203125" style="13" customWidth="1"/>
    <col min="23" max="23" width="21" style="13" bestFit="1" customWidth="1"/>
    <col min="24" max="27" width="8.88671875" style="6" bestFit="1" customWidth="1"/>
    <col min="28" max="28" width="9" style="11" customWidth="1"/>
    <col min="29" max="29" width="41" style="13" bestFit="1" customWidth="1"/>
    <col min="30" max="30" width="10.21875" style="13" bestFit="1" customWidth="1"/>
    <col min="31" max="31" width="9" style="13" customWidth="1"/>
    <col min="32" max="32" width="28.5546875" style="6" bestFit="1" customWidth="1"/>
    <col min="33" max="37" width="10.21875" style="13" bestFit="1" customWidth="1"/>
    <col min="38" max="49" width="9" style="13" customWidth="1"/>
    <col min="50" max="16384" width="9" style="13"/>
  </cols>
  <sheetData>
    <row r="1" spans="1:37" ht="15.6" customHeight="1" x14ac:dyDescent="0.3"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3"/>
    </row>
    <row r="2" spans="1:37" ht="15.9" customHeight="1" x14ac:dyDescent="0.3">
      <c r="I2" s="4"/>
      <c r="J2" s="16" t="s">
        <v>19</v>
      </c>
      <c r="K2" s="16"/>
      <c r="L2" s="16"/>
      <c r="M2" s="16"/>
      <c r="N2" s="16"/>
      <c r="O2" s="16"/>
      <c r="P2" s="16"/>
      <c r="Q2" s="16" t="s">
        <v>68</v>
      </c>
      <c r="R2" s="46"/>
      <c r="S2" s="46"/>
      <c r="T2" s="46"/>
      <c r="U2" s="46"/>
      <c r="V2" s="16"/>
      <c r="W2" s="16" t="s">
        <v>69</v>
      </c>
      <c r="X2" s="46"/>
      <c r="AB2" s="13"/>
      <c r="AC2" s="16" t="s">
        <v>70</v>
      </c>
      <c r="AF2" s="6" t="s">
        <v>71</v>
      </c>
    </row>
    <row r="3" spans="1:37" ht="15.9" customHeight="1" x14ac:dyDescent="0.3">
      <c r="A3" s="5" t="s">
        <v>19</v>
      </c>
      <c r="B3" s="5" t="s">
        <v>20</v>
      </c>
      <c r="C3" s="5" t="s">
        <v>72</v>
      </c>
      <c r="D3" s="5" t="s">
        <v>73</v>
      </c>
      <c r="E3" s="5" t="s">
        <v>74</v>
      </c>
      <c r="F3" s="5" t="s">
        <v>75</v>
      </c>
      <c r="G3" s="5" t="s">
        <v>76</v>
      </c>
      <c r="H3" s="5" t="s">
        <v>77</v>
      </c>
      <c r="I3" s="4"/>
      <c r="J3" s="5" t="s">
        <v>78</v>
      </c>
      <c r="K3" s="5" t="s">
        <v>72</v>
      </c>
      <c r="L3" s="5" t="s">
        <v>73</v>
      </c>
      <c r="M3" s="5" t="s">
        <v>74</v>
      </c>
      <c r="N3" s="5" t="s">
        <v>75</v>
      </c>
      <c r="O3" s="5" t="s">
        <v>76</v>
      </c>
      <c r="Q3" s="5" t="s">
        <v>72</v>
      </c>
      <c r="R3" s="5" t="s">
        <v>73</v>
      </c>
      <c r="S3" s="5" t="s">
        <v>74</v>
      </c>
      <c r="T3" s="5" t="s">
        <v>75</v>
      </c>
      <c r="U3" s="5" t="s">
        <v>76</v>
      </c>
      <c r="W3" s="5" t="s">
        <v>72</v>
      </c>
      <c r="X3" s="5" t="s">
        <v>73</v>
      </c>
      <c r="Y3" s="5" t="s">
        <v>74</v>
      </c>
      <c r="Z3" s="5" t="s">
        <v>75</v>
      </c>
      <c r="AA3" s="5" t="s">
        <v>76</v>
      </c>
      <c r="AB3" s="13"/>
      <c r="AC3" s="5" t="s">
        <v>79</v>
      </c>
      <c r="AD3" s="5" t="s">
        <v>54</v>
      </c>
      <c r="AF3" s="5" t="s">
        <v>19</v>
      </c>
      <c r="AG3" s="5" t="s">
        <v>72</v>
      </c>
      <c r="AH3" s="5" t="s">
        <v>73</v>
      </c>
      <c r="AI3" s="5" t="s">
        <v>74</v>
      </c>
      <c r="AJ3" s="5" t="s">
        <v>75</v>
      </c>
      <c r="AK3" s="5" t="s">
        <v>76</v>
      </c>
    </row>
    <row r="4" spans="1:37" ht="15.9" customHeight="1" x14ac:dyDescent="0.3">
      <c r="A4" s="9" t="str">
        <f t="array" ref="A4:A22">Overview!A30:A48</f>
        <v>WW</v>
      </c>
      <c r="B4" s="38" t="str">
        <f t="array" ref="B4:B22">Overview!B30:B48</f>
        <v>Wild</v>
      </c>
      <c r="C4" s="9">
        <f t="shared" ref="C4:C22" si="0">COUNTIF(K:K,$A4)</f>
        <v>0</v>
      </c>
      <c r="D4" s="9">
        <f t="shared" ref="D4:D22" si="1">COUNTIF(L:L,$A4)</f>
        <v>0</v>
      </c>
      <c r="E4" s="9">
        <f t="shared" ref="E4:E22" si="2">COUNTIF(M:M,$A4)</f>
        <v>0</v>
      </c>
      <c r="F4" s="9">
        <f t="shared" ref="F4:F22" si="3">COUNTIF(N:N,$A4)</f>
        <v>0</v>
      </c>
      <c r="G4" s="9">
        <f t="shared" ref="G4:G22" si="4">COUNTIF(O:O,$A4)</f>
        <v>0</v>
      </c>
      <c r="H4" s="38">
        <f t="array" ref="H4:H22">Overview!H30:H48</f>
        <v>0</v>
      </c>
      <c r="I4" s="52"/>
      <c r="J4" s="7">
        <v>0</v>
      </c>
      <c r="K4" s="41" t="s">
        <v>35</v>
      </c>
      <c r="L4" s="8" t="s">
        <v>29</v>
      </c>
      <c r="M4" s="8" t="s">
        <v>34</v>
      </c>
      <c r="N4" s="8" t="s">
        <v>48</v>
      </c>
      <c r="O4" s="8" t="s">
        <v>32</v>
      </c>
      <c r="Q4" s="17">
        <f t="shared" ref="Q4:Q35" si="5">IF(K4="","",VLOOKUP(K4,$A$4:$H$22,8,FALSE))</f>
        <v>10</v>
      </c>
      <c r="R4" s="17">
        <f t="shared" ref="R4:R35" si="6">IF(L4="","",VLOOKUP(L4,$A$4:$H$22,8,FALSE))</f>
        <v>4</v>
      </c>
      <c r="S4" s="17">
        <f t="shared" ref="S4:S35" si="7">IF(M4="","",VLOOKUP(M4,$A$4:$H$22,8,FALSE))</f>
        <v>9</v>
      </c>
      <c r="T4" s="17">
        <f t="shared" ref="T4:T35" si="8">IF(N4="","",VLOOKUP(N4,$A$4:$H$22,8,FALSE))</f>
        <v>17</v>
      </c>
      <c r="U4" s="17">
        <f t="shared" ref="U4:U35" si="9">IF(O4="","",VLOOKUP(O4,$A$4:$H$22,8,FALSE))</f>
        <v>7</v>
      </c>
      <c r="W4" s="7">
        <v>1846</v>
      </c>
      <c r="X4" s="7">
        <v>17151</v>
      </c>
      <c r="Y4" s="7">
        <v>4358</v>
      </c>
      <c r="Z4" s="7">
        <v>3072</v>
      </c>
      <c r="AA4" s="7">
        <v>15914</v>
      </c>
      <c r="AB4" s="13"/>
      <c r="AC4" s="38">
        <v>0</v>
      </c>
      <c r="AD4" s="10">
        <v>0</v>
      </c>
      <c r="AF4" s="9" t="str">
        <f t="array" ref="AF4:AF22">A4:A22</f>
        <v>WW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</row>
    <row r="5" spans="1:37" ht="15.9" customHeight="1" x14ac:dyDescent="0.3">
      <c r="A5" s="2" t="str">
        <v>W2</v>
      </c>
      <c r="B5" s="38" t="str">
        <v>Super Wild</v>
      </c>
      <c r="C5" s="9">
        <f t="shared" si="0"/>
        <v>0</v>
      </c>
      <c r="D5" s="9">
        <f t="shared" si="1"/>
        <v>0</v>
      </c>
      <c r="E5" s="9">
        <f t="shared" si="2"/>
        <v>0</v>
      </c>
      <c r="F5" s="9">
        <f t="shared" si="3"/>
        <v>0</v>
      </c>
      <c r="G5" s="9">
        <f t="shared" si="4"/>
        <v>0</v>
      </c>
      <c r="H5" s="38">
        <v>1</v>
      </c>
      <c r="I5" s="52"/>
      <c r="J5" s="2">
        <v>1</v>
      </c>
      <c r="K5" s="41" t="s">
        <v>30</v>
      </c>
      <c r="L5" s="41" t="s">
        <v>44</v>
      </c>
      <c r="M5" s="41" t="s">
        <v>30</v>
      </c>
      <c r="N5" s="41" t="s">
        <v>31</v>
      </c>
      <c r="O5" s="41" t="s">
        <v>33</v>
      </c>
      <c r="Q5" s="17">
        <f t="shared" si="5"/>
        <v>5</v>
      </c>
      <c r="R5" s="17">
        <f t="shared" si="6"/>
        <v>15</v>
      </c>
      <c r="S5" s="17">
        <f t="shared" si="7"/>
        <v>5</v>
      </c>
      <c r="T5" s="17">
        <f t="shared" si="8"/>
        <v>6</v>
      </c>
      <c r="U5" s="17">
        <f t="shared" si="9"/>
        <v>8</v>
      </c>
      <c r="W5" s="7">
        <v>1901</v>
      </c>
      <c r="X5" s="7">
        <v>16411</v>
      </c>
      <c r="Y5" s="7">
        <v>3160</v>
      </c>
      <c r="Z5" s="7">
        <v>2100</v>
      </c>
      <c r="AA5" s="7">
        <v>15802</v>
      </c>
      <c r="AB5" s="13"/>
      <c r="AC5" s="38">
        <v>2</v>
      </c>
      <c r="AD5" s="10">
        <v>1000</v>
      </c>
      <c r="AF5" s="2" t="str">
        <v>W2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</row>
    <row r="6" spans="1:37" ht="15.9" customHeight="1" x14ac:dyDescent="0.3">
      <c r="A6" s="2" t="str">
        <v>C1</v>
      </c>
      <c r="B6" s="38" t="str">
        <v>Scatter</v>
      </c>
      <c r="C6" s="9">
        <f t="shared" si="0"/>
        <v>2</v>
      </c>
      <c r="D6" s="9">
        <f t="shared" si="1"/>
        <v>3</v>
      </c>
      <c r="E6" s="9">
        <f t="shared" si="2"/>
        <v>2</v>
      </c>
      <c r="F6" s="9">
        <f t="shared" si="3"/>
        <v>3</v>
      </c>
      <c r="G6" s="9">
        <f t="shared" si="4"/>
        <v>3</v>
      </c>
      <c r="H6" s="38">
        <v>2</v>
      </c>
      <c r="I6" s="52"/>
      <c r="J6" s="2">
        <v>2</v>
      </c>
      <c r="K6" s="41" t="s">
        <v>33</v>
      </c>
      <c r="L6" s="41" t="s">
        <v>29</v>
      </c>
      <c r="M6" s="41" t="s">
        <v>30</v>
      </c>
      <c r="N6" s="41" t="s">
        <v>31</v>
      </c>
      <c r="O6" s="41" t="s">
        <v>29</v>
      </c>
      <c r="Q6" s="17">
        <f t="shared" si="5"/>
        <v>8</v>
      </c>
      <c r="R6" s="17">
        <f t="shared" si="6"/>
        <v>4</v>
      </c>
      <c r="S6" s="17">
        <f t="shared" si="7"/>
        <v>5</v>
      </c>
      <c r="T6" s="17">
        <f t="shared" si="8"/>
        <v>6</v>
      </c>
      <c r="U6" s="17">
        <f t="shared" si="9"/>
        <v>4</v>
      </c>
      <c r="W6" s="7">
        <v>1861</v>
      </c>
      <c r="X6" s="7">
        <v>15855</v>
      </c>
      <c r="Y6" s="7">
        <v>15528</v>
      </c>
      <c r="Z6" s="7">
        <v>14282</v>
      </c>
      <c r="AA6" s="7">
        <v>13430</v>
      </c>
      <c r="AB6" s="13"/>
      <c r="AC6" s="38">
        <v>3</v>
      </c>
      <c r="AD6" s="10">
        <v>0</v>
      </c>
      <c r="AF6" s="2" t="str">
        <v>C1</v>
      </c>
      <c r="AG6" s="9">
        <v>7756</v>
      </c>
      <c r="AH6" s="9">
        <v>8222</v>
      </c>
      <c r="AI6" s="9">
        <v>10372</v>
      </c>
      <c r="AJ6" s="9">
        <v>8936</v>
      </c>
      <c r="AK6" s="9">
        <v>10577</v>
      </c>
    </row>
    <row r="7" spans="1:37" ht="15.9" customHeight="1" x14ac:dyDescent="0.3">
      <c r="A7" s="2" t="str">
        <v>M1</v>
      </c>
      <c r="B7" s="38" t="str">
        <v>M1</v>
      </c>
      <c r="C7" s="9">
        <f t="shared" si="0"/>
        <v>14</v>
      </c>
      <c r="D7" s="9">
        <f t="shared" si="1"/>
        <v>9</v>
      </c>
      <c r="E7" s="9">
        <f t="shared" si="2"/>
        <v>9</v>
      </c>
      <c r="F7" s="9">
        <f t="shared" si="3"/>
        <v>8</v>
      </c>
      <c r="G7" s="9">
        <f t="shared" si="4"/>
        <v>15</v>
      </c>
      <c r="H7" s="38">
        <v>3</v>
      </c>
      <c r="I7" s="52"/>
      <c r="J7" s="2">
        <v>3</v>
      </c>
      <c r="K7" s="41" t="s">
        <v>33</v>
      </c>
      <c r="L7" s="41" t="s">
        <v>31</v>
      </c>
      <c r="M7" s="41" t="s">
        <v>34</v>
      </c>
      <c r="N7" s="41" t="s">
        <v>34</v>
      </c>
      <c r="O7" s="41" t="s">
        <v>30</v>
      </c>
      <c r="Q7" s="17">
        <f t="shared" si="5"/>
        <v>8</v>
      </c>
      <c r="R7" s="17">
        <f t="shared" si="6"/>
        <v>6</v>
      </c>
      <c r="S7" s="17">
        <f t="shared" si="7"/>
        <v>9</v>
      </c>
      <c r="T7" s="17">
        <f t="shared" si="8"/>
        <v>9</v>
      </c>
      <c r="U7" s="17">
        <f t="shared" si="9"/>
        <v>5</v>
      </c>
      <c r="W7" s="7">
        <v>5928</v>
      </c>
      <c r="X7" s="7">
        <v>16164</v>
      </c>
      <c r="Y7" s="7">
        <v>15864</v>
      </c>
      <c r="Z7" s="7">
        <v>17263</v>
      </c>
      <c r="AA7" s="7">
        <v>15689</v>
      </c>
      <c r="AB7" s="13"/>
      <c r="AC7" s="38">
        <v>4</v>
      </c>
      <c r="AD7" s="10">
        <v>0</v>
      </c>
      <c r="AF7" s="2" t="str">
        <v>M1</v>
      </c>
      <c r="AG7" s="9">
        <v>49351</v>
      </c>
      <c r="AH7" s="9">
        <v>80351</v>
      </c>
      <c r="AI7" s="9">
        <v>44243</v>
      </c>
      <c r="AJ7" s="9">
        <v>89078</v>
      </c>
      <c r="AK7" s="9">
        <v>48353</v>
      </c>
    </row>
    <row r="8" spans="1:37" ht="15.9" customHeight="1" x14ac:dyDescent="0.3">
      <c r="A8" s="2" t="str">
        <v>M2</v>
      </c>
      <c r="B8" s="38" t="str">
        <v>M2</v>
      </c>
      <c r="C8" s="9">
        <f t="shared" si="0"/>
        <v>28</v>
      </c>
      <c r="D8" s="9">
        <f t="shared" si="1"/>
        <v>33</v>
      </c>
      <c r="E8" s="9">
        <f t="shared" si="2"/>
        <v>15</v>
      </c>
      <c r="F8" s="9">
        <f t="shared" si="3"/>
        <v>11</v>
      </c>
      <c r="G8" s="9">
        <f t="shared" si="4"/>
        <v>24</v>
      </c>
      <c r="H8" s="38">
        <v>4</v>
      </c>
      <c r="I8" s="52"/>
      <c r="J8" s="2">
        <v>4</v>
      </c>
      <c r="K8" s="41" t="s">
        <v>32</v>
      </c>
      <c r="L8" s="41" t="s">
        <v>34</v>
      </c>
      <c r="M8" s="41" t="s">
        <v>29</v>
      </c>
      <c r="N8" s="41" t="s">
        <v>32</v>
      </c>
      <c r="O8" s="41" t="s">
        <v>34</v>
      </c>
      <c r="Q8" s="17">
        <f t="shared" si="5"/>
        <v>7</v>
      </c>
      <c r="R8" s="17">
        <f t="shared" si="6"/>
        <v>9</v>
      </c>
      <c r="S8" s="17">
        <f t="shared" si="7"/>
        <v>4</v>
      </c>
      <c r="T8" s="17">
        <f t="shared" si="8"/>
        <v>7</v>
      </c>
      <c r="U8" s="17">
        <f t="shared" si="9"/>
        <v>9</v>
      </c>
      <c r="W8" s="7">
        <v>13935</v>
      </c>
      <c r="X8" s="7">
        <v>14293</v>
      </c>
      <c r="Y8" s="7">
        <v>17160</v>
      </c>
      <c r="Z8" s="7">
        <v>7612</v>
      </c>
      <c r="AA8" s="7">
        <v>13092</v>
      </c>
      <c r="AB8" s="13"/>
      <c r="AF8" s="2" t="str">
        <v>M2</v>
      </c>
      <c r="AG8" s="9">
        <v>99333</v>
      </c>
      <c r="AH8" s="9">
        <v>40003</v>
      </c>
      <c r="AI8" s="9">
        <v>86123</v>
      </c>
      <c r="AJ8" s="9">
        <v>45957</v>
      </c>
      <c r="AK8" s="9">
        <v>105470</v>
      </c>
    </row>
    <row r="9" spans="1:37" ht="15.9" customHeight="1" x14ac:dyDescent="0.3">
      <c r="A9" s="2" t="str">
        <v>M3</v>
      </c>
      <c r="B9" s="38" t="str">
        <v>M3</v>
      </c>
      <c r="C9" s="9">
        <f t="shared" si="0"/>
        <v>18</v>
      </c>
      <c r="D9" s="9">
        <f t="shared" si="1"/>
        <v>10</v>
      </c>
      <c r="E9" s="9">
        <f t="shared" si="2"/>
        <v>28</v>
      </c>
      <c r="F9" s="9">
        <f t="shared" si="3"/>
        <v>13</v>
      </c>
      <c r="G9" s="9">
        <f t="shared" si="4"/>
        <v>30</v>
      </c>
      <c r="H9" s="38">
        <v>5</v>
      </c>
      <c r="I9" s="52"/>
      <c r="J9" s="2">
        <v>5</v>
      </c>
      <c r="K9" s="41" t="s">
        <v>33</v>
      </c>
      <c r="L9" s="41" t="s">
        <v>32</v>
      </c>
      <c r="M9" s="41" t="s">
        <v>34</v>
      </c>
      <c r="N9" s="41" t="s">
        <v>31</v>
      </c>
      <c r="O9" s="41" t="s">
        <v>31</v>
      </c>
      <c r="Q9" s="17">
        <f t="shared" si="5"/>
        <v>8</v>
      </c>
      <c r="R9" s="17">
        <f t="shared" si="6"/>
        <v>7</v>
      </c>
      <c r="S9" s="17">
        <f t="shared" si="7"/>
        <v>9</v>
      </c>
      <c r="T9" s="17">
        <f t="shared" si="8"/>
        <v>6</v>
      </c>
      <c r="U9" s="17">
        <f t="shared" si="9"/>
        <v>6</v>
      </c>
      <c r="W9" s="7">
        <v>14296</v>
      </c>
      <c r="X9" s="7">
        <v>13778</v>
      </c>
      <c r="Y9" s="7">
        <v>17160</v>
      </c>
      <c r="Z9" s="7">
        <v>7720</v>
      </c>
      <c r="AA9" s="7">
        <v>17269</v>
      </c>
      <c r="AB9" s="13"/>
      <c r="AF9" s="2" t="str">
        <v>M3</v>
      </c>
      <c r="AG9" s="9">
        <v>100655</v>
      </c>
      <c r="AH9" s="9">
        <v>62180</v>
      </c>
      <c r="AI9" s="9">
        <v>64133</v>
      </c>
      <c r="AJ9" s="9">
        <v>65390</v>
      </c>
      <c r="AK9" s="9">
        <v>79480</v>
      </c>
    </row>
    <row r="10" spans="1:37" ht="15.9" customHeight="1" x14ac:dyDescent="0.3">
      <c r="A10" s="2" t="str">
        <v>M4</v>
      </c>
      <c r="B10" s="38" t="str">
        <v>M4</v>
      </c>
      <c r="C10" s="9">
        <f t="shared" si="0"/>
        <v>17</v>
      </c>
      <c r="D10" s="9">
        <f t="shared" si="1"/>
        <v>34</v>
      </c>
      <c r="E10" s="9">
        <f t="shared" si="2"/>
        <v>12</v>
      </c>
      <c r="F10" s="9">
        <f t="shared" si="3"/>
        <v>36</v>
      </c>
      <c r="G10" s="9">
        <f t="shared" si="4"/>
        <v>14</v>
      </c>
      <c r="H10" s="38">
        <v>6</v>
      </c>
      <c r="I10" s="52"/>
      <c r="J10" s="2">
        <v>6</v>
      </c>
      <c r="K10" s="41" t="s">
        <v>29</v>
      </c>
      <c r="L10" s="41" t="s">
        <v>33</v>
      </c>
      <c r="M10" s="41" t="s">
        <v>30</v>
      </c>
      <c r="N10" s="41" t="s">
        <v>34</v>
      </c>
      <c r="O10" s="41" t="s">
        <v>29</v>
      </c>
      <c r="Q10" s="17">
        <f t="shared" si="5"/>
        <v>4</v>
      </c>
      <c r="R10" s="17">
        <f t="shared" si="6"/>
        <v>8</v>
      </c>
      <c r="S10" s="17">
        <f t="shared" si="7"/>
        <v>5</v>
      </c>
      <c r="T10" s="17">
        <f t="shared" si="8"/>
        <v>9</v>
      </c>
      <c r="U10" s="17">
        <f t="shared" si="9"/>
        <v>4</v>
      </c>
      <c r="W10" s="7">
        <v>12374</v>
      </c>
      <c r="X10" s="7">
        <v>14293</v>
      </c>
      <c r="Y10" s="7">
        <v>19439</v>
      </c>
      <c r="Z10" s="7">
        <v>7185</v>
      </c>
      <c r="AA10" s="7">
        <v>14560</v>
      </c>
      <c r="AB10" s="13"/>
      <c r="AF10" s="2" t="str">
        <v>M4</v>
      </c>
      <c r="AG10" s="9">
        <v>98070</v>
      </c>
      <c r="AH10" s="9">
        <v>104601</v>
      </c>
      <c r="AI10" s="9">
        <v>65577</v>
      </c>
      <c r="AJ10" s="9">
        <v>112624</v>
      </c>
      <c r="AK10" s="9">
        <v>79480</v>
      </c>
    </row>
    <row r="11" spans="1:37" ht="15.9" customHeight="1" x14ac:dyDescent="0.3">
      <c r="A11" s="2" t="str">
        <v>A</v>
      </c>
      <c r="B11" s="38" t="str">
        <v>A</v>
      </c>
      <c r="C11" s="9">
        <f t="shared" si="0"/>
        <v>33</v>
      </c>
      <c r="D11" s="9">
        <f t="shared" si="1"/>
        <v>41</v>
      </c>
      <c r="E11" s="9">
        <f t="shared" si="2"/>
        <v>14</v>
      </c>
      <c r="F11" s="9">
        <f t="shared" si="3"/>
        <v>8</v>
      </c>
      <c r="G11" s="9">
        <f t="shared" si="4"/>
        <v>29</v>
      </c>
      <c r="H11" s="38">
        <v>7</v>
      </c>
      <c r="I11" s="52"/>
      <c r="J11" s="2">
        <v>7</v>
      </c>
      <c r="K11" s="41" t="s">
        <v>33</v>
      </c>
      <c r="L11" s="41" t="s">
        <v>31</v>
      </c>
      <c r="M11" s="41" t="s">
        <v>28</v>
      </c>
      <c r="N11" s="41" t="s">
        <v>34</v>
      </c>
      <c r="O11" s="41" t="s">
        <v>30</v>
      </c>
      <c r="Q11" s="17">
        <f t="shared" si="5"/>
        <v>8</v>
      </c>
      <c r="R11" s="17">
        <f t="shared" si="6"/>
        <v>6</v>
      </c>
      <c r="S11" s="17">
        <f t="shared" si="7"/>
        <v>3</v>
      </c>
      <c r="T11" s="17">
        <f t="shared" si="8"/>
        <v>9</v>
      </c>
      <c r="U11" s="17">
        <f t="shared" si="9"/>
        <v>5</v>
      </c>
      <c r="W11" s="7">
        <v>16339</v>
      </c>
      <c r="X11" s="7">
        <v>16905</v>
      </c>
      <c r="Y11" s="7">
        <v>17830</v>
      </c>
      <c r="Z11" s="7">
        <v>6655</v>
      </c>
      <c r="AA11" s="7">
        <v>12189</v>
      </c>
      <c r="AB11" s="13"/>
      <c r="AF11" s="2" t="str">
        <v>A</v>
      </c>
      <c r="AG11" s="9">
        <v>150063</v>
      </c>
      <c r="AH11" s="9">
        <v>148819</v>
      </c>
      <c r="AI11" s="9">
        <v>144545</v>
      </c>
      <c r="AJ11" s="9">
        <v>160567</v>
      </c>
      <c r="AK11" s="9">
        <v>153521</v>
      </c>
    </row>
    <row r="12" spans="1:37" ht="15.9" customHeight="1" x14ac:dyDescent="0.3">
      <c r="A12" s="2" t="str">
        <v>K</v>
      </c>
      <c r="B12" s="38" t="str">
        <v>K</v>
      </c>
      <c r="C12" s="9">
        <f t="shared" si="0"/>
        <v>37</v>
      </c>
      <c r="D12" s="9">
        <f t="shared" si="1"/>
        <v>11</v>
      </c>
      <c r="E12" s="9">
        <f t="shared" si="2"/>
        <v>10</v>
      </c>
      <c r="F12" s="9">
        <f t="shared" si="3"/>
        <v>42</v>
      </c>
      <c r="G12" s="9">
        <f t="shared" si="4"/>
        <v>24</v>
      </c>
      <c r="H12" s="38">
        <v>8</v>
      </c>
      <c r="I12" s="52"/>
      <c r="J12" s="2">
        <v>8</v>
      </c>
      <c r="K12" s="41" t="s">
        <v>30</v>
      </c>
      <c r="L12" s="41" t="s">
        <v>30</v>
      </c>
      <c r="M12" s="41" t="s">
        <v>38</v>
      </c>
      <c r="N12" s="41" t="s">
        <v>31</v>
      </c>
      <c r="O12" s="41" t="s">
        <v>29</v>
      </c>
      <c r="Q12" s="17">
        <f t="shared" si="5"/>
        <v>5</v>
      </c>
      <c r="R12" s="17">
        <f t="shared" si="6"/>
        <v>5</v>
      </c>
      <c r="S12" s="17">
        <f t="shared" si="7"/>
        <v>12</v>
      </c>
      <c r="T12" s="17">
        <f t="shared" si="8"/>
        <v>6</v>
      </c>
      <c r="U12" s="17">
        <f t="shared" si="9"/>
        <v>4</v>
      </c>
      <c r="W12" s="7">
        <v>15138</v>
      </c>
      <c r="X12" s="7">
        <v>17275</v>
      </c>
      <c r="Y12" s="7">
        <v>17025</v>
      </c>
      <c r="Z12" s="7">
        <v>5369</v>
      </c>
      <c r="AA12" s="7">
        <v>12979</v>
      </c>
      <c r="AB12" s="13"/>
      <c r="AF12" s="2" t="str">
        <v>K</v>
      </c>
      <c r="AG12" s="9">
        <v>150580</v>
      </c>
      <c r="AH12" s="9">
        <v>147575</v>
      </c>
      <c r="AI12" s="9">
        <v>132532</v>
      </c>
      <c r="AJ12" s="9">
        <v>152340</v>
      </c>
      <c r="AK12" s="9">
        <v>143850</v>
      </c>
    </row>
    <row r="13" spans="1:37" ht="15.9" customHeight="1" x14ac:dyDescent="0.3">
      <c r="A13" s="2" t="str">
        <v>Q</v>
      </c>
      <c r="B13" s="38" t="str">
        <v>Q</v>
      </c>
      <c r="C13" s="9">
        <f t="shared" si="0"/>
        <v>18</v>
      </c>
      <c r="D13" s="9">
        <f t="shared" si="1"/>
        <v>11</v>
      </c>
      <c r="E13" s="9">
        <f t="shared" si="2"/>
        <v>40</v>
      </c>
      <c r="F13" s="9">
        <f t="shared" si="3"/>
        <v>33</v>
      </c>
      <c r="G13" s="9">
        <f t="shared" si="4"/>
        <v>31</v>
      </c>
      <c r="H13" s="38">
        <v>9</v>
      </c>
      <c r="I13" s="52"/>
      <c r="J13" s="2">
        <v>9</v>
      </c>
      <c r="K13" s="41" t="s">
        <v>33</v>
      </c>
      <c r="L13" s="41" t="s">
        <v>31</v>
      </c>
      <c r="M13" s="41" t="s">
        <v>26</v>
      </c>
      <c r="N13" s="41" t="s">
        <v>31</v>
      </c>
      <c r="O13" s="41" t="s">
        <v>33</v>
      </c>
      <c r="Q13" s="17">
        <f t="shared" si="5"/>
        <v>8</v>
      </c>
      <c r="R13" s="17">
        <f t="shared" si="6"/>
        <v>6</v>
      </c>
      <c r="S13" s="17">
        <f t="shared" si="7"/>
        <v>2</v>
      </c>
      <c r="T13" s="17">
        <f t="shared" si="8"/>
        <v>6</v>
      </c>
      <c r="U13" s="17">
        <f t="shared" si="9"/>
        <v>8</v>
      </c>
      <c r="W13" s="7">
        <v>15978</v>
      </c>
      <c r="X13" s="7">
        <v>7666</v>
      </c>
      <c r="Y13" s="7">
        <v>17651</v>
      </c>
      <c r="Z13" s="7">
        <v>3990</v>
      </c>
      <c r="AA13" s="7">
        <v>12791</v>
      </c>
      <c r="AB13" s="13"/>
      <c r="AF13" s="2" t="str">
        <v>Q</v>
      </c>
      <c r="AG13" s="9">
        <v>173331</v>
      </c>
      <c r="AH13" s="9">
        <v>123946</v>
      </c>
      <c r="AI13" s="9">
        <v>165091</v>
      </c>
      <c r="AJ13" s="9">
        <v>136170</v>
      </c>
      <c r="AK13" s="9">
        <v>190692</v>
      </c>
    </row>
    <row r="14" spans="1:37" ht="15.9" customHeight="1" x14ac:dyDescent="0.3">
      <c r="A14" s="2" t="str">
        <v>J</v>
      </c>
      <c r="B14" s="38" t="str">
        <v>J</v>
      </c>
      <c r="C14" s="9">
        <f t="shared" si="0"/>
        <v>33</v>
      </c>
      <c r="D14" s="9">
        <f t="shared" si="1"/>
        <v>8</v>
      </c>
      <c r="E14" s="9">
        <f t="shared" si="2"/>
        <v>36</v>
      </c>
      <c r="F14" s="9">
        <f t="shared" si="3"/>
        <v>12</v>
      </c>
      <c r="G14" s="9">
        <f t="shared" si="4"/>
        <v>30</v>
      </c>
      <c r="H14" s="38">
        <v>10</v>
      </c>
      <c r="I14" s="52"/>
      <c r="J14" s="2">
        <v>10</v>
      </c>
      <c r="K14" s="41" t="s">
        <v>29</v>
      </c>
      <c r="L14" s="41" t="s">
        <v>44</v>
      </c>
      <c r="M14" s="41" t="s">
        <v>30</v>
      </c>
      <c r="N14" s="41" t="s">
        <v>31</v>
      </c>
      <c r="O14" s="41" t="s">
        <v>30</v>
      </c>
      <c r="Q14" s="17">
        <f t="shared" si="5"/>
        <v>4</v>
      </c>
      <c r="R14" s="17">
        <f t="shared" si="6"/>
        <v>15</v>
      </c>
      <c r="S14" s="17">
        <f t="shared" si="7"/>
        <v>5</v>
      </c>
      <c r="T14" s="17">
        <f t="shared" si="8"/>
        <v>6</v>
      </c>
      <c r="U14" s="17">
        <f t="shared" si="9"/>
        <v>5</v>
      </c>
      <c r="W14" s="7">
        <v>15978</v>
      </c>
      <c r="X14" s="7">
        <v>7034</v>
      </c>
      <c r="Y14" s="7">
        <v>14077</v>
      </c>
      <c r="Z14" s="7">
        <v>6597</v>
      </c>
      <c r="AA14" s="7">
        <v>12979</v>
      </c>
      <c r="AB14" s="13"/>
      <c r="AF14" s="2" t="str">
        <v>J</v>
      </c>
      <c r="AG14" s="9">
        <v>170861</v>
      </c>
      <c r="AH14" s="9">
        <v>126226</v>
      </c>
      <c r="AI14" s="9">
        <v>159840</v>
      </c>
      <c r="AJ14" s="9">
        <v>130355</v>
      </c>
      <c r="AK14" s="9">
        <v>188577</v>
      </c>
    </row>
    <row r="15" spans="1:37" ht="15.9" customHeight="1" x14ac:dyDescent="0.3">
      <c r="A15" s="2" t="str">
        <v>G1</v>
      </c>
      <c r="B15" s="38" t="str">
        <v>Golden M1</v>
      </c>
      <c r="C15" s="9">
        <f t="shared" si="0"/>
        <v>0</v>
      </c>
      <c r="D15" s="9">
        <f t="shared" si="1"/>
        <v>2</v>
      </c>
      <c r="E15" s="9">
        <f t="shared" si="2"/>
        <v>2</v>
      </c>
      <c r="F15" s="9">
        <f t="shared" si="3"/>
        <v>2</v>
      </c>
      <c r="G15" s="9">
        <f t="shared" si="4"/>
        <v>0</v>
      </c>
      <c r="H15" s="38">
        <v>11</v>
      </c>
      <c r="I15" s="52"/>
      <c r="J15" s="2">
        <v>11</v>
      </c>
      <c r="K15" s="41" t="s">
        <v>28</v>
      </c>
      <c r="L15" s="41" t="s">
        <v>42</v>
      </c>
      <c r="M15" s="41" t="s">
        <v>38</v>
      </c>
      <c r="N15" s="41" t="s">
        <v>34</v>
      </c>
      <c r="O15" s="41" t="s">
        <v>31</v>
      </c>
      <c r="Q15" s="17">
        <f t="shared" si="5"/>
        <v>3</v>
      </c>
      <c r="R15" s="17">
        <f t="shared" si="6"/>
        <v>14</v>
      </c>
      <c r="S15" s="17">
        <f t="shared" si="7"/>
        <v>12</v>
      </c>
      <c r="T15" s="17">
        <f t="shared" si="8"/>
        <v>9</v>
      </c>
      <c r="U15" s="17">
        <f t="shared" si="9"/>
        <v>6</v>
      </c>
      <c r="W15" s="7">
        <v>14656</v>
      </c>
      <c r="X15" s="7">
        <v>6794</v>
      </c>
      <c r="Y15" s="7">
        <v>15193</v>
      </c>
      <c r="Z15" s="7">
        <v>4554</v>
      </c>
      <c r="AA15" s="7">
        <v>12754</v>
      </c>
      <c r="AB15" s="13"/>
      <c r="AF15" s="2" t="str">
        <v>G1</v>
      </c>
      <c r="AG15" s="9">
        <v>0</v>
      </c>
      <c r="AH15" s="9">
        <v>16098</v>
      </c>
      <c r="AI15" s="9">
        <v>7549</v>
      </c>
      <c r="AJ15" s="9">
        <v>10071</v>
      </c>
      <c r="AK15" s="9">
        <v>0</v>
      </c>
    </row>
    <row r="16" spans="1:37" ht="15.9" customHeight="1" x14ac:dyDescent="0.3">
      <c r="A16" s="2" t="str">
        <v>G2</v>
      </c>
      <c r="B16" s="38" t="str">
        <v>Golden M2</v>
      </c>
      <c r="C16" s="9">
        <f t="shared" si="0"/>
        <v>0</v>
      </c>
      <c r="D16" s="9">
        <f t="shared" si="1"/>
        <v>7</v>
      </c>
      <c r="E16" s="9">
        <f t="shared" si="2"/>
        <v>3</v>
      </c>
      <c r="F16" s="9">
        <f t="shared" si="3"/>
        <v>2</v>
      </c>
      <c r="G16" s="9">
        <f t="shared" si="4"/>
        <v>0</v>
      </c>
      <c r="H16" s="38">
        <v>12</v>
      </c>
      <c r="I16" s="52"/>
      <c r="J16" s="2">
        <v>12</v>
      </c>
      <c r="K16" s="41" t="s">
        <v>35</v>
      </c>
      <c r="L16" s="41" t="s">
        <v>31</v>
      </c>
      <c r="M16" s="41" t="s">
        <v>35</v>
      </c>
      <c r="N16" s="41" t="s">
        <v>31</v>
      </c>
      <c r="O16" s="41" t="s">
        <v>33</v>
      </c>
      <c r="Q16" s="17">
        <f t="shared" si="5"/>
        <v>10</v>
      </c>
      <c r="R16" s="17">
        <f t="shared" si="6"/>
        <v>6</v>
      </c>
      <c r="S16" s="17">
        <f t="shared" si="7"/>
        <v>10</v>
      </c>
      <c r="T16" s="17">
        <f t="shared" si="8"/>
        <v>6</v>
      </c>
      <c r="U16" s="17">
        <f t="shared" si="9"/>
        <v>8</v>
      </c>
      <c r="W16" s="7">
        <v>13815</v>
      </c>
      <c r="X16" s="7">
        <v>7455</v>
      </c>
      <c r="Y16" s="7">
        <v>15150</v>
      </c>
      <c r="Z16" s="7">
        <v>9314</v>
      </c>
      <c r="AA16" s="7">
        <v>15464</v>
      </c>
      <c r="AB16" s="13"/>
      <c r="AF16" s="2" t="str">
        <v>G2</v>
      </c>
      <c r="AG16" s="9">
        <v>0</v>
      </c>
      <c r="AH16" s="9">
        <v>7738</v>
      </c>
      <c r="AI16" s="9">
        <v>13260</v>
      </c>
      <c r="AJ16" s="9">
        <v>4965</v>
      </c>
      <c r="AK16" s="9">
        <v>0</v>
      </c>
    </row>
    <row r="17" spans="1:37" ht="15.9" customHeight="1" x14ac:dyDescent="0.3">
      <c r="A17" s="2" t="str">
        <v>G3</v>
      </c>
      <c r="B17" s="38" t="str">
        <v>Golden M3</v>
      </c>
      <c r="C17" s="9">
        <f t="shared" si="0"/>
        <v>0</v>
      </c>
      <c r="D17" s="9">
        <f t="shared" si="1"/>
        <v>3</v>
      </c>
      <c r="E17" s="9">
        <f t="shared" si="2"/>
        <v>6</v>
      </c>
      <c r="F17" s="9">
        <f t="shared" si="3"/>
        <v>2</v>
      </c>
      <c r="G17" s="9">
        <f t="shared" si="4"/>
        <v>0</v>
      </c>
      <c r="H17" s="38">
        <v>13</v>
      </c>
      <c r="I17" s="52"/>
      <c r="J17" s="2">
        <v>13</v>
      </c>
      <c r="K17" s="41" t="s">
        <v>29</v>
      </c>
      <c r="L17" s="41" t="s">
        <v>34</v>
      </c>
      <c r="M17" s="41" t="s">
        <v>29</v>
      </c>
      <c r="N17" s="41" t="s">
        <v>33</v>
      </c>
      <c r="O17" s="41" t="s">
        <v>28</v>
      </c>
      <c r="Q17" s="17">
        <f t="shared" si="5"/>
        <v>4</v>
      </c>
      <c r="R17" s="17">
        <f t="shared" si="6"/>
        <v>9</v>
      </c>
      <c r="S17" s="17">
        <f t="shared" si="7"/>
        <v>4</v>
      </c>
      <c r="T17" s="17">
        <f t="shared" si="8"/>
        <v>8</v>
      </c>
      <c r="U17" s="17">
        <f t="shared" si="9"/>
        <v>3</v>
      </c>
      <c r="W17" s="7">
        <v>11112</v>
      </c>
      <c r="X17" s="7">
        <v>6347</v>
      </c>
      <c r="Y17" s="7">
        <v>18367</v>
      </c>
      <c r="Z17" s="7">
        <v>3990</v>
      </c>
      <c r="AA17" s="7">
        <v>14108</v>
      </c>
      <c r="AB17" s="13"/>
      <c r="AF17" s="2" t="str">
        <v>G3</v>
      </c>
      <c r="AG17" s="9">
        <v>0</v>
      </c>
      <c r="AH17" s="9">
        <v>12160</v>
      </c>
      <c r="AI17" s="9">
        <v>10240</v>
      </c>
      <c r="AJ17" s="9">
        <v>8511</v>
      </c>
      <c r="AK17" s="9">
        <v>0</v>
      </c>
    </row>
    <row r="18" spans="1:37" ht="15.9" customHeight="1" x14ac:dyDescent="0.3">
      <c r="A18" s="2" t="str">
        <v>G4</v>
      </c>
      <c r="B18" s="38" t="str">
        <v>Golden M4</v>
      </c>
      <c r="C18" s="9">
        <f t="shared" si="0"/>
        <v>0</v>
      </c>
      <c r="D18" s="9">
        <f t="shared" si="1"/>
        <v>9</v>
      </c>
      <c r="E18" s="9">
        <f t="shared" si="2"/>
        <v>2</v>
      </c>
      <c r="F18" s="9">
        <f t="shared" si="3"/>
        <v>8</v>
      </c>
      <c r="G18" s="9">
        <f t="shared" si="4"/>
        <v>0</v>
      </c>
      <c r="H18" s="38">
        <v>14</v>
      </c>
      <c r="I18" s="52"/>
      <c r="J18" s="9">
        <v>14</v>
      </c>
      <c r="K18" s="41" t="s">
        <v>31</v>
      </c>
      <c r="L18" s="41" t="s">
        <v>29</v>
      </c>
      <c r="M18" s="41" t="s">
        <v>33</v>
      </c>
      <c r="N18" s="41" t="s">
        <v>31</v>
      </c>
      <c r="O18" s="41" t="s">
        <v>29</v>
      </c>
      <c r="Q18" s="17">
        <f t="shared" si="5"/>
        <v>6</v>
      </c>
      <c r="R18" s="17">
        <f t="shared" si="6"/>
        <v>4</v>
      </c>
      <c r="S18" s="17">
        <f t="shared" si="7"/>
        <v>8</v>
      </c>
      <c r="T18" s="17">
        <f t="shared" si="8"/>
        <v>6</v>
      </c>
      <c r="U18" s="17">
        <f t="shared" si="9"/>
        <v>4</v>
      </c>
      <c r="W18" s="7">
        <v>13216</v>
      </c>
      <c r="X18" s="7">
        <v>6436</v>
      </c>
      <c r="Y18" s="7">
        <v>16892</v>
      </c>
      <c r="Z18" s="7">
        <v>2827</v>
      </c>
      <c r="AA18" s="7">
        <v>10270</v>
      </c>
      <c r="AB18" s="13"/>
      <c r="AF18" s="2" t="str">
        <v>G4</v>
      </c>
      <c r="AG18" s="9">
        <v>0</v>
      </c>
      <c r="AH18" s="9">
        <v>20243</v>
      </c>
      <c r="AI18" s="9">
        <v>9781</v>
      </c>
      <c r="AJ18" s="9">
        <v>10780</v>
      </c>
      <c r="AK18" s="9">
        <v>0</v>
      </c>
    </row>
    <row r="19" spans="1:37" ht="15.9" customHeight="1" x14ac:dyDescent="0.3">
      <c r="A19" s="2" t="str">
        <v>GA</v>
      </c>
      <c r="B19" s="38" t="str">
        <v>Golden A</v>
      </c>
      <c r="C19" s="9">
        <f t="shared" si="0"/>
        <v>0</v>
      </c>
      <c r="D19" s="9">
        <f t="shared" si="1"/>
        <v>11</v>
      </c>
      <c r="E19" s="9">
        <f t="shared" si="2"/>
        <v>3</v>
      </c>
      <c r="F19" s="9">
        <f t="shared" si="3"/>
        <v>2</v>
      </c>
      <c r="G19" s="9">
        <f t="shared" si="4"/>
        <v>0</v>
      </c>
      <c r="H19" s="38">
        <v>15</v>
      </c>
      <c r="I19" s="52"/>
      <c r="J19" s="2">
        <v>15</v>
      </c>
      <c r="K19" s="41" t="s">
        <v>35</v>
      </c>
      <c r="L19" s="41" t="s">
        <v>29</v>
      </c>
      <c r="M19" s="41" t="s">
        <v>34</v>
      </c>
      <c r="N19" s="41" t="s">
        <v>33</v>
      </c>
      <c r="O19" s="41" t="s">
        <v>33</v>
      </c>
      <c r="Q19" s="17">
        <f t="shared" si="5"/>
        <v>10</v>
      </c>
      <c r="R19" s="17">
        <f t="shared" si="6"/>
        <v>4</v>
      </c>
      <c r="S19" s="17">
        <f t="shared" si="7"/>
        <v>9</v>
      </c>
      <c r="T19" s="17">
        <f t="shared" si="8"/>
        <v>8</v>
      </c>
      <c r="U19" s="17">
        <f t="shared" si="9"/>
        <v>8</v>
      </c>
      <c r="W19" s="7">
        <v>11814</v>
      </c>
      <c r="X19" s="7">
        <v>5598</v>
      </c>
      <c r="Y19" s="7">
        <v>14635</v>
      </c>
      <c r="Z19" s="7">
        <v>1953</v>
      </c>
      <c r="AA19" s="7">
        <v>8522</v>
      </c>
      <c r="AB19" s="13"/>
      <c r="AF19" s="2" t="str">
        <v>GA</v>
      </c>
      <c r="AG19" s="9">
        <v>0</v>
      </c>
      <c r="AH19" s="9">
        <v>27498</v>
      </c>
      <c r="AI19" s="9">
        <v>20481</v>
      </c>
      <c r="AJ19" s="9">
        <v>15745</v>
      </c>
      <c r="AK19" s="9">
        <v>0</v>
      </c>
    </row>
    <row r="20" spans="1:37" ht="15.9" customHeight="1" x14ac:dyDescent="0.3">
      <c r="A20" s="2" t="str">
        <v>GK</v>
      </c>
      <c r="B20" s="38" t="str">
        <v>Golden K</v>
      </c>
      <c r="C20" s="9">
        <f t="shared" si="0"/>
        <v>0</v>
      </c>
      <c r="D20" s="9">
        <f t="shared" si="1"/>
        <v>3</v>
      </c>
      <c r="E20" s="9">
        <f t="shared" si="2"/>
        <v>2</v>
      </c>
      <c r="F20" s="9">
        <f t="shared" si="3"/>
        <v>10</v>
      </c>
      <c r="G20" s="9">
        <f t="shared" si="4"/>
        <v>0</v>
      </c>
      <c r="H20" s="38">
        <v>16</v>
      </c>
      <c r="I20" s="52"/>
      <c r="J20" s="2">
        <v>16</v>
      </c>
      <c r="K20" s="41" t="s">
        <v>34</v>
      </c>
      <c r="L20" s="41" t="s">
        <v>31</v>
      </c>
      <c r="M20" s="41" t="s">
        <v>32</v>
      </c>
      <c r="N20" s="41" t="s">
        <v>33</v>
      </c>
      <c r="O20" s="41" t="s">
        <v>29</v>
      </c>
      <c r="Q20" s="17">
        <f t="shared" si="5"/>
        <v>9</v>
      </c>
      <c r="R20" s="17">
        <f t="shared" si="6"/>
        <v>6</v>
      </c>
      <c r="S20" s="17">
        <f t="shared" si="7"/>
        <v>7</v>
      </c>
      <c r="T20" s="17">
        <f t="shared" si="8"/>
        <v>8</v>
      </c>
      <c r="U20" s="17">
        <f t="shared" si="9"/>
        <v>4</v>
      </c>
      <c r="W20" s="7">
        <v>12115</v>
      </c>
      <c r="X20" s="7">
        <v>6039</v>
      </c>
      <c r="Y20" s="7">
        <v>17986</v>
      </c>
      <c r="Z20" s="7">
        <v>3990</v>
      </c>
      <c r="AA20" s="7">
        <v>14954</v>
      </c>
      <c r="AB20" s="13"/>
      <c r="AF20" s="2" t="str">
        <v>GK</v>
      </c>
      <c r="AG20" s="9">
        <v>0</v>
      </c>
      <c r="AH20" s="9">
        <v>27359</v>
      </c>
      <c r="AI20" s="9">
        <v>19430</v>
      </c>
      <c r="AJ20" s="9">
        <v>16738</v>
      </c>
      <c r="AK20" s="9">
        <v>0</v>
      </c>
    </row>
    <row r="21" spans="1:37" ht="15.9" customHeight="1" x14ac:dyDescent="0.3">
      <c r="A21" s="2" t="str">
        <v>GQ</v>
      </c>
      <c r="B21" s="38" t="str">
        <v>Golden Q</v>
      </c>
      <c r="C21" s="9">
        <f t="shared" si="0"/>
        <v>0</v>
      </c>
      <c r="D21" s="9">
        <f t="shared" si="1"/>
        <v>3</v>
      </c>
      <c r="E21" s="9">
        <f t="shared" si="2"/>
        <v>8</v>
      </c>
      <c r="F21" s="9">
        <f t="shared" si="3"/>
        <v>6</v>
      </c>
      <c r="G21" s="9">
        <f t="shared" si="4"/>
        <v>0</v>
      </c>
      <c r="H21" s="38">
        <v>17</v>
      </c>
      <c r="I21" s="52"/>
      <c r="J21" s="2">
        <v>17</v>
      </c>
      <c r="K21" s="41" t="s">
        <v>35</v>
      </c>
      <c r="L21" s="41" t="s">
        <v>36</v>
      </c>
      <c r="M21" s="41" t="s">
        <v>35</v>
      </c>
      <c r="N21" s="41" t="s">
        <v>33</v>
      </c>
      <c r="O21" s="41" t="s">
        <v>34</v>
      </c>
      <c r="Q21" s="17">
        <f t="shared" si="5"/>
        <v>10</v>
      </c>
      <c r="R21" s="17">
        <f t="shared" si="6"/>
        <v>11</v>
      </c>
      <c r="S21" s="17">
        <f t="shared" si="7"/>
        <v>10</v>
      </c>
      <c r="T21" s="17">
        <f t="shared" si="8"/>
        <v>8</v>
      </c>
      <c r="U21" s="17">
        <f t="shared" si="9"/>
        <v>9</v>
      </c>
      <c r="W21" s="7">
        <v>15017</v>
      </c>
      <c r="X21" s="7">
        <v>5068</v>
      </c>
      <c r="Y21" s="7">
        <v>16309</v>
      </c>
      <c r="Z21" s="7">
        <v>3990</v>
      </c>
      <c r="AA21" s="7">
        <v>15464</v>
      </c>
      <c r="AB21" s="13"/>
      <c r="AF21" s="2" t="str">
        <v>GQ</v>
      </c>
      <c r="AG21" s="9">
        <v>0</v>
      </c>
      <c r="AH21" s="9">
        <v>22869</v>
      </c>
      <c r="AI21" s="9">
        <v>24288</v>
      </c>
      <c r="AJ21" s="9">
        <v>15035</v>
      </c>
      <c r="AK21" s="9">
        <v>0</v>
      </c>
    </row>
    <row r="22" spans="1:37" ht="15.9" customHeight="1" x14ac:dyDescent="0.3">
      <c r="A22" s="2" t="str">
        <v>GJ</v>
      </c>
      <c r="B22" s="38" t="str">
        <v>Golden J</v>
      </c>
      <c r="C22" s="9">
        <f t="shared" si="0"/>
        <v>0</v>
      </c>
      <c r="D22" s="9">
        <f t="shared" si="1"/>
        <v>2</v>
      </c>
      <c r="E22" s="9">
        <f t="shared" si="2"/>
        <v>8</v>
      </c>
      <c r="F22" s="9">
        <f t="shared" si="3"/>
        <v>2</v>
      </c>
      <c r="G22" s="9">
        <f t="shared" si="4"/>
        <v>0</v>
      </c>
      <c r="H22" s="38">
        <v>18</v>
      </c>
      <c r="I22" s="52"/>
      <c r="J22" s="2">
        <v>18</v>
      </c>
      <c r="K22" s="41" t="s">
        <v>33</v>
      </c>
      <c r="L22" s="41" t="s">
        <v>28</v>
      </c>
      <c r="M22" s="41" t="s">
        <v>34</v>
      </c>
      <c r="N22" s="41" t="s">
        <v>33</v>
      </c>
      <c r="O22" s="41" t="s">
        <v>31</v>
      </c>
      <c r="Q22" s="17">
        <f t="shared" si="5"/>
        <v>8</v>
      </c>
      <c r="R22" s="17">
        <f t="shared" si="6"/>
        <v>3</v>
      </c>
      <c r="S22" s="17">
        <f t="shared" si="7"/>
        <v>9</v>
      </c>
      <c r="T22" s="17">
        <f t="shared" si="8"/>
        <v>8</v>
      </c>
      <c r="U22" s="17">
        <f t="shared" si="9"/>
        <v>6</v>
      </c>
      <c r="W22" s="7">
        <v>14896</v>
      </c>
      <c r="X22" s="7">
        <v>17151</v>
      </c>
      <c r="Y22" s="7">
        <v>6127</v>
      </c>
      <c r="Z22" s="7">
        <v>2827</v>
      </c>
      <c r="AA22" s="7">
        <v>17494</v>
      </c>
      <c r="AB22" s="13"/>
      <c r="AF22" s="2" t="str">
        <v>GJ</v>
      </c>
      <c r="AG22" s="9">
        <v>0</v>
      </c>
      <c r="AH22" s="9">
        <v>24112</v>
      </c>
      <c r="AI22" s="9">
        <v>22515</v>
      </c>
      <c r="AJ22" s="9">
        <v>16738</v>
      </c>
      <c r="AK22" s="9">
        <v>0</v>
      </c>
    </row>
    <row r="23" spans="1:37" ht="15.9" customHeight="1" x14ac:dyDescent="0.3">
      <c r="C23" s="19">
        <f>SUM(C4:C22)</f>
        <v>200</v>
      </c>
      <c r="D23" s="19">
        <f>SUM(D4:D22)</f>
        <v>200</v>
      </c>
      <c r="E23" s="19">
        <f>SUM(E4:E22)</f>
        <v>200</v>
      </c>
      <c r="F23" s="19">
        <f>SUM(F4:F22)</f>
        <v>200</v>
      </c>
      <c r="G23" s="19">
        <f>SUM(G4:G22)</f>
        <v>200</v>
      </c>
      <c r="I23" s="52"/>
      <c r="J23" s="2">
        <v>19</v>
      </c>
      <c r="K23" s="41" t="s">
        <v>28</v>
      </c>
      <c r="L23" s="41" t="s">
        <v>29</v>
      </c>
      <c r="M23" s="41" t="s">
        <v>32</v>
      </c>
      <c r="N23" s="41" t="s">
        <v>33</v>
      </c>
      <c r="O23" s="41" t="s">
        <v>32</v>
      </c>
      <c r="Q23" s="17">
        <f t="shared" si="5"/>
        <v>3</v>
      </c>
      <c r="R23" s="17">
        <f t="shared" si="6"/>
        <v>4</v>
      </c>
      <c r="S23" s="17">
        <f t="shared" si="7"/>
        <v>7</v>
      </c>
      <c r="T23" s="17">
        <f t="shared" si="8"/>
        <v>8</v>
      </c>
      <c r="U23" s="17">
        <f t="shared" si="9"/>
        <v>7</v>
      </c>
      <c r="W23" s="7">
        <v>15978</v>
      </c>
      <c r="X23" s="7">
        <v>7774</v>
      </c>
      <c r="Y23" s="7">
        <v>5839</v>
      </c>
      <c r="Z23" s="7">
        <v>1953</v>
      </c>
      <c r="AA23" s="7">
        <v>13995</v>
      </c>
      <c r="AB23" s="13"/>
    </row>
    <row r="24" spans="1:37" ht="15.9" customHeight="1" x14ac:dyDescent="0.3">
      <c r="I24" s="52"/>
      <c r="J24" s="2">
        <v>20</v>
      </c>
      <c r="K24" s="41" t="s">
        <v>29</v>
      </c>
      <c r="L24" s="41" t="s">
        <v>44</v>
      </c>
      <c r="M24" s="41" t="s">
        <v>42</v>
      </c>
      <c r="N24" s="41" t="s">
        <v>33</v>
      </c>
      <c r="O24" s="41" t="s">
        <v>35</v>
      </c>
      <c r="Q24" s="17">
        <f t="shared" si="5"/>
        <v>4</v>
      </c>
      <c r="R24" s="17">
        <f t="shared" si="6"/>
        <v>15</v>
      </c>
      <c r="S24" s="17">
        <f t="shared" si="7"/>
        <v>14</v>
      </c>
      <c r="T24" s="17">
        <f t="shared" si="8"/>
        <v>8</v>
      </c>
      <c r="U24" s="17">
        <f t="shared" si="9"/>
        <v>10</v>
      </c>
      <c r="W24" s="7">
        <v>14296</v>
      </c>
      <c r="X24" s="7">
        <v>6480</v>
      </c>
      <c r="Y24" s="7">
        <v>6031</v>
      </c>
      <c r="Z24" s="7">
        <v>9314</v>
      </c>
      <c r="AA24" s="7">
        <v>15464</v>
      </c>
    </row>
    <row r="25" spans="1:37" ht="16.5" customHeight="1" x14ac:dyDescent="0.3">
      <c r="I25" s="52"/>
      <c r="J25" s="2">
        <v>21</v>
      </c>
      <c r="K25" s="41" t="s">
        <v>31</v>
      </c>
      <c r="L25" s="41" t="s">
        <v>42</v>
      </c>
      <c r="M25" s="41" t="s">
        <v>31</v>
      </c>
      <c r="N25" s="41" t="s">
        <v>31</v>
      </c>
      <c r="O25" s="41" t="s">
        <v>34</v>
      </c>
      <c r="Q25" s="17">
        <f t="shared" si="5"/>
        <v>6</v>
      </c>
      <c r="R25" s="17">
        <f t="shared" si="6"/>
        <v>14</v>
      </c>
      <c r="S25" s="17">
        <f t="shared" si="7"/>
        <v>6</v>
      </c>
      <c r="T25" s="17">
        <f t="shared" si="8"/>
        <v>6</v>
      </c>
      <c r="U25" s="17">
        <f t="shared" si="9"/>
        <v>9</v>
      </c>
      <c r="W25" s="7">
        <v>16579</v>
      </c>
      <c r="X25" s="7">
        <v>6392</v>
      </c>
      <c r="Y25" s="7">
        <v>7183</v>
      </c>
      <c r="Z25" s="7">
        <v>13557</v>
      </c>
      <c r="AA25" s="7">
        <v>12189</v>
      </c>
      <c r="AB25" s="13"/>
    </row>
    <row r="26" spans="1:37" ht="16.5" customHeight="1" x14ac:dyDescent="0.3">
      <c r="I26" s="52"/>
      <c r="J26" s="2">
        <v>22</v>
      </c>
      <c r="K26" s="41" t="s">
        <v>30</v>
      </c>
      <c r="L26" s="41" t="s">
        <v>31</v>
      </c>
      <c r="M26" s="41" t="s">
        <v>35</v>
      </c>
      <c r="N26" s="41" t="s">
        <v>28</v>
      </c>
      <c r="O26" s="41" t="s">
        <v>35</v>
      </c>
      <c r="Q26" s="17">
        <f t="shared" si="5"/>
        <v>5</v>
      </c>
      <c r="R26" s="17">
        <f t="shared" si="6"/>
        <v>6</v>
      </c>
      <c r="S26" s="17">
        <f t="shared" si="7"/>
        <v>10</v>
      </c>
      <c r="T26" s="17">
        <f t="shared" si="8"/>
        <v>3</v>
      </c>
      <c r="U26" s="17">
        <f t="shared" si="9"/>
        <v>10</v>
      </c>
      <c r="W26" s="7">
        <v>15138</v>
      </c>
      <c r="X26" s="7">
        <v>15526</v>
      </c>
      <c r="Y26" s="7">
        <v>8103</v>
      </c>
      <c r="Z26" s="7">
        <v>15523</v>
      </c>
      <c r="AA26" s="7">
        <v>15124</v>
      </c>
      <c r="AB26" s="13"/>
    </row>
    <row r="27" spans="1:37" ht="16.5" customHeight="1" x14ac:dyDescent="0.3">
      <c r="I27" s="52"/>
      <c r="J27" s="2">
        <v>23</v>
      </c>
      <c r="K27" s="41" t="s">
        <v>33</v>
      </c>
      <c r="L27" s="41" t="s">
        <v>29</v>
      </c>
      <c r="M27" s="41" t="s">
        <v>35</v>
      </c>
      <c r="N27" s="41" t="s">
        <v>34</v>
      </c>
      <c r="O27" s="41" t="s">
        <v>31</v>
      </c>
      <c r="Q27" s="17">
        <f t="shared" si="5"/>
        <v>8</v>
      </c>
      <c r="R27" s="17">
        <f t="shared" si="6"/>
        <v>4</v>
      </c>
      <c r="S27" s="17">
        <f t="shared" si="7"/>
        <v>10</v>
      </c>
      <c r="T27" s="17">
        <f t="shared" si="8"/>
        <v>9</v>
      </c>
      <c r="U27" s="17">
        <f t="shared" si="9"/>
        <v>6</v>
      </c>
      <c r="W27" s="7">
        <v>15738</v>
      </c>
      <c r="X27" s="7">
        <v>16656</v>
      </c>
      <c r="Y27" s="7">
        <v>19706</v>
      </c>
      <c r="Z27" s="7">
        <v>16021</v>
      </c>
      <c r="AA27" s="7">
        <v>15236</v>
      </c>
      <c r="AB27" s="13"/>
    </row>
    <row r="28" spans="1:37" ht="16.5" customHeight="1" x14ac:dyDescent="0.3">
      <c r="I28" s="52"/>
      <c r="J28" s="2">
        <v>24</v>
      </c>
      <c r="K28" s="41" t="s">
        <v>29</v>
      </c>
      <c r="L28" s="41" t="s">
        <v>31</v>
      </c>
      <c r="M28" s="41" t="s">
        <v>40</v>
      </c>
      <c r="N28" s="41" t="s">
        <v>46</v>
      </c>
      <c r="O28" s="41" t="s">
        <v>32</v>
      </c>
      <c r="Q28" s="17">
        <f t="shared" si="5"/>
        <v>4</v>
      </c>
      <c r="R28" s="17">
        <f t="shared" si="6"/>
        <v>6</v>
      </c>
      <c r="S28" s="17">
        <f t="shared" si="7"/>
        <v>13</v>
      </c>
      <c r="T28" s="17">
        <f t="shared" si="8"/>
        <v>16</v>
      </c>
      <c r="U28" s="17">
        <f t="shared" si="9"/>
        <v>7</v>
      </c>
      <c r="W28" s="7">
        <v>11774</v>
      </c>
      <c r="X28" s="7">
        <v>17768</v>
      </c>
      <c r="Y28" s="7">
        <v>7238</v>
      </c>
      <c r="Z28" s="7">
        <v>18504</v>
      </c>
      <c r="AA28" s="7">
        <v>14785</v>
      </c>
      <c r="AB28" s="13"/>
    </row>
    <row r="29" spans="1:37" ht="16.5" customHeight="1" x14ac:dyDescent="0.3">
      <c r="I29" s="52"/>
      <c r="J29" s="2">
        <v>25</v>
      </c>
      <c r="K29" s="41" t="s">
        <v>32</v>
      </c>
      <c r="L29" s="41" t="s">
        <v>32</v>
      </c>
      <c r="M29" s="41" t="s">
        <v>50</v>
      </c>
      <c r="N29" s="41" t="s">
        <v>29</v>
      </c>
      <c r="O29" s="41" t="s">
        <v>30</v>
      </c>
      <c r="Q29" s="17">
        <f t="shared" si="5"/>
        <v>7</v>
      </c>
      <c r="R29" s="17">
        <f t="shared" si="6"/>
        <v>7</v>
      </c>
      <c r="S29" s="17">
        <f t="shared" si="7"/>
        <v>18</v>
      </c>
      <c r="T29" s="17">
        <f t="shared" si="8"/>
        <v>4</v>
      </c>
      <c r="U29" s="17">
        <f t="shared" si="9"/>
        <v>5</v>
      </c>
      <c r="W29" s="7">
        <v>15738</v>
      </c>
      <c r="X29" s="7">
        <v>16039</v>
      </c>
      <c r="Y29" s="7">
        <v>8272</v>
      </c>
      <c r="Z29" s="7">
        <v>16642</v>
      </c>
      <c r="AA29" s="7">
        <v>6919</v>
      </c>
      <c r="AB29" s="13"/>
    </row>
    <row r="30" spans="1:37" ht="16.5" customHeight="1" x14ac:dyDescent="0.3">
      <c r="I30" s="52"/>
      <c r="J30" s="2">
        <v>26</v>
      </c>
      <c r="K30" s="41" t="s">
        <v>30</v>
      </c>
      <c r="L30" s="41" t="s">
        <v>36</v>
      </c>
      <c r="M30" s="41" t="s">
        <v>30</v>
      </c>
      <c r="N30" s="41" t="s">
        <v>28</v>
      </c>
      <c r="O30" s="41" t="s">
        <v>32</v>
      </c>
      <c r="Q30" s="17">
        <f t="shared" si="5"/>
        <v>5</v>
      </c>
      <c r="R30" s="17">
        <f t="shared" si="6"/>
        <v>11</v>
      </c>
      <c r="S30" s="17">
        <f t="shared" si="7"/>
        <v>5</v>
      </c>
      <c r="T30" s="17">
        <f t="shared" si="8"/>
        <v>3</v>
      </c>
      <c r="U30" s="17">
        <f t="shared" si="9"/>
        <v>7</v>
      </c>
      <c r="W30" s="7">
        <v>6435</v>
      </c>
      <c r="X30" s="7">
        <v>15547</v>
      </c>
      <c r="Y30" s="7">
        <v>7641</v>
      </c>
      <c r="Z30" s="7">
        <v>15730</v>
      </c>
      <c r="AA30" s="7">
        <v>6047</v>
      </c>
      <c r="AB30" s="13"/>
    </row>
    <row r="31" spans="1:37" ht="16.5" customHeight="1" x14ac:dyDescent="0.3">
      <c r="I31" s="52"/>
      <c r="J31" s="2">
        <v>27</v>
      </c>
      <c r="K31" s="41" t="s">
        <v>33</v>
      </c>
      <c r="L31" s="41" t="s">
        <v>26</v>
      </c>
      <c r="M31" s="41" t="s">
        <v>30</v>
      </c>
      <c r="N31" s="41" t="s">
        <v>32</v>
      </c>
      <c r="O31" s="41" t="s">
        <v>30</v>
      </c>
      <c r="Q31" s="17">
        <f t="shared" si="5"/>
        <v>8</v>
      </c>
      <c r="R31" s="17">
        <f t="shared" si="6"/>
        <v>2</v>
      </c>
      <c r="S31" s="17">
        <f t="shared" si="7"/>
        <v>5</v>
      </c>
      <c r="T31" s="17">
        <f t="shared" si="8"/>
        <v>7</v>
      </c>
      <c r="U31" s="17">
        <f t="shared" si="9"/>
        <v>5</v>
      </c>
      <c r="W31" s="7">
        <v>6074</v>
      </c>
      <c r="X31" s="7">
        <v>14910</v>
      </c>
      <c r="Y31" s="7">
        <v>12110</v>
      </c>
      <c r="Z31" s="7">
        <v>13350</v>
      </c>
      <c r="AA31" s="7">
        <v>6094</v>
      </c>
      <c r="AB31" s="13"/>
    </row>
    <row r="32" spans="1:37" ht="16.5" customHeight="1" x14ac:dyDescent="0.3">
      <c r="J32" s="2">
        <v>28</v>
      </c>
      <c r="K32" s="41" t="s">
        <v>35</v>
      </c>
      <c r="L32" s="41" t="s">
        <v>34</v>
      </c>
      <c r="M32" s="41" t="s">
        <v>33</v>
      </c>
      <c r="N32" s="41" t="s">
        <v>34</v>
      </c>
      <c r="O32" s="41" t="s">
        <v>30</v>
      </c>
      <c r="Q32" s="17">
        <f t="shared" si="5"/>
        <v>10</v>
      </c>
      <c r="R32" s="17">
        <f t="shared" si="6"/>
        <v>9</v>
      </c>
      <c r="S32" s="17">
        <f t="shared" si="7"/>
        <v>8</v>
      </c>
      <c r="T32" s="17">
        <f t="shared" si="8"/>
        <v>9</v>
      </c>
      <c r="U32" s="17">
        <f t="shared" si="9"/>
        <v>5</v>
      </c>
      <c r="W32" s="7">
        <v>6009</v>
      </c>
      <c r="X32" s="7">
        <v>17069</v>
      </c>
      <c r="Y32" s="7">
        <v>17986</v>
      </c>
      <c r="Z32" s="7">
        <v>12523</v>
      </c>
      <c r="AA32" s="7">
        <v>13770</v>
      </c>
      <c r="AB32" s="13"/>
    </row>
    <row r="33" spans="10:28" ht="16.5" customHeight="1" x14ac:dyDescent="0.3">
      <c r="J33" s="2">
        <v>29</v>
      </c>
      <c r="K33" s="41" t="s">
        <v>35</v>
      </c>
      <c r="L33" s="41" t="s">
        <v>28</v>
      </c>
      <c r="M33" s="41" t="s">
        <v>29</v>
      </c>
      <c r="N33" s="41" t="s">
        <v>31</v>
      </c>
      <c r="O33" s="41" t="s">
        <v>32</v>
      </c>
      <c r="Q33" s="17">
        <f t="shared" si="5"/>
        <v>10</v>
      </c>
      <c r="R33" s="17">
        <f t="shared" si="6"/>
        <v>3</v>
      </c>
      <c r="S33" s="17">
        <f t="shared" si="7"/>
        <v>4</v>
      </c>
      <c r="T33" s="17">
        <f t="shared" si="8"/>
        <v>6</v>
      </c>
      <c r="U33" s="17">
        <f t="shared" si="9"/>
        <v>7</v>
      </c>
      <c r="W33" s="7">
        <v>12314</v>
      </c>
      <c r="X33" s="7">
        <v>12442</v>
      </c>
      <c r="Y33" s="7">
        <v>14747</v>
      </c>
      <c r="Z33" s="7">
        <v>15110</v>
      </c>
      <c r="AA33" s="7">
        <v>15011</v>
      </c>
      <c r="AB33" s="13"/>
    </row>
    <row r="34" spans="10:28" ht="16.5" customHeight="1" x14ac:dyDescent="0.3">
      <c r="J34" s="2">
        <v>30</v>
      </c>
      <c r="K34" s="41" t="s">
        <v>33</v>
      </c>
      <c r="L34" s="41" t="s">
        <v>31</v>
      </c>
      <c r="M34" s="41" t="s">
        <v>46</v>
      </c>
      <c r="N34" s="41" t="s">
        <v>33</v>
      </c>
      <c r="O34" s="41" t="s">
        <v>34</v>
      </c>
      <c r="Q34" s="17">
        <f t="shared" si="5"/>
        <v>8</v>
      </c>
      <c r="R34" s="17">
        <f t="shared" si="6"/>
        <v>6</v>
      </c>
      <c r="S34" s="17">
        <f t="shared" si="7"/>
        <v>16</v>
      </c>
      <c r="T34" s="17">
        <f t="shared" si="8"/>
        <v>8</v>
      </c>
      <c r="U34" s="17">
        <f t="shared" si="9"/>
        <v>9</v>
      </c>
      <c r="W34" s="7">
        <v>11914</v>
      </c>
      <c r="X34" s="7">
        <v>13984</v>
      </c>
      <c r="Y34" s="7">
        <v>15081</v>
      </c>
      <c r="Z34" s="7">
        <v>5811</v>
      </c>
      <c r="AA34" s="7">
        <v>15011</v>
      </c>
      <c r="AB34" s="13"/>
    </row>
    <row r="35" spans="10:28" ht="16.5" customHeight="1" x14ac:dyDescent="0.3">
      <c r="J35" s="2">
        <v>31</v>
      </c>
      <c r="K35" s="41" t="s">
        <v>35</v>
      </c>
      <c r="L35" s="41" t="s">
        <v>32</v>
      </c>
      <c r="M35" s="41" t="s">
        <v>31</v>
      </c>
      <c r="N35" s="41" t="s">
        <v>30</v>
      </c>
      <c r="O35" s="41" t="s">
        <v>33</v>
      </c>
      <c r="Q35" s="17">
        <f t="shared" si="5"/>
        <v>10</v>
      </c>
      <c r="R35" s="17">
        <f t="shared" si="6"/>
        <v>7</v>
      </c>
      <c r="S35" s="17">
        <f t="shared" si="7"/>
        <v>6</v>
      </c>
      <c r="T35" s="17">
        <f t="shared" si="8"/>
        <v>5</v>
      </c>
      <c r="U35" s="17">
        <f t="shared" si="9"/>
        <v>8</v>
      </c>
      <c r="W35" s="7">
        <v>13577</v>
      </c>
      <c r="X35" s="7">
        <v>12031</v>
      </c>
      <c r="Y35" s="7">
        <v>12871</v>
      </c>
      <c r="Z35" s="7">
        <v>6611</v>
      </c>
      <c r="AA35" s="7">
        <v>15236</v>
      </c>
      <c r="AB35" s="13"/>
    </row>
    <row r="36" spans="10:28" ht="16.5" customHeight="1" x14ac:dyDescent="0.3">
      <c r="J36" s="2">
        <v>32</v>
      </c>
      <c r="K36" s="41" t="s">
        <v>29</v>
      </c>
      <c r="L36" s="41" t="s">
        <v>35</v>
      </c>
      <c r="M36" s="41" t="s">
        <v>48</v>
      </c>
      <c r="N36" s="41" t="s">
        <v>29</v>
      </c>
      <c r="O36" s="41" t="s">
        <v>28</v>
      </c>
      <c r="Q36" s="17">
        <f t="shared" ref="Q36:Q67" si="10">IF(K36="","",VLOOKUP(K36,$A$4:$H$22,8,FALSE))</f>
        <v>4</v>
      </c>
      <c r="R36" s="17">
        <f t="shared" ref="R36:R67" si="11">IF(L36="","",VLOOKUP(L36,$A$4:$H$22,8,FALSE))</f>
        <v>10</v>
      </c>
      <c r="S36" s="17">
        <f t="shared" ref="S36:S67" si="12">IF(M36="","",VLOOKUP(M36,$A$4:$H$22,8,FALSE))</f>
        <v>17</v>
      </c>
      <c r="T36" s="17">
        <f t="shared" ref="T36:T67" si="13">IF(N36="","",VLOOKUP(N36,$A$4:$H$22,8,FALSE))</f>
        <v>4</v>
      </c>
      <c r="U36" s="17">
        <f t="shared" ref="U36:U67" si="14">IF(O36="","",VLOOKUP(O36,$A$4:$H$22,8,FALSE))</f>
        <v>3</v>
      </c>
      <c r="W36" s="7">
        <v>18382</v>
      </c>
      <c r="X36" s="7">
        <v>14293</v>
      </c>
      <c r="Y36" s="7">
        <v>17964</v>
      </c>
      <c r="Z36" s="7">
        <v>6336</v>
      </c>
      <c r="AA36" s="7">
        <v>14447</v>
      </c>
      <c r="AB36" s="13"/>
    </row>
    <row r="37" spans="10:28" ht="16.5" customHeight="1" x14ac:dyDescent="0.3">
      <c r="J37" s="2">
        <v>33</v>
      </c>
      <c r="K37" s="41" t="s">
        <v>28</v>
      </c>
      <c r="L37" s="41" t="s">
        <v>44</v>
      </c>
      <c r="M37" s="41" t="s">
        <v>29</v>
      </c>
      <c r="N37" s="41" t="s">
        <v>29</v>
      </c>
      <c r="O37" s="41" t="s">
        <v>29</v>
      </c>
      <c r="Q37" s="17">
        <f t="shared" si="10"/>
        <v>3</v>
      </c>
      <c r="R37" s="17">
        <f t="shared" si="11"/>
        <v>15</v>
      </c>
      <c r="S37" s="17">
        <f t="shared" si="12"/>
        <v>4</v>
      </c>
      <c r="T37" s="17">
        <f t="shared" si="13"/>
        <v>4</v>
      </c>
      <c r="U37" s="17">
        <f t="shared" si="14"/>
        <v>4</v>
      </c>
      <c r="W37" s="7">
        <v>14656</v>
      </c>
      <c r="X37" s="7">
        <v>13778</v>
      </c>
      <c r="Y37" s="7">
        <v>13964</v>
      </c>
      <c r="Z37" s="7">
        <v>17015</v>
      </c>
      <c r="AA37" s="7">
        <v>13168</v>
      </c>
      <c r="AB37" s="13"/>
    </row>
    <row r="38" spans="10:28" ht="16.5" customHeight="1" x14ac:dyDescent="0.3">
      <c r="J38" s="2">
        <v>34</v>
      </c>
      <c r="K38" s="41" t="s">
        <v>35</v>
      </c>
      <c r="L38" s="41" t="s">
        <v>31</v>
      </c>
      <c r="M38" s="41" t="s">
        <v>50</v>
      </c>
      <c r="N38" s="41" t="s">
        <v>36</v>
      </c>
      <c r="O38" s="41" t="s">
        <v>34</v>
      </c>
      <c r="Q38" s="17">
        <f t="shared" si="10"/>
        <v>10</v>
      </c>
      <c r="R38" s="17">
        <f t="shared" si="11"/>
        <v>6</v>
      </c>
      <c r="S38" s="17">
        <f t="shared" si="12"/>
        <v>18</v>
      </c>
      <c r="T38" s="17">
        <f t="shared" si="13"/>
        <v>11</v>
      </c>
      <c r="U38" s="17">
        <f t="shared" si="14"/>
        <v>9</v>
      </c>
      <c r="W38" s="7">
        <v>16339</v>
      </c>
      <c r="X38" s="7">
        <v>7401</v>
      </c>
      <c r="Y38" s="7">
        <v>14300</v>
      </c>
      <c r="Z38" s="7">
        <v>16145</v>
      </c>
      <c r="AA38" s="7">
        <v>12509</v>
      </c>
      <c r="AB38" s="13"/>
    </row>
    <row r="39" spans="10:28" ht="16.5" customHeight="1" x14ac:dyDescent="0.3">
      <c r="J39" s="2">
        <v>35</v>
      </c>
      <c r="K39" s="41" t="s">
        <v>26</v>
      </c>
      <c r="L39" s="41" t="s">
        <v>28</v>
      </c>
      <c r="M39" s="41" t="s">
        <v>40</v>
      </c>
      <c r="N39" s="41" t="s">
        <v>30</v>
      </c>
      <c r="O39" s="41" t="s">
        <v>28</v>
      </c>
      <c r="Q39" s="17">
        <f t="shared" si="10"/>
        <v>2</v>
      </c>
      <c r="R39" s="17">
        <f t="shared" si="11"/>
        <v>3</v>
      </c>
      <c r="S39" s="17">
        <f t="shared" si="12"/>
        <v>13</v>
      </c>
      <c r="T39" s="17">
        <f t="shared" si="13"/>
        <v>5</v>
      </c>
      <c r="U39" s="17">
        <f t="shared" si="14"/>
        <v>3</v>
      </c>
      <c r="W39" s="7">
        <v>15860</v>
      </c>
      <c r="X39" s="7">
        <v>5686</v>
      </c>
      <c r="Y39" s="7">
        <v>11954</v>
      </c>
      <c r="Z39" s="7">
        <v>16642</v>
      </c>
      <c r="AA39" s="7">
        <v>12979</v>
      </c>
      <c r="AB39" s="13"/>
    </row>
    <row r="40" spans="10:28" ht="16.5" customHeight="1" x14ac:dyDescent="0.3">
      <c r="J40" s="2">
        <v>36</v>
      </c>
      <c r="K40" s="41" t="s">
        <v>29</v>
      </c>
      <c r="L40" s="41" t="s">
        <v>46</v>
      </c>
      <c r="M40" s="41" t="s">
        <v>28</v>
      </c>
      <c r="N40" s="41" t="s">
        <v>33</v>
      </c>
      <c r="O40" s="41" t="s">
        <v>30</v>
      </c>
      <c r="Q40" s="17">
        <f t="shared" si="10"/>
        <v>4</v>
      </c>
      <c r="R40" s="17">
        <f t="shared" si="11"/>
        <v>16</v>
      </c>
      <c r="S40" s="17">
        <f t="shared" si="12"/>
        <v>3</v>
      </c>
      <c r="T40" s="17">
        <f t="shared" si="13"/>
        <v>8</v>
      </c>
      <c r="U40" s="17">
        <f t="shared" si="14"/>
        <v>5</v>
      </c>
      <c r="W40" s="7">
        <v>4549</v>
      </c>
      <c r="X40" s="7">
        <v>5333</v>
      </c>
      <c r="Y40" s="7">
        <v>13964</v>
      </c>
      <c r="Z40" s="7">
        <v>7131</v>
      </c>
      <c r="AA40" s="7">
        <v>16253</v>
      </c>
      <c r="AB40" s="13"/>
    </row>
    <row r="41" spans="10:28" ht="16.5" customHeight="1" x14ac:dyDescent="0.3">
      <c r="J41" s="2">
        <v>37</v>
      </c>
      <c r="K41" s="41" t="s">
        <v>33</v>
      </c>
      <c r="L41" s="41" t="s">
        <v>33</v>
      </c>
      <c r="M41" s="41" t="s">
        <v>30</v>
      </c>
      <c r="N41" s="41" t="s">
        <v>48</v>
      </c>
      <c r="O41" s="41" t="s">
        <v>28</v>
      </c>
      <c r="Q41" s="17">
        <f t="shared" si="10"/>
        <v>8</v>
      </c>
      <c r="R41" s="17">
        <f t="shared" si="11"/>
        <v>8</v>
      </c>
      <c r="S41" s="17">
        <f t="shared" si="12"/>
        <v>5</v>
      </c>
      <c r="T41" s="17">
        <f t="shared" si="13"/>
        <v>17</v>
      </c>
      <c r="U41" s="17">
        <f t="shared" si="14"/>
        <v>3</v>
      </c>
      <c r="W41" s="7">
        <v>5833</v>
      </c>
      <c r="X41" s="7">
        <v>6171</v>
      </c>
      <c r="Y41" s="7">
        <v>9198</v>
      </c>
      <c r="Z41" s="7">
        <v>6296</v>
      </c>
      <c r="AA41" s="7">
        <v>13883</v>
      </c>
      <c r="AB41" s="13"/>
    </row>
    <row r="42" spans="10:28" ht="16.5" customHeight="1" x14ac:dyDescent="0.3">
      <c r="J42" s="2">
        <v>38</v>
      </c>
      <c r="K42" s="41" t="s">
        <v>29</v>
      </c>
      <c r="L42" s="41" t="s">
        <v>40</v>
      </c>
      <c r="M42" s="41" t="s">
        <v>34</v>
      </c>
      <c r="N42" s="41" t="s">
        <v>31</v>
      </c>
      <c r="O42" s="41" t="s">
        <v>30</v>
      </c>
      <c r="Q42" s="17">
        <f t="shared" si="10"/>
        <v>4</v>
      </c>
      <c r="R42" s="17">
        <f t="shared" si="11"/>
        <v>13</v>
      </c>
      <c r="S42" s="17">
        <f t="shared" si="12"/>
        <v>9</v>
      </c>
      <c r="T42" s="17">
        <f t="shared" si="13"/>
        <v>6</v>
      </c>
      <c r="U42" s="17">
        <f t="shared" si="14"/>
        <v>5</v>
      </c>
      <c r="W42" s="7">
        <v>6350</v>
      </c>
      <c r="X42" s="7">
        <v>7455</v>
      </c>
      <c r="Y42" s="7">
        <v>10017</v>
      </c>
      <c r="Z42" s="7">
        <v>5143</v>
      </c>
      <c r="AA42" s="7">
        <v>16817</v>
      </c>
      <c r="AB42" s="13"/>
    </row>
    <row r="43" spans="10:28" ht="16.5" customHeight="1" x14ac:dyDescent="0.3">
      <c r="J43" s="2">
        <v>39</v>
      </c>
      <c r="K43" s="41" t="s">
        <v>29</v>
      </c>
      <c r="L43" s="41" t="s">
        <v>30</v>
      </c>
      <c r="M43" s="41" t="s">
        <v>44</v>
      </c>
      <c r="N43" s="41" t="s">
        <v>42</v>
      </c>
      <c r="O43" s="41" t="s">
        <v>35</v>
      </c>
      <c r="Q43" s="17">
        <f t="shared" si="10"/>
        <v>4</v>
      </c>
      <c r="R43" s="17">
        <f t="shared" si="11"/>
        <v>5</v>
      </c>
      <c r="S43" s="17">
        <f t="shared" si="12"/>
        <v>15</v>
      </c>
      <c r="T43" s="17">
        <f t="shared" si="13"/>
        <v>14</v>
      </c>
      <c r="U43" s="17">
        <f t="shared" si="14"/>
        <v>10</v>
      </c>
      <c r="W43" s="7">
        <v>6746</v>
      </c>
      <c r="X43" s="7">
        <v>15547</v>
      </c>
      <c r="Y43" s="7">
        <v>10167</v>
      </c>
      <c r="Z43" s="7">
        <v>13350</v>
      </c>
      <c r="AA43" s="7">
        <v>14447</v>
      </c>
      <c r="AB43" s="13"/>
    </row>
    <row r="44" spans="10:28" ht="16.5" customHeight="1" x14ac:dyDescent="0.3">
      <c r="J44" s="2">
        <v>40</v>
      </c>
      <c r="K44" s="41" t="s">
        <v>32</v>
      </c>
      <c r="L44" s="41" t="s">
        <v>29</v>
      </c>
      <c r="M44" s="41" t="s">
        <v>34</v>
      </c>
      <c r="N44" s="41" t="s">
        <v>33</v>
      </c>
      <c r="O44" s="41" t="s">
        <v>31</v>
      </c>
      <c r="Q44" s="17">
        <f t="shared" si="10"/>
        <v>7</v>
      </c>
      <c r="R44" s="17">
        <f t="shared" si="11"/>
        <v>4</v>
      </c>
      <c r="S44" s="17">
        <f t="shared" si="12"/>
        <v>9</v>
      </c>
      <c r="T44" s="17">
        <f t="shared" si="13"/>
        <v>8</v>
      </c>
      <c r="U44" s="17">
        <f t="shared" si="14"/>
        <v>6</v>
      </c>
      <c r="W44" s="7">
        <v>5447</v>
      </c>
      <c r="X44" s="7">
        <v>16164</v>
      </c>
      <c r="Y44" s="7">
        <v>3160</v>
      </c>
      <c r="Z44" s="7">
        <v>16394</v>
      </c>
      <c r="AA44" s="7">
        <v>16591</v>
      </c>
      <c r="AB44" s="13"/>
    </row>
    <row r="45" spans="10:28" ht="16.5" customHeight="1" x14ac:dyDescent="0.3">
      <c r="J45" s="2">
        <v>41</v>
      </c>
      <c r="K45" s="41" t="s">
        <v>32</v>
      </c>
      <c r="L45" s="41" t="s">
        <v>32</v>
      </c>
      <c r="M45" s="41" t="s">
        <v>35</v>
      </c>
      <c r="N45" s="41" t="s">
        <v>29</v>
      </c>
      <c r="O45" s="41" t="s">
        <v>28</v>
      </c>
      <c r="Q45" s="17">
        <f t="shared" si="10"/>
        <v>7</v>
      </c>
      <c r="R45" s="17">
        <f t="shared" si="11"/>
        <v>7</v>
      </c>
      <c r="S45" s="17">
        <f t="shared" si="12"/>
        <v>10</v>
      </c>
      <c r="T45" s="17">
        <f t="shared" si="13"/>
        <v>4</v>
      </c>
      <c r="U45" s="17">
        <f t="shared" si="14"/>
        <v>3</v>
      </c>
      <c r="W45" s="7">
        <v>4935</v>
      </c>
      <c r="X45" s="7">
        <v>16656</v>
      </c>
      <c r="Y45" s="7">
        <v>6370</v>
      </c>
      <c r="Z45" s="7">
        <v>14778</v>
      </c>
      <c r="AA45" s="7">
        <v>15464</v>
      </c>
      <c r="AB45" s="13"/>
    </row>
    <row r="46" spans="10:28" ht="16.5" customHeight="1" x14ac:dyDescent="0.3">
      <c r="J46" s="2">
        <v>42</v>
      </c>
      <c r="K46" s="41" t="s">
        <v>31</v>
      </c>
      <c r="L46" s="41" t="s">
        <v>29</v>
      </c>
      <c r="M46" s="41" t="s">
        <v>48</v>
      </c>
      <c r="N46" s="41" t="s">
        <v>46</v>
      </c>
      <c r="O46" s="41" t="s">
        <v>32</v>
      </c>
      <c r="Q46" s="17">
        <f t="shared" si="10"/>
        <v>6</v>
      </c>
      <c r="R46" s="17">
        <f t="shared" si="11"/>
        <v>4</v>
      </c>
      <c r="S46" s="17">
        <f t="shared" si="12"/>
        <v>17</v>
      </c>
      <c r="T46" s="17">
        <f t="shared" si="13"/>
        <v>16</v>
      </c>
      <c r="U46" s="17">
        <f t="shared" si="14"/>
        <v>7</v>
      </c>
      <c r="W46" s="7">
        <v>4976</v>
      </c>
      <c r="X46" s="7">
        <v>4491</v>
      </c>
      <c r="Y46" s="7">
        <v>5697</v>
      </c>
      <c r="Z46" s="7">
        <v>7239</v>
      </c>
      <c r="AA46" s="7">
        <v>14899</v>
      </c>
      <c r="AB46" s="13"/>
    </row>
    <row r="47" spans="10:28" ht="16.5" customHeight="1" x14ac:dyDescent="0.3">
      <c r="J47" s="2">
        <v>43</v>
      </c>
      <c r="K47" s="41" t="s">
        <v>31</v>
      </c>
      <c r="L47" s="41" t="s">
        <v>32</v>
      </c>
      <c r="M47" s="41" t="s">
        <v>34</v>
      </c>
      <c r="N47" s="41" t="s">
        <v>30</v>
      </c>
      <c r="O47" s="41" t="s">
        <v>34</v>
      </c>
      <c r="Q47" s="17">
        <f t="shared" si="10"/>
        <v>6</v>
      </c>
      <c r="R47" s="17">
        <f t="shared" si="11"/>
        <v>7</v>
      </c>
      <c r="S47" s="17">
        <f t="shared" si="12"/>
        <v>9</v>
      </c>
      <c r="T47" s="17">
        <f t="shared" si="13"/>
        <v>5</v>
      </c>
      <c r="U47" s="17">
        <f t="shared" si="14"/>
        <v>9</v>
      </c>
      <c r="W47" s="7">
        <v>15138</v>
      </c>
      <c r="X47" s="7">
        <v>6975</v>
      </c>
      <c r="Y47" s="7">
        <v>7929</v>
      </c>
      <c r="Z47" s="7">
        <v>6522</v>
      </c>
      <c r="AA47" s="7">
        <v>15236</v>
      </c>
      <c r="AB47" s="13"/>
    </row>
    <row r="48" spans="10:28" ht="16.5" customHeight="1" x14ac:dyDescent="0.3">
      <c r="J48" s="2">
        <v>44</v>
      </c>
      <c r="K48" s="41" t="s">
        <v>33</v>
      </c>
      <c r="L48" s="41" t="s">
        <v>29</v>
      </c>
      <c r="M48" s="41" t="s">
        <v>30</v>
      </c>
      <c r="N48" s="41" t="s">
        <v>33</v>
      </c>
      <c r="O48" s="41" t="s">
        <v>33</v>
      </c>
      <c r="Q48" s="17">
        <f t="shared" si="10"/>
        <v>8</v>
      </c>
      <c r="R48" s="17">
        <f t="shared" si="11"/>
        <v>4</v>
      </c>
      <c r="S48" s="17">
        <f t="shared" si="12"/>
        <v>5</v>
      </c>
      <c r="T48" s="17">
        <f t="shared" si="13"/>
        <v>8</v>
      </c>
      <c r="U48" s="17">
        <f t="shared" si="14"/>
        <v>8</v>
      </c>
      <c r="W48" s="7">
        <v>13315</v>
      </c>
      <c r="X48" s="7">
        <v>9288</v>
      </c>
      <c r="Y48" s="7">
        <v>8505</v>
      </c>
      <c r="Z48" s="7">
        <v>5899</v>
      </c>
      <c r="AA48" s="7">
        <v>14729</v>
      </c>
      <c r="AB48" s="13"/>
    </row>
    <row r="49" spans="10:28" ht="16.5" customHeight="1" x14ac:dyDescent="0.3">
      <c r="J49" s="2">
        <v>45</v>
      </c>
      <c r="K49" s="41" t="s">
        <v>28</v>
      </c>
      <c r="L49" s="41" t="s">
        <v>32</v>
      </c>
      <c r="M49" s="41" t="s">
        <v>31</v>
      </c>
      <c r="N49" s="41" t="s">
        <v>33</v>
      </c>
      <c r="O49" s="41" t="s">
        <v>31</v>
      </c>
      <c r="Q49" s="17">
        <f t="shared" si="10"/>
        <v>3</v>
      </c>
      <c r="R49" s="17">
        <f t="shared" si="11"/>
        <v>7</v>
      </c>
      <c r="S49" s="17">
        <f t="shared" si="12"/>
        <v>6</v>
      </c>
      <c r="T49" s="17">
        <f t="shared" si="13"/>
        <v>8</v>
      </c>
      <c r="U49" s="17">
        <f t="shared" si="14"/>
        <v>6</v>
      </c>
      <c r="W49" s="7">
        <v>14116</v>
      </c>
      <c r="X49" s="7">
        <v>7198</v>
      </c>
      <c r="Y49" s="7">
        <v>5514</v>
      </c>
      <c r="Z49" s="7">
        <v>1266</v>
      </c>
      <c r="AA49" s="7">
        <v>15124</v>
      </c>
      <c r="AB49" s="13"/>
    </row>
    <row r="50" spans="10:28" ht="16.5" customHeight="1" x14ac:dyDescent="0.3">
      <c r="J50" s="2">
        <v>46</v>
      </c>
      <c r="K50" s="41" t="s">
        <v>35</v>
      </c>
      <c r="L50" s="41" t="s">
        <v>31</v>
      </c>
      <c r="M50" s="41" t="s">
        <v>42</v>
      </c>
      <c r="N50" s="41" t="s">
        <v>33</v>
      </c>
      <c r="O50" s="41" t="s">
        <v>32</v>
      </c>
      <c r="Q50" s="17">
        <f t="shared" si="10"/>
        <v>10</v>
      </c>
      <c r="R50" s="17">
        <f t="shared" si="11"/>
        <v>6</v>
      </c>
      <c r="S50" s="17">
        <f t="shared" si="12"/>
        <v>14</v>
      </c>
      <c r="T50" s="17">
        <f t="shared" si="13"/>
        <v>8</v>
      </c>
      <c r="U50" s="17">
        <f t="shared" si="14"/>
        <v>7</v>
      </c>
      <c r="W50" s="7">
        <v>6606</v>
      </c>
      <c r="X50" s="7">
        <v>6888</v>
      </c>
      <c r="Y50" s="7">
        <v>3589</v>
      </c>
      <c r="Z50" s="7">
        <v>2949</v>
      </c>
      <c r="AA50" s="7">
        <v>15350</v>
      </c>
      <c r="AB50" s="13"/>
    </row>
    <row r="51" spans="10:28" ht="16.5" customHeight="1" x14ac:dyDescent="0.3">
      <c r="J51" s="2">
        <v>47</v>
      </c>
      <c r="K51" s="41" t="s">
        <v>29</v>
      </c>
      <c r="L51" s="41" t="s">
        <v>29</v>
      </c>
      <c r="M51" s="41" t="s">
        <v>31</v>
      </c>
      <c r="N51" s="41" t="s">
        <v>34</v>
      </c>
      <c r="O51" s="41" t="s">
        <v>35</v>
      </c>
      <c r="Q51" s="17">
        <f t="shared" si="10"/>
        <v>4</v>
      </c>
      <c r="R51" s="17">
        <f t="shared" si="11"/>
        <v>4</v>
      </c>
      <c r="S51" s="17">
        <f t="shared" si="12"/>
        <v>6</v>
      </c>
      <c r="T51" s="17">
        <f t="shared" si="13"/>
        <v>9</v>
      </c>
      <c r="U51" s="17">
        <f t="shared" si="14"/>
        <v>10</v>
      </c>
      <c r="W51" s="7">
        <v>6094</v>
      </c>
      <c r="X51" s="7">
        <v>7198</v>
      </c>
      <c r="Y51" s="7">
        <v>6653</v>
      </c>
      <c r="Z51" s="7">
        <v>2949</v>
      </c>
      <c r="AA51" s="7">
        <v>15124</v>
      </c>
      <c r="AB51" s="13"/>
    </row>
    <row r="52" spans="10:28" ht="16.5" customHeight="1" x14ac:dyDescent="0.3">
      <c r="J52" s="2">
        <v>48</v>
      </c>
      <c r="K52" s="41" t="s">
        <v>32</v>
      </c>
      <c r="L52" s="41" t="s">
        <v>32</v>
      </c>
      <c r="M52" s="41" t="s">
        <v>34</v>
      </c>
      <c r="N52" s="41" t="s">
        <v>42</v>
      </c>
      <c r="O52" s="41" t="s">
        <v>32</v>
      </c>
      <c r="Q52" s="17">
        <f t="shared" si="10"/>
        <v>7</v>
      </c>
      <c r="R52" s="17">
        <f t="shared" si="11"/>
        <v>7</v>
      </c>
      <c r="S52" s="17">
        <f t="shared" si="12"/>
        <v>9</v>
      </c>
      <c r="T52" s="17">
        <f t="shared" si="13"/>
        <v>14</v>
      </c>
      <c r="U52" s="17">
        <f t="shared" si="14"/>
        <v>7</v>
      </c>
      <c r="W52" s="7">
        <v>6902</v>
      </c>
      <c r="X52" s="7">
        <v>4505</v>
      </c>
      <c r="Y52" s="7">
        <v>5889</v>
      </c>
      <c r="Z52" s="7">
        <v>2949</v>
      </c>
      <c r="AA52" s="7">
        <v>13430</v>
      </c>
      <c r="AB52" s="13"/>
    </row>
    <row r="53" spans="10:28" ht="16.5" customHeight="1" x14ac:dyDescent="0.3">
      <c r="J53" s="2">
        <v>49</v>
      </c>
      <c r="K53" s="41" t="s">
        <v>32</v>
      </c>
      <c r="L53" s="41" t="s">
        <v>31</v>
      </c>
      <c r="M53" s="41" t="s">
        <v>34</v>
      </c>
      <c r="N53" s="41" t="s">
        <v>33</v>
      </c>
      <c r="O53" s="41" t="s">
        <v>30</v>
      </c>
      <c r="Q53" s="17">
        <f t="shared" si="10"/>
        <v>7</v>
      </c>
      <c r="R53" s="17">
        <f t="shared" si="11"/>
        <v>6</v>
      </c>
      <c r="S53" s="17">
        <f t="shared" si="12"/>
        <v>9</v>
      </c>
      <c r="T53" s="17">
        <f t="shared" si="13"/>
        <v>8</v>
      </c>
      <c r="U53" s="17">
        <f t="shared" si="14"/>
        <v>5</v>
      </c>
      <c r="W53" s="7">
        <v>16099</v>
      </c>
      <c r="X53" s="7">
        <v>2049</v>
      </c>
      <c r="Y53" s="7">
        <v>8391</v>
      </c>
      <c r="Z53" s="7">
        <v>1266</v>
      </c>
      <c r="AA53" s="7">
        <v>15464</v>
      </c>
      <c r="AB53" s="13"/>
    </row>
    <row r="54" spans="10:28" ht="16.5" customHeight="1" x14ac:dyDescent="0.3">
      <c r="J54" s="2">
        <v>50</v>
      </c>
      <c r="K54" s="41" t="s">
        <v>31</v>
      </c>
      <c r="L54" s="41" t="s">
        <v>32</v>
      </c>
      <c r="M54" s="41" t="s">
        <v>32</v>
      </c>
      <c r="N54" s="41" t="s">
        <v>30</v>
      </c>
      <c r="O54" s="41" t="s">
        <v>34</v>
      </c>
      <c r="Q54" s="17">
        <f t="shared" si="10"/>
        <v>6</v>
      </c>
      <c r="R54" s="17">
        <f t="shared" si="11"/>
        <v>7</v>
      </c>
      <c r="S54" s="17">
        <f t="shared" si="12"/>
        <v>7</v>
      </c>
      <c r="T54" s="17">
        <f t="shared" si="13"/>
        <v>5</v>
      </c>
      <c r="U54" s="17">
        <f t="shared" si="14"/>
        <v>9</v>
      </c>
      <c r="W54" s="7">
        <v>7930</v>
      </c>
      <c r="X54" s="7">
        <v>2049</v>
      </c>
      <c r="Y54" s="7">
        <v>7988</v>
      </c>
      <c r="Z54" s="7">
        <v>1266</v>
      </c>
      <c r="AA54" s="7">
        <v>5321</v>
      </c>
      <c r="AB54" s="13"/>
    </row>
    <row r="55" spans="10:28" ht="16.5" customHeight="1" x14ac:dyDescent="0.3">
      <c r="J55" s="2">
        <v>51</v>
      </c>
      <c r="K55" s="41" t="s">
        <v>32</v>
      </c>
      <c r="L55" s="41" t="s">
        <v>32</v>
      </c>
      <c r="M55" s="41" t="s">
        <v>32</v>
      </c>
      <c r="N55" s="41" t="s">
        <v>34</v>
      </c>
      <c r="O55" s="41" t="s">
        <v>30</v>
      </c>
      <c r="Q55" s="17">
        <f t="shared" si="10"/>
        <v>7</v>
      </c>
      <c r="R55" s="17">
        <f t="shared" si="11"/>
        <v>7</v>
      </c>
      <c r="S55" s="17">
        <f t="shared" si="12"/>
        <v>7</v>
      </c>
      <c r="T55" s="17">
        <f t="shared" si="13"/>
        <v>9</v>
      </c>
      <c r="U55" s="17">
        <f t="shared" si="14"/>
        <v>5</v>
      </c>
      <c r="W55" s="7">
        <v>7519</v>
      </c>
      <c r="X55" s="7">
        <v>2049</v>
      </c>
      <c r="Y55" s="7">
        <v>17696</v>
      </c>
      <c r="Z55" s="7">
        <v>1266</v>
      </c>
      <c r="AA55" s="7">
        <v>4475</v>
      </c>
      <c r="AB55" s="13"/>
    </row>
    <row r="56" spans="10:28" ht="16.5" customHeight="1" x14ac:dyDescent="0.3">
      <c r="J56" s="2">
        <v>52</v>
      </c>
      <c r="K56" s="41" t="s">
        <v>35</v>
      </c>
      <c r="L56" s="41" t="s">
        <v>31</v>
      </c>
      <c r="M56" s="41" t="s">
        <v>28</v>
      </c>
      <c r="N56" s="41" t="s">
        <v>34</v>
      </c>
      <c r="O56" s="41" t="s">
        <v>28</v>
      </c>
      <c r="Q56" s="17">
        <f t="shared" si="10"/>
        <v>10</v>
      </c>
      <c r="R56" s="17">
        <f t="shared" si="11"/>
        <v>6</v>
      </c>
      <c r="S56" s="17">
        <f t="shared" si="12"/>
        <v>3</v>
      </c>
      <c r="T56" s="17">
        <f t="shared" si="13"/>
        <v>9</v>
      </c>
      <c r="U56" s="17">
        <f t="shared" si="14"/>
        <v>3</v>
      </c>
      <c r="W56" s="7">
        <v>6179</v>
      </c>
      <c r="X56" s="7">
        <v>2049</v>
      </c>
      <c r="Y56" s="7">
        <v>5268</v>
      </c>
      <c r="Z56" s="7">
        <v>1266</v>
      </c>
      <c r="AA56" s="7">
        <v>5279</v>
      </c>
      <c r="AB56" s="13"/>
    </row>
    <row r="57" spans="10:28" ht="16.5" customHeight="1" x14ac:dyDescent="0.3">
      <c r="J57" s="2">
        <v>53</v>
      </c>
      <c r="K57" s="41" t="s">
        <v>35</v>
      </c>
      <c r="L57" s="41" t="s">
        <v>32</v>
      </c>
      <c r="M57" s="41" t="s">
        <v>46</v>
      </c>
      <c r="N57" s="41" t="s">
        <v>40</v>
      </c>
      <c r="O57" s="41" t="s">
        <v>28</v>
      </c>
      <c r="Q57" s="17">
        <f t="shared" si="10"/>
        <v>10</v>
      </c>
      <c r="R57" s="17">
        <f t="shared" si="11"/>
        <v>7</v>
      </c>
      <c r="S57" s="17">
        <f t="shared" si="12"/>
        <v>16</v>
      </c>
      <c r="T57" s="17">
        <f t="shared" si="13"/>
        <v>13</v>
      </c>
      <c r="U57" s="17">
        <f t="shared" si="14"/>
        <v>3</v>
      </c>
      <c r="W57" s="7">
        <v>15860</v>
      </c>
      <c r="X57" s="7">
        <v>2049</v>
      </c>
      <c r="Y57" s="7">
        <v>5935</v>
      </c>
      <c r="Z57" s="7">
        <v>1266</v>
      </c>
      <c r="AA57" s="7">
        <v>5121</v>
      </c>
      <c r="AB57" s="13"/>
    </row>
    <row r="58" spans="10:28" ht="16.5" customHeight="1" x14ac:dyDescent="0.3">
      <c r="J58" s="2">
        <v>54</v>
      </c>
      <c r="K58" s="41" t="s">
        <v>32</v>
      </c>
      <c r="L58" s="41" t="s">
        <v>32</v>
      </c>
      <c r="M58" s="41" t="s">
        <v>34</v>
      </c>
      <c r="N58" s="41" t="s">
        <v>33</v>
      </c>
      <c r="O58" s="41" t="s">
        <v>28</v>
      </c>
      <c r="Q58" s="17">
        <f t="shared" si="10"/>
        <v>7</v>
      </c>
      <c r="R58" s="17">
        <f t="shared" si="11"/>
        <v>7</v>
      </c>
      <c r="S58" s="17">
        <f t="shared" si="12"/>
        <v>9</v>
      </c>
      <c r="T58" s="17">
        <f t="shared" si="13"/>
        <v>8</v>
      </c>
      <c r="U58" s="17">
        <f t="shared" si="14"/>
        <v>3</v>
      </c>
      <c r="W58" s="7">
        <v>17901</v>
      </c>
      <c r="X58" s="7">
        <v>2049</v>
      </c>
      <c r="Y58" s="7">
        <v>6466</v>
      </c>
      <c r="Z58" s="7">
        <v>1266</v>
      </c>
      <c r="AA58" s="7">
        <v>12417</v>
      </c>
      <c r="AB58" s="13"/>
    </row>
    <row r="59" spans="10:28" ht="16.5" customHeight="1" x14ac:dyDescent="0.3">
      <c r="J59" s="2">
        <v>55</v>
      </c>
      <c r="K59" s="41" t="s">
        <v>28</v>
      </c>
      <c r="L59" s="41" t="s">
        <v>32</v>
      </c>
      <c r="M59" s="41" t="s">
        <v>34</v>
      </c>
      <c r="N59" s="41" t="s">
        <v>33</v>
      </c>
      <c r="O59" s="41" t="s">
        <v>34</v>
      </c>
      <c r="Q59" s="17">
        <f t="shared" si="10"/>
        <v>3</v>
      </c>
      <c r="R59" s="17">
        <f t="shared" si="11"/>
        <v>7</v>
      </c>
      <c r="S59" s="17">
        <f t="shared" si="12"/>
        <v>9</v>
      </c>
      <c r="T59" s="17">
        <f t="shared" si="13"/>
        <v>8</v>
      </c>
      <c r="U59" s="17">
        <f t="shared" si="14"/>
        <v>9</v>
      </c>
      <c r="W59" s="7">
        <v>14416</v>
      </c>
      <c r="X59" s="7">
        <v>2049</v>
      </c>
      <c r="Y59" s="7">
        <v>14077</v>
      </c>
      <c r="Z59" s="7">
        <v>13868</v>
      </c>
      <c r="AA59" s="7">
        <v>15350</v>
      </c>
      <c r="AB59" s="13"/>
    </row>
    <row r="60" spans="10:28" ht="16.5" customHeight="1" x14ac:dyDescent="0.3">
      <c r="J60" s="2">
        <v>56</v>
      </c>
      <c r="K60" s="41" t="s">
        <v>33</v>
      </c>
      <c r="L60" s="41" t="s">
        <v>32</v>
      </c>
      <c r="M60" s="41" t="s">
        <v>35</v>
      </c>
      <c r="N60" s="41" t="s">
        <v>34</v>
      </c>
      <c r="O60" s="41" t="s">
        <v>29</v>
      </c>
      <c r="Q60" s="17">
        <f t="shared" si="10"/>
        <v>8</v>
      </c>
      <c r="R60" s="17">
        <f t="shared" si="11"/>
        <v>7</v>
      </c>
      <c r="S60" s="17">
        <f t="shared" si="12"/>
        <v>10</v>
      </c>
      <c r="T60" s="17">
        <f t="shared" si="13"/>
        <v>9</v>
      </c>
      <c r="U60" s="17">
        <f t="shared" si="14"/>
        <v>4</v>
      </c>
      <c r="W60" s="7">
        <v>16820</v>
      </c>
      <c r="X60" s="7">
        <v>4776</v>
      </c>
      <c r="Y60" s="7">
        <v>15819</v>
      </c>
      <c r="Z60" s="7">
        <v>7814</v>
      </c>
      <c r="AA60" s="7">
        <v>7303</v>
      </c>
      <c r="AB60" s="13"/>
    </row>
    <row r="61" spans="10:28" ht="15.6" customHeight="1" x14ac:dyDescent="0.3">
      <c r="J61" s="2">
        <v>57</v>
      </c>
      <c r="K61" s="41" t="s">
        <v>31</v>
      </c>
      <c r="L61" s="41" t="s">
        <v>34</v>
      </c>
      <c r="M61" s="41" t="s">
        <v>33</v>
      </c>
      <c r="N61" s="41" t="s">
        <v>33</v>
      </c>
      <c r="O61" s="41" t="s">
        <v>32</v>
      </c>
      <c r="Q61" s="17">
        <f t="shared" si="10"/>
        <v>6</v>
      </c>
      <c r="R61" s="17">
        <f t="shared" si="11"/>
        <v>9</v>
      </c>
      <c r="S61" s="17">
        <f t="shared" si="12"/>
        <v>8</v>
      </c>
      <c r="T61" s="17">
        <f t="shared" si="13"/>
        <v>8</v>
      </c>
      <c r="U61" s="17">
        <f t="shared" si="14"/>
        <v>7</v>
      </c>
      <c r="W61" s="7">
        <v>7478</v>
      </c>
      <c r="X61" s="7">
        <v>4776</v>
      </c>
      <c r="Y61" s="7">
        <v>17294</v>
      </c>
      <c r="Z61" s="7">
        <v>8693</v>
      </c>
      <c r="AA61" s="7">
        <v>5852</v>
      </c>
      <c r="AB61" s="13"/>
    </row>
    <row r="62" spans="10:28" ht="15.6" customHeight="1" x14ac:dyDescent="0.3">
      <c r="J62" s="2">
        <v>58</v>
      </c>
      <c r="K62" s="41" t="s">
        <v>34</v>
      </c>
      <c r="L62" s="41" t="s">
        <v>31</v>
      </c>
      <c r="M62" s="41" t="s">
        <v>26</v>
      </c>
      <c r="N62" s="41" t="s">
        <v>35</v>
      </c>
      <c r="O62" s="41" t="s">
        <v>35</v>
      </c>
      <c r="Q62" s="17">
        <f t="shared" si="10"/>
        <v>9</v>
      </c>
      <c r="R62" s="17">
        <f t="shared" si="11"/>
        <v>6</v>
      </c>
      <c r="S62" s="17">
        <f t="shared" si="12"/>
        <v>2</v>
      </c>
      <c r="T62" s="17">
        <f t="shared" si="13"/>
        <v>10</v>
      </c>
      <c r="U62" s="17">
        <f t="shared" si="14"/>
        <v>10</v>
      </c>
      <c r="W62" s="7">
        <v>14296</v>
      </c>
      <c r="X62" s="7">
        <v>8774</v>
      </c>
      <c r="Y62" s="7">
        <v>17294</v>
      </c>
      <c r="Z62" s="7">
        <v>3435</v>
      </c>
      <c r="AA62" s="7">
        <v>4643</v>
      </c>
      <c r="AB62" s="13"/>
    </row>
    <row r="63" spans="10:28" ht="16.5" customHeight="1" x14ac:dyDescent="0.3">
      <c r="J63" s="2">
        <v>59</v>
      </c>
      <c r="K63" s="41" t="s">
        <v>29</v>
      </c>
      <c r="L63" s="41" t="s">
        <v>44</v>
      </c>
      <c r="M63" s="41" t="s">
        <v>34</v>
      </c>
      <c r="N63" s="41" t="s">
        <v>26</v>
      </c>
      <c r="O63" s="41" t="s">
        <v>35</v>
      </c>
      <c r="Q63" s="17">
        <f t="shared" si="10"/>
        <v>4</v>
      </c>
      <c r="R63" s="17">
        <f t="shared" si="11"/>
        <v>15</v>
      </c>
      <c r="S63" s="17">
        <f t="shared" si="12"/>
        <v>9</v>
      </c>
      <c r="T63" s="17">
        <f t="shared" si="13"/>
        <v>2</v>
      </c>
      <c r="U63" s="17">
        <f t="shared" si="14"/>
        <v>10</v>
      </c>
      <c r="W63" s="7">
        <v>15738</v>
      </c>
      <c r="X63" s="7">
        <v>6127</v>
      </c>
      <c r="Y63" s="7">
        <v>20511</v>
      </c>
      <c r="Z63" s="7">
        <v>3990</v>
      </c>
      <c r="AA63" s="7">
        <v>15124</v>
      </c>
      <c r="AB63" s="13"/>
    </row>
    <row r="64" spans="10:28" ht="16.5" customHeight="1" x14ac:dyDescent="0.3">
      <c r="J64" s="2">
        <v>60</v>
      </c>
      <c r="K64" s="41" t="s">
        <v>30</v>
      </c>
      <c r="L64" s="41" t="s">
        <v>28</v>
      </c>
      <c r="M64" s="41" t="s">
        <v>33</v>
      </c>
      <c r="N64" s="41" t="s">
        <v>33</v>
      </c>
      <c r="O64" s="41" t="s">
        <v>34</v>
      </c>
      <c r="Q64" s="17">
        <f t="shared" si="10"/>
        <v>5</v>
      </c>
      <c r="R64" s="17">
        <f t="shared" si="11"/>
        <v>3</v>
      </c>
      <c r="S64" s="17">
        <f t="shared" si="12"/>
        <v>8</v>
      </c>
      <c r="T64" s="17">
        <f t="shared" si="13"/>
        <v>8</v>
      </c>
      <c r="U64" s="17">
        <f t="shared" si="14"/>
        <v>9</v>
      </c>
      <c r="W64" s="7">
        <v>7569</v>
      </c>
      <c r="X64" s="7">
        <v>6450</v>
      </c>
      <c r="Y64" s="7">
        <v>17830</v>
      </c>
      <c r="Z64" s="7">
        <v>4216</v>
      </c>
      <c r="AA64" s="7">
        <v>14899</v>
      </c>
      <c r="AB64" s="13"/>
    </row>
    <row r="65" spans="10:28" ht="16.5" customHeight="1" x14ac:dyDescent="0.3">
      <c r="J65" s="2">
        <v>61</v>
      </c>
      <c r="K65" s="41" t="s">
        <v>26</v>
      </c>
      <c r="L65" s="41" t="s">
        <v>32</v>
      </c>
      <c r="M65" s="41" t="s">
        <v>31</v>
      </c>
      <c r="N65" s="41" t="s">
        <v>33</v>
      </c>
      <c r="O65" s="41" t="s">
        <v>32</v>
      </c>
      <c r="Q65" s="17">
        <f t="shared" si="10"/>
        <v>2</v>
      </c>
      <c r="R65" s="17">
        <f t="shared" si="11"/>
        <v>7</v>
      </c>
      <c r="S65" s="17">
        <f t="shared" si="12"/>
        <v>6</v>
      </c>
      <c r="T65" s="17">
        <f t="shared" si="13"/>
        <v>8</v>
      </c>
      <c r="U65" s="17">
        <f t="shared" si="14"/>
        <v>7</v>
      </c>
      <c r="W65" s="7">
        <v>5613</v>
      </c>
      <c r="X65" s="7">
        <v>7666</v>
      </c>
      <c r="Y65" s="7">
        <v>14635</v>
      </c>
      <c r="Z65" s="7">
        <v>7297</v>
      </c>
      <c r="AA65" s="7">
        <v>15575</v>
      </c>
      <c r="AB65" s="13"/>
    </row>
    <row r="66" spans="10:28" ht="16.5" customHeight="1" x14ac:dyDescent="0.3">
      <c r="J66" s="2">
        <v>62</v>
      </c>
      <c r="K66" s="41" t="s">
        <v>32</v>
      </c>
      <c r="L66" s="41" t="s">
        <v>32</v>
      </c>
      <c r="M66" s="41" t="s">
        <v>50</v>
      </c>
      <c r="N66" s="41" t="s">
        <v>31</v>
      </c>
      <c r="O66" s="41" t="s">
        <v>35</v>
      </c>
      <c r="Q66" s="17">
        <f t="shared" si="10"/>
        <v>7</v>
      </c>
      <c r="R66" s="17">
        <f t="shared" si="11"/>
        <v>7</v>
      </c>
      <c r="S66" s="17">
        <f t="shared" si="12"/>
        <v>18</v>
      </c>
      <c r="T66" s="17">
        <f t="shared" si="13"/>
        <v>6</v>
      </c>
      <c r="U66" s="17">
        <f t="shared" si="14"/>
        <v>10</v>
      </c>
      <c r="W66" s="7">
        <v>1846</v>
      </c>
      <c r="X66" s="7">
        <v>7455</v>
      </c>
      <c r="Y66" s="7">
        <v>14188</v>
      </c>
      <c r="Z66" s="7">
        <v>2827</v>
      </c>
      <c r="AA66" s="7">
        <v>15464</v>
      </c>
      <c r="AB66" s="13"/>
    </row>
    <row r="67" spans="10:28" ht="16.5" customHeight="1" x14ac:dyDescent="0.3">
      <c r="J67" s="2">
        <v>63</v>
      </c>
      <c r="K67" s="41" t="s">
        <v>32</v>
      </c>
      <c r="L67" s="41" t="s">
        <v>31</v>
      </c>
      <c r="M67" s="41" t="s">
        <v>40</v>
      </c>
      <c r="N67" s="41" t="s">
        <v>35</v>
      </c>
      <c r="O67" s="41" t="s">
        <v>33</v>
      </c>
      <c r="Q67" s="17">
        <f t="shared" si="10"/>
        <v>7</v>
      </c>
      <c r="R67" s="17">
        <f t="shared" si="11"/>
        <v>6</v>
      </c>
      <c r="S67" s="17">
        <f t="shared" si="12"/>
        <v>13</v>
      </c>
      <c r="T67" s="17">
        <f t="shared" si="13"/>
        <v>10</v>
      </c>
      <c r="U67" s="17">
        <f t="shared" si="14"/>
        <v>8</v>
      </c>
      <c r="W67" s="7">
        <v>4437</v>
      </c>
      <c r="X67" s="7">
        <v>5024</v>
      </c>
      <c r="Y67" s="7">
        <v>6415</v>
      </c>
      <c r="Z67" s="7">
        <v>6974</v>
      </c>
      <c r="AA67" s="7">
        <v>16591</v>
      </c>
      <c r="AB67" s="13"/>
    </row>
    <row r="68" spans="10:28" ht="16.5" customHeight="1" x14ac:dyDescent="0.3">
      <c r="J68" s="2">
        <v>64</v>
      </c>
      <c r="K68" s="41" t="s">
        <v>29</v>
      </c>
      <c r="L68" s="41" t="s">
        <v>32</v>
      </c>
      <c r="M68" s="41" t="s">
        <v>35</v>
      </c>
      <c r="N68" s="41" t="s">
        <v>31</v>
      </c>
      <c r="O68" s="41" t="s">
        <v>28</v>
      </c>
      <c r="Q68" s="17">
        <f t="shared" ref="Q68:Q99" si="15">IF(K68="","",VLOOKUP(K68,$A$4:$H$22,8,FALSE))</f>
        <v>4</v>
      </c>
      <c r="R68" s="17">
        <f t="shared" ref="R68:R99" si="16">IF(L68="","",VLOOKUP(L68,$A$4:$H$22,8,FALSE))</f>
        <v>7</v>
      </c>
      <c r="S68" s="17">
        <f t="shared" ref="S68:S99" si="17">IF(M68="","",VLOOKUP(M68,$A$4:$H$22,8,FALSE))</f>
        <v>10</v>
      </c>
      <c r="T68" s="17">
        <f t="shared" ref="T68:T99" si="18">IF(N68="","",VLOOKUP(N68,$A$4:$H$22,8,FALSE))</f>
        <v>6</v>
      </c>
      <c r="U68" s="17">
        <f t="shared" ref="U68:U99" si="19">IF(O68="","",VLOOKUP(O68,$A$4:$H$22,8,FALSE))</f>
        <v>3</v>
      </c>
      <c r="W68" s="7">
        <v>4339</v>
      </c>
      <c r="X68" s="7">
        <v>5774</v>
      </c>
      <c r="Y68" s="7">
        <v>6415</v>
      </c>
      <c r="Z68" s="7">
        <v>5276</v>
      </c>
      <c r="AA68" s="7">
        <v>16817</v>
      </c>
      <c r="AB68" s="13"/>
    </row>
    <row r="69" spans="10:28" ht="16.5" customHeight="1" x14ac:dyDescent="0.3">
      <c r="J69" s="2">
        <v>65</v>
      </c>
      <c r="K69" s="41" t="s">
        <v>33</v>
      </c>
      <c r="L69" s="41" t="s">
        <v>32</v>
      </c>
      <c r="M69" s="41" t="s">
        <v>30</v>
      </c>
      <c r="N69" s="41" t="s">
        <v>31</v>
      </c>
      <c r="O69" s="41" t="s">
        <v>34</v>
      </c>
      <c r="Q69" s="17">
        <f t="shared" si="15"/>
        <v>8</v>
      </c>
      <c r="R69" s="17">
        <f t="shared" si="16"/>
        <v>7</v>
      </c>
      <c r="S69" s="17">
        <f t="shared" si="17"/>
        <v>5</v>
      </c>
      <c r="T69" s="17">
        <f t="shared" si="18"/>
        <v>6</v>
      </c>
      <c r="U69" s="17">
        <f t="shared" si="19"/>
        <v>9</v>
      </c>
      <c r="W69" s="7">
        <v>2538</v>
      </c>
      <c r="X69" s="7">
        <v>5377</v>
      </c>
      <c r="Y69" s="7">
        <v>7755</v>
      </c>
      <c r="Z69" s="7">
        <v>6158</v>
      </c>
      <c r="AA69" s="7">
        <v>6625</v>
      </c>
      <c r="AB69" s="13"/>
    </row>
    <row r="70" spans="10:28" ht="16.5" customHeight="1" x14ac:dyDescent="0.3">
      <c r="J70" s="2">
        <v>66</v>
      </c>
      <c r="K70" s="41" t="s">
        <v>28</v>
      </c>
      <c r="L70" s="41" t="s">
        <v>34</v>
      </c>
      <c r="M70" s="41" t="s">
        <v>30</v>
      </c>
      <c r="N70" s="41" t="s">
        <v>29</v>
      </c>
      <c r="O70" s="41" t="s">
        <v>31</v>
      </c>
      <c r="Q70" s="17">
        <f t="shared" si="15"/>
        <v>3</v>
      </c>
      <c r="R70" s="17">
        <f t="shared" si="16"/>
        <v>9</v>
      </c>
      <c r="S70" s="17">
        <f t="shared" si="17"/>
        <v>5</v>
      </c>
      <c r="T70" s="17">
        <f t="shared" si="18"/>
        <v>4</v>
      </c>
      <c r="U70" s="17">
        <f t="shared" si="19"/>
        <v>6</v>
      </c>
      <c r="W70" s="7">
        <v>2282</v>
      </c>
      <c r="X70" s="7">
        <v>6083</v>
      </c>
      <c r="Y70" s="7">
        <v>7238</v>
      </c>
      <c r="Z70" s="7">
        <v>8520</v>
      </c>
      <c r="AA70" s="7">
        <v>7061</v>
      </c>
      <c r="AB70" s="13"/>
    </row>
    <row r="71" spans="10:28" ht="16.5" customHeight="1" x14ac:dyDescent="0.3">
      <c r="J71" s="2">
        <v>67</v>
      </c>
      <c r="K71" s="41" t="s">
        <v>33</v>
      </c>
      <c r="L71" s="41" t="s">
        <v>34</v>
      </c>
      <c r="M71" s="41" t="s">
        <v>30</v>
      </c>
      <c r="N71" s="41" t="s">
        <v>46</v>
      </c>
      <c r="O71" s="41" t="s">
        <v>32</v>
      </c>
      <c r="Q71" s="17">
        <f t="shared" si="15"/>
        <v>8</v>
      </c>
      <c r="R71" s="17">
        <f t="shared" si="16"/>
        <v>9</v>
      </c>
      <c r="S71" s="17">
        <f t="shared" si="17"/>
        <v>5</v>
      </c>
      <c r="T71" s="17">
        <f t="shared" si="18"/>
        <v>16</v>
      </c>
      <c r="U71" s="17">
        <f t="shared" si="19"/>
        <v>7</v>
      </c>
      <c r="W71" s="7">
        <v>2232</v>
      </c>
      <c r="X71" s="7">
        <v>16411</v>
      </c>
      <c r="Y71" s="7">
        <v>5231</v>
      </c>
      <c r="Z71" s="7">
        <v>9832</v>
      </c>
      <c r="AA71" s="7">
        <v>6241</v>
      </c>
      <c r="AB71" s="13"/>
    </row>
    <row r="72" spans="10:28" ht="16.5" customHeight="1" x14ac:dyDescent="0.3">
      <c r="J72" s="2">
        <v>68</v>
      </c>
      <c r="K72" s="41" t="s">
        <v>33</v>
      </c>
      <c r="L72" s="41" t="s">
        <v>31</v>
      </c>
      <c r="M72" s="41" t="s">
        <v>31</v>
      </c>
      <c r="N72" s="41" t="s">
        <v>31</v>
      </c>
      <c r="O72" s="41" t="s">
        <v>32</v>
      </c>
      <c r="Q72" s="17">
        <f t="shared" si="15"/>
        <v>8</v>
      </c>
      <c r="R72" s="17">
        <f t="shared" si="16"/>
        <v>6</v>
      </c>
      <c r="S72" s="17">
        <f t="shared" si="17"/>
        <v>6</v>
      </c>
      <c r="T72" s="17">
        <f t="shared" si="18"/>
        <v>6</v>
      </c>
      <c r="U72" s="17">
        <f t="shared" si="19"/>
        <v>7</v>
      </c>
      <c r="W72" s="7">
        <v>4926</v>
      </c>
      <c r="X72" s="7">
        <v>16780</v>
      </c>
      <c r="Y72" s="7">
        <v>7755</v>
      </c>
      <c r="Z72" s="7">
        <v>7297</v>
      </c>
      <c r="AA72" s="7">
        <v>6867</v>
      </c>
      <c r="AB72" s="13"/>
    </row>
    <row r="73" spans="10:28" ht="16.5" customHeight="1" x14ac:dyDescent="0.3">
      <c r="J73" s="2">
        <v>69</v>
      </c>
      <c r="K73" s="41" t="s">
        <v>29</v>
      </c>
      <c r="L73" s="41" t="s">
        <v>44</v>
      </c>
      <c r="M73" s="41" t="s">
        <v>35</v>
      </c>
      <c r="N73" s="41" t="s">
        <v>30</v>
      </c>
      <c r="O73" s="41" t="s">
        <v>32</v>
      </c>
      <c r="Q73" s="17">
        <f t="shared" si="15"/>
        <v>4</v>
      </c>
      <c r="R73" s="17">
        <f t="shared" si="16"/>
        <v>15</v>
      </c>
      <c r="S73" s="17">
        <f t="shared" si="17"/>
        <v>10</v>
      </c>
      <c r="T73" s="17">
        <f t="shared" si="18"/>
        <v>5</v>
      </c>
      <c r="U73" s="17">
        <f t="shared" si="19"/>
        <v>7</v>
      </c>
      <c r="W73" s="7">
        <v>4305</v>
      </c>
      <c r="X73" s="7">
        <v>19496</v>
      </c>
      <c r="Y73" s="7">
        <v>7526</v>
      </c>
      <c r="Z73" s="7">
        <v>17387</v>
      </c>
      <c r="AA73" s="7">
        <v>5563</v>
      </c>
      <c r="AB73" s="13"/>
    </row>
    <row r="74" spans="10:28" ht="16.5" customHeight="1" x14ac:dyDescent="0.3">
      <c r="J74" s="2">
        <v>70</v>
      </c>
      <c r="K74" s="41" t="s">
        <v>32</v>
      </c>
      <c r="L74" s="41" t="s">
        <v>33</v>
      </c>
      <c r="M74" s="41" t="s">
        <v>35</v>
      </c>
      <c r="N74" s="41" t="s">
        <v>33</v>
      </c>
      <c r="O74" s="41" t="s">
        <v>33</v>
      </c>
      <c r="Q74" s="17">
        <f t="shared" si="15"/>
        <v>7</v>
      </c>
      <c r="R74" s="17">
        <f t="shared" si="16"/>
        <v>8</v>
      </c>
      <c r="S74" s="17">
        <f t="shared" si="17"/>
        <v>10</v>
      </c>
      <c r="T74" s="17">
        <f t="shared" si="18"/>
        <v>8</v>
      </c>
      <c r="U74" s="17">
        <f t="shared" si="19"/>
        <v>8</v>
      </c>
      <c r="W74" s="7">
        <v>4437</v>
      </c>
      <c r="X74" s="7">
        <v>15423</v>
      </c>
      <c r="Y74" s="7">
        <v>14076</v>
      </c>
      <c r="Z74" s="7">
        <v>17883</v>
      </c>
      <c r="AA74" s="7">
        <v>5242</v>
      </c>
      <c r="AB74" s="13"/>
    </row>
    <row r="75" spans="10:28" ht="16.5" customHeight="1" x14ac:dyDescent="0.3">
      <c r="J75" s="2">
        <v>71</v>
      </c>
      <c r="K75" s="41" t="s">
        <v>34</v>
      </c>
      <c r="L75" s="41" t="s">
        <v>29</v>
      </c>
      <c r="M75" s="41" t="s">
        <v>31</v>
      </c>
      <c r="N75" s="41" t="s">
        <v>28</v>
      </c>
      <c r="O75" s="41" t="s">
        <v>33</v>
      </c>
      <c r="Q75" s="17">
        <f t="shared" si="15"/>
        <v>9</v>
      </c>
      <c r="R75" s="17">
        <f t="shared" si="16"/>
        <v>4</v>
      </c>
      <c r="S75" s="17">
        <f t="shared" si="17"/>
        <v>6</v>
      </c>
      <c r="T75" s="17">
        <f t="shared" si="18"/>
        <v>3</v>
      </c>
      <c r="U75" s="17">
        <f t="shared" si="19"/>
        <v>8</v>
      </c>
      <c r="W75" s="7">
        <v>4339</v>
      </c>
      <c r="X75" s="7">
        <v>16411</v>
      </c>
      <c r="Y75" s="7">
        <v>18231</v>
      </c>
      <c r="Z75" s="7">
        <v>17263</v>
      </c>
      <c r="AA75" s="7">
        <v>5847</v>
      </c>
      <c r="AB75" s="13"/>
    </row>
    <row r="76" spans="10:28" ht="16.5" customHeight="1" x14ac:dyDescent="0.3">
      <c r="J76" s="2">
        <v>72</v>
      </c>
      <c r="K76" s="41" t="s">
        <v>29</v>
      </c>
      <c r="L76" s="41" t="s">
        <v>32</v>
      </c>
      <c r="M76" s="41" t="s">
        <v>35</v>
      </c>
      <c r="N76" s="41" t="s">
        <v>34</v>
      </c>
      <c r="O76" s="41" t="s">
        <v>33</v>
      </c>
      <c r="Q76" s="17">
        <f t="shared" si="15"/>
        <v>4</v>
      </c>
      <c r="R76" s="17">
        <f t="shared" si="16"/>
        <v>7</v>
      </c>
      <c r="S76" s="17">
        <f t="shared" si="17"/>
        <v>10</v>
      </c>
      <c r="T76" s="17">
        <f t="shared" si="18"/>
        <v>9</v>
      </c>
      <c r="U76" s="17">
        <f t="shared" si="19"/>
        <v>8</v>
      </c>
      <c r="W76" s="7">
        <v>2538</v>
      </c>
      <c r="X76" s="7">
        <v>14067</v>
      </c>
      <c r="Y76" s="7">
        <v>7279</v>
      </c>
      <c r="Z76" s="7">
        <v>14180</v>
      </c>
      <c r="AA76" s="7">
        <v>6530</v>
      </c>
      <c r="AB76" s="13"/>
    </row>
    <row r="77" spans="10:28" ht="16.5" customHeight="1" x14ac:dyDescent="0.3">
      <c r="J77" s="2">
        <v>73</v>
      </c>
      <c r="K77" s="41" t="s">
        <v>32</v>
      </c>
      <c r="L77" s="41" t="s">
        <v>28</v>
      </c>
      <c r="M77" s="41" t="s">
        <v>36</v>
      </c>
      <c r="N77" s="41" t="s">
        <v>31</v>
      </c>
      <c r="O77" s="41" t="s">
        <v>30</v>
      </c>
      <c r="Q77" s="17">
        <f t="shared" si="15"/>
        <v>7</v>
      </c>
      <c r="R77" s="17">
        <f t="shared" si="16"/>
        <v>3</v>
      </c>
      <c r="S77" s="17">
        <f t="shared" si="17"/>
        <v>11</v>
      </c>
      <c r="T77" s="17">
        <f t="shared" si="18"/>
        <v>6</v>
      </c>
      <c r="U77" s="17">
        <f t="shared" si="19"/>
        <v>5</v>
      </c>
      <c r="W77" s="7">
        <v>2282</v>
      </c>
      <c r="X77" s="7">
        <v>17891</v>
      </c>
      <c r="Y77" s="7">
        <v>5985</v>
      </c>
      <c r="Z77" s="7">
        <v>5187</v>
      </c>
      <c r="AA77" s="7">
        <v>3481</v>
      </c>
      <c r="AB77" s="13"/>
    </row>
    <row r="78" spans="10:28" ht="16.5" customHeight="1" x14ac:dyDescent="0.3">
      <c r="J78" s="2">
        <v>74</v>
      </c>
      <c r="K78" s="41" t="s">
        <v>33</v>
      </c>
      <c r="L78" s="41" t="s">
        <v>31</v>
      </c>
      <c r="M78" s="41" t="s">
        <v>30</v>
      </c>
      <c r="N78" s="41" t="s">
        <v>35</v>
      </c>
      <c r="O78" s="41" t="s">
        <v>33</v>
      </c>
      <c r="Q78" s="17">
        <f t="shared" si="15"/>
        <v>8</v>
      </c>
      <c r="R78" s="17">
        <f t="shared" si="16"/>
        <v>6</v>
      </c>
      <c r="S78" s="17">
        <f t="shared" si="17"/>
        <v>5</v>
      </c>
      <c r="T78" s="17">
        <f t="shared" si="18"/>
        <v>10</v>
      </c>
      <c r="U78" s="17">
        <f t="shared" si="19"/>
        <v>8</v>
      </c>
      <c r="W78" s="7">
        <v>2232</v>
      </c>
      <c r="X78" s="7">
        <v>17891</v>
      </c>
      <c r="Y78" s="7">
        <v>3942</v>
      </c>
      <c r="Z78" s="7">
        <v>6120</v>
      </c>
      <c r="AA78" s="7">
        <v>4401</v>
      </c>
      <c r="AB78" s="13"/>
    </row>
    <row r="79" spans="10:28" ht="16.5" customHeight="1" x14ac:dyDescent="0.3">
      <c r="J79" s="2">
        <v>75</v>
      </c>
      <c r="K79" s="41" t="s">
        <v>33</v>
      </c>
      <c r="L79" s="41" t="s">
        <v>30</v>
      </c>
      <c r="M79" s="41" t="s">
        <v>30</v>
      </c>
      <c r="N79" s="41" t="s">
        <v>31</v>
      </c>
      <c r="O79" s="41" t="s">
        <v>33</v>
      </c>
      <c r="Q79" s="17">
        <f t="shared" si="15"/>
        <v>8</v>
      </c>
      <c r="R79" s="17">
        <f t="shared" si="16"/>
        <v>5</v>
      </c>
      <c r="S79" s="17">
        <f t="shared" si="17"/>
        <v>5</v>
      </c>
      <c r="T79" s="17">
        <f t="shared" si="18"/>
        <v>6</v>
      </c>
      <c r="U79" s="17">
        <f t="shared" si="19"/>
        <v>8</v>
      </c>
      <c r="W79" s="7">
        <v>4926</v>
      </c>
      <c r="X79" s="7">
        <v>19372</v>
      </c>
      <c r="Y79" s="7">
        <v>4294</v>
      </c>
      <c r="Z79" s="7">
        <v>3651</v>
      </c>
      <c r="AA79" s="7">
        <v>3654</v>
      </c>
      <c r="AB79" s="13"/>
    </row>
    <row r="80" spans="10:28" ht="15.6" customHeight="1" x14ac:dyDescent="0.3">
      <c r="J80" s="2">
        <v>76</v>
      </c>
      <c r="K80" s="41" t="s">
        <v>29</v>
      </c>
      <c r="L80" s="41" t="s">
        <v>50</v>
      </c>
      <c r="M80" s="41" t="s">
        <v>40</v>
      </c>
      <c r="N80" s="41" t="s">
        <v>31</v>
      </c>
      <c r="O80" s="41" t="s">
        <v>30</v>
      </c>
      <c r="Q80" s="17">
        <f t="shared" si="15"/>
        <v>4</v>
      </c>
      <c r="R80" s="17">
        <f t="shared" si="16"/>
        <v>18</v>
      </c>
      <c r="S80" s="17">
        <f t="shared" si="17"/>
        <v>13</v>
      </c>
      <c r="T80" s="17">
        <f t="shared" si="18"/>
        <v>6</v>
      </c>
      <c r="U80" s="17">
        <f t="shared" si="19"/>
        <v>5</v>
      </c>
      <c r="W80" s="7">
        <v>15738</v>
      </c>
      <c r="X80" s="7">
        <v>16039</v>
      </c>
      <c r="Y80" s="7">
        <v>10167</v>
      </c>
      <c r="Z80" s="7">
        <v>4216</v>
      </c>
      <c r="AA80" s="7">
        <v>6409</v>
      </c>
      <c r="AB80" s="13"/>
    </row>
    <row r="81" spans="10:28" ht="15.6" customHeight="1" x14ac:dyDescent="0.3">
      <c r="J81" s="2">
        <v>77</v>
      </c>
      <c r="K81" s="41" t="s">
        <v>28</v>
      </c>
      <c r="L81" s="41" t="s">
        <v>29</v>
      </c>
      <c r="M81" s="41" t="s">
        <v>35</v>
      </c>
      <c r="N81" s="41" t="s">
        <v>31</v>
      </c>
      <c r="O81" s="41" t="s">
        <v>34</v>
      </c>
      <c r="Q81" s="17">
        <f t="shared" si="15"/>
        <v>3</v>
      </c>
      <c r="R81" s="17">
        <f t="shared" si="16"/>
        <v>4</v>
      </c>
      <c r="S81" s="17">
        <f t="shared" si="17"/>
        <v>10</v>
      </c>
      <c r="T81" s="17">
        <f t="shared" si="18"/>
        <v>6</v>
      </c>
      <c r="U81" s="17">
        <f t="shared" si="19"/>
        <v>9</v>
      </c>
      <c r="W81" s="7">
        <v>5325</v>
      </c>
      <c r="X81" s="7">
        <v>7720</v>
      </c>
      <c r="Y81" s="7">
        <v>7814</v>
      </c>
      <c r="Z81" s="7">
        <v>3151</v>
      </c>
      <c r="AA81" s="7">
        <v>5321</v>
      </c>
      <c r="AB81" s="13"/>
    </row>
    <row r="82" spans="10:28" ht="15.6" customHeight="1" x14ac:dyDescent="0.3">
      <c r="J82" s="2">
        <v>78</v>
      </c>
      <c r="K82" s="41" t="s">
        <v>33</v>
      </c>
      <c r="L82" s="41" t="s">
        <v>44</v>
      </c>
      <c r="M82" s="41" t="s">
        <v>32</v>
      </c>
      <c r="N82" s="41" t="s">
        <v>46</v>
      </c>
      <c r="O82" s="41" t="s">
        <v>34</v>
      </c>
      <c r="Q82" s="17">
        <f t="shared" si="15"/>
        <v>8</v>
      </c>
      <c r="R82" s="17">
        <f t="shared" si="16"/>
        <v>15</v>
      </c>
      <c r="S82" s="17">
        <f t="shared" si="17"/>
        <v>7</v>
      </c>
      <c r="T82" s="17">
        <f t="shared" si="18"/>
        <v>16</v>
      </c>
      <c r="U82" s="17">
        <f t="shared" si="19"/>
        <v>9</v>
      </c>
      <c r="W82" s="7">
        <v>5206</v>
      </c>
      <c r="X82" s="7">
        <v>7455</v>
      </c>
      <c r="Y82" s="7">
        <v>7353</v>
      </c>
      <c r="Z82" s="7">
        <v>1831</v>
      </c>
      <c r="AA82" s="7">
        <v>5158</v>
      </c>
      <c r="AB82" s="13"/>
    </row>
    <row r="83" spans="10:28" ht="15.6" customHeight="1" x14ac:dyDescent="0.3">
      <c r="J83" s="2">
        <v>79</v>
      </c>
      <c r="K83" s="41" t="s">
        <v>29</v>
      </c>
      <c r="L83" s="41" t="s">
        <v>42</v>
      </c>
      <c r="M83" s="41" t="s">
        <v>35</v>
      </c>
      <c r="N83" s="41" t="s">
        <v>42</v>
      </c>
      <c r="O83" s="41" t="s">
        <v>34</v>
      </c>
      <c r="Q83" s="17">
        <f t="shared" si="15"/>
        <v>4</v>
      </c>
      <c r="R83" s="17">
        <f t="shared" si="16"/>
        <v>14</v>
      </c>
      <c r="S83" s="17">
        <f t="shared" si="17"/>
        <v>10</v>
      </c>
      <c r="T83" s="17">
        <f t="shared" si="18"/>
        <v>14</v>
      </c>
      <c r="U83" s="17">
        <f t="shared" si="19"/>
        <v>9</v>
      </c>
      <c r="W83" s="7">
        <v>4926</v>
      </c>
      <c r="X83" s="7">
        <v>5710</v>
      </c>
      <c r="Y83" s="7">
        <v>7988</v>
      </c>
      <c r="Z83" s="7">
        <v>3072</v>
      </c>
      <c r="AA83" s="7">
        <v>11382</v>
      </c>
      <c r="AB83" s="13"/>
    </row>
    <row r="84" spans="10:28" ht="15.6" customHeight="1" x14ac:dyDescent="0.3">
      <c r="J84" s="2">
        <v>80</v>
      </c>
      <c r="K84" s="41" t="s">
        <v>33</v>
      </c>
      <c r="L84" s="41" t="s">
        <v>42</v>
      </c>
      <c r="M84" s="41" t="s">
        <v>35</v>
      </c>
      <c r="N84" s="41" t="s">
        <v>31</v>
      </c>
      <c r="O84" s="41" t="s">
        <v>35</v>
      </c>
      <c r="Q84" s="17">
        <f t="shared" si="15"/>
        <v>8</v>
      </c>
      <c r="R84" s="17">
        <f t="shared" si="16"/>
        <v>14</v>
      </c>
      <c r="S84" s="17">
        <f t="shared" si="17"/>
        <v>10</v>
      </c>
      <c r="T84" s="17">
        <f t="shared" si="18"/>
        <v>6</v>
      </c>
      <c r="U84" s="17">
        <f t="shared" si="19"/>
        <v>10</v>
      </c>
      <c r="W84" s="7">
        <v>16217</v>
      </c>
      <c r="X84" s="7">
        <v>14683</v>
      </c>
      <c r="Y84" s="7">
        <v>18367</v>
      </c>
      <c r="Z84" s="7">
        <v>2100</v>
      </c>
      <c r="AA84" s="7">
        <v>16591</v>
      </c>
      <c r="AB84" s="13"/>
    </row>
    <row r="85" spans="10:28" ht="15.6" customHeight="1" x14ac:dyDescent="0.3">
      <c r="J85" s="2">
        <v>81</v>
      </c>
      <c r="K85" s="41" t="s">
        <v>31</v>
      </c>
      <c r="L85" s="41" t="s">
        <v>35</v>
      </c>
      <c r="M85" s="41" t="s">
        <v>40</v>
      </c>
      <c r="N85" s="41" t="s">
        <v>31</v>
      </c>
      <c r="O85" s="41" t="s">
        <v>32</v>
      </c>
      <c r="Q85" s="17">
        <f t="shared" si="15"/>
        <v>6</v>
      </c>
      <c r="R85" s="17">
        <f t="shared" si="16"/>
        <v>10</v>
      </c>
      <c r="S85" s="17">
        <f t="shared" si="17"/>
        <v>13</v>
      </c>
      <c r="T85" s="17">
        <f t="shared" si="18"/>
        <v>6</v>
      </c>
      <c r="U85" s="17">
        <f t="shared" si="19"/>
        <v>7</v>
      </c>
      <c r="W85" s="7">
        <v>13216</v>
      </c>
      <c r="X85" s="7">
        <v>18755</v>
      </c>
      <c r="Y85" s="7">
        <v>7929</v>
      </c>
      <c r="Z85" s="7">
        <v>1831</v>
      </c>
      <c r="AA85" s="7">
        <v>16253</v>
      </c>
      <c r="AB85" s="13"/>
    </row>
    <row r="86" spans="10:28" ht="15.6" customHeight="1" x14ac:dyDescent="0.3">
      <c r="J86" s="2">
        <v>82</v>
      </c>
      <c r="K86" s="41" t="s">
        <v>33</v>
      </c>
      <c r="L86" s="41" t="s">
        <v>33</v>
      </c>
      <c r="M86" s="41" t="s">
        <v>34</v>
      </c>
      <c r="N86" s="41" t="s">
        <v>34</v>
      </c>
      <c r="O86" s="41" t="s">
        <v>33</v>
      </c>
      <c r="Q86" s="17">
        <f t="shared" si="15"/>
        <v>8</v>
      </c>
      <c r="R86" s="17">
        <f t="shared" si="16"/>
        <v>8</v>
      </c>
      <c r="S86" s="17">
        <f t="shared" si="17"/>
        <v>9</v>
      </c>
      <c r="T86" s="17">
        <f t="shared" si="18"/>
        <v>9</v>
      </c>
      <c r="U86" s="17">
        <f t="shared" si="19"/>
        <v>8</v>
      </c>
      <c r="W86" s="7">
        <v>12414</v>
      </c>
      <c r="X86" s="7">
        <v>17891</v>
      </c>
      <c r="Y86" s="7">
        <v>7467</v>
      </c>
      <c r="Z86" s="7">
        <v>3072</v>
      </c>
      <c r="AA86" s="7">
        <v>14899</v>
      </c>
      <c r="AB86" s="13"/>
    </row>
    <row r="87" spans="10:28" ht="15.6" customHeight="1" x14ac:dyDescent="0.3">
      <c r="J87" s="2">
        <v>83</v>
      </c>
      <c r="K87" s="41" t="s">
        <v>34</v>
      </c>
      <c r="L87" s="41" t="s">
        <v>48</v>
      </c>
      <c r="M87" s="41" t="s">
        <v>30</v>
      </c>
      <c r="N87" s="41" t="s">
        <v>34</v>
      </c>
      <c r="O87" s="41" t="s">
        <v>26</v>
      </c>
      <c r="Q87" s="17">
        <f t="shared" si="15"/>
        <v>9</v>
      </c>
      <c r="R87" s="17">
        <f t="shared" si="16"/>
        <v>17</v>
      </c>
      <c r="S87" s="17">
        <f t="shared" si="17"/>
        <v>5</v>
      </c>
      <c r="T87" s="17">
        <f t="shared" si="18"/>
        <v>9</v>
      </c>
      <c r="U87" s="17">
        <f t="shared" si="19"/>
        <v>2</v>
      </c>
      <c r="W87" s="7">
        <v>11914</v>
      </c>
      <c r="X87" s="7">
        <v>16535</v>
      </c>
      <c r="Y87" s="7">
        <v>6722</v>
      </c>
      <c r="Z87" s="7">
        <v>4898</v>
      </c>
      <c r="AA87" s="7">
        <v>16817</v>
      </c>
      <c r="AB87" s="13"/>
    </row>
    <row r="88" spans="10:28" ht="15.6" customHeight="1" x14ac:dyDescent="0.3">
      <c r="J88" s="2">
        <v>84</v>
      </c>
      <c r="K88" s="41" t="s">
        <v>31</v>
      </c>
      <c r="L88" s="41" t="s">
        <v>26</v>
      </c>
      <c r="M88" s="41" t="s">
        <v>30</v>
      </c>
      <c r="N88" s="41" t="s">
        <v>31</v>
      </c>
      <c r="O88" s="41" t="s">
        <v>29</v>
      </c>
      <c r="Q88" s="17">
        <f t="shared" si="15"/>
        <v>6</v>
      </c>
      <c r="R88" s="17">
        <f t="shared" si="16"/>
        <v>2</v>
      </c>
      <c r="S88" s="17">
        <f t="shared" si="17"/>
        <v>5</v>
      </c>
      <c r="T88" s="17">
        <f t="shared" si="18"/>
        <v>6</v>
      </c>
      <c r="U88" s="17">
        <f t="shared" si="19"/>
        <v>4</v>
      </c>
      <c r="W88" s="7">
        <v>13416</v>
      </c>
      <c r="X88" s="7">
        <v>18508</v>
      </c>
      <c r="Y88" s="7">
        <v>17294</v>
      </c>
      <c r="Z88" s="7">
        <v>4277</v>
      </c>
      <c r="AA88" s="7">
        <v>7789</v>
      </c>
      <c r="AB88" s="13"/>
    </row>
    <row r="89" spans="10:28" ht="15.6" customHeight="1" x14ac:dyDescent="0.3">
      <c r="J89" s="2">
        <v>85</v>
      </c>
      <c r="K89" s="41" t="s">
        <v>34</v>
      </c>
      <c r="L89" s="41" t="s">
        <v>33</v>
      </c>
      <c r="M89" s="41" t="s">
        <v>28</v>
      </c>
      <c r="N89" s="41" t="s">
        <v>34</v>
      </c>
      <c r="O89" s="41" t="s">
        <v>28</v>
      </c>
      <c r="Q89" s="17">
        <f t="shared" si="15"/>
        <v>9</v>
      </c>
      <c r="R89" s="17">
        <f t="shared" si="16"/>
        <v>8</v>
      </c>
      <c r="S89" s="17">
        <f t="shared" si="17"/>
        <v>3</v>
      </c>
      <c r="T89" s="17">
        <f t="shared" si="18"/>
        <v>9</v>
      </c>
      <c r="U89" s="17">
        <f t="shared" si="19"/>
        <v>3</v>
      </c>
      <c r="W89" s="7">
        <v>13416</v>
      </c>
      <c r="X89" s="7">
        <v>17397</v>
      </c>
      <c r="Y89" s="7">
        <v>14076</v>
      </c>
      <c r="Z89" s="7">
        <v>7167</v>
      </c>
      <c r="AA89" s="7">
        <v>3102</v>
      </c>
      <c r="AB89" s="13"/>
    </row>
    <row r="90" spans="10:28" ht="15.6" customHeight="1" x14ac:dyDescent="0.3">
      <c r="J90" s="2">
        <v>86</v>
      </c>
      <c r="K90" s="41" t="s">
        <v>32</v>
      </c>
      <c r="L90" s="41" t="s">
        <v>31</v>
      </c>
      <c r="M90" s="41" t="s">
        <v>35</v>
      </c>
      <c r="N90" s="41" t="s">
        <v>32</v>
      </c>
      <c r="O90" s="41" t="s">
        <v>30</v>
      </c>
      <c r="Q90" s="17">
        <f t="shared" si="15"/>
        <v>7</v>
      </c>
      <c r="R90" s="17">
        <f t="shared" si="16"/>
        <v>6</v>
      </c>
      <c r="S90" s="17">
        <f t="shared" si="17"/>
        <v>10</v>
      </c>
      <c r="T90" s="17">
        <f t="shared" si="18"/>
        <v>7</v>
      </c>
      <c r="U90" s="17">
        <f t="shared" si="19"/>
        <v>5</v>
      </c>
      <c r="W90" s="7">
        <v>15738</v>
      </c>
      <c r="X90" s="7">
        <v>7298</v>
      </c>
      <c r="Y90" s="7">
        <v>18903</v>
      </c>
      <c r="Z90" s="7">
        <v>14282</v>
      </c>
      <c r="AA90" s="7">
        <v>2618</v>
      </c>
      <c r="AB90" s="13"/>
    </row>
    <row r="91" spans="10:28" ht="15.6" customHeight="1" x14ac:dyDescent="0.3">
      <c r="J91" s="2">
        <v>87</v>
      </c>
      <c r="K91" s="41" t="s">
        <v>33</v>
      </c>
      <c r="L91" s="41" t="s">
        <v>29</v>
      </c>
      <c r="M91" s="41" t="s">
        <v>31</v>
      </c>
      <c r="N91" s="41" t="s">
        <v>34</v>
      </c>
      <c r="O91" s="41" t="s">
        <v>29</v>
      </c>
      <c r="Q91" s="17">
        <f t="shared" si="15"/>
        <v>8</v>
      </c>
      <c r="R91" s="17">
        <f t="shared" si="16"/>
        <v>4</v>
      </c>
      <c r="S91" s="17">
        <f t="shared" si="17"/>
        <v>6</v>
      </c>
      <c r="T91" s="17">
        <f t="shared" si="18"/>
        <v>9</v>
      </c>
      <c r="U91" s="17">
        <f t="shared" si="19"/>
        <v>4</v>
      </c>
      <c r="W91" s="7">
        <v>14617</v>
      </c>
      <c r="X91" s="7">
        <v>5995</v>
      </c>
      <c r="Y91" s="7">
        <v>17427</v>
      </c>
      <c r="Z91" s="7">
        <v>12213</v>
      </c>
      <c r="AA91" s="7">
        <v>3023</v>
      </c>
      <c r="AB91" s="13"/>
    </row>
    <row r="92" spans="10:28" ht="15.6" customHeight="1" x14ac:dyDescent="0.3">
      <c r="J92" s="2">
        <v>88</v>
      </c>
      <c r="K92" s="41" t="s">
        <v>29</v>
      </c>
      <c r="L92" s="41" t="s">
        <v>35</v>
      </c>
      <c r="M92" s="41" t="s">
        <v>29</v>
      </c>
      <c r="N92" s="41" t="s">
        <v>31</v>
      </c>
      <c r="O92" s="41" t="s">
        <v>29</v>
      </c>
      <c r="Q92" s="17">
        <f t="shared" si="15"/>
        <v>4</v>
      </c>
      <c r="R92" s="17">
        <f t="shared" si="16"/>
        <v>10</v>
      </c>
      <c r="S92" s="17">
        <f t="shared" si="17"/>
        <v>4</v>
      </c>
      <c r="T92" s="17">
        <f t="shared" si="18"/>
        <v>6</v>
      </c>
      <c r="U92" s="17">
        <f t="shared" si="19"/>
        <v>4</v>
      </c>
      <c r="W92" s="7">
        <v>6009</v>
      </c>
      <c r="X92" s="7">
        <v>6215</v>
      </c>
      <c r="Y92" s="7">
        <v>17830</v>
      </c>
      <c r="Z92" s="7">
        <v>7142</v>
      </c>
      <c r="AA92" s="7">
        <v>2398</v>
      </c>
      <c r="AB92" s="13"/>
    </row>
    <row r="93" spans="10:28" ht="15.6" customHeight="1" x14ac:dyDescent="0.3">
      <c r="J93" s="2">
        <v>89</v>
      </c>
      <c r="K93" s="41" t="s">
        <v>35</v>
      </c>
      <c r="L93" s="41" t="s">
        <v>50</v>
      </c>
      <c r="M93" s="41" t="s">
        <v>30</v>
      </c>
      <c r="N93" s="41" t="s">
        <v>34</v>
      </c>
      <c r="O93" s="41" t="s">
        <v>29</v>
      </c>
      <c r="Q93" s="17">
        <f t="shared" si="15"/>
        <v>10</v>
      </c>
      <c r="R93" s="17">
        <f t="shared" si="16"/>
        <v>18</v>
      </c>
      <c r="S93" s="17">
        <f t="shared" si="17"/>
        <v>5</v>
      </c>
      <c r="T93" s="17">
        <f t="shared" si="18"/>
        <v>9</v>
      </c>
      <c r="U93" s="17">
        <f t="shared" si="19"/>
        <v>4</v>
      </c>
      <c r="W93" s="7">
        <v>5577</v>
      </c>
      <c r="X93" s="7">
        <v>5862</v>
      </c>
      <c r="Y93" s="7">
        <v>15193</v>
      </c>
      <c r="Z93" s="7">
        <v>6158</v>
      </c>
      <c r="AA93" s="7">
        <v>8340</v>
      </c>
      <c r="AB93" s="13"/>
    </row>
    <row r="94" spans="10:28" ht="15.6" customHeight="1" x14ac:dyDescent="0.3">
      <c r="J94" s="2">
        <v>90</v>
      </c>
      <c r="K94" s="41" t="s">
        <v>34</v>
      </c>
      <c r="L94" s="41" t="s">
        <v>35</v>
      </c>
      <c r="M94" s="41" t="s">
        <v>29</v>
      </c>
      <c r="N94" s="41" t="s">
        <v>31</v>
      </c>
      <c r="O94" s="41" t="s">
        <v>32</v>
      </c>
      <c r="Q94" s="17">
        <f t="shared" si="15"/>
        <v>9</v>
      </c>
      <c r="R94" s="17">
        <f t="shared" si="16"/>
        <v>10</v>
      </c>
      <c r="S94" s="17">
        <f t="shared" si="17"/>
        <v>4</v>
      </c>
      <c r="T94" s="17">
        <f t="shared" si="18"/>
        <v>6</v>
      </c>
      <c r="U94" s="17">
        <f t="shared" si="19"/>
        <v>7</v>
      </c>
      <c r="W94" s="7">
        <v>5492</v>
      </c>
      <c r="X94" s="7">
        <v>14561</v>
      </c>
      <c r="Y94" s="7">
        <v>6895</v>
      </c>
      <c r="Z94" s="7">
        <v>8520</v>
      </c>
      <c r="AA94" s="7">
        <v>8747</v>
      </c>
      <c r="AB94" s="13"/>
    </row>
    <row r="95" spans="10:28" ht="15.6" customHeight="1" x14ac:dyDescent="0.3">
      <c r="J95" s="2">
        <v>91</v>
      </c>
      <c r="K95" s="41" t="s">
        <v>34</v>
      </c>
      <c r="L95" s="41" t="s">
        <v>38</v>
      </c>
      <c r="M95" s="41" t="s">
        <v>44</v>
      </c>
      <c r="N95" s="41" t="s">
        <v>29</v>
      </c>
      <c r="O95" s="41" t="s">
        <v>29</v>
      </c>
      <c r="Q95" s="17">
        <f t="shared" si="15"/>
        <v>9</v>
      </c>
      <c r="R95" s="17">
        <f t="shared" si="16"/>
        <v>12</v>
      </c>
      <c r="S95" s="17">
        <f t="shared" si="17"/>
        <v>15</v>
      </c>
      <c r="T95" s="17">
        <f t="shared" si="18"/>
        <v>4</v>
      </c>
      <c r="U95" s="17">
        <f t="shared" si="19"/>
        <v>4</v>
      </c>
      <c r="W95" s="7">
        <v>7052</v>
      </c>
      <c r="X95" s="7">
        <v>17028</v>
      </c>
      <c r="Y95" s="7">
        <v>6081</v>
      </c>
      <c r="Z95" s="7">
        <v>3435</v>
      </c>
      <c r="AA95" s="7">
        <v>6395</v>
      </c>
      <c r="AB95" s="13"/>
    </row>
    <row r="96" spans="10:28" ht="15.6" customHeight="1" x14ac:dyDescent="0.3">
      <c r="J96" s="2">
        <v>92</v>
      </c>
      <c r="K96" s="41" t="s">
        <v>34</v>
      </c>
      <c r="L96" s="41" t="s">
        <v>48</v>
      </c>
      <c r="M96" s="41" t="s">
        <v>34</v>
      </c>
      <c r="N96" s="41" t="s">
        <v>31</v>
      </c>
      <c r="O96" s="41" t="s">
        <v>30</v>
      </c>
      <c r="Q96" s="17">
        <f t="shared" si="15"/>
        <v>9</v>
      </c>
      <c r="R96" s="17">
        <f t="shared" si="16"/>
        <v>17</v>
      </c>
      <c r="S96" s="17">
        <f t="shared" si="17"/>
        <v>9</v>
      </c>
      <c r="T96" s="17">
        <f t="shared" si="18"/>
        <v>6</v>
      </c>
      <c r="U96" s="17">
        <f t="shared" si="19"/>
        <v>5</v>
      </c>
      <c r="W96" s="7">
        <v>12815</v>
      </c>
      <c r="X96" s="7">
        <v>16164</v>
      </c>
      <c r="Y96" s="7">
        <v>7087</v>
      </c>
      <c r="Z96" s="7">
        <v>2930</v>
      </c>
      <c r="AA96" s="7">
        <v>8126</v>
      </c>
      <c r="AB96" s="13"/>
    </row>
    <row r="97" spans="10:28" ht="15.6" customHeight="1" x14ac:dyDescent="0.3">
      <c r="J97" s="2">
        <v>93</v>
      </c>
      <c r="K97" s="41" t="s">
        <v>32</v>
      </c>
      <c r="L97" s="41" t="s">
        <v>31</v>
      </c>
      <c r="M97" s="41" t="s">
        <v>34</v>
      </c>
      <c r="N97" s="41" t="s">
        <v>33</v>
      </c>
      <c r="O97" s="41" t="s">
        <v>33</v>
      </c>
      <c r="Q97" s="17">
        <f t="shared" si="15"/>
        <v>7</v>
      </c>
      <c r="R97" s="17">
        <f t="shared" si="16"/>
        <v>6</v>
      </c>
      <c r="S97" s="17">
        <f t="shared" si="17"/>
        <v>9</v>
      </c>
      <c r="T97" s="17">
        <f t="shared" si="18"/>
        <v>8</v>
      </c>
      <c r="U97" s="17">
        <f t="shared" si="19"/>
        <v>8</v>
      </c>
      <c r="W97" s="7">
        <v>12164</v>
      </c>
      <c r="X97" s="7">
        <v>15794</v>
      </c>
      <c r="Y97" s="7">
        <v>6703</v>
      </c>
      <c r="Z97" s="7">
        <v>3106</v>
      </c>
      <c r="AA97" s="7">
        <v>10270</v>
      </c>
      <c r="AB97" s="13"/>
    </row>
    <row r="98" spans="10:28" ht="15.6" customHeight="1" x14ac:dyDescent="0.3">
      <c r="J98" s="2">
        <v>94</v>
      </c>
      <c r="K98" s="41" t="s">
        <v>34</v>
      </c>
      <c r="L98" s="41" t="s">
        <v>32</v>
      </c>
      <c r="M98" s="41" t="s">
        <v>34</v>
      </c>
      <c r="N98" s="41" t="s">
        <v>33</v>
      </c>
      <c r="O98" s="41" t="s">
        <v>34</v>
      </c>
      <c r="Q98" s="17">
        <f t="shared" si="15"/>
        <v>9</v>
      </c>
      <c r="R98" s="17">
        <f t="shared" si="16"/>
        <v>7</v>
      </c>
      <c r="S98" s="17">
        <f t="shared" si="17"/>
        <v>9</v>
      </c>
      <c r="T98" s="17">
        <f t="shared" si="18"/>
        <v>8</v>
      </c>
      <c r="U98" s="17">
        <f t="shared" si="19"/>
        <v>9</v>
      </c>
      <c r="W98" s="7">
        <v>11914</v>
      </c>
      <c r="X98" s="7">
        <v>17397</v>
      </c>
      <c r="Y98" s="7">
        <v>6127</v>
      </c>
      <c r="Z98" s="7">
        <v>3347</v>
      </c>
      <c r="AA98" s="7">
        <v>16817</v>
      </c>
      <c r="AB98" s="13"/>
    </row>
    <row r="99" spans="10:28" ht="15.6" customHeight="1" x14ac:dyDescent="0.3">
      <c r="J99" s="2">
        <v>95</v>
      </c>
      <c r="K99" s="41" t="s">
        <v>35</v>
      </c>
      <c r="L99" s="41" t="s">
        <v>31</v>
      </c>
      <c r="M99" s="41" t="s">
        <v>29</v>
      </c>
      <c r="N99" s="41" t="s">
        <v>46</v>
      </c>
      <c r="O99" s="41" t="s">
        <v>35</v>
      </c>
      <c r="Q99" s="17">
        <f t="shared" si="15"/>
        <v>10</v>
      </c>
      <c r="R99" s="17">
        <f t="shared" si="16"/>
        <v>6</v>
      </c>
      <c r="S99" s="17">
        <f t="shared" si="17"/>
        <v>4</v>
      </c>
      <c r="T99" s="17">
        <f t="shared" si="18"/>
        <v>16</v>
      </c>
      <c r="U99" s="17">
        <f t="shared" si="19"/>
        <v>10</v>
      </c>
      <c r="W99" s="7">
        <v>4765</v>
      </c>
      <c r="X99" s="7">
        <v>5818</v>
      </c>
      <c r="Y99" s="7">
        <v>6703</v>
      </c>
      <c r="Z99" s="7">
        <v>3725</v>
      </c>
      <c r="AA99" s="7">
        <v>13770</v>
      </c>
      <c r="AB99" s="13"/>
    </row>
    <row r="100" spans="10:28" ht="15.6" customHeight="1" x14ac:dyDescent="0.3">
      <c r="J100" s="2">
        <v>96</v>
      </c>
      <c r="K100" s="41" t="s">
        <v>32</v>
      </c>
      <c r="L100" s="41" t="s">
        <v>30</v>
      </c>
      <c r="M100" s="41" t="s">
        <v>30</v>
      </c>
      <c r="N100" s="41" t="s">
        <v>33</v>
      </c>
      <c r="O100" s="41" t="s">
        <v>30</v>
      </c>
      <c r="Q100" s="17">
        <f t="shared" ref="Q100:Q131" si="20">IF(K100="","",VLOOKUP(K100,$A$4:$H$22,8,FALSE))</f>
        <v>7</v>
      </c>
      <c r="R100" s="17">
        <f t="shared" ref="R100:R131" si="21">IF(L100="","",VLOOKUP(L100,$A$4:$H$22,8,FALSE))</f>
        <v>5</v>
      </c>
      <c r="S100" s="17">
        <f t="shared" ref="S100:S131" si="22">IF(M100="","",VLOOKUP(M100,$A$4:$H$22,8,FALSE))</f>
        <v>5</v>
      </c>
      <c r="T100" s="17">
        <f t="shared" ref="T100:T131" si="23">IF(N100="","",VLOOKUP(N100,$A$4:$H$22,8,FALSE))</f>
        <v>8</v>
      </c>
      <c r="U100" s="17">
        <f t="shared" ref="U100:U131" si="24">IF(O100="","",VLOOKUP(O100,$A$4:$H$22,8,FALSE))</f>
        <v>5</v>
      </c>
      <c r="W100" s="7">
        <v>5793</v>
      </c>
      <c r="X100" s="7">
        <v>5995</v>
      </c>
      <c r="Y100" s="7">
        <v>6466</v>
      </c>
      <c r="Z100" s="7">
        <v>3435</v>
      </c>
      <c r="AA100" s="7">
        <v>16365</v>
      </c>
      <c r="AB100" s="13"/>
    </row>
    <row r="101" spans="10:28" ht="15.6" customHeight="1" x14ac:dyDescent="0.3">
      <c r="J101" s="2">
        <v>97</v>
      </c>
      <c r="K101" s="41" t="s">
        <v>31</v>
      </c>
      <c r="L101" s="41" t="s">
        <v>29</v>
      </c>
      <c r="M101" s="41" t="s">
        <v>30</v>
      </c>
      <c r="N101" s="41" t="s">
        <v>26</v>
      </c>
      <c r="O101" s="41" t="s">
        <v>32</v>
      </c>
      <c r="Q101" s="17">
        <f t="shared" si="20"/>
        <v>6</v>
      </c>
      <c r="R101" s="17">
        <f t="shared" si="21"/>
        <v>4</v>
      </c>
      <c r="S101" s="17">
        <f t="shared" si="22"/>
        <v>5</v>
      </c>
      <c r="T101" s="17">
        <f t="shared" si="23"/>
        <v>2</v>
      </c>
      <c r="U101" s="17">
        <f t="shared" si="24"/>
        <v>7</v>
      </c>
      <c r="W101" s="7">
        <v>6696</v>
      </c>
      <c r="X101" s="7">
        <v>5906</v>
      </c>
      <c r="Y101" s="7">
        <v>16892</v>
      </c>
      <c r="Z101" s="7">
        <v>3990</v>
      </c>
      <c r="AA101" s="7">
        <v>14672</v>
      </c>
      <c r="AB101" s="13"/>
    </row>
    <row r="102" spans="10:28" ht="15.6" customHeight="1" x14ac:dyDescent="0.3">
      <c r="J102" s="2">
        <v>98</v>
      </c>
      <c r="K102" s="41" t="s">
        <v>31</v>
      </c>
      <c r="L102" s="41" t="s">
        <v>38</v>
      </c>
      <c r="M102" s="41" t="s">
        <v>31</v>
      </c>
      <c r="N102" s="41" t="s">
        <v>46</v>
      </c>
      <c r="O102" s="41" t="s">
        <v>34</v>
      </c>
      <c r="Q102" s="17">
        <f t="shared" si="20"/>
        <v>6</v>
      </c>
      <c r="R102" s="17">
        <f t="shared" si="21"/>
        <v>12</v>
      </c>
      <c r="S102" s="17">
        <f t="shared" si="22"/>
        <v>6</v>
      </c>
      <c r="T102" s="17">
        <f t="shared" si="23"/>
        <v>16</v>
      </c>
      <c r="U102" s="17">
        <f t="shared" si="24"/>
        <v>9</v>
      </c>
      <c r="W102" s="7">
        <v>6641</v>
      </c>
      <c r="X102" s="7">
        <v>18138</v>
      </c>
      <c r="Y102" s="7">
        <v>7010</v>
      </c>
      <c r="Z102" s="7">
        <v>3435</v>
      </c>
      <c r="AA102" s="7">
        <v>14447</v>
      </c>
      <c r="AB102" s="13"/>
    </row>
    <row r="103" spans="10:28" ht="15.6" customHeight="1" x14ac:dyDescent="0.3">
      <c r="J103" s="2">
        <v>99</v>
      </c>
      <c r="K103" s="41" t="s">
        <v>31</v>
      </c>
      <c r="L103" s="41" t="s">
        <v>33</v>
      </c>
      <c r="M103" s="41" t="s">
        <v>38</v>
      </c>
      <c r="N103" s="41" t="s">
        <v>33</v>
      </c>
      <c r="O103" s="41" t="s">
        <v>30</v>
      </c>
      <c r="Q103" s="17">
        <f t="shared" si="20"/>
        <v>6</v>
      </c>
      <c r="R103" s="17">
        <f t="shared" si="21"/>
        <v>8</v>
      </c>
      <c r="S103" s="17">
        <f t="shared" si="22"/>
        <v>12</v>
      </c>
      <c r="T103" s="17">
        <f t="shared" si="23"/>
        <v>8</v>
      </c>
      <c r="U103" s="17">
        <f t="shared" si="24"/>
        <v>5</v>
      </c>
      <c r="W103" s="7">
        <v>5748</v>
      </c>
      <c r="X103" s="7">
        <v>18014</v>
      </c>
      <c r="Y103" s="7">
        <v>8560</v>
      </c>
      <c r="Z103" s="7">
        <v>2925</v>
      </c>
      <c r="AA103" s="7">
        <v>15236</v>
      </c>
      <c r="AB103" s="13"/>
    </row>
    <row r="104" spans="10:28" ht="15.6" customHeight="1" x14ac:dyDescent="0.3">
      <c r="J104" s="2">
        <v>100</v>
      </c>
      <c r="K104" s="41" t="s">
        <v>32</v>
      </c>
      <c r="L104" s="41" t="s">
        <v>38</v>
      </c>
      <c r="M104" s="41" t="s">
        <v>35</v>
      </c>
      <c r="N104" s="41" t="s">
        <v>46</v>
      </c>
      <c r="O104" s="41" t="s">
        <v>32</v>
      </c>
      <c r="Q104" s="17">
        <f t="shared" si="20"/>
        <v>7</v>
      </c>
      <c r="R104" s="17">
        <f t="shared" si="21"/>
        <v>12</v>
      </c>
      <c r="S104" s="17">
        <f t="shared" si="22"/>
        <v>10</v>
      </c>
      <c r="T104" s="17">
        <f t="shared" si="23"/>
        <v>16</v>
      </c>
      <c r="U104" s="17">
        <f t="shared" si="24"/>
        <v>7</v>
      </c>
      <c r="W104" s="7">
        <v>5663</v>
      </c>
      <c r="X104" s="7">
        <v>6294</v>
      </c>
      <c r="Y104" s="7">
        <v>8043</v>
      </c>
      <c r="Z104" s="7">
        <v>7244</v>
      </c>
      <c r="AA104" s="7">
        <v>14222</v>
      </c>
      <c r="AB104" s="13"/>
    </row>
    <row r="105" spans="10:28" ht="15.6" customHeight="1" x14ac:dyDescent="0.3">
      <c r="J105" s="2">
        <v>101</v>
      </c>
      <c r="K105" s="41" t="s">
        <v>32</v>
      </c>
      <c r="L105" s="41" t="s">
        <v>31</v>
      </c>
      <c r="M105" s="41" t="s">
        <v>35</v>
      </c>
      <c r="N105" s="41" t="s">
        <v>32</v>
      </c>
      <c r="O105" s="41" t="s">
        <v>31</v>
      </c>
      <c r="Q105" s="17">
        <f t="shared" si="20"/>
        <v>7</v>
      </c>
      <c r="R105" s="17">
        <f t="shared" si="21"/>
        <v>6</v>
      </c>
      <c r="S105" s="17">
        <f t="shared" si="22"/>
        <v>10</v>
      </c>
      <c r="T105" s="17">
        <f t="shared" si="23"/>
        <v>7</v>
      </c>
      <c r="U105" s="17">
        <f t="shared" si="24"/>
        <v>6</v>
      </c>
      <c r="W105" s="7">
        <v>4675</v>
      </c>
      <c r="X105" s="7">
        <v>7509</v>
      </c>
      <c r="Y105" s="7">
        <v>18903</v>
      </c>
      <c r="Z105" s="7">
        <v>12729</v>
      </c>
      <c r="AA105" s="7">
        <v>13357</v>
      </c>
      <c r="AB105" s="13"/>
    </row>
    <row r="106" spans="10:28" ht="15.6" customHeight="1" x14ac:dyDescent="0.3">
      <c r="J106" s="2">
        <v>102</v>
      </c>
      <c r="K106" s="41" t="s">
        <v>29</v>
      </c>
      <c r="L106" s="41" t="s">
        <v>29</v>
      </c>
      <c r="M106" s="41" t="s">
        <v>34</v>
      </c>
      <c r="N106" s="41" t="s">
        <v>31</v>
      </c>
      <c r="O106" s="41" t="s">
        <v>32</v>
      </c>
      <c r="Q106" s="17">
        <f t="shared" si="20"/>
        <v>4</v>
      </c>
      <c r="R106" s="17">
        <f t="shared" si="21"/>
        <v>4</v>
      </c>
      <c r="S106" s="17">
        <f t="shared" si="22"/>
        <v>9</v>
      </c>
      <c r="T106" s="17">
        <f t="shared" si="23"/>
        <v>6</v>
      </c>
      <c r="U106" s="17">
        <f t="shared" si="24"/>
        <v>7</v>
      </c>
      <c r="W106" s="7">
        <v>7468</v>
      </c>
      <c r="X106" s="7">
        <v>7401</v>
      </c>
      <c r="Y106" s="7">
        <v>16535</v>
      </c>
      <c r="Z106" s="7">
        <v>17883</v>
      </c>
      <c r="AA106" s="7">
        <v>14109</v>
      </c>
      <c r="AB106" s="13"/>
    </row>
    <row r="107" spans="10:28" ht="15.6" customHeight="1" x14ac:dyDescent="0.3">
      <c r="J107" s="2">
        <v>103</v>
      </c>
      <c r="K107" s="41" t="s">
        <v>30</v>
      </c>
      <c r="L107" s="41" t="s">
        <v>29</v>
      </c>
      <c r="M107" s="41" t="s">
        <v>29</v>
      </c>
      <c r="N107" s="41" t="s">
        <v>44</v>
      </c>
      <c r="O107" s="41" t="s">
        <v>31</v>
      </c>
      <c r="Q107" s="17">
        <f t="shared" si="20"/>
        <v>5</v>
      </c>
      <c r="R107" s="17">
        <f t="shared" si="21"/>
        <v>4</v>
      </c>
      <c r="S107" s="17">
        <f t="shared" si="22"/>
        <v>4</v>
      </c>
      <c r="T107" s="17">
        <f t="shared" si="23"/>
        <v>15</v>
      </c>
      <c r="U107" s="17">
        <f t="shared" si="24"/>
        <v>6</v>
      </c>
      <c r="W107" s="7">
        <v>7052</v>
      </c>
      <c r="X107" s="7">
        <v>8357</v>
      </c>
      <c r="Y107" s="7">
        <v>10017</v>
      </c>
      <c r="Z107" s="7">
        <v>16394</v>
      </c>
      <c r="AA107" s="7">
        <v>14014</v>
      </c>
      <c r="AB107" s="13"/>
    </row>
    <row r="108" spans="10:28" ht="15.6" customHeight="1" x14ac:dyDescent="0.3">
      <c r="J108" s="2">
        <v>104</v>
      </c>
      <c r="K108" s="41" t="s">
        <v>30</v>
      </c>
      <c r="L108" s="41" t="s">
        <v>29</v>
      </c>
      <c r="M108" s="41" t="s">
        <v>50</v>
      </c>
      <c r="N108" s="41" t="s">
        <v>33</v>
      </c>
      <c r="O108" s="41" t="s">
        <v>29</v>
      </c>
      <c r="Q108" s="17">
        <f t="shared" si="20"/>
        <v>5</v>
      </c>
      <c r="R108" s="17">
        <f t="shared" si="21"/>
        <v>4</v>
      </c>
      <c r="S108" s="17">
        <f t="shared" si="22"/>
        <v>18</v>
      </c>
      <c r="T108" s="17">
        <f t="shared" si="23"/>
        <v>8</v>
      </c>
      <c r="U108" s="17">
        <f t="shared" si="24"/>
        <v>4</v>
      </c>
      <c r="W108" s="7">
        <v>15978</v>
      </c>
      <c r="X108" s="7">
        <v>6715</v>
      </c>
      <c r="Y108" s="7">
        <v>7375</v>
      </c>
      <c r="Z108" s="7">
        <v>17883</v>
      </c>
      <c r="AA108" s="7">
        <v>13731</v>
      </c>
      <c r="AB108" s="13"/>
    </row>
    <row r="109" spans="10:28" ht="15.6" customHeight="1" x14ac:dyDescent="0.3">
      <c r="J109" s="2">
        <v>105</v>
      </c>
      <c r="K109" s="41" t="s">
        <v>32</v>
      </c>
      <c r="L109" s="41" t="s">
        <v>31</v>
      </c>
      <c r="M109" s="41" t="s">
        <v>33</v>
      </c>
      <c r="N109" s="41" t="s">
        <v>32</v>
      </c>
      <c r="O109" s="41" t="s">
        <v>30</v>
      </c>
      <c r="Q109" s="17">
        <f t="shared" si="20"/>
        <v>7</v>
      </c>
      <c r="R109" s="17">
        <f t="shared" si="21"/>
        <v>6</v>
      </c>
      <c r="S109" s="17">
        <f t="shared" si="22"/>
        <v>8</v>
      </c>
      <c r="T109" s="17">
        <f t="shared" si="23"/>
        <v>7</v>
      </c>
      <c r="U109" s="17">
        <f t="shared" si="24"/>
        <v>5</v>
      </c>
      <c r="W109" s="7">
        <v>13336</v>
      </c>
      <c r="X109" s="7">
        <v>6872</v>
      </c>
      <c r="Y109" s="7">
        <v>6749</v>
      </c>
      <c r="Z109" s="7">
        <v>21485</v>
      </c>
      <c r="AA109" s="7">
        <v>16027</v>
      </c>
      <c r="AB109" s="13"/>
    </row>
    <row r="110" spans="10:28" ht="15.6" customHeight="1" x14ac:dyDescent="0.3">
      <c r="J110" s="2">
        <v>106</v>
      </c>
      <c r="K110" s="41" t="s">
        <v>33</v>
      </c>
      <c r="L110" s="41" t="s">
        <v>31</v>
      </c>
      <c r="M110" s="41" t="s">
        <v>32</v>
      </c>
      <c r="N110" s="41" t="s">
        <v>28</v>
      </c>
      <c r="O110" s="41" t="s">
        <v>32</v>
      </c>
      <c r="Q110" s="17">
        <f t="shared" si="20"/>
        <v>8</v>
      </c>
      <c r="R110" s="17">
        <f t="shared" si="21"/>
        <v>6</v>
      </c>
      <c r="S110" s="17">
        <f t="shared" si="22"/>
        <v>7</v>
      </c>
      <c r="T110" s="17">
        <f t="shared" si="23"/>
        <v>3</v>
      </c>
      <c r="U110" s="17">
        <f t="shared" si="24"/>
        <v>7</v>
      </c>
      <c r="W110" s="7">
        <v>14777</v>
      </c>
      <c r="X110" s="7">
        <v>8779</v>
      </c>
      <c r="Y110" s="7">
        <v>4262</v>
      </c>
      <c r="Z110" s="7">
        <v>17883</v>
      </c>
      <c r="AA110" s="7">
        <v>17608</v>
      </c>
      <c r="AB110" s="13"/>
    </row>
    <row r="111" spans="10:28" ht="15.6" customHeight="1" x14ac:dyDescent="0.3">
      <c r="J111" s="2">
        <v>107</v>
      </c>
      <c r="K111" s="41" t="s">
        <v>35</v>
      </c>
      <c r="L111" s="41" t="s">
        <v>31</v>
      </c>
      <c r="M111" s="41" t="s">
        <v>32</v>
      </c>
      <c r="N111" s="41" t="s">
        <v>29</v>
      </c>
      <c r="O111" s="41" t="s">
        <v>35</v>
      </c>
      <c r="Q111" s="17">
        <f t="shared" si="20"/>
        <v>10</v>
      </c>
      <c r="R111" s="17">
        <f t="shared" si="21"/>
        <v>6</v>
      </c>
      <c r="S111" s="17">
        <f t="shared" si="22"/>
        <v>7</v>
      </c>
      <c r="T111" s="17">
        <f t="shared" si="23"/>
        <v>4</v>
      </c>
      <c r="U111" s="17">
        <f t="shared" si="24"/>
        <v>10</v>
      </c>
      <c r="W111" s="7">
        <v>18261</v>
      </c>
      <c r="X111" s="7">
        <v>17521</v>
      </c>
      <c r="Y111" s="7">
        <v>4403</v>
      </c>
      <c r="Z111" s="7">
        <v>11487</v>
      </c>
      <c r="AA111" s="7">
        <v>15011</v>
      </c>
      <c r="AB111" s="13"/>
    </row>
    <row r="112" spans="10:28" ht="15.6" customHeight="1" x14ac:dyDescent="0.3">
      <c r="J112" s="2">
        <v>108</v>
      </c>
      <c r="K112" s="41" t="s">
        <v>34</v>
      </c>
      <c r="L112" s="41" t="s">
        <v>28</v>
      </c>
      <c r="M112" s="41" t="s">
        <v>32</v>
      </c>
      <c r="N112" s="41" t="s">
        <v>42</v>
      </c>
      <c r="O112" s="41" t="s">
        <v>32</v>
      </c>
      <c r="Q112" s="17">
        <f t="shared" si="20"/>
        <v>9</v>
      </c>
      <c r="R112" s="17">
        <f t="shared" si="21"/>
        <v>3</v>
      </c>
      <c r="S112" s="17">
        <f t="shared" si="22"/>
        <v>7</v>
      </c>
      <c r="T112" s="17">
        <f t="shared" si="23"/>
        <v>14</v>
      </c>
      <c r="U112" s="17">
        <f t="shared" si="24"/>
        <v>7</v>
      </c>
      <c r="W112" s="7">
        <v>7107</v>
      </c>
      <c r="X112" s="7">
        <v>17151</v>
      </c>
      <c r="Y112" s="7">
        <v>12110</v>
      </c>
      <c r="Z112" s="7">
        <v>16041</v>
      </c>
      <c r="AA112" s="7">
        <v>14334</v>
      </c>
      <c r="AB112" s="13"/>
    </row>
    <row r="113" spans="10:28" ht="15.6" customHeight="1" x14ac:dyDescent="0.3">
      <c r="J113" s="2">
        <v>109</v>
      </c>
      <c r="K113" s="41" t="s">
        <v>32</v>
      </c>
      <c r="L113" s="41" t="s">
        <v>30</v>
      </c>
      <c r="M113" s="41" t="s">
        <v>50</v>
      </c>
      <c r="N113" s="41" t="s">
        <v>33</v>
      </c>
      <c r="O113" s="41" t="s">
        <v>29</v>
      </c>
      <c r="Q113" s="17">
        <f t="shared" si="20"/>
        <v>7</v>
      </c>
      <c r="R113" s="17">
        <f t="shared" si="21"/>
        <v>5</v>
      </c>
      <c r="S113" s="17">
        <f t="shared" si="22"/>
        <v>18</v>
      </c>
      <c r="T113" s="17">
        <f t="shared" si="23"/>
        <v>8</v>
      </c>
      <c r="U113" s="17">
        <f t="shared" si="24"/>
        <v>4</v>
      </c>
      <c r="W113" s="7">
        <v>6696</v>
      </c>
      <c r="X113" s="7">
        <v>18014</v>
      </c>
      <c r="Y113" s="7">
        <v>8647</v>
      </c>
      <c r="Z113" s="7">
        <v>13868</v>
      </c>
      <c r="AA113" s="7">
        <v>14729</v>
      </c>
      <c r="AB113" s="13"/>
    </row>
    <row r="114" spans="10:28" ht="15.6" customHeight="1" x14ac:dyDescent="0.3">
      <c r="J114" s="2">
        <v>110</v>
      </c>
      <c r="K114" s="41" t="s">
        <v>35</v>
      </c>
      <c r="L114" s="41" t="s">
        <v>34</v>
      </c>
      <c r="M114" s="41" t="s">
        <v>30</v>
      </c>
      <c r="N114" s="41" t="s">
        <v>29</v>
      </c>
      <c r="O114" s="41" t="s">
        <v>31</v>
      </c>
      <c r="Q114" s="17">
        <f t="shared" si="20"/>
        <v>10</v>
      </c>
      <c r="R114" s="17">
        <f t="shared" si="21"/>
        <v>9</v>
      </c>
      <c r="S114" s="17">
        <f t="shared" si="22"/>
        <v>5</v>
      </c>
      <c r="T114" s="17">
        <f t="shared" si="23"/>
        <v>4</v>
      </c>
      <c r="U114" s="17">
        <f t="shared" si="24"/>
        <v>6</v>
      </c>
      <c r="W114" s="7">
        <v>7002</v>
      </c>
      <c r="X114" s="7">
        <v>16164</v>
      </c>
      <c r="Y114" s="7">
        <v>9317</v>
      </c>
      <c r="Z114" s="7">
        <v>12729</v>
      </c>
      <c r="AA114" s="7">
        <v>14560</v>
      </c>
      <c r="AB114" s="13"/>
    </row>
    <row r="115" spans="10:28" ht="15.6" customHeight="1" x14ac:dyDescent="0.3">
      <c r="J115" s="2">
        <v>111</v>
      </c>
      <c r="K115" s="41" t="s">
        <v>35</v>
      </c>
      <c r="L115" s="41" t="s">
        <v>31</v>
      </c>
      <c r="M115" s="41" t="s">
        <v>50</v>
      </c>
      <c r="N115" s="41" t="s">
        <v>33</v>
      </c>
      <c r="O115" s="41" t="s">
        <v>33</v>
      </c>
      <c r="Q115" s="17">
        <f t="shared" si="20"/>
        <v>10</v>
      </c>
      <c r="R115" s="17">
        <f t="shared" si="21"/>
        <v>6</v>
      </c>
      <c r="S115" s="17">
        <f t="shared" si="22"/>
        <v>18</v>
      </c>
      <c r="T115" s="17">
        <f t="shared" si="23"/>
        <v>8</v>
      </c>
      <c r="U115" s="17">
        <f t="shared" si="24"/>
        <v>8</v>
      </c>
      <c r="W115" s="7">
        <v>18021</v>
      </c>
      <c r="X115" s="7">
        <v>17151</v>
      </c>
      <c r="Y115" s="7">
        <v>12871</v>
      </c>
      <c r="Z115" s="7">
        <v>5546</v>
      </c>
      <c r="AA115" s="7">
        <v>7900</v>
      </c>
      <c r="AB115" s="13"/>
    </row>
    <row r="116" spans="10:28" ht="15.6" customHeight="1" x14ac:dyDescent="0.3">
      <c r="J116" s="2">
        <v>112</v>
      </c>
      <c r="K116" s="41" t="s">
        <v>28</v>
      </c>
      <c r="L116" s="41" t="s">
        <v>38</v>
      </c>
      <c r="M116" s="41" t="s">
        <v>34</v>
      </c>
      <c r="N116" s="41" t="s">
        <v>30</v>
      </c>
      <c r="O116" s="41" t="s">
        <v>29</v>
      </c>
      <c r="Q116" s="17">
        <f t="shared" si="20"/>
        <v>3</v>
      </c>
      <c r="R116" s="17">
        <f t="shared" si="21"/>
        <v>12</v>
      </c>
      <c r="S116" s="17">
        <f t="shared" si="22"/>
        <v>9</v>
      </c>
      <c r="T116" s="17">
        <f t="shared" si="23"/>
        <v>5</v>
      </c>
      <c r="U116" s="17">
        <f t="shared" si="24"/>
        <v>4</v>
      </c>
      <c r="W116" s="7">
        <v>11713</v>
      </c>
      <c r="X116" s="7">
        <v>18879</v>
      </c>
      <c r="Y116" s="7">
        <v>8378</v>
      </c>
      <c r="Z116" s="7">
        <v>6699</v>
      </c>
      <c r="AA116" s="7">
        <v>2498</v>
      </c>
      <c r="AB116" s="13"/>
    </row>
    <row r="117" spans="10:28" ht="15.6" customHeight="1" x14ac:dyDescent="0.3">
      <c r="J117" s="2">
        <v>113</v>
      </c>
      <c r="K117" s="41" t="s">
        <v>35</v>
      </c>
      <c r="L117" s="41" t="s">
        <v>30</v>
      </c>
      <c r="M117" s="41" t="s">
        <v>44</v>
      </c>
      <c r="N117" s="41" t="s">
        <v>35</v>
      </c>
      <c r="O117" s="41" t="s">
        <v>30</v>
      </c>
      <c r="Q117" s="17">
        <f t="shared" si="20"/>
        <v>10</v>
      </c>
      <c r="R117" s="17">
        <f t="shared" si="21"/>
        <v>5</v>
      </c>
      <c r="S117" s="17">
        <f t="shared" si="22"/>
        <v>15</v>
      </c>
      <c r="T117" s="17">
        <f t="shared" si="23"/>
        <v>10</v>
      </c>
      <c r="U117" s="17">
        <f t="shared" si="24"/>
        <v>5</v>
      </c>
      <c r="W117" s="7">
        <v>12215</v>
      </c>
      <c r="X117" s="7">
        <v>17275</v>
      </c>
      <c r="Y117" s="7">
        <v>8603</v>
      </c>
      <c r="Z117" s="7">
        <v>6866</v>
      </c>
      <c r="AA117" s="7">
        <v>2618</v>
      </c>
      <c r="AB117" s="13"/>
    </row>
    <row r="118" spans="10:28" ht="15.6" customHeight="1" x14ac:dyDescent="0.3">
      <c r="J118" s="2">
        <v>114</v>
      </c>
      <c r="K118" s="41" t="s">
        <v>28</v>
      </c>
      <c r="L118" s="41" t="s">
        <v>34</v>
      </c>
      <c r="M118" s="41" t="s">
        <v>34</v>
      </c>
      <c r="N118" s="41" t="s">
        <v>35</v>
      </c>
      <c r="O118" s="41" t="s">
        <v>29</v>
      </c>
      <c r="Q118" s="17">
        <f t="shared" si="20"/>
        <v>3</v>
      </c>
      <c r="R118" s="17">
        <f t="shared" si="21"/>
        <v>9</v>
      </c>
      <c r="S118" s="17">
        <f t="shared" si="22"/>
        <v>9</v>
      </c>
      <c r="T118" s="17">
        <f t="shared" si="23"/>
        <v>10</v>
      </c>
      <c r="U118" s="17">
        <f t="shared" si="24"/>
        <v>4</v>
      </c>
      <c r="W118" s="7">
        <v>12915</v>
      </c>
      <c r="X118" s="7">
        <v>17151</v>
      </c>
      <c r="Y118" s="7">
        <v>9942</v>
      </c>
      <c r="Z118" s="7">
        <v>16642</v>
      </c>
      <c r="AA118" s="7">
        <v>3023</v>
      </c>
      <c r="AB118" s="13"/>
    </row>
    <row r="119" spans="10:28" ht="15.6" customHeight="1" x14ac:dyDescent="0.3">
      <c r="J119" s="2">
        <v>115</v>
      </c>
      <c r="K119" s="41" t="s">
        <v>33</v>
      </c>
      <c r="L119" s="41" t="s">
        <v>29</v>
      </c>
      <c r="M119" s="41" t="s">
        <v>29</v>
      </c>
      <c r="N119" s="41" t="s">
        <v>44</v>
      </c>
      <c r="O119" s="41" t="s">
        <v>29</v>
      </c>
      <c r="Q119" s="17">
        <f t="shared" si="20"/>
        <v>8</v>
      </c>
      <c r="R119" s="17">
        <f t="shared" si="21"/>
        <v>4</v>
      </c>
      <c r="S119" s="17">
        <f t="shared" si="22"/>
        <v>4</v>
      </c>
      <c r="T119" s="17">
        <f t="shared" si="23"/>
        <v>15</v>
      </c>
      <c r="U119" s="17">
        <f t="shared" si="24"/>
        <v>4</v>
      </c>
      <c r="W119" s="7">
        <v>12715</v>
      </c>
      <c r="X119" s="7">
        <v>13573</v>
      </c>
      <c r="Y119" s="7">
        <v>10277</v>
      </c>
      <c r="Z119" s="7">
        <v>18008</v>
      </c>
      <c r="AA119" s="7">
        <v>2398</v>
      </c>
      <c r="AB119" s="13"/>
    </row>
    <row r="120" spans="10:28" ht="15.6" customHeight="1" x14ac:dyDescent="0.3">
      <c r="J120" s="2">
        <v>116</v>
      </c>
      <c r="K120" s="41" t="s">
        <v>35</v>
      </c>
      <c r="L120" s="41" t="s">
        <v>33</v>
      </c>
      <c r="M120" s="41" t="s">
        <v>30</v>
      </c>
      <c r="N120" s="41" t="s">
        <v>46</v>
      </c>
      <c r="O120" s="41" t="s">
        <v>29</v>
      </c>
      <c r="Q120" s="17">
        <f t="shared" si="20"/>
        <v>10</v>
      </c>
      <c r="R120" s="17">
        <f t="shared" si="21"/>
        <v>8</v>
      </c>
      <c r="S120" s="17">
        <f t="shared" si="22"/>
        <v>5</v>
      </c>
      <c r="T120" s="17">
        <f t="shared" si="23"/>
        <v>16</v>
      </c>
      <c r="U120" s="17">
        <f t="shared" si="24"/>
        <v>4</v>
      </c>
      <c r="W120" s="7">
        <v>12915</v>
      </c>
      <c r="X120" s="7">
        <v>16780</v>
      </c>
      <c r="Y120" s="7">
        <v>12110</v>
      </c>
      <c r="Z120" s="7">
        <v>7450</v>
      </c>
      <c r="AA120" s="7">
        <v>8340</v>
      </c>
      <c r="AB120" s="13"/>
    </row>
    <row r="121" spans="10:28" ht="15.6" customHeight="1" x14ac:dyDescent="0.3">
      <c r="J121" s="2">
        <v>117</v>
      </c>
      <c r="K121" s="41" t="s">
        <v>33</v>
      </c>
      <c r="L121" s="41" t="s">
        <v>42</v>
      </c>
      <c r="M121" s="41" t="s">
        <v>33</v>
      </c>
      <c r="N121" s="41" t="s">
        <v>26</v>
      </c>
      <c r="O121" s="41" t="s">
        <v>33</v>
      </c>
      <c r="Q121" s="17">
        <f t="shared" si="20"/>
        <v>8</v>
      </c>
      <c r="R121" s="17">
        <f t="shared" si="21"/>
        <v>14</v>
      </c>
      <c r="S121" s="17">
        <f t="shared" si="22"/>
        <v>8</v>
      </c>
      <c r="T121" s="17">
        <f t="shared" si="23"/>
        <v>2</v>
      </c>
      <c r="U121" s="17">
        <f t="shared" si="24"/>
        <v>8</v>
      </c>
      <c r="W121" s="7">
        <v>3205</v>
      </c>
      <c r="X121" s="7">
        <v>17397</v>
      </c>
      <c r="Y121" s="7">
        <v>8647</v>
      </c>
      <c r="Z121" s="7">
        <v>7931</v>
      </c>
      <c r="AA121" s="7">
        <v>3749</v>
      </c>
      <c r="AB121" s="13"/>
    </row>
    <row r="122" spans="10:28" ht="15.6" customHeight="1" x14ac:dyDescent="0.3">
      <c r="J122" s="2">
        <v>118</v>
      </c>
      <c r="K122" s="41" t="s">
        <v>29</v>
      </c>
      <c r="L122" s="41" t="s">
        <v>35</v>
      </c>
      <c r="M122" s="41" t="s">
        <v>34</v>
      </c>
      <c r="N122" s="41" t="s">
        <v>42</v>
      </c>
      <c r="O122" s="41" t="s">
        <v>30</v>
      </c>
      <c r="Q122" s="17">
        <f t="shared" si="20"/>
        <v>4</v>
      </c>
      <c r="R122" s="17">
        <f t="shared" si="21"/>
        <v>10</v>
      </c>
      <c r="S122" s="17">
        <f t="shared" si="22"/>
        <v>9</v>
      </c>
      <c r="T122" s="17">
        <f t="shared" si="23"/>
        <v>14</v>
      </c>
      <c r="U122" s="17">
        <f t="shared" si="24"/>
        <v>5</v>
      </c>
      <c r="W122" s="7">
        <v>2558</v>
      </c>
      <c r="X122" s="7">
        <v>16905</v>
      </c>
      <c r="Y122" s="7">
        <v>9317</v>
      </c>
      <c r="Z122" s="7">
        <v>7666</v>
      </c>
      <c r="AA122" s="7">
        <v>2739</v>
      </c>
      <c r="AB122" s="13"/>
    </row>
    <row r="123" spans="10:28" ht="15.6" customHeight="1" x14ac:dyDescent="0.3">
      <c r="J123" s="2">
        <v>119</v>
      </c>
      <c r="K123" s="41" t="s">
        <v>33</v>
      </c>
      <c r="L123" s="41" t="s">
        <v>40</v>
      </c>
      <c r="M123" s="41" t="s">
        <v>29</v>
      </c>
      <c r="N123" s="41" t="s">
        <v>42</v>
      </c>
      <c r="O123" s="41" t="s">
        <v>32</v>
      </c>
      <c r="Q123" s="17">
        <f t="shared" si="20"/>
        <v>8</v>
      </c>
      <c r="R123" s="17">
        <f t="shared" si="21"/>
        <v>13</v>
      </c>
      <c r="S123" s="17">
        <f t="shared" si="22"/>
        <v>4</v>
      </c>
      <c r="T123" s="17">
        <f t="shared" si="23"/>
        <v>14</v>
      </c>
      <c r="U123" s="17">
        <f t="shared" si="24"/>
        <v>7</v>
      </c>
      <c r="W123" s="7">
        <v>1941</v>
      </c>
      <c r="X123" s="7">
        <v>13367</v>
      </c>
      <c r="Y123" s="7">
        <v>6273</v>
      </c>
      <c r="Z123" s="7">
        <v>6699</v>
      </c>
      <c r="AA123" s="7">
        <v>5658</v>
      </c>
      <c r="AB123" s="13"/>
    </row>
    <row r="124" spans="10:28" ht="15.6" customHeight="1" x14ac:dyDescent="0.3">
      <c r="J124" s="2">
        <v>120</v>
      </c>
      <c r="K124" s="41" t="s">
        <v>33</v>
      </c>
      <c r="L124" s="41" t="s">
        <v>34</v>
      </c>
      <c r="M124" s="41" t="s">
        <v>30</v>
      </c>
      <c r="N124" s="41" t="s">
        <v>31</v>
      </c>
      <c r="O124" s="41" t="s">
        <v>32</v>
      </c>
      <c r="Q124" s="17">
        <f t="shared" si="20"/>
        <v>8</v>
      </c>
      <c r="R124" s="17">
        <f t="shared" si="21"/>
        <v>9</v>
      </c>
      <c r="S124" s="17">
        <f t="shared" si="22"/>
        <v>5</v>
      </c>
      <c r="T124" s="17">
        <f t="shared" si="23"/>
        <v>6</v>
      </c>
      <c r="U124" s="17">
        <f t="shared" si="24"/>
        <v>7</v>
      </c>
      <c r="W124" s="7">
        <v>5446</v>
      </c>
      <c r="X124" s="7">
        <v>12956</v>
      </c>
      <c r="Y124" s="7">
        <v>5030</v>
      </c>
      <c r="Z124" s="7">
        <v>13350</v>
      </c>
      <c r="AA124" s="7">
        <v>14222</v>
      </c>
      <c r="AB124" s="13"/>
    </row>
    <row r="125" spans="10:28" ht="15.6" customHeight="1" x14ac:dyDescent="0.3">
      <c r="J125" s="2">
        <v>121</v>
      </c>
      <c r="K125" s="41" t="s">
        <v>32</v>
      </c>
      <c r="L125" s="41" t="s">
        <v>32</v>
      </c>
      <c r="M125" s="41" t="s">
        <v>34</v>
      </c>
      <c r="N125" s="41" t="s">
        <v>34</v>
      </c>
      <c r="O125" s="41" t="s">
        <v>34</v>
      </c>
      <c r="Q125" s="17">
        <f t="shared" si="20"/>
        <v>7</v>
      </c>
      <c r="R125" s="17">
        <f t="shared" si="21"/>
        <v>7</v>
      </c>
      <c r="S125" s="17">
        <f t="shared" si="22"/>
        <v>9</v>
      </c>
      <c r="T125" s="17">
        <f t="shared" si="23"/>
        <v>9</v>
      </c>
      <c r="U125" s="17">
        <f t="shared" si="24"/>
        <v>9</v>
      </c>
      <c r="W125" s="7">
        <v>5206</v>
      </c>
      <c r="X125" s="7">
        <v>13059</v>
      </c>
      <c r="Y125" s="7">
        <v>1331</v>
      </c>
      <c r="Z125" s="7">
        <v>14180</v>
      </c>
      <c r="AA125" s="7">
        <v>4354</v>
      </c>
      <c r="AB125" s="13"/>
    </row>
    <row r="126" spans="10:28" ht="15.6" customHeight="1" x14ac:dyDescent="0.3">
      <c r="J126" s="2">
        <v>122</v>
      </c>
      <c r="K126" s="41" t="s">
        <v>35</v>
      </c>
      <c r="L126" s="41" t="s">
        <v>42</v>
      </c>
      <c r="M126" s="41" t="s">
        <v>34</v>
      </c>
      <c r="N126" s="41" t="s">
        <v>50</v>
      </c>
      <c r="O126" s="41" t="s">
        <v>35</v>
      </c>
      <c r="Q126" s="17">
        <f t="shared" si="20"/>
        <v>10</v>
      </c>
      <c r="R126" s="17">
        <f t="shared" si="21"/>
        <v>14</v>
      </c>
      <c r="S126" s="17">
        <f t="shared" si="22"/>
        <v>9</v>
      </c>
      <c r="T126" s="17">
        <f t="shared" si="23"/>
        <v>18</v>
      </c>
      <c r="U126" s="17">
        <f t="shared" si="24"/>
        <v>10</v>
      </c>
      <c r="W126" s="7">
        <v>2041</v>
      </c>
      <c r="X126" s="7">
        <v>14561</v>
      </c>
      <c r="Y126" s="7">
        <v>1331</v>
      </c>
      <c r="Z126" s="7">
        <v>13868</v>
      </c>
      <c r="AA126" s="7">
        <v>5200</v>
      </c>
      <c r="AB126" s="13"/>
    </row>
    <row r="127" spans="10:28" ht="15.6" customHeight="1" x14ac:dyDescent="0.3">
      <c r="J127" s="2">
        <v>123</v>
      </c>
      <c r="K127" s="41" t="s">
        <v>32</v>
      </c>
      <c r="L127" s="41" t="s">
        <v>32</v>
      </c>
      <c r="M127" s="41" t="s">
        <v>35</v>
      </c>
      <c r="N127" s="41" t="s">
        <v>31</v>
      </c>
      <c r="O127" s="41" t="s">
        <v>32</v>
      </c>
      <c r="Q127" s="17">
        <f t="shared" si="20"/>
        <v>7</v>
      </c>
      <c r="R127" s="17">
        <f t="shared" si="21"/>
        <v>7</v>
      </c>
      <c r="S127" s="17">
        <f t="shared" si="22"/>
        <v>10</v>
      </c>
      <c r="T127" s="17">
        <f t="shared" si="23"/>
        <v>6</v>
      </c>
      <c r="U127" s="17">
        <f t="shared" si="24"/>
        <v>7</v>
      </c>
      <c r="W127" s="7">
        <v>3205</v>
      </c>
      <c r="X127" s="7">
        <v>15547</v>
      </c>
      <c r="Y127" s="7">
        <v>1331</v>
      </c>
      <c r="Z127" s="7">
        <v>16145</v>
      </c>
      <c r="AA127" s="7">
        <v>5442</v>
      </c>
      <c r="AB127" s="13"/>
    </row>
    <row r="128" spans="10:28" ht="15.6" customHeight="1" x14ac:dyDescent="0.3">
      <c r="J128" s="2">
        <v>124</v>
      </c>
      <c r="K128" s="41" t="s">
        <v>30</v>
      </c>
      <c r="L128" s="41" t="s">
        <v>38</v>
      </c>
      <c r="M128" s="41" t="s">
        <v>35</v>
      </c>
      <c r="N128" s="41" t="s">
        <v>34</v>
      </c>
      <c r="O128" s="41" t="s">
        <v>32</v>
      </c>
      <c r="Q128" s="17">
        <f t="shared" si="20"/>
        <v>5</v>
      </c>
      <c r="R128" s="17">
        <f t="shared" si="21"/>
        <v>12</v>
      </c>
      <c r="S128" s="17">
        <f t="shared" si="22"/>
        <v>10</v>
      </c>
      <c r="T128" s="17">
        <f t="shared" si="23"/>
        <v>9</v>
      </c>
      <c r="U128" s="17">
        <f t="shared" si="24"/>
        <v>7</v>
      </c>
      <c r="W128" s="7">
        <v>2558</v>
      </c>
      <c r="X128" s="7">
        <v>16656</v>
      </c>
      <c r="Y128" s="7">
        <v>1331</v>
      </c>
      <c r="Z128" s="7">
        <v>17635</v>
      </c>
      <c r="AA128" s="7">
        <v>13262</v>
      </c>
      <c r="AB128" s="13"/>
    </row>
    <row r="129" spans="10:28" ht="15.6" customHeight="1" x14ac:dyDescent="0.3">
      <c r="J129" s="2">
        <v>125</v>
      </c>
      <c r="K129" s="41" t="s">
        <v>30</v>
      </c>
      <c r="L129" s="41" t="s">
        <v>33</v>
      </c>
      <c r="M129" s="41" t="s">
        <v>35</v>
      </c>
      <c r="N129" s="41" t="s">
        <v>29</v>
      </c>
      <c r="O129" s="41" t="s">
        <v>35</v>
      </c>
      <c r="Q129" s="17">
        <f t="shared" si="20"/>
        <v>5</v>
      </c>
      <c r="R129" s="17">
        <f t="shared" si="21"/>
        <v>8</v>
      </c>
      <c r="S129" s="17">
        <f t="shared" si="22"/>
        <v>10</v>
      </c>
      <c r="T129" s="17">
        <f t="shared" si="23"/>
        <v>4</v>
      </c>
      <c r="U129" s="17">
        <f t="shared" si="24"/>
        <v>10</v>
      </c>
      <c r="W129" s="7">
        <v>4526</v>
      </c>
      <c r="X129" s="7">
        <v>6769</v>
      </c>
      <c r="Y129" s="7">
        <v>1331</v>
      </c>
      <c r="Z129" s="7">
        <v>16041</v>
      </c>
      <c r="AA129" s="7">
        <v>13657</v>
      </c>
      <c r="AB129" s="13"/>
    </row>
    <row r="130" spans="10:28" ht="15.6" customHeight="1" x14ac:dyDescent="0.3">
      <c r="J130" s="2">
        <v>126</v>
      </c>
      <c r="K130" s="41" t="s">
        <v>32</v>
      </c>
      <c r="L130" s="41" t="s">
        <v>28</v>
      </c>
      <c r="M130" s="41" t="s">
        <v>35</v>
      </c>
      <c r="N130" s="41" t="s">
        <v>28</v>
      </c>
      <c r="O130" s="41" t="s">
        <v>33</v>
      </c>
      <c r="Q130" s="17">
        <f t="shared" si="20"/>
        <v>7</v>
      </c>
      <c r="R130" s="17">
        <f t="shared" si="21"/>
        <v>3</v>
      </c>
      <c r="S130" s="17">
        <f t="shared" si="22"/>
        <v>10</v>
      </c>
      <c r="T130" s="17">
        <f t="shared" si="23"/>
        <v>3</v>
      </c>
      <c r="U130" s="17">
        <f t="shared" si="24"/>
        <v>8</v>
      </c>
      <c r="W130" s="7">
        <v>5446</v>
      </c>
      <c r="X130" s="7">
        <v>7401</v>
      </c>
      <c r="Y130" s="7">
        <v>13964</v>
      </c>
      <c r="Z130" s="7">
        <v>5634</v>
      </c>
      <c r="AA130" s="7">
        <v>15236</v>
      </c>
      <c r="AB130" s="13"/>
    </row>
    <row r="131" spans="10:28" ht="15.6" customHeight="1" x14ac:dyDescent="0.3">
      <c r="J131" s="2">
        <v>127</v>
      </c>
      <c r="K131" s="41" t="s">
        <v>29</v>
      </c>
      <c r="L131" s="41" t="s">
        <v>31</v>
      </c>
      <c r="M131" s="41" t="s">
        <v>33</v>
      </c>
      <c r="N131" s="41" t="s">
        <v>33</v>
      </c>
      <c r="O131" s="41" t="s">
        <v>34</v>
      </c>
      <c r="Q131" s="17">
        <f t="shared" si="20"/>
        <v>4</v>
      </c>
      <c r="R131" s="17">
        <f t="shared" si="21"/>
        <v>6</v>
      </c>
      <c r="S131" s="17">
        <f t="shared" si="22"/>
        <v>8</v>
      </c>
      <c r="T131" s="17">
        <f t="shared" si="23"/>
        <v>8</v>
      </c>
      <c r="U131" s="17">
        <f t="shared" si="24"/>
        <v>9</v>
      </c>
      <c r="W131" s="7">
        <v>5206</v>
      </c>
      <c r="X131" s="7">
        <v>5553</v>
      </c>
      <c r="Y131" s="7">
        <v>5697</v>
      </c>
      <c r="Z131" s="7">
        <v>6164</v>
      </c>
      <c r="AA131" s="7">
        <v>13883</v>
      </c>
      <c r="AB131" s="13"/>
    </row>
    <row r="132" spans="10:28" ht="15.6" customHeight="1" x14ac:dyDescent="0.3">
      <c r="J132" s="2">
        <v>128</v>
      </c>
      <c r="K132" s="41" t="s">
        <v>33</v>
      </c>
      <c r="L132" s="41" t="s">
        <v>31</v>
      </c>
      <c r="M132" s="41" t="s">
        <v>35</v>
      </c>
      <c r="N132" s="41" t="s">
        <v>31</v>
      </c>
      <c r="O132" s="41" t="s">
        <v>32</v>
      </c>
      <c r="Q132" s="17">
        <f t="shared" ref="Q132:Q163" si="25">IF(K132="","",VLOOKUP(K132,$A$4:$H$22,8,FALSE))</f>
        <v>8</v>
      </c>
      <c r="R132" s="17">
        <f t="shared" ref="R132:R163" si="26">IF(L132="","",VLOOKUP(L132,$A$4:$H$22,8,FALSE))</f>
        <v>6</v>
      </c>
      <c r="S132" s="17">
        <f t="shared" ref="S132:S163" si="27">IF(M132="","",VLOOKUP(M132,$A$4:$H$22,8,FALSE))</f>
        <v>10</v>
      </c>
      <c r="T132" s="17">
        <f t="shared" ref="T132:T163" si="28">IF(N132="","",VLOOKUP(N132,$A$4:$H$22,8,FALSE))</f>
        <v>6</v>
      </c>
      <c r="U132" s="17">
        <f t="shared" ref="U132:U163" si="29">IF(O132="","",VLOOKUP(O132,$A$4:$H$22,8,FALSE))</f>
        <v>7</v>
      </c>
      <c r="W132" s="7">
        <v>4766</v>
      </c>
      <c r="X132" s="7">
        <v>2990</v>
      </c>
      <c r="Y132" s="7">
        <v>6722</v>
      </c>
      <c r="Z132" s="7">
        <v>5457</v>
      </c>
      <c r="AA132" s="7">
        <v>14785</v>
      </c>
      <c r="AB132" s="13"/>
    </row>
    <row r="133" spans="10:28" ht="15.6" customHeight="1" x14ac:dyDescent="0.3">
      <c r="J133" s="2">
        <v>129</v>
      </c>
      <c r="K133" s="41" t="s">
        <v>30</v>
      </c>
      <c r="L133" s="41" t="s">
        <v>31</v>
      </c>
      <c r="M133" s="41" t="s">
        <v>48</v>
      </c>
      <c r="N133" s="41" t="s">
        <v>31</v>
      </c>
      <c r="O133" s="41" t="s">
        <v>33</v>
      </c>
      <c r="Q133" s="17">
        <f t="shared" si="25"/>
        <v>5</v>
      </c>
      <c r="R133" s="17">
        <f t="shared" si="26"/>
        <v>6</v>
      </c>
      <c r="S133" s="17">
        <f t="shared" si="27"/>
        <v>17</v>
      </c>
      <c r="T133" s="17">
        <f t="shared" si="28"/>
        <v>6</v>
      </c>
      <c r="U133" s="17">
        <f t="shared" si="29"/>
        <v>8</v>
      </c>
      <c r="W133" s="7">
        <v>7478</v>
      </c>
      <c r="X133" s="7">
        <v>3980</v>
      </c>
      <c r="Y133" s="7">
        <v>7755</v>
      </c>
      <c r="Z133" s="7">
        <v>14903</v>
      </c>
      <c r="AA133" s="7">
        <v>6383</v>
      </c>
      <c r="AB133" s="13"/>
    </row>
    <row r="134" spans="10:28" ht="15.6" customHeight="1" x14ac:dyDescent="0.3">
      <c r="J134" s="2">
        <v>130</v>
      </c>
      <c r="K134" s="41" t="s">
        <v>35</v>
      </c>
      <c r="L134" s="41" t="s">
        <v>32</v>
      </c>
      <c r="M134" s="41" t="s">
        <v>34</v>
      </c>
      <c r="N134" s="41" t="s">
        <v>30</v>
      </c>
      <c r="O134" s="41" t="s">
        <v>35</v>
      </c>
      <c r="Q134" s="17">
        <f t="shared" si="25"/>
        <v>10</v>
      </c>
      <c r="R134" s="17">
        <f t="shared" si="26"/>
        <v>7</v>
      </c>
      <c r="S134" s="17">
        <f t="shared" si="27"/>
        <v>9</v>
      </c>
      <c r="T134" s="17">
        <f t="shared" si="28"/>
        <v>5</v>
      </c>
      <c r="U134" s="17">
        <f t="shared" si="29"/>
        <v>10</v>
      </c>
      <c r="W134" s="7">
        <v>5966</v>
      </c>
      <c r="X134" s="7">
        <v>3083</v>
      </c>
      <c r="Y134" s="7">
        <v>12625</v>
      </c>
      <c r="Z134" s="7">
        <v>15897</v>
      </c>
      <c r="AA134" s="7">
        <v>5279</v>
      </c>
      <c r="AB134" s="13"/>
    </row>
    <row r="135" spans="10:28" ht="15.6" customHeight="1" x14ac:dyDescent="0.3">
      <c r="J135" s="2">
        <v>131</v>
      </c>
      <c r="K135" s="41" t="s">
        <v>32</v>
      </c>
      <c r="L135" s="41" t="s">
        <v>29</v>
      </c>
      <c r="M135" s="41" t="s">
        <v>32</v>
      </c>
      <c r="N135" s="41" t="s">
        <v>34</v>
      </c>
      <c r="O135" s="41" t="s">
        <v>29</v>
      </c>
      <c r="Q135" s="17">
        <f t="shared" si="25"/>
        <v>7</v>
      </c>
      <c r="R135" s="17">
        <f t="shared" si="26"/>
        <v>4</v>
      </c>
      <c r="S135" s="17">
        <f t="shared" si="27"/>
        <v>7</v>
      </c>
      <c r="T135" s="17">
        <f t="shared" si="28"/>
        <v>9</v>
      </c>
      <c r="U135" s="17">
        <f t="shared" si="29"/>
        <v>4</v>
      </c>
      <c r="W135" s="7">
        <v>4526</v>
      </c>
      <c r="X135" s="7">
        <v>2951</v>
      </c>
      <c r="Y135" s="7">
        <v>14914</v>
      </c>
      <c r="Z135" s="7">
        <v>18008</v>
      </c>
      <c r="AA135" s="7">
        <v>5200</v>
      </c>
      <c r="AB135" s="13"/>
    </row>
    <row r="136" spans="10:28" ht="15.6" customHeight="1" x14ac:dyDescent="0.3">
      <c r="J136" s="2">
        <v>132</v>
      </c>
      <c r="K136" s="41" t="s">
        <v>35</v>
      </c>
      <c r="L136" s="41" t="s">
        <v>29</v>
      </c>
      <c r="M136" s="41" t="s">
        <v>30</v>
      </c>
      <c r="N136" s="41" t="s">
        <v>35</v>
      </c>
      <c r="O136" s="41" t="s">
        <v>29</v>
      </c>
      <c r="Q136" s="17">
        <f t="shared" si="25"/>
        <v>10</v>
      </c>
      <c r="R136" s="17">
        <f t="shared" si="26"/>
        <v>4</v>
      </c>
      <c r="S136" s="17">
        <f t="shared" si="27"/>
        <v>5</v>
      </c>
      <c r="T136" s="17">
        <f t="shared" si="28"/>
        <v>10</v>
      </c>
      <c r="U136" s="17">
        <f t="shared" si="29"/>
        <v>4</v>
      </c>
      <c r="W136" s="7">
        <v>2332</v>
      </c>
      <c r="X136" s="7">
        <v>3083</v>
      </c>
      <c r="Y136" s="7">
        <v>3521</v>
      </c>
      <c r="Z136" s="7">
        <v>17883</v>
      </c>
      <c r="AA136" s="7">
        <v>5605</v>
      </c>
      <c r="AB136" s="13"/>
    </row>
    <row r="137" spans="10:28" ht="15.6" customHeight="1" x14ac:dyDescent="0.3">
      <c r="J137" s="2">
        <v>133</v>
      </c>
      <c r="K137" s="41" t="s">
        <v>33</v>
      </c>
      <c r="L137" s="41" t="s">
        <v>46</v>
      </c>
      <c r="M137" s="41" t="s">
        <v>48</v>
      </c>
      <c r="N137" s="41" t="s">
        <v>48</v>
      </c>
      <c r="O137" s="41" t="s">
        <v>29</v>
      </c>
      <c r="Q137" s="17">
        <f t="shared" si="25"/>
        <v>8</v>
      </c>
      <c r="R137" s="17">
        <f t="shared" si="26"/>
        <v>16</v>
      </c>
      <c r="S137" s="17">
        <f t="shared" si="27"/>
        <v>17</v>
      </c>
      <c r="T137" s="17">
        <f t="shared" si="28"/>
        <v>17</v>
      </c>
      <c r="U137" s="17">
        <f t="shared" si="29"/>
        <v>4</v>
      </c>
      <c r="W137" s="7">
        <v>2232</v>
      </c>
      <c r="X137" s="7">
        <v>4504</v>
      </c>
      <c r="Y137" s="7">
        <v>3937</v>
      </c>
      <c r="Z137" s="7">
        <v>18381</v>
      </c>
      <c r="AA137" s="7">
        <v>12979</v>
      </c>
      <c r="AB137" s="13"/>
    </row>
    <row r="138" spans="10:28" ht="15.6" customHeight="1" x14ac:dyDescent="0.3">
      <c r="J138" s="2">
        <v>134</v>
      </c>
      <c r="K138" s="41" t="s">
        <v>35</v>
      </c>
      <c r="L138" s="41" t="s">
        <v>42</v>
      </c>
      <c r="M138" s="41" t="s">
        <v>35</v>
      </c>
      <c r="N138" s="41" t="s">
        <v>32</v>
      </c>
      <c r="O138" s="41" t="s">
        <v>34</v>
      </c>
      <c r="Q138" s="17">
        <f t="shared" si="25"/>
        <v>10</v>
      </c>
      <c r="R138" s="17">
        <f t="shared" si="26"/>
        <v>14</v>
      </c>
      <c r="S138" s="17">
        <f t="shared" si="27"/>
        <v>10</v>
      </c>
      <c r="T138" s="17">
        <f t="shared" si="28"/>
        <v>7</v>
      </c>
      <c r="U138" s="17">
        <f t="shared" si="29"/>
        <v>9</v>
      </c>
      <c r="W138" s="7">
        <v>2041</v>
      </c>
      <c r="X138" s="7">
        <v>3759</v>
      </c>
      <c r="Y138" s="7">
        <v>5153</v>
      </c>
      <c r="Z138" s="7">
        <v>14903</v>
      </c>
      <c r="AA138" s="7">
        <v>15689</v>
      </c>
      <c r="AB138" s="13"/>
    </row>
    <row r="139" spans="10:28" ht="15.6" customHeight="1" x14ac:dyDescent="0.3">
      <c r="J139" s="2">
        <v>135</v>
      </c>
      <c r="K139" s="41" t="s">
        <v>35</v>
      </c>
      <c r="L139" s="41" t="s">
        <v>42</v>
      </c>
      <c r="M139" s="41" t="s">
        <v>35</v>
      </c>
      <c r="N139" s="41" t="s">
        <v>48</v>
      </c>
      <c r="O139" s="41" t="s">
        <v>28</v>
      </c>
      <c r="Q139" s="17">
        <f t="shared" si="25"/>
        <v>10</v>
      </c>
      <c r="R139" s="17">
        <f t="shared" si="26"/>
        <v>14</v>
      </c>
      <c r="S139" s="17">
        <f t="shared" si="27"/>
        <v>10</v>
      </c>
      <c r="T139" s="17">
        <f t="shared" si="28"/>
        <v>17</v>
      </c>
      <c r="U139" s="17">
        <f t="shared" si="29"/>
        <v>3</v>
      </c>
      <c r="W139" s="7">
        <v>16099</v>
      </c>
      <c r="X139" s="7">
        <v>2995</v>
      </c>
      <c r="Y139" s="7">
        <v>3960</v>
      </c>
      <c r="Z139" s="7">
        <v>16766</v>
      </c>
      <c r="AA139" s="7">
        <v>16253</v>
      </c>
      <c r="AB139" s="13"/>
    </row>
    <row r="140" spans="10:28" ht="15.6" customHeight="1" x14ac:dyDescent="0.3">
      <c r="J140" s="2">
        <v>136</v>
      </c>
      <c r="K140" s="41" t="s">
        <v>28</v>
      </c>
      <c r="L140" s="41" t="s">
        <v>32</v>
      </c>
      <c r="M140" s="41" t="s">
        <v>35</v>
      </c>
      <c r="N140" s="41" t="s">
        <v>33</v>
      </c>
      <c r="O140" s="41" t="s">
        <v>33</v>
      </c>
      <c r="Q140" s="17">
        <f t="shared" si="25"/>
        <v>3</v>
      </c>
      <c r="R140" s="17">
        <f t="shared" si="26"/>
        <v>7</v>
      </c>
      <c r="S140" s="17">
        <f t="shared" si="27"/>
        <v>10</v>
      </c>
      <c r="T140" s="17">
        <f t="shared" si="28"/>
        <v>8</v>
      </c>
      <c r="U140" s="17">
        <f t="shared" si="29"/>
        <v>8</v>
      </c>
      <c r="W140" s="7">
        <v>17060</v>
      </c>
      <c r="X140" s="7">
        <v>2990</v>
      </c>
      <c r="Y140" s="7">
        <v>3685</v>
      </c>
      <c r="Z140" s="7">
        <v>15151</v>
      </c>
      <c r="AA140" s="7">
        <v>15802</v>
      </c>
      <c r="AB140" s="13"/>
    </row>
    <row r="141" spans="10:28" ht="15.6" customHeight="1" x14ac:dyDescent="0.3">
      <c r="J141" s="2">
        <v>137</v>
      </c>
      <c r="K141" s="41" t="s">
        <v>33</v>
      </c>
      <c r="L141" s="41" t="s">
        <v>32</v>
      </c>
      <c r="M141" s="41" t="s">
        <v>35</v>
      </c>
      <c r="N141" s="41" t="s">
        <v>29</v>
      </c>
      <c r="O141" s="41" t="s">
        <v>26</v>
      </c>
      <c r="Q141" s="17">
        <f t="shared" si="25"/>
        <v>8</v>
      </c>
      <c r="R141" s="17">
        <f t="shared" si="26"/>
        <v>7</v>
      </c>
      <c r="S141" s="17">
        <f t="shared" si="27"/>
        <v>10</v>
      </c>
      <c r="T141" s="17">
        <f t="shared" si="28"/>
        <v>4</v>
      </c>
      <c r="U141" s="17">
        <f t="shared" si="29"/>
        <v>2</v>
      </c>
      <c r="W141" s="7">
        <v>11713</v>
      </c>
      <c r="X141" s="7">
        <v>3980</v>
      </c>
      <c r="Y141" s="7">
        <v>1837</v>
      </c>
      <c r="Z141" s="7">
        <v>7666</v>
      </c>
      <c r="AA141" s="7">
        <v>12885</v>
      </c>
      <c r="AB141" s="13"/>
    </row>
    <row r="142" spans="10:28" ht="15.6" customHeight="1" x14ac:dyDescent="0.3">
      <c r="J142" s="2">
        <v>138</v>
      </c>
      <c r="K142" s="41" t="s">
        <v>35</v>
      </c>
      <c r="L142" s="41" t="s">
        <v>32</v>
      </c>
      <c r="M142" s="41" t="s">
        <v>34</v>
      </c>
      <c r="N142" s="41" t="s">
        <v>33</v>
      </c>
      <c r="O142" s="41" t="s">
        <v>28</v>
      </c>
      <c r="Q142" s="17">
        <f t="shared" si="25"/>
        <v>10</v>
      </c>
      <c r="R142" s="17">
        <f t="shared" si="26"/>
        <v>7</v>
      </c>
      <c r="S142" s="17">
        <f t="shared" si="27"/>
        <v>9</v>
      </c>
      <c r="T142" s="17">
        <f t="shared" si="28"/>
        <v>8</v>
      </c>
      <c r="U142" s="17">
        <f t="shared" si="29"/>
        <v>3</v>
      </c>
      <c r="W142" s="7">
        <v>12215</v>
      </c>
      <c r="X142" s="7">
        <v>5774</v>
      </c>
      <c r="Y142" s="7">
        <v>1837</v>
      </c>
      <c r="Z142" s="7">
        <v>7131</v>
      </c>
      <c r="AA142" s="7">
        <v>4916</v>
      </c>
      <c r="AB142" s="13"/>
    </row>
    <row r="143" spans="10:28" ht="15.6" customHeight="1" x14ac:dyDescent="0.3">
      <c r="J143" s="2">
        <v>139</v>
      </c>
      <c r="K143" s="41" t="s">
        <v>28</v>
      </c>
      <c r="L143" s="41" t="s">
        <v>32</v>
      </c>
      <c r="M143" s="41" t="s">
        <v>28</v>
      </c>
      <c r="N143" s="41" t="s">
        <v>34</v>
      </c>
      <c r="O143" s="41" t="s">
        <v>35</v>
      </c>
      <c r="Q143" s="17">
        <f t="shared" si="25"/>
        <v>3</v>
      </c>
      <c r="R143" s="17">
        <f t="shared" si="26"/>
        <v>7</v>
      </c>
      <c r="S143" s="17">
        <f t="shared" si="27"/>
        <v>3</v>
      </c>
      <c r="T143" s="17">
        <f t="shared" si="28"/>
        <v>9</v>
      </c>
      <c r="U143" s="17">
        <f t="shared" si="29"/>
        <v>10</v>
      </c>
      <c r="W143" s="7">
        <v>10812</v>
      </c>
      <c r="X143" s="7">
        <v>14499</v>
      </c>
      <c r="Y143" s="7">
        <v>1837</v>
      </c>
      <c r="Z143" s="7">
        <v>6174</v>
      </c>
      <c r="AA143" s="7">
        <v>5484</v>
      </c>
      <c r="AB143" s="13"/>
    </row>
    <row r="144" spans="10:28" ht="15.6" customHeight="1" x14ac:dyDescent="0.3">
      <c r="J144" s="2">
        <v>140</v>
      </c>
      <c r="K144" s="41" t="s">
        <v>29</v>
      </c>
      <c r="L144" s="41" t="s">
        <v>38</v>
      </c>
      <c r="M144" s="41" t="s">
        <v>35</v>
      </c>
      <c r="N144" s="41" t="s">
        <v>34</v>
      </c>
      <c r="O144" s="41" t="s">
        <v>34</v>
      </c>
      <c r="Q144" s="17">
        <f t="shared" si="25"/>
        <v>4</v>
      </c>
      <c r="R144" s="17">
        <f t="shared" si="26"/>
        <v>12</v>
      </c>
      <c r="S144" s="17">
        <f t="shared" si="27"/>
        <v>10</v>
      </c>
      <c r="T144" s="17">
        <f t="shared" si="28"/>
        <v>9</v>
      </c>
      <c r="U144" s="17">
        <f t="shared" si="29"/>
        <v>9</v>
      </c>
      <c r="W144" s="7">
        <v>17540</v>
      </c>
      <c r="X144" s="7">
        <v>16411</v>
      </c>
      <c r="Y144" s="7">
        <v>1837</v>
      </c>
      <c r="Z144" s="7">
        <v>17263</v>
      </c>
      <c r="AA144" s="7">
        <v>5468</v>
      </c>
      <c r="AB144" s="13"/>
    </row>
    <row r="145" spans="10:28" ht="15.6" customHeight="1" x14ac:dyDescent="0.3">
      <c r="J145" s="2">
        <v>141</v>
      </c>
      <c r="K145" s="41" t="s">
        <v>30</v>
      </c>
      <c r="L145" s="41" t="s">
        <v>32</v>
      </c>
      <c r="M145" s="41" t="s">
        <v>34</v>
      </c>
      <c r="N145" s="41" t="s">
        <v>38</v>
      </c>
      <c r="O145" s="41" t="s">
        <v>34</v>
      </c>
      <c r="Q145" s="17">
        <f t="shared" si="25"/>
        <v>5</v>
      </c>
      <c r="R145" s="17">
        <f t="shared" si="26"/>
        <v>7</v>
      </c>
      <c r="S145" s="17">
        <f t="shared" si="27"/>
        <v>9</v>
      </c>
      <c r="T145" s="17">
        <f t="shared" si="28"/>
        <v>12</v>
      </c>
      <c r="U145" s="17">
        <f t="shared" si="29"/>
        <v>9</v>
      </c>
      <c r="W145" s="7">
        <v>16099</v>
      </c>
      <c r="X145" s="7">
        <v>6293</v>
      </c>
      <c r="Y145" s="7">
        <v>786</v>
      </c>
      <c r="Z145" s="7">
        <v>15771</v>
      </c>
      <c r="AA145" s="7">
        <v>5468</v>
      </c>
      <c r="AB145" s="13"/>
    </row>
    <row r="146" spans="10:28" ht="15.6" customHeight="1" x14ac:dyDescent="0.3">
      <c r="J146" s="2">
        <v>142</v>
      </c>
      <c r="K146" s="41" t="s">
        <v>35</v>
      </c>
      <c r="L146" s="41" t="s">
        <v>28</v>
      </c>
      <c r="M146" s="41" t="s">
        <v>35</v>
      </c>
      <c r="N146" s="41" t="s">
        <v>35</v>
      </c>
      <c r="O146" s="41" t="s">
        <v>34</v>
      </c>
      <c r="Q146" s="17">
        <f t="shared" si="25"/>
        <v>10</v>
      </c>
      <c r="R146" s="17">
        <f t="shared" si="26"/>
        <v>3</v>
      </c>
      <c r="S146" s="17">
        <f t="shared" si="27"/>
        <v>10</v>
      </c>
      <c r="T146" s="17">
        <f t="shared" si="28"/>
        <v>10</v>
      </c>
      <c r="U146" s="17">
        <f t="shared" si="29"/>
        <v>9</v>
      </c>
      <c r="W146" s="7">
        <v>15860</v>
      </c>
      <c r="X146" s="7">
        <v>4491</v>
      </c>
      <c r="Y146" s="7">
        <v>786</v>
      </c>
      <c r="Z146" s="7">
        <v>15213</v>
      </c>
      <c r="AA146" s="7">
        <v>13995</v>
      </c>
      <c r="AB146" s="13"/>
    </row>
    <row r="147" spans="10:28" ht="15.6" customHeight="1" x14ac:dyDescent="0.3">
      <c r="J147" s="2">
        <v>143</v>
      </c>
      <c r="K147" s="41" t="s">
        <v>29</v>
      </c>
      <c r="L147" s="41" t="s">
        <v>29</v>
      </c>
      <c r="M147" s="41" t="s">
        <v>34</v>
      </c>
      <c r="N147" s="41" t="s">
        <v>31</v>
      </c>
      <c r="O147" s="41" t="s">
        <v>33</v>
      </c>
      <c r="Q147" s="17">
        <f t="shared" si="25"/>
        <v>4</v>
      </c>
      <c r="R147" s="17">
        <f t="shared" si="26"/>
        <v>4</v>
      </c>
      <c r="S147" s="17">
        <f t="shared" si="27"/>
        <v>9</v>
      </c>
      <c r="T147" s="17">
        <f t="shared" si="28"/>
        <v>6</v>
      </c>
      <c r="U147" s="17">
        <f t="shared" si="29"/>
        <v>8</v>
      </c>
      <c r="W147" s="7">
        <v>15499</v>
      </c>
      <c r="X147" s="7">
        <v>6975</v>
      </c>
      <c r="Y147" s="7">
        <v>786</v>
      </c>
      <c r="Z147" s="7">
        <v>13454</v>
      </c>
      <c r="AA147" s="7">
        <v>13883</v>
      </c>
      <c r="AB147" s="13"/>
    </row>
    <row r="148" spans="10:28" ht="15.6" customHeight="1" x14ac:dyDescent="0.3">
      <c r="J148" s="2">
        <v>144</v>
      </c>
      <c r="K148" s="41" t="s">
        <v>32</v>
      </c>
      <c r="L148" s="41" t="s">
        <v>32</v>
      </c>
      <c r="M148" s="41" t="s">
        <v>34</v>
      </c>
      <c r="N148" s="41" t="s">
        <v>46</v>
      </c>
      <c r="O148" s="41" t="s">
        <v>34</v>
      </c>
      <c r="Q148" s="17">
        <f t="shared" si="25"/>
        <v>7</v>
      </c>
      <c r="R148" s="17">
        <f t="shared" si="26"/>
        <v>7</v>
      </c>
      <c r="S148" s="17">
        <f t="shared" si="27"/>
        <v>9</v>
      </c>
      <c r="T148" s="17">
        <f t="shared" si="28"/>
        <v>16</v>
      </c>
      <c r="U148" s="17">
        <f t="shared" si="29"/>
        <v>9</v>
      </c>
      <c r="W148" s="7">
        <v>5708</v>
      </c>
      <c r="X148" s="7">
        <v>4764</v>
      </c>
      <c r="Y148" s="7">
        <v>786</v>
      </c>
      <c r="Z148" s="7">
        <v>12419</v>
      </c>
      <c r="AA148" s="7">
        <v>13262</v>
      </c>
      <c r="AB148" s="13"/>
    </row>
    <row r="149" spans="10:28" ht="15.6" customHeight="1" x14ac:dyDescent="0.3">
      <c r="J149" s="2">
        <v>145</v>
      </c>
      <c r="K149" s="41" t="s">
        <v>31</v>
      </c>
      <c r="L149" s="41" t="s">
        <v>29</v>
      </c>
      <c r="M149" s="41" t="s">
        <v>34</v>
      </c>
      <c r="N149" s="41" t="s">
        <v>29</v>
      </c>
      <c r="O149" s="41" t="s">
        <v>32</v>
      </c>
      <c r="Q149" s="17">
        <f t="shared" si="25"/>
        <v>6</v>
      </c>
      <c r="R149" s="17">
        <f t="shared" si="26"/>
        <v>4</v>
      </c>
      <c r="S149" s="17">
        <f t="shared" si="27"/>
        <v>9</v>
      </c>
      <c r="T149" s="17">
        <f t="shared" si="28"/>
        <v>4</v>
      </c>
      <c r="U149" s="17">
        <f t="shared" si="29"/>
        <v>7</v>
      </c>
      <c r="W149" s="7">
        <v>5919</v>
      </c>
      <c r="X149" s="7">
        <v>6293</v>
      </c>
      <c r="Y149" s="7">
        <v>786</v>
      </c>
      <c r="Z149" s="7">
        <v>15523</v>
      </c>
      <c r="AA149" s="7">
        <v>13638</v>
      </c>
      <c r="AB149" s="13"/>
    </row>
    <row r="150" spans="10:28" ht="15.6" customHeight="1" x14ac:dyDescent="0.3">
      <c r="J150" s="2">
        <v>146</v>
      </c>
      <c r="K150" s="41" t="s">
        <v>30</v>
      </c>
      <c r="L150" s="41" t="s">
        <v>31</v>
      </c>
      <c r="M150" s="41" t="s">
        <v>34</v>
      </c>
      <c r="N150" s="41" t="s">
        <v>32</v>
      </c>
      <c r="O150" s="41" t="s">
        <v>35</v>
      </c>
      <c r="Q150" s="17">
        <f t="shared" si="25"/>
        <v>5</v>
      </c>
      <c r="R150" s="17">
        <f t="shared" si="26"/>
        <v>6</v>
      </c>
      <c r="S150" s="17">
        <f t="shared" si="27"/>
        <v>9</v>
      </c>
      <c r="T150" s="17">
        <f t="shared" si="28"/>
        <v>7</v>
      </c>
      <c r="U150" s="17">
        <f t="shared" si="29"/>
        <v>10</v>
      </c>
      <c r="W150" s="7">
        <v>5919</v>
      </c>
      <c r="X150" s="7">
        <v>4491</v>
      </c>
      <c r="Y150" s="7">
        <v>4262</v>
      </c>
      <c r="Z150" s="7">
        <v>14035</v>
      </c>
      <c r="AA150" s="7">
        <v>5502</v>
      </c>
      <c r="AB150" s="13"/>
    </row>
    <row r="151" spans="10:28" ht="15.6" customHeight="1" x14ac:dyDescent="0.3">
      <c r="J151" s="2">
        <v>147</v>
      </c>
      <c r="K151" s="41" t="s">
        <v>30</v>
      </c>
      <c r="L151" s="41" t="s">
        <v>29</v>
      </c>
      <c r="M151" s="41" t="s">
        <v>35</v>
      </c>
      <c r="N151" s="41" t="s">
        <v>31</v>
      </c>
      <c r="O151" s="41" t="s">
        <v>30</v>
      </c>
      <c r="Q151" s="17">
        <f t="shared" si="25"/>
        <v>5</v>
      </c>
      <c r="R151" s="17">
        <f t="shared" si="26"/>
        <v>4</v>
      </c>
      <c r="S151" s="17">
        <f t="shared" si="27"/>
        <v>10</v>
      </c>
      <c r="T151" s="17">
        <f t="shared" si="28"/>
        <v>6</v>
      </c>
      <c r="U151" s="17">
        <f t="shared" si="29"/>
        <v>5</v>
      </c>
      <c r="W151" s="7">
        <v>5457</v>
      </c>
      <c r="X151" s="7">
        <v>6975</v>
      </c>
      <c r="Y151" s="7">
        <v>4403</v>
      </c>
      <c r="Z151" s="7">
        <v>17511</v>
      </c>
      <c r="AA151" s="7">
        <v>6537</v>
      </c>
      <c r="AB151" s="13"/>
    </row>
    <row r="152" spans="10:28" ht="15.6" customHeight="1" x14ac:dyDescent="0.3">
      <c r="J152" s="2">
        <v>148</v>
      </c>
      <c r="K152" s="41" t="s">
        <v>34</v>
      </c>
      <c r="L152" s="41" t="s">
        <v>32</v>
      </c>
      <c r="M152" s="41" t="s">
        <v>33</v>
      </c>
      <c r="N152" s="41" t="s">
        <v>30</v>
      </c>
      <c r="O152" s="41" t="s">
        <v>31</v>
      </c>
      <c r="Q152" s="17">
        <f t="shared" si="25"/>
        <v>9</v>
      </c>
      <c r="R152" s="17">
        <f t="shared" si="26"/>
        <v>7</v>
      </c>
      <c r="S152" s="17">
        <f t="shared" si="27"/>
        <v>8</v>
      </c>
      <c r="T152" s="17">
        <f t="shared" si="28"/>
        <v>5</v>
      </c>
      <c r="U152" s="17">
        <f t="shared" si="29"/>
        <v>6</v>
      </c>
      <c r="W152" s="7">
        <v>6310</v>
      </c>
      <c r="X152" s="7">
        <v>4764</v>
      </c>
      <c r="Y152" s="7">
        <v>7238</v>
      </c>
      <c r="Z152" s="7">
        <v>19125</v>
      </c>
      <c r="AA152" s="7">
        <v>6020</v>
      </c>
      <c r="AB152" s="13"/>
    </row>
    <row r="153" spans="10:28" ht="15.6" customHeight="1" x14ac:dyDescent="0.3">
      <c r="J153" s="2">
        <v>149</v>
      </c>
      <c r="K153" s="41" t="s">
        <v>34</v>
      </c>
      <c r="L153" s="41" t="s">
        <v>29</v>
      </c>
      <c r="M153" s="41" t="s">
        <v>33</v>
      </c>
      <c r="N153" s="41" t="s">
        <v>34</v>
      </c>
      <c r="O153" s="41" t="s">
        <v>30</v>
      </c>
      <c r="Q153" s="17">
        <f t="shared" si="25"/>
        <v>9</v>
      </c>
      <c r="R153" s="17">
        <f t="shared" si="26"/>
        <v>4</v>
      </c>
      <c r="S153" s="17">
        <f t="shared" si="27"/>
        <v>8</v>
      </c>
      <c r="T153" s="17">
        <f t="shared" si="28"/>
        <v>9</v>
      </c>
      <c r="U153" s="17">
        <f t="shared" si="29"/>
        <v>5</v>
      </c>
      <c r="W153" s="7">
        <v>13116</v>
      </c>
      <c r="X153" s="7">
        <v>2696</v>
      </c>
      <c r="Y153" s="7">
        <v>19842</v>
      </c>
      <c r="Z153" s="7">
        <v>6174</v>
      </c>
      <c r="AA153" s="7">
        <v>6490</v>
      </c>
      <c r="AB153" s="13"/>
    </row>
    <row r="154" spans="10:28" ht="15.6" customHeight="1" x14ac:dyDescent="0.3">
      <c r="J154" s="2">
        <v>150</v>
      </c>
      <c r="K154" s="41" t="s">
        <v>33</v>
      </c>
      <c r="L154" s="41" t="s">
        <v>31</v>
      </c>
      <c r="M154" s="41" t="s">
        <v>35</v>
      </c>
      <c r="N154" s="41" t="s">
        <v>31</v>
      </c>
      <c r="O154" s="41" t="s">
        <v>34</v>
      </c>
      <c r="Q154" s="17">
        <f t="shared" si="25"/>
        <v>8</v>
      </c>
      <c r="R154" s="17">
        <f t="shared" si="26"/>
        <v>6</v>
      </c>
      <c r="S154" s="17">
        <f t="shared" si="27"/>
        <v>10</v>
      </c>
      <c r="T154" s="17">
        <f t="shared" si="28"/>
        <v>6</v>
      </c>
      <c r="U154" s="17">
        <f t="shared" si="29"/>
        <v>9</v>
      </c>
      <c r="W154" s="7">
        <v>14016</v>
      </c>
      <c r="X154" s="7">
        <v>6612</v>
      </c>
      <c r="Y154" s="7">
        <v>20914</v>
      </c>
      <c r="Z154" s="7">
        <v>7612</v>
      </c>
      <c r="AA154" s="7">
        <v>6725</v>
      </c>
      <c r="AB154" s="13"/>
    </row>
    <row r="155" spans="10:28" ht="15.6" customHeight="1" x14ac:dyDescent="0.3">
      <c r="J155" s="2">
        <v>151</v>
      </c>
      <c r="K155" s="41" t="s">
        <v>32</v>
      </c>
      <c r="L155" s="41" t="s">
        <v>35</v>
      </c>
      <c r="M155" s="41" t="s">
        <v>28</v>
      </c>
      <c r="N155" s="41" t="s">
        <v>33</v>
      </c>
      <c r="O155" s="41" t="s">
        <v>35</v>
      </c>
      <c r="Q155" s="17">
        <f t="shared" si="25"/>
        <v>7</v>
      </c>
      <c r="R155" s="17">
        <f t="shared" si="26"/>
        <v>10</v>
      </c>
      <c r="S155" s="17">
        <f t="shared" si="27"/>
        <v>3</v>
      </c>
      <c r="T155" s="17">
        <f t="shared" si="28"/>
        <v>8</v>
      </c>
      <c r="U155" s="17">
        <f t="shared" si="29"/>
        <v>10</v>
      </c>
      <c r="W155" s="7">
        <v>16820</v>
      </c>
      <c r="X155" s="7">
        <v>7191</v>
      </c>
      <c r="Y155" s="7">
        <v>19573</v>
      </c>
      <c r="Z155" s="7">
        <v>7666</v>
      </c>
      <c r="AA155" s="7">
        <v>6866</v>
      </c>
      <c r="AB155" s="13"/>
    </row>
    <row r="156" spans="10:28" ht="15.6" customHeight="1" x14ac:dyDescent="0.3">
      <c r="J156" s="2">
        <v>152</v>
      </c>
      <c r="K156" s="41" t="s">
        <v>35</v>
      </c>
      <c r="L156" s="41" t="s">
        <v>35</v>
      </c>
      <c r="M156" s="41" t="s">
        <v>32</v>
      </c>
      <c r="N156" s="41" t="s">
        <v>33</v>
      </c>
      <c r="O156" s="41" t="s">
        <v>34</v>
      </c>
      <c r="Q156" s="17">
        <f t="shared" si="25"/>
        <v>10</v>
      </c>
      <c r="R156" s="17">
        <f t="shared" si="26"/>
        <v>10</v>
      </c>
      <c r="S156" s="17">
        <f t="shared" si="27"/>
        <v>7</v>
      </c>
      <c r="T156" s="17">
        <f t="shared" si="28"/>
        <v>8</v>
      </c>
      <c r="U156" s="17">
        <f t="shared" si="29"/>
        <v>9</v>
      </c>
      <c r="W156" s="7">
        <v>13515</v>
      </c>
      <c r="X156" s="7">
        <v>16780</v>
      </c>
      <c r="Y156" s="7">
        <v>15819</v>
      </c>
      <c r="Z156" s="7">
        <v>14283</v>
      </c>
      <c r="AA156" s="7">
        <v>7844</v>
      </c>
      <c r="AB156" s="13"/>
    </row>
    <row r="157" spans="10:28" ht="15.6" customHeight="1" x14ac:dyDescent="0.3">
      <c r="J157" s="2">
        <v>153</v>
      </c>
      <c r="K157" s="41" t="s">
        <v>33</v>
      </c>
      <c r="L157" s="41" t="s">
        <v>48</v>
      </c>
      <c r="M157" s="41" t="s">
        <v>34</v>
      </c>
      <c r="N157" s="41" t="s">
        <v>28</v>
      </c>
      <c r="O157" s="41" t="s">
        <v>30</v>
      </c>
      <c r="Q157" s="17">
        <f t="shared" si="25"/>
        <v>8</v>
      </c>
      <c r="R157" s="17">
        <f t="shared" si="26"/>
        <v>17</v>
      </c>
      <c r="S157" s="17">
        <f t="shared" si="27"/>
        <v>9</v>
      </c>
      <c r="T157" s="17">
        <f t="shared" si="28"/>
        <v>3</v>
      </c>
      <c r="U157" s="17">
        <f t="shared" si="29"/>
        <v>5</v>
      </c>
      <c r="W157" s="7">
        <v>11713</v>
      </c>
      <c r="X157" s="7">
        <v>12709</v>
      </c>
      <c r="Y157" s="7">
        <v>16489</v>
      </c>
      <c r="Z157" s="7">
        <v>16269</v>
      </c>
      <c r="AA157" s="7">
        <v>7675</v>
      </c>
      <c r="AB157" s="13"/>
    </row>
    <row r="158" spans="10:28" ht="15.6" customHeight="1" x14ac:dyDescent="0.3">
      <c r="J158" s="2">
        <v>154</v>
      </c>
      <c r="K158" s="41" t="s">
        <v>29</v>
      </c>
      <c r="L158" s="41" t="s">
        <v>46</v>
      </c>
      <c r="M158" s="41" t="s">
        <v>30</v>
      </c>
      <c r="N158" s="41" t="s">
        <v>35</v>
      </c>
      <c r="O158" s="41" t="s">
        <v>35</v>
      </c>
      <c r="Q158" s="17">
        <f t="shared" si="25"/>
        <v>4</v>
      </c>
      <c r="R158" s="17">
        <f t="shared" si="26"/>
        <v>16</v>
      </c>
      <c r="S158" s="17">
        <f t="shared" si="27"/>
        <v>5</v>
      </c>
      <c r="T158" s="17">
        <f t="shared" si="28"/>
        <v>10</v>
      </c>
      <c r="U158" s="17">
        <f t="shared" si="29"/>
        <v>10</v>
      </c>
      <c r="W158" s="7">
        <v>5021</v>
      </c>
      <c r="X158" s="7">
        <v>17521</v>
      </c>
      <c r="Y158" s="7">
        <v>18903</v>
      </c>
      <c r="Z158" s="7">
        <v>17263</v>
      </c>
      <c r="AA158" s="7">
        <v>8522</v>
      </c>
      <c r="AB158" s="13"/>
    </row>
    <row r="159" spans="10:28" ht="15.6" customHeight="1" x14ac:dyDescent="0.3">
      <c r="J159" s="2">
        <v>155</v>
      </c>
      <c r="K159" s="41" t="s">
        <v>33</v>
      </c>
      <c r="L159" s="41" t="s">
        <v>31</v>
      </c>
      <c r="M159" s="41" t="s">
        <v>35</v>
      </c>
      <c r="N159" s="41" t="s">
        <v>28</v>
      </c>
      <c r="O159" s="41" t="s">
        <v>29</v>
      </c>
      <c r="Q159" s="17">
        <f t="shared" si="25"/>
        <v>8</v>
      </c>
      <c r="R159" s="17">
        <f t="shared" si="26"/>
        <v>6</v>
      </c>
      <c r="S159" s="17">
        <f t="shared" si="27"/>
        <v>10</v>
      </c>
      <c r="T159" s="17">
        <f t="shared" si="28"/>
        <v>3</v>
      </c>
      <c r="U159" s="17">
        <f t="shared" si="29"/>
        <v>4</v>
      </c>
      <c r="W159" s="7">
        <v>5878</v>
      </c>
      <c r="X159" s="7">
        <v>18755</v>
      </c>
      <c r="Y159" s="7">
        <v>17427</v>
      </c>
      <c r="Z159" s="7">
        <v>15276</v>
      </c>
      <c r="AA159" s="7">
        <v>2319</v>
      </c>
      <c r="AB159" s="13"/>
    </row>
    <row r="160" spans="10:28" ht="15.6" customHeight="1" x14ac:dyDescent="0.3">
      <c r="J160" s="2">
        <v>156</v>
      </c>
      <c r="K160" s="41" t="s">
        <v>35</v>
      </c>
      <c r="L160" s="41" t="s">
        <v>34</v>
      </c>
      <c r="M160" s="41" t="s">
        <v>34</v>
      </c>
      <c r="N160" s="41" t="s">
        <v>32</v>
      </c>
      <c r="O160" s="41" t="s">
        <v>32</v>
      </c>
      <c r="Q160" s="17">
        <f t="shared" si="25"/>
        <v>10</v>
      </c>
      <c r="R160" s="17">
        <f t="shared" si="26"/>
        <v>9</v>
      </c>
      <c r="S160" s="17">
        <f t="shared" si="27"/>
        <v>9</v>
      </c>
      <c r="T160" s="17">
        <f t="shared" si="28"/>
        <v>7</v>
      </c>
      <c r="U160" s="17">
        <f t="shared" si="29"/>
        <v>7</v>
      </c>
      <c r="W160" s="7">
        <v>5211</v>
      </c>
      <c r="X160" s="7">
        <v>18385</v>
      </c>
      <c r="Y160" s="7">
        <v>18903</v>
      </c>
      <c r="Z160" s="7">
        <v>16642</v>
      </c>
      <c r="AA160" s="7">
        <v>3023</v>
      </c>
      <c r="AB160" s="13"/>
    </row>
    <row r="161" spans="10:28" ht="15.6" customHeight="1" x14ac:dyDescent="0.3">
      <c r="J161" s="2">
        <v>157</v>
      </c>
      <c r="K161" s="41" t="s">
        <v>35</v>
      </c>
      <c r="L161" s="41" t="s">
        <v>38</v>
      </c>
      <c r="M161" s="41" t="s">
        <v>30</v>
      </c>
      <c r="N161" s="41" t="s">
        <v>46</v>
      </c>
      <c r="O161" s="41" t="s">
        <v>35</v>
      </c>
      <c r="Q161" s="17">
        <f t="shared" si="25"/>
        <v>10</v>
      </c>
      <c r="R161" s="17">
        <f t="shared" si="26"/>
        <v>12</v>
      </c>
      <c r="S161" s="17">
        <f t="shared" si="27"/>
        <v>5</v>
      </c>
      <c r="T161" s="17">
        <f t="shared" si="28"/>
        <v>16</v>
      </c>
      <c r="U161" s="17">
        <f t="shared" si="29"/>
        <v>10</v>
      </c>
      <c r="W161" s="7">
        <v>12414</v>
      </c>
      <c r="X161" s="7">
        <v>13778</v>
      </c>
      <c r="Y161" s="7">
        <v>21047</v>
      </c>
      <c r="Z161" s="7">
        <v>19995</v>
      </c>
      <c r="AA161" s="7">
        <v>2361</v>
      </c>
      <c r="AB161" s="13"/>
    </row>
    <row r="162" spans="10:28" ht="15.6" customHeight="1" x14ac:dyDescent="0.3">
      <c r="J162" s="2">
        <v>158</v>
      </c>
      <c r="K162" s="41" t="s">
        <v>34</v>
      </c>
      <c r="L162" s="41" t="s">
        <v>40</v>
      </c>
      <c r="M162" s="41" t="s">
        <v>50</v>
      </c>
      <c r="N162" s="41" t="s">
        <v>34</v>
      </c>
      <c r="O162" s="41" t="s">
        <v>35</v>
      </c>
      <c r="Q162" s="17">
        <f t="shared" si="25"/>
        <v>9</v>
      </c>
      <c r="R162" s="17">
        <f t="shared" si="26"/>
        <v>13</v>
      </c>
      <c r="S162" s="17">
        <f t="shared" si="27"/>
        <v>18</v>
      </c>
      <c r="T162" s="17">
        <f t="shared" si="28"/>
        <v>9</v>
      </c>
      <c r="U162" s="17">
        <f t="shared" si="29"/>
        <v>10</v>
      </c>
      <c r="W162" s="7">
        <v>17781</v>
      </c>
      <c r="X162" s="7">
        <v>15424</v>
      </c>
      <c r="Y162" s="7">
        <v>15819</v>
      </c>
      <c r="Z162" s="7">
        <v>14283</v>
      </c>
      <c r="AA162" s="7">
        <v>2802</v>
      </c>
      <c r="AB162" s="13"/>
    </row>
    <row r="163" spans="10:28" ht="15.6" customHeight="1" x14ac:dyDescent="0.3">
      <c r="J163" s="2">
        <v>159</v>
      </c>
      <c r="K163" s="41" t="s">
        <v>32</v>
      </c>
      <c r="L163" s="41" t="s">
        <v>33</v>
      </c>
      <c r="M163" s="41" t="s">
        <v>30</v>
      </c>
      <c r="N163" s="41" t="s">
        <v>33</v>
      </c>
      <c r="O163" s="41" t="s">
        <v>35</v>
      </c>
      <c r="Q163" s="17">
        <f t="shared" si="25"/>
        <v>7</v>
      </c>
      <c r="R163" s="17">
        <f t="shared" si="26"/>
        <v>8</v>
      </c>
      <c r="S163" s="17">
        <f t="shared" si="27"/>
        <v>5</v>
      </c>
      <c r="T163" s="17">
        <f t="shared" si="28"/>
        <v>8</v>
      </c>
      <c r="U163" s="17">
        <f t="shared" si="29"/>
        <v>10</v>
      </c>
      <c r="W163" s="7">
        <v>6280</v>
      </c>
      <c r="X163" s="7">
        <v>11516</v>
      </c>
      <c r="Y163" s="7">
        <v>5839</v>
      </c>
      <c r="Z163" s="7">
        <v>17015</v>
      </c>
      <c r="AA163" s="7">
        <v>6020</v>
      </c>
      <c r="AB163" s="13"/>
    </row>
    <row r="164" spans="10:28" ht="15.6" customHeight="1" x14ac:dyDescent="0.3">
      <c r="J164" s="2">
        <v>160</v>
      </c>
      <c r="K164" s="41" t="s">
        <v>28</v>
      </c>
      <c r="L164" s="41" t="s">
        <v>29</v>
      </c>
      <c r="M164" s="41" t="s">
        <v>32</v>
      </c>
      <c r="N164" s="41" t="s">
        <v>35</v>
      </c>
      <c r="O164" s="41" t="s">
        <v>33</v>
      </c>
      <c r="Q164" s="17">
        <f t="shared" ref="Q164:Q195" si="30">IF(K164="","",VLOOKUP(K164,$A$4:$H$22,8,FALSE))</f>
        <v>3</v>
      </c>
      <c r="R164" s="17">
        <f t="shared" ref="R164:R195" si="31">IF(L164="","",VLOOKUP(L164,$A$4:$H$22,8,FALSE))</f>
        <v>4</v>
      </c>
      <c r="S164" s="17">
        <f t="shared" ref="S164:S195" si="32">IF(M164="","",VLOOKUP(M164,$A$4:$H$22,8,FALSE))</f>
        <v>7</v>
      </c>
      <c r="T164" s="17">
        <f t="shared" ref="T164:T195" si="33">IF(N164="","",VLOOKUP(N164,$A$4:$H$22,8,FALSE))</f>
        <v>10</v>
      </c>
      <c r="U164" s="17">
        <f t="shared" ref="U164:U195" si="34">IF(O164="","",VLOOKUP(O164,$A$4:$H$22,8,FALSE))</f>
        <v>8</v>
      </c>
      <c r="W164" s="7">
        <v>6229</v>
      </c>
      <c r="X164" s="7">
        <v>15919</v>
      </c>
      <c r="Y164" s="7">
        <v>5652</v>
      </c>
      <c r="Z164" s="7">
        <v>12832</v>
      </c>
      <c r="AA164" s="7">
        <v>6490</v>
      </c>
      <c r="AB164" s="13"/>
    </row>
    <row r="165" spans="10:28" ht="15.6" customHeight="1" x14ac:dyDescent="0.3">
      <c r="J165" s="2">
        <v>161</v>
      </c>
      <c r="K165" s="41" t="s">
        <v>34</v>
      </c>
      <c r="L165" s="41" t="s">
        <v>32</v>
      </c>
      <c r="M165" s="41" t="s">
        <v>29</v>
      </c>
      <c r="N165" s="41" t="s">
        <v>48</v>
      </c>
      <c r="O165" s="41" t="s">
        <v>28</v>
      </c>
      <c r="Q165" s="17">
        <f t="shared" si="30"/>
        <v>9</v>
      </c>
      <c r="R165" s="17">
        <f t="shared" si="31"/>
        <v>7</v>
      </c>
      <c r="S165" s="17">
        <f t="shared" si="32"/>
        <v>4</v>
      </c>
      <c r="T165" s="17">
        <f t="shared" si="33"/>
        <v>17</v>
      </c>
      <c r="U165" s="17">
        <f t="shared" si="34"/>
        <v>3</v>
      </c>
      <c r="W165" s="7">
        <v>8030</v>
      </c>
      <c r="X165" s="7">
        <v>17891</v>
      </c>
      <c r="Y165" s="7">
        <v>6511</v>
      </c>
      <c r="Z165" s="7">
        <v>5855</v>
      </c>
      <c r="AA165" s="7">
        <v>6725</v>
      </c>
      <c r="AB165" s="13"/>
    </row>
    <row r="166" spans="10:28" ht="15.6" customHeight="1" x14ac:dyDescent="0.3">
      <c r="J166" s="2">
        <v>162</v>
      </c>
      <c r="K166" s="41" t="s">
        <v>34</v>
      </c>
      <c r="L166" s="41" t="s">
        <v>31</v>
      </c>
      <c r="M166" s="41" t="s">
        <v>29</v>
      </c>
      <c r="N166" s="41" t="s">
        <v>42</v>
      </c>
      <c r="O166" s="41" t="s">
        <v>35</v>
      </c>
      <c r="Q166" s="17">
        <f t="shared" si="30"/>
        <v>9</v>
      </c>
      <c r="R166" s="17">
        <f t="shared" si="31"/>
        <v>6</v>
      </c>
      <c r="S166" s="17">
        <f t="shared" si="32"/>
        <v>4</v>
      </c>
      <c r="T166" s="17">
        <f t="shared" si="33"/>
        <v>14</v>
      </c>
      <c r="U166" s="17">
        <f t="shared" si="34"/>
        <v>10</v>
      </c>
      <c r="W166" s="7">
        <v>15738</v>
      </c>
      <c r="X166" s="7">
        <v>15919</v>
      </c>
      <c r="Y166" s="7">
        <v>6223</v>
      </c>
      <c r="Z166" s="7">
        <v>4436</v>
      </c>
      <c r="AA166" s="7">
        <v>2944</v>
      </c>
      <c r="AB166" s="13"/>
    </row>
    <row r="167" spans="10:28" ht="15.6" customHeight="1" x14ac:dyDescent="0.3">
      <c r="J167" s="2">
        <v>163</v>
      </c>
      <c r="K167" s="41" t="s">
        <v>30</v>
      </c>
      <c r="L167" s="41" t="s">
        <v>34</v>
      </c>
      <c r="M167" s="41" t="s">
        <v>29</v>
      </c>
      <c r="N167" s="41" t="s">
        <v>40</v>
      </c>
      <c r="O167" s="41" t="s">
        <v>31</v>
      </c>
      <c r="Q167" s="17">
        <f t="shared" si="30"/>
        <v>5</v>
      </c>
      <c r="R167" s="17">
        <f t="shared" si="31"/>
        <v>9</v>
      </c>
      <c r="S167" s="17">
        <f t="shared" si="32"/>
        <v>4</v>
      </c>
      <c r="T167" s="17">
        <f t="shared" si="33"/>
        <v>13</v>
      </c>
      <c r="U167" s="17">
        <f t="shared" si="34"/>
        <v>6</v>
      </c>
      <c r="W167" s="7">
        <v>12013</v>
      </c>
      <c r="X167" s="7">
        <v>15423</v>
      </c>
      <c r="Y167" s="7">
        <v>14345</v>
      </c>
      <c r="Z167" s="7">
        <v>6385</v>
      </c>
      <c r="AA167" s="7">
        <v>3360</v>
      </c>
      <c r="AB167" s="13"/>
    </row>
    <row r="168" spans="10:28" ht="15.6" customHeight="1" x14ac:dyDescent="0.3">
      <c r="J168" s="2">
        <v>164</v>
      </c>
      <c r="K168" s="41" t="s">
        <v>35</v>
      </c>
      <c r="L168" s="41" t="s">
        <v>33</v>
      </c>
      <c r="M168" s="41" t="s">
        <v>50</v>
      </c>
      <c r="N168" s="41" t="s">
        <v>30</v>
      </c>
      <c r="O168" s="41" t="s">
        <v>30</v>
      </c>
      <c r="Q168" s="17">
        <f t="shared" si="30"/>
        <v>10</v>
      </c>
      <c r="R168" s="17">
        <f t="shared" si="31"/>
        <v>8</v>
      </c>
      <c r="S168" s="17">
        <f t="shared" si="32"/>
        <v>18</v>
      </c>
      <c r="T168" s="17">
        <f t="shared" si="33"/>
        <v>5</v>
      </c>
      <c r="U168" s="17">
        <f t="shared" si="34"/>
        <v>5</v>
      </c>
      <c r="W168" s="7">
        <v>13116</v>
      </c>
      <c r="X168" s="7">
        <v>16164</v>
      </c>
      <c r="Y168" s="7">
        <v>18367</v>
      </c>
      <c r="Z168" s="7">
        <v>16642</v>
      </c>
      <c r="AA168" s="7">
        <v>3291</v>
      </c>
      <c r="AB168" s="13"/>
    </row>
    <row r="169" spans="10:28" ht="15.6" customHeight="1" x14ac:dyDescent="0.3">
      <c r="J169" s="2">
        <v>165</v>
      </c>
      <c r="K169" s="41" t="s">
        <v>29</v>
      </c>
      <c r="L169" s="41" t="s">
        <v>31</v>
      </c>
      <c r="M169" s="41" t="s">
        <v>29</v>
      </c>
      <c r="N169" s="41" t="s">
        <v>34</v>
      </c>
      <c r="O169" s="41" t="s">
        <v>30</v>
      </c>
      <c r="Q169" s="17">
        <f t="shared" si="30"/>
        <v>4</v>
      </c>
      <c r="R169" s="17">
        <f t="shared" si="31"/>
        <v>6</v>
      </c>
      <c r="S169" s="17">
        <f t="shared" si="32"/>
        <v>4</v>
      </c>
      <c r="T169" s="17">
        <f t="shared" si="33"/>
        <v>9</v>
      </c>
      <c r="U169" s="17">
        <f t="shared" si="34"/>
        <v>5</v>
      </c>
      <c r="W169" s="7">
        <v>11413</v>
      </c>
      <c r="X169" s="7">
        <v>17521</v>
      </c>
      <c r="Y169" s="7">
        <v>6836</v>
      </c>
      <c r="Z169" s="7">
        <v>7239</v>
      </c>
      <c r="AA169" s="7">
        <v>8522</v>
      </c>
      <c r="AB169" s="13"/>
    </row>
    <row r="170" spans="10:28" ht="15.6" customHeight="1" x14ac:dyDescent="0.3">
      <c r="J170" s="2">
        <v>166</v>
      </c>
      <c r="K170" s="41" t="s">
        <v>32</v>
      </c>
      <c r="L170" s="41" t="s">
        <v>30</v>
      </c>
      <c r="M170" s="41" t="s">
        <v>33</v>
      </c>
      <c r="N170" s="41" t="s">
        <v>31</v>
      </c>
      <c r="O170" s="41" t="s">
        <v>31</v>
      </c>
      <c r="Q170" s="17">
        <f t="shared" si="30"/>
        <v>7</v>
      </c>
      <c r="R170" s="17">
        <f t="shared" si="31"/>
        <v>5</v>
      </c>
      <c r="S170" s="17">
        <f t="shared" si="32"/>
        <v>8</v>
      </c>
      <c r="T170" s="17">
        <f t="shared" si="33"/>
        <v>6</v>
      </c>
      <c r="U170" s="17">
        <f t="shared" si="34"/>
        <v>6</v>
      </c>
      <c r="W170" s="7">
        <v>17781</v>
      </c>
      <c r="X170" s="7">
        <v>15178</v>
      </c>
      <c r="Y170" s="7">
        <v>6319</v>
      </c>
      <c r="Z170" s="7">
        <v>7558</v>
      </c>
      <c r="AA170" s="7">
        <v>5407</v>
      </c>
      <c r="AB170" s="13"/>
    </row>
    <row r="171" spans="10:28" ht="15.6" customHeight="1" x14ac:dyDescent="0.3">
      <c r="J171" s="2">
        <v>167</v>
      </c>
      <c r="K171" s="41" t="s">
        <v>34</v>
      </c>
      <c r="L171" s="41" t="s">
        <v>26</v>
      </c>
      <c r="M171" s="41" t="s">
        <v>28</v>
      </c>
      <c r="N171" s="41" t="s">
        <v>34</v>
      </c>
      <c r="O171" s="41" t="s">
        <v>33</v>
      </c>
      <c r="Q171" s="17">
        <f t="shared" si="30"/>
        <v>9</v>
      </c>
      <c r="R171" s="17">
        <f t="shared" si="31"/>
        <v>2</v>
      </c>
      <c r="S171" s="17">
        <f t="shared" si="32"/>
        <v>3</v>
      </c>
      <c r="T171" s="17">
        <f t="shared" si="33"/>
        <v>9</v>
      </c>
      <c r="U171" s="17">
        <f t="shared" si="34"/>
        <v>8</v>
      </c>
      <c r="W171" s="7">
        <v>16699</v>
      </c>
      <c r="X171" s="7">
        <v>5421</v>
      </c>
      <c r="Y171" s="7">
        <v>5697</v>
      </c>
      <c r="Z171" s="7">
        <v>5963</v>
      </c>
      <c r="AA171" s="7">
        <v>7054</v>
      </c>
      <c r="AB171" s="13"/>
    </row>
    <row r="172" spans="10:28" ht="15.6" customHeight="1" x14ac:dyDescent="0.3">
      <c r="J172" s="2">
        <v>168</v>
      </c>
      <c r="K172" s="41" t="s">
        <v>32</v>
      </c>
      <c r="L172" s="41" t="s">
        <v>30</v>
      </c>
      <c r="M172" s="41" t="s">
        <v>28</v>
      </c>
      <c r="N172" s="41" t="s">
        <v>34</v>
      </c>
      <c r="O172" s="41" t="s">
        <v>35</v>
      </c>
      <c r="Q172" s="17">
        <f t="shared" si="30"/>
        <v>7</v>
      </c>
      <c r="R172" s="17">
        <f t="shared" si="31"/>
        <v>5</v>
      </c>
      <c r="S172" s="17">
        <f t="shared" si="32"/>
        <v>3</v>
      </c>
      <c r="T172" s="17">
        <f t="shared" si="33"/>
        <v>9</v>
      </c>
      <c r="U172" s="17">
        <f t="shared" si="34"/>
        <v>10</v>
      </c>
      <c r="W172" s="7">
        <v>12515</v>
      </c>
      <c r="X172" s="7">
        <v>5642</v>
      </c>
      <c r="Y172" s="7">
        <v>5601</v>
      </c>
      <c r="Z172" s="7">
        <v>7720</v>
      </c>
      <c r="AA172" s="7">
        <v>13826</v>
      </c>
      <c r="AB172" s="13"/>
    </row>
    <row r="173" spans="10:28" ht="15.6" customHeight="1" x14ac:dyDescent="0.3">
      <c r="J173" s="2">
        <v>169</v>
      </c>
      <c r="K173" s="41" t="s">
        <v>29</v>
      </c>
      <c r="L173" s="41" t="s">
        <v>32</v>
      </c>
      <c r="M173" s="41" t="s">
        <v>28</v>
      </c>
      <c r="N173" s="41" t="s">
        <v>34</v>
      </c>
      <c r="O173" s="41" t="s">
        <v>34</v>
      </c>
      <c r="Q173" s="17">
        <f t="shared" si="30"/>
        <v>4</v>
      </c>
      <c r="R173" s="17">
        <f t="shared" si="31"/>
        <v>7</v>
      </c>
      <c r="S173" s="17">
        <f t="shared" si="32"/>
        <v>3</v>
      </c>
      <c r="T173" s="17">
        <f t="shared" si="33"/>
        <v>9</v>
      </c>
      <c r="U173" s="17">
        <f t="shared" si="34"/>
        <v>9</v>
      </c>
      <c r="W173" s="7">
        <v>13416</v>
      </c>
      <c r="X173" s="7">
        <v>1809</v>
      </c>
      <c r="Y173" s="7">
        <v>8217</v>
      </c>
      <c r="Z173" s="7">
        <v>18629</v>
      </c>
      <c r="AA173" s="7">
        <v>10346</v>
      </c>
      <c r="AB173" s="13"/>
    </row>
    <row r="174" spans="10:28" ht="15.6" customHeight="1" x14ac:dyDescent="0.3">
      <c r="J174" s="2">
        <v>170</v>
      </c>
      <c r="K174" s="41" t="s">
        <v>32</v>
      </c>
      <c r="L174" s="41" t="s">
        <v>44</v>
      </c>
      <c r="M174" s="41" t="s">
        <v>34</v>
      </c>
      <c r="N174" s="41" t="s">
        <v>38</v>
      </c>
      <c r="O174" s="41" t="s">
        <v>35</v>
      </c>
      <c r="Q174" s="17">
        <f t="shared" si="30"/>
        <v>7</v>
      </c>
      <c r="R174" s="17">
        <f t="shared" si="31"/>
        <v>15</v>
      </c>
      <c r="S174" s="17">
        <f t="shared" si="32"/>
        <v>9</v>
      </c>
      <c r="T174" s="17">
        <f t="shared" si="33"/>
        <v>12</v>
      </c>
      <c r="U174" s="17">
        <f t="shared" si="34"/>
        <v>10</v>
      </c>
      <c r="W174" s="7">
        <v>14316</v>
      </c>
      <c r="X174" s="7">
        <v>1951</v>
      </c>
      <c r="Y174" s="7">
        <v>5217</v>
      </c>
      <c r="Z174" s="7">
        <v>16269</v>
      </c>
      <c r="AA174" s="7">
        <v>16253</v>
      </c>
      <c r="AB174" s="13"/>
    </row>
    <row r="175" spans="10:28" ht="15.6" customHeight="1" x14ac:dyDescent="0.3">
      <c r="J175" s="2">
        <v>171</v>
      </c>
      <c r="K175" s="41" t="s">
        <v>29</v>
      </c>
      <c r="L175" s="41" t="s">
        <v>32</v>
      </c>
      <c r="M175" s="41" t="s">
        <v>48</v>
      </c>
      <c r="N175" s="41" t="s">
        <v>33</v>
      </c>
      <c r="O175" s="41" t="s">
        <v>33</v>
      </c>
      <c r="Q175" s="17">
        <f t="shared" si="30"/>
        <v>4</v>
      </c>
      <c r="R175" s="17">
        <f t="shared" si="31"/>
        <v>7</v>
      </c>
      <c r="S175" s="17">
        <f t="shared" si="32"/>
        <v>17</v>
      </c>
      <c r="T175" s="17">
        <f t="shared" si="33"/>
        <v>8</v>
      </c>
      <c r="U175" s="17">
        <f t="shared" si="34"/>
        <v>8</v>
      </c>
      <c r="W175" s="7">
        <v>13415</v>
      </c>
      <c r="X175" s="7">
        <v>10514</v>
      </c>
      <c r="Y175" s="7">
        <v>16981</v>
      </c>
      <c r="Z175" s="7">
        <v>16145</v>
      </c>
      <c r="AA175" s="7">
        <v>16478</v>
      </c>
      <c r="AB175" s="13"/>
    </row>
    <row r="176" spans="10:28" ht="15.6" customHeight="1" x14ac:dyDescent="0.3">
      <c r="J176" s="2">
        <v>172</v>
      </c>
      <c r="K176" s="41" t="s">
        <v>30</v>
      </c>
      <c r="L176" s="41" t="s">
        <v>30</v>
      </c>
      <c r="M176" s="41" t="s">
        <v>32</v>
      </c>
      <c r="N176" s="41" t="s">
        <v>34</v>
      </c>
      <c r="O176" s="41" t="s">
        <v>35</v>
      </c>
      <c r="Q176" s="17">
        <f t="shared" si="30"/>
        <v>5</v>
      </c>
      <c r="R176" s="17">
        <f t="shared" si="31"/>
        <v>5</v>
      </c>
      <c r="S176" s="17">
        <f t="shared" si="32"/>
        <v>7</v>
      </c>
      <c r="T176" s="17">
        <f t="shared" si="33"/>
        <v>9</v>
      </c>
      <c r="U176" s="17">
        <f t="shared" si="34"/>
        <v>10</v>
      </c>
      <c r="W176" s="7">
        <v>15978</v>
      </c>
      <c r="X176" s="7">
        <v>8774</v>
      </c>
      <c r="Y176" s="7">
        <v>15081</v>
      </c>
      <c r="Z176" s="7">
        <v>16021</v>
      </c>
      <c r="AA176" s="7">
        <v>11475</v>
      </c>
      <c r="AB176" s="13"/>
    </row>
    <row r="177" spans="10:28" ht="15.6" customHeight="1" x14ac:dyDescent="0.3">
      <c r="J177" s="2">
        <v>173</v>
      </c>
      <c r="K177" s="41" t="s">
        <v>33</v>
      </c>
      <c r="L177" s="41" t="s">
        <v>31</v>
      </c>
      <c r="M177" s="41" t="s">
        <v>34</v>
      </c>
      <c r="N177" s="41" t="s">
        <v>33</v>
      </c>
      <c r="O177" s="41" t="s">
        <v>28</v>
      </c>
      <c r="Q177" s="17">
        <f t="shared" si="30"/>
        <v>8</v>
      </c>
      <c r="R177" s="17">
        <f t="shared" si="31"/>
        <v>6</v>
      </c>
      <c r="S177" s="17">
        <f t="shared" si="32"/>
        <v>9</v>
      </c>
      <c r="T177" s="17">
        <f t="shared" si="33"/>
        <v>8</v>
      </c>
      <c r="U177" s="17">
        <f t="shared" si="34"/>
        <v>3</v>
      </c>
      <c r="W177" s="7">
        <v>17540</v>
      </c>
      <c r="X177" s="7">
        <v>6992</v>
      </c>
      <c r="Y177" s="7">
        <v>17562</v>
      </c>
      <c r="Z177" s="7">
        <v>16145</v>
      </c>
      <c r="AA177" s="7">
        <v>8340</v>
      </c>
      <c r="AB177" s="13"/>
    </row>
    <row r="178" spans="10:28" ht="15.6" customHeight="1" x14ac:dyDescent="0.3">
      <c r="J178" s="2">
        <v>174</v>
      </c>
      <c r="K178" s="41" t="s">
        <v>34</v>
      </c>
      <c r="L178" s="41" t="s">
        <v>44</v>
      </c>
      <c r="M178" s="41" t="s">
        <v>35</v>
      </c>
      <c r="N178" s="41" t="s">
        <v>28</v>
      </c>
      <c r="O178" s="41" t="s">
        <v>34</v>
      </c>
      <c r="Q178" s="17">
        <f t="shared" si="30"/>
        <v>9</v>
      </c>
      <c r="R178" s="17">
        <f t="shared" si="31"/>
        <v>15</v>
      </c>
      <c r="S178" s="17">
        <f t="shared" si="32"/>
        <v>10</v>
      </c>
      <c r="T178" s="17">
        <f t="shared" si="33"/>
        <v>3</v>
      </c>
      <c r="U178" s="17">
        <f t="shared" si="34"/>
        <v>9</v>
      </c>
      <c r="W178" s="7">
        <v>16099</v>
      </c>
      <c r="X178" s="7">
        <v>6975</v>
      </c>
      <c r="Y178" s="7">
        <v>17025</v>
      </c>
      <c r="Z178" s="7">
        <v>16394</v>
      </c>
      <c r="AA178" s="7">
        <v>3749</v>
      </c>
      <c r="AB178" s="13"/>
    </row>
    <row r="179" spans="10:28" ht="15.6" customHeight="1" x14ac:dyDescent="0.3">
      <c r="J179" s="2">
        <v>175</v>
      </c>
      <c r="K179" s="41" t="s">
        <v>33</v>
      </c>
      <c r="L179" s="41" t="s">
        <v>42</v>
      </c>
      <c r="M179" s="41" t="s">
        <v>40</v>
      </c>
      <c r="N179" s="41" t="s">
        <v>31</v>
      </c>
      <c r="O179" s="41" t="s">
        <v>29</v>
      </c>
      <c r="Q179" s="17">
        <f t="shared" si="30"/>
        <v>8</v>
      </c>
      <c r="R179" s="17">
        <f t="shared" si="31"/>
        <v>14</v>
      </c>
      <c r="S179" s="17">
        <f t="shared" si="32"/>
        <v>13</v>
      </c>
      <c r="T179" s="17">
        <f t="shared" si="33"/>
        <v>6</v>
      </c>
      <c r="U179" s="17">
        <f t="shared" si="34"/>
        <v>4</v>
      </c>
      <c r="W179" s="7">
        <v>14656</v>
      </c>
      <c r="X179" s="7">
        <v>4764</v>
      </c>
      <c r="Y179" s="7">
        <v>19169</v>
      </c>
      <c r="Z179" s="7">
        <v>18504</v>
      </c>
      <c r="AA179" s="7">
        <v>5605</v>
      </c>
      <c r="AB179" s="13"/>
    </row>
    <row r="180" spans="10:28" ht="15.6" customHeight="1" x14ac:dyDescent="0.3">
      <c r="J180" s="2">
        <v>176</v>
      </c>
      <c r="K180" s="41" t="s">
        <v>32</v>
      </c>
      <c r="L180" s="41" t="s">
        <v>29</v>
      </c>
      <c r="M180" s="41" t="s">
        <v>29</v>
      </c>
      <c r="N180" s="41" t="s">
        <v>50</v>
      </c>
      <c r="O180" s="41" t="s">
        <v>30</v>
      </c>
      <c r="Q180" s="17">
        <f t="shared" si="30"/>
        <v>7</v>
      </c>
      <c r="R180" s="17">
        <f t="shared" si="31"/>
        <v>4</v>
      </c>
      <c r="S180" s="17">
        <f t="shared" si="32"/>
        <v>4</v>
      </c>
      <c r="T180" s="17">
        <f t="shared" si="33"/>
        <v>18</v>
      </c>
      <c r="U180" s="17">
        <f t="shared" si="34"/>
        <v>5</v>
      </c>
      <c r="W180" s="7">
        <v>17540</v>
      </c>
      <c r="X180" s="7">
        <v>11619</v>
      </c>
      <c r="Y180" s="7">
        <v>17651</v>
      </c>
      <c r="Z180" s="7">
        <v>16764</v>
      </c>
      <c r="AA180" s="7">
        <v>6625</v>
      </c>
      <c r="AB180" s="13"/>
    </row>
    <row r="181" spans="10:28" ht="15.6" customHeight="1" x14ac:dyDescent="0.3">
      <c r="J181" s="2">
        <v>177</v>
      </c>
      <c r="K181" s="41" t="s">
        <v>30</v>
      </c>
      <c r="L181" s="41" t="s">
        <v>32</v>
      </c>
      <c r="M181" s="41" t="s">
        <v>36</v>
      </c>
      <c r="N181" s="41" t="s">
        <v>34</v>
      </c>
      <c r="O181" s="41" t="s">
        <v>30</v>
      </c>
      <c r="Q181" s="17">
        <f t="shared" si="30"/>
        <v>5</v>
      </c>
      <c r="R181" s="17">
        <f t="shared" si="31"/>
        <v>7</v>
      </c>
      <c r="S181" s="17">
        <f t="shared" si="32"/>
        <v>11</v>
      </c>
      <c r="T181" s="17">
        <f t="shared" si="33"/>
        <v>9</v>
      </c>
      <c r="U181" s="17">
        <f t="shared" si="34"/>
        <v>5</v>
      </c>
      <c r="W181" s="7">
        <v>6746</v>
      </c>
      <c r="X181" s="7">
        <v>10514</v>
      </c>
      <c r="Y181" s="7">
        <v>14914</v>
      </c>
      <c r="Z181" s="7">
        <v>19497</v>
      </c>
      <c r="AA181" s="7">
        <v>6094</v>
      </c>
      <c r="AB181" s="13"/>
    </row>
    <row r="182" spans="10:28" ht="15.6" customHeight="1" x14ac:dyDescent="0.3">
      <c r="J182" s="2">
        <v>178</v>
      </c>
      <c r="K182" s="41" t="s">
        <v>29</v>
      </c>
      <c r="L182" s="41" t="s">
        <v>35</v>
      </c>
      <c r="M182" s="41" t="s">
        <v>34</v>
      </c>
      <c r="N182" s="41" t="s">
        <v>36</v>
      </c>
      <c r="O182" s="41" t="s">
        <v>30</v>
      </c>
      <c r="Q182" s="17">
        <f t="shared" si="30"/>
        <v>4</v>
      </c>
      <c r="R182" s="17">
        <f t="shared" si="31"/>
        <v>10</v>
      </c>
      <c r="S182" s="17">
        <f t="shared" si="32"/>
        <v>9</v>
      </c>
      <c r="T182" s="17">
        <f t="shared" si="33"/>
        <v>11</v>
      </c>
      <c r="U182" s="17">
        <f t="shared" si="34"/>
        <v>5</v>
      </c>
      <c r="W182" s="7">
        <v>4675</v>
      </c>
      <c r="X182" s="7">
        <v>11927</v>
      </c>
      <c r="Y182" s="7">
        <v>3521</v>
      </c>
      <c r="Z182" s="7">
        <v>18381</v>
      </c>
      <c r="AA182" s="7">
        <v>15464</v>
      </c>
      <c r="AB182" s="13"/>
    </row>
    <row r="183" spans="10:28" ht="15.6" customHeight="1" x14ac:dyDescent="0.3">
      <c r="J183" s="2">
        <v>179</v>
      </c>
      <c r="K183" s="41" t="s">
        <v>31</v>
      </c>
      <c r="L183" s="41" t="s">
        <v>29</v>
      </c>
      <c r="M183" s="41" t="s">
        <v>32</v>
      </c>
      <c r="N183" s="41" t="s">
        <v>33</v>
      </c>
      <c r="O183" s="41" t="s">
        <v>26</v>
      </c>
      <c r="Q183" s="17">
        <f t="shared" si="30"/>
        <v>6</v>
      </c>
      <c r="R183" s="17">
        <f t="shared" si="31"/>
        <v>4</v>
      </c>
      <c r="S183" s="17">
        <f t="shared" si="32"/>
        <v>7</v>
      </c>
      <c r="T183" s="17">
        <f t="shared" si="33"/>
        <v>8</v>
      </c>
      <c r="U183" s="17">
        <f t="shared" si="34"/>
        <v>2</v>
      </c>
      <c r="W183" s="7">
        <v>5447</v>
      </c>
      <c r="X183" s="7">
        <v>4216</v>
      </c>
      <c r="Y183" s="7">
        <v>3937</v>
      </c>
      <c r="Z183" s="7">
        <v>18131</v>
      </c>
      <c r="AA183" s="7">
        <v>14203</v>
      </c>
      <c r="AB183" s="13"/>
    </row>
    <row r="184" spans="10:28" ht="15.6" customHeight="1" x14ac:dyDescent="0.3">
      <c r="J184" s="2">
        <v>180</v>
      </c>
      <c r="K184" s="41" t="s">
        <v>31</v>
      </c>
      <c r="L184" s="41" t="s">
        <v>28</v>
      </c>
      <c r="M184" s="41" t="s">
        <v>48</v>
      </c>
      <c r="N184" s="41" t="s">
        <v>48</v>
      </c>
      <c r="O184" s="41" t="s">
        <v>29</v>
      </c>
      <c r="Q184" s="17">
        <f t="shared" si="30"/>
        <v>6</v>
      </c>
      <c r="R184" s="17">
        <f t="shared" si="31"/>
        <v>3</v>
      </c>
      <c r="S184" s="17">
        <f t="shared" si="32"/>
        <v>17</v>
      </c>
      <c r="T184" s="17">
        <f t="shared" si="33"/>
        <v>17</v>
      </c>
      <c r="U184" s="17">
        <f t="shared" si="34"/>
        <v>4</v>
      </c>
      <c r="W184" s="7">
        <v>11914</v>
      </c>
      <c r="X184" s="7">
        <v>4558</v>
      </c>
      <c r="Y184" s="7">
        <v>5153</v>
      </c>
      <c r="Z184" s="7">
        <v>16351</v>
      </c>
      <c r="AA184" s="7">
        <v>9782</v>
      </c>
      <c r="AB184" s="13"/>
    </row>
    <row r="185" spans="10:28" ht="15.6" customHeight="1" x14ac:dyDescent="0.3">
      <c r="J185" s="2">
        <v>181</v>
      </c>
      <c r="K185" s="41" t="s">
        <v>35</v>
      </c>
      <c r="L185" s="41" t="s">
        <v>31</v>
      </c>
      <c r="M185" s="41" t="s">
        <v>34</v>
      </c>
      <c r="N185" s="41" t="s">
        <v>35</v>
      </c>
      <c r="O185" s="41" t="s">
        <v>34</v>
      </c>
      <c r="Q185" s="17">
        <f t="shared" si="30"/>
        <v>10</v>
      </c>
      <c r="R185" s="17">
        <f t="shared" si="31"/>
        <v>6</v>
      </c>
      <c r="S185" s="17">
        <f t="shared" si="32"/>
        <v>9</v>
      </c>
      <c r="T185" s="17">
        <f t="shared" si="33"/>
        <v>10</v>
      </c>
      <c r="U185" s="17">
        <f t="shared" si="34"/>
        <v>9</v>
      </c>
      <c r="W185" s="7">
        <v>5322</v>
      </c>
      <c r="X185" s="7">
        <v>4036</v>
      </c>
      <c r="Y185" s="7">
        <v>3960</v>
      </c>
      <c r="Z185" s="7">
        <v>7348</v>
      </c>
      <c r="AA185" s="7">
        <v>13074</v>
      </c>
      <c r="AB185" s="13"/>
    </row>
    <row r="186" spans="10:28" ht="15.6" customHeight="1" x14ac:dyDescent="0.3">
      <c r="J186" s="2">
        <v>182</v>
      </c>
      <c r="K186" s="41" t="s">
        <v>32</v>
      </c>
      <c r="L186" s="41" t="s">
        <v>30</v>
      </c>
      <c r="M186" s="41" t="s">
        <v>48</v>
      </c>
      <c r="N186" s="41" t="s">
        <v>30</v>
      </c>
      <c r="O186" s="41" t="s">
        <v>33</v>
      </c>
      <c r="Q186" s="17">
        <f t="shared" si="30"/>
        <v>7</v>
      </c>
      <c r="R186" s="17">
        <f t="shared" si="31"/>
        <v>5</v>
      </c>
      <c r="S186" s="17">
        <f t="shared" si="32"/>
        <v>17</v>
      </c>
      <c r="T186" s="17">
        <f t="shared" si="33"/>
        <v>5</v>
      </c>
      <c r="U186" s="17">
        <f t="shared" si="34"/>
        <v>8</v>
      </c>
      <c r="W186" s="7">
        <v>5277</v>
      </c>
      <c r="X186" s="7">
        <v>1809</v>
      </c>
      <c r="Y186" s="7">
        <v>3210</v>
      </c>
      <c r="Z186" s="7">
        <v>7142</v>
      </c>
      <c r="AA186" s="7">
        <v>7900</v>
      </c>
      <c r="AB186" s="13"/>
    </row>
    <row r="187" spans="10:28" ht="15.6" customHeight="1" x14ac:dyDescent="0.3">
      <c r="J187" s="2">
        <v>183</v>
      </c>
      <c r="K187" s="41" t="s">
        <v>35</v>
      </c>
      <c r="L187" s="41" t="s">
        <v>44</v>
      </c>
      <c r="M187" s="41" t="s">
        <v>48</v>
      </c>
      <c r="N187" s="41" t="s">
        <v>35</v>
      </c>
      <c r="O187" s="41" t="s">
        <v>35</v>
      </c>
      <c r="Q187" s="17">
        <f t="shared" si="30"/>
        <v>10</v>
      </c>
      <c r="R187" s="17">
        <f t="shared" si="31"/>
        <v>15</v>
      </c>
      <c r="S187" s="17">
        <f t="shared" si="32"/>
        <v>17</v>
      </c>
      <c r="T187" s="17">
        <f t="shared" si="33"/>
        <v>10</v>
      </c>
      <c r="U187" s="17">
        <f t="shared" si="34"/>
        <v>10</v>
      </c>
      <c r="W187" s="7">
        <v>7157</v>
      </c>
      <c r="X187" s="7">
        <v>1951</v>
      </c>
      <c r="Y187" s="7">
        <v>14523</v>
      </c>
      <c r="Z187" s="7">
        <v>14490</v>
      </c>
      <c r="AA187" s="7">
        <v>2498</v>
      </c>
      <c r="AB187" s="13"/>
    </row>
    <row r="188" spans="10:28" ht="15.6" customHeight="1" x14ac:dyDescent="0.3">
      <c r="J188" s="2">
        <v>184</v>
      </c>
      <c r="K188" s="41" t="s">
        <v>35</v>
      </c>
      <c r="L188" s="41" t="s">
        <v>29</v>
      </c>
      <c r="M188" s="41" t="s">
        <v>35</v>
      </c>
      <c r="N188" s="41" t="s">
        <v>31</v>
      </c>
      <c r="O188" s="41" t="s">
        <v>32</v>
      </c>
      <c r="Q188" s="17">
        <f t="shared" si="30"/>
        <v>10</v>
      </c>
      <c r="R188" s="17">
        <f t="shared" si="31"/>
        <v>4</v>
      </c>
      <c r="S188" s="17">
        <f t="shared" si="32"/>
        <v>10</v>
      </c>
      <c r="T188" s="17">
        <f t="shared" si="33"/>
        <v>6</v>
      </c>
      <c r="U188" s="17">
        <f t="shared" si="34"/>
        <v>7</v>
      </c>
      <c r="W188" s="7">
        <v>7724</v>
      </c>
      <c r="X188" s="7">
        <v>1730</v>
      </c>
      <c r="Y188" s="7">
        <v>7206</v>
      </c>
      <c r="Z188" s="7">
        <v>13142</v>
      </c>
      <c r="AA188" s="7">
        <v>2377</v>
      </c>
      <c r="AB188" s="13"/>
    </row>
    <row r="189" spans="10:28" ht="15.6" customHeight="1" x14ac:dyDescent="0.3">
      <c r="J189" s="2">
        <v>185</v>
      </c>
      <c r="K189" s="41" t="s">
        <v>31</v>
      </c>
      <c r="L189" s="41" t="s">
        <v>29</v>
      </c>
      <c r="M189" s="41" t="s">
        <v>34</v>
      </c>
      <c r="N189" s="41" t="s">
        <v>33</v>
      </c>
      <c r="O189" s="41" t="s">
        <v>30</v>
      </c>
      <c r="Q189" s="17">
        <f t="shared" si="30"/>
        <v>6</v>
      </c>
      <c r="R189" s="17">
        <f t="shared" si="31"/>
        <v>4</v>
      </c>
      <c r="S189" s="17">
        <f t="shared" si="32"/>
        <v>9</v>
      </c>
      <c r="T189" s="17">
        <f t="shared" si="33"/>
        <v>8</v>
      </c>
      <c r="U189" s="17">
        <f t="shared" si="34"/>
        <v>5</v>
      </c>
      <c r="W189" s="7">
        <v>6952</v>
      </c>
      <c r="X189" s="7">
        <v>2931</v>
      </c>
      <c r="Y189" s="7">
        <v>15081</v>
      </c>
      <c r="Z189" s="7">
        <v>6601</v>
      </c>
      <c r="AA189" s="7">
        <v>2597</v>
      </c>
      <c r="AB189" s="13"/>
    </row>
    <row r="190" spans="10:28" ht="15.6" customHeight="1" x14ac:dyDescent="0.3">
      <c r="J190" s="2">
        <v>186</v>
      </c>
      <c r="K190" s="41" t="s">
        <v>31</v>
      </c>
      <c r="L190" s="41" t="s">
        <v>29</v>
      </c>
      <c r="M190" s="41" t="s">
        <v>35</v>
      </c>
      <c r="N190" s="41" t="s">
        <v>42</v>
      </c>
      <c r="O190" s="41" t="s">
        <v>30</v>
      </c>
      <c r="Q190" s="17">
        <f t="shared" si="30"/>
        <v>6</v>
      </c>
      <c r="R190" s="17">
        <f t="shared" si="31"/>
        <v>4</v>
      </c>
      <c r="S190" s="17">
        <f t="shared" si="32"/>
        <v>10</v>
      </c>
      <c r="T190" s="17">
        <f t="shared" si="33"/>
        <v>14</v>
      </c>
      <c r="U190" s="17">
        <f t="shared" si="34"/>
        <v>5</v>
      </c>
      <c r="W190" s="7">
        <v>14656</v>
      </c>
      <c r="X190" s="7">
        <v>2843</v>
      </c>
      <c r="Y190" s="7">
        <v>12020</v>
      </c>
      <c r="Z190" s="7">
        <v>7239</v>
      </c>
      <c r="AA190" s="7">
        <v>3144</v>
      </c>
      <c r="AB190" s="13"/>
    </row>
    <row r="191" spans="10:28" ht="15.6" customHeight="1" x14ac:dyDescent="0.3">
      <c r="J191" s="2">
        <v>187</v>
      </c>
      <c r="K191" s="41" t="s">
        <v>32</v>
      </c>
      <c r="L191" s="41" t="s">
        <v>32</v>
      </c>
      <c r="M191" s="41" t="s">
        <v>34</v>
      </c>
      <c r="N191" s="41" t="s">
        <v>34</v>
      </c>
      <c r="O191" s="41" t="s">
        <v>32</v>
      </c>
      <c r="Q191" s="17">
        <f t="shared" si="30"/>
        <v>7</v>
      </c>
      <c r="R191" s="17">
        <f t="shared" si="31"/>
        <v>7</v>
      </c>
      <c r="S191" s="17">
        <f t="shared" si="32"/>
        <v>9</v>
      </c>
      <c r="T191" s="17">
        <f t="shared" si="33"/>
        <v>9</v>
      </c>
      <c r="U191" s="17">
        <f t="shared" si="34"/>
        <v>7</v>
      </c>
      <c r="W191" s="7">
        <v>11313</v>
      </c>
      <c r="X191" s="7">
        <v>2951</v>
      </c>
      <c r="Y191" s="7">
        <v>3960</v>
      </c>
      <c r="Z191" s="7">
        <v>7823</v>
      </c>
      <c r="AA191" s="7">
        <v>2781</v>
      </c>
      <c r="AB191" s="13"/>
    </row>
    <row r="192" spans="10:28" ht="15.6" customHeight="1" x14ac:dyDescent="0.3">
      <c r="J192" s="2">
        <v>188</v>
      </c>
      <c r="K192" s="41" t="s">
        <v>31</v>
      </c>
      <c r="L192" s="41" t="s">
        <v>32</v>
      </c>
      <c r="M192" s="41" t="s">
        <v>30</v>
      </c>
      <c r="N192" s="41" t="s">
        <v>34</v>
      </c>
      <c r="O192" s="41" t="s">
        <v>34</v>
      </c>
      <c r="Q192" s="17">
        <f t="shared" si="30"/>
        <v>6</v>
      </c>
      <c r="R192" s="17">
        <f t="shared" si="31"/>
        <v>7</v>
      </c>
      <c r="S192" s="17">
        <f t="shared" si="32"/>
        <v>5</v>
      </c>
      <c r="T192" s="17">
        <f t="shared" si="33"/>
        <v>9</v>
      </c>
      <c r="U192" s="17">
        <f t="shared" si="34"/>
        <v>9</v>
      </c>
      <c r="W192" s="7">
        <v>4765</v>
      </c>
      <c r="X192" s="7">
        <v>3083</v>
      </c>
      <c r="Y192" s="7">
        <v>3210</v>
      </c>
      <c r="Z192" s="7">
        <v>16394</v>
      </c>
      <c r="AA192" s="7">
        <v>3628</v>
      </c>
      <c r="AB192" s="13"/>
    </row>
    <row r="193" spans="10:28" ht="15.6" customHeight="1" x14ac:dyDescent="0.3">
      <c r="J193" s="2">
        <v>189</v>
      </c>
      <c r="K193" s="41" t="s">
        <v>32</v>
      </c>
      <c r="L193" s="41" t="s">
        <v>32</v>
      </c>
      <c r="M193" s="41" t="s">
        <v>31</v>
      </c>
      <c r="N193" s="41" t="s">
        <v>33</v>
      </c>
      <c r="O193" s="41" t="s">
        <v>34</v>
      </c>
      <c r="Q193" s="17">
        <f t="shared" si="30"/>
        <v>7</v>
      </c>
      <c r="R193" s="17">
        <f t="shared" si="31"/>
        <v>7</v>
      </c>
      <c r="S193" s="17">
        <f t="shared" si="32"/>
        <v>6</v>
      </c>
      <c r="T193" s="17">
        <f t="shared" si="33"/>
        <v>8</v>
      </c>
      <c r="U193" s="17">
        <f t="shared" si="34"/>
        <v>9</v>
      </c>
      <c r="W193" s="7">
        <v>5277</v>
      </c>
      <c r="X193" s="7">
        <v>1730</v>
      </c>
      <c r="Y193" s="7">
        <v>5889</v>
      </c>
      <c r="Z193" s="7">
        <v>13972</v>
      </c>
      <c r="AA193" s="7">
        <v>3118</v>
      </c>
      <c r="AB193" s="13"/>
    </row>
    <row r="194" spans="10:28" ht="15.6" customHeight="1" x14ac:dyDescent="0.3">
      <c r="J194" s="2">
        <v>190</v>
      </c>
      <c r="K194" s="41" t="s">
        <v>33</v>
      </c>
      <c r="L194" s="41" t="s">
        <v>44</v>
      </c>
      <c r="M194" s="41" t="s">
        <v>31</v>
      </c>
      <c r="N194" s="41" t="s">
        <v>35</v>
      </c>
      <c r="O194" s="41" t="s">
        <v>35</v>
      </c>
      <c r="Q194" s="17">
        <f t="shared" si="30"/>
        <v>8</v>
      </c>
      <c r="R194" s="17">
        <f t="shared" si="31"/>
        <v>15</v>
      </c>
      <c r="S194" s="17">
        <f t="shared" si="32"/>
        <v>6</v>
      </c>
      <c r="T194" s="17">
        <f t="shared" si="33"/>
        <v>10</v>
      </c>
      <c r="U194" s="17">
        <f t="shared" si="34"/>
        <v>10</v>
      </c>
      <c r="W194" s="7">
        <v>6490</v>
      </c>
      <c r="X194" s="7">
        <v>2931</v>
      </c>
      <c r="Y194" s="7">
        <v>19304</v>
      </c>
      <c r="Z194" s="7">
        <v>6473</v>
      </c>
      <c r="AA194" s="7">
        <v>3097</v>
      </c>
      <c r="AB194" s="13"/>
    </row>
    <row r="195" spans="10:28" ht="15.6" customHeight="1" x14ac:dyDescent="0.3">
      <c r="J195" s="2">
        <v>191</v>
      </c>
      <c r="K195" s="41" t="s">
        <v>33</v>
      </c>
      <c r="L195" s="41" t="s">
        <v>32</v>
      </c>
      <c r="M195" s="41" t="s">
        <v>35</v>
      </c>
      <c r="N195" s="41" t="s">
        <v>33</v>
      </c>
      <c r="O195" s="41" t="s">
        <v>35</v>
      </c>
      <c r="Q195" s="17">
        <f t="shared" si="30"/>
        <v>8</v>
      </c>
      <c r="R195" s="17">
        <f t="shared" si="31"/>
        <v>7</v>
      </c>
      <c r="S195" s="17">
        <f t="shared" si="32"/>
        <v>10</v>
      </c>
      <c r="T195" s="17">
        <f t="shared" si="33"/>
        <v>8</v>
      </c>
      <c r="U195" s="17">
        <f t="shared" si="34"/>
        <v>10</v>
      </c>
      <c r="W195" s="7">
        <v>7052</v>
      </c>
      <c r="X195" s="7">
        <v>2843</v>
      </c>
      <c r="Y195" s="7">
        <v>18231</v>
      </c>
      <c r="Z195" s="7">
        <v>5811</v>
      </c>
      <c r="AA195" s="7">
        <v>3339</v>
      </c>
      <c r="AB195" s="13"/>
    </row>
    <row r="196" spans="10:28" ht="15.6" customHeight="1" x14ac:dyDescent="0.3">
      <c r="J196" s="2">
        <v>192</v>
      </c>
      <c r="K196" s="41" t="s">
        <v>33</v>
      </c>
      <c r="L196" s="41" t="s">
        <v>29</v>
      </c>
      <c r="M196" s="41" t="s">
        <v>32</v>
      </c>
      <c r="N196" s="41" t="s">
        <v>30</v>
      </c>
      <c r="O196" s="41" t="s">
        <v>35</v>
      </c>
      <c r="Q196" s="17">
        <f t="shared" ref="Q196:Q203" si="35">IF(K196="","",VLOOKUP(K196,$A$4:$H$22,8,FALSE))</f>
        <v>8</v>
      </c>
      <c r="R196" s="17">
        <f t="shared" ref="R196:R203" si="36">IF(L196="","",VLOOKUP(L196,$A$4:$H$22,8,FALSE))</f>
        <v>4</v>
      </c>
      <c r="S196" s="17">
        <f t="shared" ref="S196:S203" si="37">IF(M196="","",VLOOKUP(M196,$A$4:$H$22,8,FALSE))</f>
        <v>7</v>
      </c>
      <c r="T196" s="17">
        <f t="shared" ref="T196:T203" si="38">IF(N196="","",VLOOKUP(N196,$A$4:$H$22,8,FALSE))</f>
        <v>5</v>
      </c>
      <c r="U196" s="17">
        <f t="shared" ref="U196:U203" si="39">IF(O196="","",VLOOKUP(O196,$A$4:$H$22,8,FALSE))</f>
        <v>10</v>
      </c>
      <c r="W196" s="7">
        <v>15378</v>
      </c>
      <c r="X196" s="7">
        <v>2951</v>
      </c>
      <c r="Y196" s="7">
        <v>7641</v>
      </c>
      <c r="Z196" s="7">
        <v>5634</v>
      </c>
      <c r="AA196" s="7">
        <v>7243</v>
      </c>
      <c r="AB196" s="13"/>
    </row>
    <row r="197" spans="10:28" ht="15.6" customHeight="1" x14ac:dyDescent="0.3">
      <c r="J197" s="2">
        <v>193</v>
      </c>
      <c r="K197" s="41" t="s">
        <v>29</v>
      </c>
      <c r="L197" s="41" t="s">
        <v>29</v>
      </c>
      <c r="M197" s="41" t="s">
        <v>31</v>
      </c>
      <c r="N197" s="41" t="s">
        <v>30</v>
      </c>
      <c r="O197" s="41" t="s">
        <v>28</v>
      </c>
      <c r="Q197" s="17">
        <f t="shared" si="35"/>
        <v>4</v>
      </c>
      <c r="R197" s="17">
        <f t="shared" si="36"/>
        <v>4</v>
      </c>
      <c r="S197" s="17">
        <f t="shared" si="37"/>
        <v>6</v>
      </c>
      <c r="T197" s="17">
        <f t="shared" si="38"/>
        <v>5</v>
      </c>
      <c r="U197" s="17">
        <f t="shared" si="39"/>
        <v>3</v>
      </c>
      <c r="W197" s="7">
        <v>15017</v>
      </c>
      <c r="X197" s="7">
        <v>3083</v>
      </c>
      <c r="Y197" s="7">
        <v>6607</v>
      </c>
      <c r="Z197" s="7">
        <v>12419</v>
      </c>
      <c r="AA197" s="7">
        <v>5549</v>
      </c>
      <c r="AB197" s="13"/>
    </row>
    <row r="198" spans="10:28" ht="15.6" customHeight="1" x14ac:dyDescent="0.3">
      <c r="J198" s="2">
        <v>194</v>
      </c>
      <c r="K198" s="41" t="s">
        <v>28</v>
      </c>
      <c r="L198" s="41" t="s">
        <v>29</v>
      </c>
      <c r="M198" s="41" t="s">
        <v>35</v>
      </c>
      <c r="N198" s="41" t="s">
        <v>33</v>
      </c>
      <c r="O198" s="41" t="s">
        <v>35</v>
      </c>
      <c r="Q198" s="17">
        <f t="shared" si="35"/>
        <v>3</v>
      </c>
      <c r="R198" s="17">
        <f t="shared" si="36"/>
        <v>4</v>
      </c>
      <c r="S198" s="17">
        <f t="shared" si="37"/>
        <v>10</v>
      </c>
      <c r="T198" s="17">
        <f t="shared" si="38"/>
        <v>8</v>
      </c>
      <c r="U198" s="17">
        <f t="shared" si="39"/>
        <v>10</v>
      </c>
      <c r="W198" s="7">
        <v>14777</v>
      </c>
      <c r="X198" s="7">
        <v>1730</v>
      </c>
      <c r="Y198" s="7">
        <v>6223</v>
      </c>
      <c r="Z198" s="7">
        <v>13557</v>
      </c>
      <c r="AA198" s="7">
        <v>6066</v>
      </c>
      <c r="AB198" s="13"/>
    </row>
    <row r="199" spans="10:28" ht="15.6" customHeight="1" x14ac:dyDescent="0.3">
      <c r="J199" s="2">
        <v>195</v>
      </c>
      <c r="K199" s="41" t="s">
        <v>35</v>
      </c>
      <c r="L199" s="41" t="s">
        <v>32</v>
      </c>
      <c r="M199" s="41" t="s">
        <v>35</v>
      </c>
      <c r="N199" s="41" t="s">
        <v>30</v>
      </c>
      <c r="O199" s="41" t="s">
        <v>30</v>
      </c>
      <c r="Q199" s="17">
        <f t="shared" si="35"/>
        <v>10</v>
      </c>
      <c r="R199" s="17">
        <f t="shared" si="36"/>
        <v>7</v>
      </c>
      <c r="S199" s="17">
        <f t="shared" si="37"/>
        <v>10</v>
      </c>
      <c r="T199" s="17">
        <f t="shared" si="38"/>
        <v>5</v>
      </c>
      <c r="U199" s="17">
        <f t="shared" si="39"/>
        <v>5</v>
      </c>
      <c r="W199" s="7">
        <v>15738</v>
      </c>
      <c r="X199" s="7">
        <v>5995</v>
      </c>
      <c r="Y199" s="7">
        <v>6223</v>
      </c>
      <c r="Z199" s="7">
        <v>13557</v>
      </c>
      <c r="AA199" s="7">
        <v>7336</v>
      </c>
      <c r="AB199" s="13"/>
    </row>
    <row r="200" spans="10:28" ht="15.6" customHeight="1" x14ac:dyDescent="0.3">
      <c r="J200" s="2">
        <v>196</v>
      </c>
      <c r="K200" s="41" t="s">
        <v>30</v>
      </c>
      <c r="L200" s="41" t="s">
        <v>32</v>
      </c>
      <c r="M200" s="41" t="s">
        <v>30</v>
      </c>
      <c r="N200" s="41" t="s">
        <v>33</v>
      </c>
      <c r="O200" s="41" t="s">
        <v>31</v>
      </c>
      <c r="Q200" s="17">
        <f t="shared" si="35"/>
        <v>5</v>
      </c>
      <c r="R200" s="17">
        <f t="shared" si="36"/>
        <v>7</v>
      </c>
      <c r="S200" s="17">
        <f t="shared" si="37"/>
        <v>5</v>
      </c>
      <c r="T200" s="17">
        <f t="shared" si="38"/>
        <v>8</v>
      </c>
      <c r="U200" s="17">
        <f t="shared" si="39"/>
        <v>6</v>
      </c>
      <c r="W200" s="7">
        <v>13695</v>
      </c>
      <c r="X200" s="7">
        <v>7034</v>
      </c>
      <c r="Y200" s="7">
        <v>3086</v>
      </c>
      <c r="Z200" s="7">
        <v>17263</v>
      </c>
      <c r="AA200" s="7">
        <v>6489</v>
      </c>
      <c r="AB200" s="13"/>
    </row>
    <row r="201" spans="10:28" ht="15.6" customHeight="1" x14ac:dyDescent="0.3">
      <c r="J201" s="2">
        <v>197</v>
      </c>
      <c r="K201" s="41" t="s">
        <v>28</v>
      </c>
      <c r="L201" s="41" t="s">
        <v>32</v>
      </c>
      <c r="M201" s="41" t="s">
        <v>34</v>
      </c>
      <c r="N201" s="41" t="s">
        <v>34</v>
      </c>
      <c r="O201" s="41" t="s">
        <v>34</v>
      </c>
      <c r="Q201" s="17">
        <f t="shared" si="35"/>
        <v>3</v>
      </c>
      <c r="R201" s="17">
        <f t="shared" si="36"/>
        <v>7</v>
      </c>
      <c r="S201" s="17">
        <f t="shared" si="37"/>
        <v>9</v>
      </c>
      <c r="T201" s="17">
        <f t="shared" si="38"/>
        <v>9</v>
      </c>
      <c r="U201" s="17">
        <f t="shared" si="39"/>
        <v>9</v>
      </c>
      <c r="W201" s="7">
        <v>15499</v>
      </c>
      <c r="X201" s="7">
        <v>6823</v>
      </c>
      <c r="Y201" s="7">
        <v>3942</v>
      </c>
      <c r="Z201" s="7">
        <v>6920</v>
      </c>
      <c r="AA201" s="7">
        <v>8464</v>
      </c>
      <c r="AB201" s="13"/>
    </row>
    <row r="202" spans="10:28" ht="15.6" customHeight="1" x14ac:dyDescent="0.3">
      <c r="J202" s="2">
        <v>198</v>
      </c>
      <c r="K202" s="41" t="s">
        <v>34</v>
      </c>
      <c r="L202" s="41" t="s">
        <v>32</v>
      </c>
      <c r="M202" s="41" t="s">
        <v>34</v>
      </c>
      <c r="N202" s="41" t="s">
        <v>33</v>
      </c>
      <c r="O202" s="41" t="s">
        <v>35</v>
      </c>
      <c r="Q202" s="17">
        <f t="shared" si="35"/>
        <v>9</v>
      </c>
      <c r="R202" s="17">
        <f t="shared" si="36"/>
        <v>7</v>
      </c>
      <c r="S202" s="17">
        <f t="shared" si="37"/>
        <v>9</v>
      </c>
      <c r="T202" s="17">
        <f t="shared" si="38"/>
        <v>8</v>
      </c>
      <c r="U202" s="17">
        <f t="shared" si="39"/>
        <v>10</v>
      </c>
      <c r="W202" s="7">
        <v>18382</v>
      </c>
      <c r="X202" s="7">
        <v>15300</v>
      </c>
      <c r="Y202" s="7">
        <v>14188</v>
      </c>
      <c r="Z202" s="7">
        <v>7612</v>
      </c>
      <c r="AA202" s="7">
        <v>7280</v>
      </c>
      <c r="AB202" s="13"/>
    </row>
    <row r="203" spans="10:28" ht="15.6" customHeight="1" x14ac:dyDescent="0.3">
      <c r="J203" s="2">
        <v>199</v>
      </c>
      <c r="K203" s="41" t="s">
        <v>30</v>
      </c>
      <c r="L203" s="41" t="s">
        <v>33</v>
      </c>
      <c r="M203" s="41" t="s">
        <v>30</v>
      </c>
      <c r="N203" s="41" t="s">
        <v>34</v>
      </c>
      <c r="O203" s="41" t="s">
        <v>34</v>
      </c>
      <c r="Q203" s="17">
        <f t="shared" si="35"/>
        <v>5</v>
      </c>
      <c r="R203" s="17">
        <f t="shared" si="36"/>
        <v>8</v>
      </c>
      <c r="S203" s="17">
        <f t="shared" si="37"/>
        <v>5</v>
      </c>
      <c r="T203" s="17">
        <f t="shared" si="38"/>
        <v>9</v>
      </c>
      <c r="U203" s="17">
        <f t="shared" si="39"/>
        <v>9</v>
      </c>
      <c r="W203" s="7">
        <v>17180</v>
      </c>
      <c r="X203" s="7">
        <v>16780</v>
      </c>
      <c r="Y203" s="7">
        <v>5217</v>
      </c>
      <c r="Z203" s="7">
        <v>6812</v>
      </c>
      <c r="AA203" s="7">
        <v>7224</v>
      </c>
      <c r="AB203" s="13"/>
    </row>
    <row r="204" spans="10:28" ht="15.6" customHeight="1" x14ac:dyDescent="0.3">
      <c r="AB204" s="13"/>
    </row>
    <row r="205" spans="10:28" ht="15.6" customHeight="1" x14ac:dyDescent="0.3">
      <c r="AB205" s="13"/>
    </row>
    <row r="206" spans="10:28" ht="15.6" customHeight="1" x14ac:dyDescent="0.3">
      <c r="AB206" s="13"/>
    </row>
    <row r="207" spans="10:28" ht="15.6" customHeight="1" x14ac:dyDescent="0.3">
      <c r="AB207" s="13"/>
    </row>
    <row r="208" spans="10:28" ht="15.6" customHeight="1" x14ac:dyDescent="0.3">
      <c r="AB208" s="13"/>
    </row>
    <row r="209" spans="28:28" ht="15.6" customHeight="1" x14ac:dyDescent="0.3">
      <c r="AB209" s="13"/>
    </row>
    <row r="210" spans="28:28" ht="15.6" customHeight="1" x14ac:dyDescent="0.3">
      <c r="AB210" s="13"/>
    </row>
    <row r="211" spans="28:28" ht="15.6" customHeight="1" x14ac:dyDescent="0.3">
      <c r="AB211" s="13"/>
    </row>
    <row r="212" spans="28:28" ht="15.6" customHeight="1" x14ac:dyDescent="0.3">
      <c r="AB212" s="13"/>
    </row>
    <row r="213" spans="28:28" ht="15.6" customHeight="1" x14ac:dyDescent="0.3">
      <c r="AB213" s="13"/>
    </row>
    <row r="214" spans="28:28" ht="15.6" customHeight="1" x14ac:dyDescent="0.3">
      <c r="AB214" s="13"/>
    </row>
    <row r="215" spans="28:28" ht="15.6" customHeight="1" x14ac:dyDescent="0.3">
      <c r="AB215" s="13"/>
    </row>
    <row r="216" spans="28:28" ht="15.6" customHeight="1" x14ac:dyDescent="0.3">
      <c r="AB216" s="13"/>
    </row>
    <row r="217" spans="28:28" ht="15.6" customHeight="1" x14ac:dyDescent="0.3">
      <c r="AB217" s="13"/>
    </row>
    <row r="218" spans="28:28" ht="15.6" customHeight="1" x14ac:dyDescent="0.3">
      <c r="AB218" s="13"/>
    </row>
    <row r="219" spans="28:28" ht="15.6" customHeight="1" x14ac:dyDescent="0.3">
      <c r="AB219" s="13"/>
    </row>
    <row r="220" spans="28:28" ht="15.6" customHeight="1" x14ac:dyDescent="0.3">
      <c r="AB220" s="13"/>
    </row>
    <row r="221" spans="28:28" ht="15.6" customHeight="1" x14ac:dyDescent="0.3">
      <c r="AB221" s="13"/>
    </row>
    <row r="222" spans="28:28" ht="15.6" customHeight="1" x14ac:dyDescent="0.3">
      <c r="AB222" s="13"/>
    </row>
    <row r="223" spans="28:28" ht="15.6" customHeight="1" x14ac:dyDescent="0.3">
      <c r="AB223" s="13"/>
    </row>
    <row r="224" spans="28:28" ht="15.6" customHeight="1" x14ac:dyDescent="0.3">
      <c r="AB224" s="13"/>
    </row>
    <row r="225" spans="28:28" ht="15.6" customHeight="1" x14ac:dyDescent="0.3">
      <c r="AB225" s="13"/>
    </row>
    <row r="226" spans="28:28" ht="15.6" customHeight="1" x14ac:dyDescent="0.3">
      <c r="AB226" s="13"/>
    </row>
    <row r="227" spans="28:28" ht="15.6" customHeight="1" x14ac:dyDescent="0.3">
      <c r="AB227" s="13"/>
    </row>
    <row r="228" spans="28:28" ht="15.6" customHeight="1" x14ac:dyDescent="0.3">
      <c r="AB228" s="13"/>
    </row>
    <row r="229" spans="28:28" ht="15.6" customHeight="1" x14ac:dyDescent="0.3">
      <c r="AB229" s="13"/>
    </row>
    <row r="230" spans="28:28" ht="15.6" customHeight="1" x14ac:dyDescent="0.3">
      <c r="AB230" s="13"/>
    </row>
    <row r="231" spans="28:28" ht="15.6" customHeight="1" x14ac:dyDescent="0.3">
      <c r="AB231" s="13"/>
    </row>
    <row r="232" spans="28:28" ht="15.6" customHeight="1" x14ac:dyDescent="0.3">
      <c r="AB232" s="13"/>
    </row>
    <row r="233" spans="28:28" ht="15.6" customHeight="1" x14ac:dyDescent="0.3">
      <c r="AB233" s="13"/>
    </row>
    <row r="234" spans="28:28" ht="15.6" customHeight="1" x14ac:dyDescent="0.3">
      <c r="AB234" s="13"/>
    </row>
    <row r="235" spans="28:28" ht="15.6" customHeight="1" x14ac:dyDescent="0.3">
      <c r="AB235" s="13"/>
    </row>
    <row r="236" spans="28:28" ht="15.6" customHeight="1" x14ac:dyDescent="0.3">
      <c r="AB236" s="13"/>
    </row>
    <row r="237" spans="28:28" ht="15.6" customHeight="1" x14ac:dyDescent="0.3">
      <c r="AB237" s="13"/>
    </row>
    <row r="238" spans="28:28" ht="15.6" customHeight="1" x14ac:dyDescent="0.3">
      <c r="AB238" s="13"/>
    </row>
    <row r="239" spans="28:28" ht="15.6" customHeight="1" x14ac:dyDescent="0.3">
      <c r="AB239" s="13"/>
    </row>
    <row r="240" spans="28:28" ht="15.6" customHeight="1" x14ac:dyDescent="0.3">
      <c r="AB240" s="13"/>
    </row>
    <row r="241" spans="28:28" ht="15.6" customHeight="1" x14ac:dyDescent="0.3">
      <c r="AB241" s="13"/>
    </row>
    <row r="242" spans="28:28" ht="15.6" customHeight="1" x14ac:dyDescent="0.3">
      <c r="AB242" s="13"/>
    </row>
    <row r="243" spans="28:28" ht="15.6" customHeight="1" x14ac:dyDescent="0.3">
      <c r="AB243" s="13"/>
    </row>
    <row r="244" spans="28:28" ht="15.6" customHeight="1" x14ac:dyDescent="0.3">
      <c r="AB244" s="13"/>
    </row>
    <row r="245" spans="28:28" ht="15.6" customHeight="1" x14ac:dyDescent="0.3">
      <c r="AB245" s="13"/>
    </row>
    <row r="246" spans="28:28" ht="15.6" customHeight="1" x14ac:dyDescent="0.3">
      <c r="AB246" s="13"/>
    </row>
    <row r="247" spans="28:28" ht="15.6" customHeight="1" x14ac:dyDescent="0.3">
      <c r="AB247" s="13"/>
    </row>
    <row r="248" spans="28:28" ht="15.6" customHeight="1" x14ac:dyDescent="0.3">
      <c r="AB248" s="13"/>
    </row>
    <row r="249" spans="28:28" ht="15.6" customHeight="1" x14ac:dyDescent="0.3">
      <c r="AB249" s="13"/>
    </row>
    <row r="250" spans="28:28" ht="15.6" customHeight="1" x14ac:dyDescent="0.3">
      <c r="AB250" s="13"/>
    </row>
    <row r="251" spans="28:28" ht="15.6" customHeight="1" x14ac:dyDescent="0.3">
      <c r="AB251" s="13"/>
    </row>
    <row r="252" spans="28:28" ht="15.6" customHeight="1" x14ac:dyDescent="0.3">
      <c r="AB252" s="13"/>
    </row>
    <row r="253" spans="28:28" ht="15.6" customHeight="1" x14ac:dyDescent="0.3">
      <c r="AB253" s="13"/>
    </row>
    <row r="254" spans="28:28" ht="15.6" customHeight="1" x14ac:dyDescent="0.3">
      <c r="AB254" s="13"/>
    </row>
    <row r="255" spans="28:28" ht="15.6" customHeight="1" x14ac:dyDescent="0.3">
      <c r="AB255" s="13"/>
    </row>
    <row r="256" spans="28:28" ht="15.6" customHeight="1" x14ac:dyDescent="0.3">
      <c r="AB256" s="13"/>
    </row>
    <row r="257" spans="28:28" ht="15.6" customHeight="1" x14ac:dyDescent="0.3">
      <c r="AB257" s="13"/>
    </row>
    <row r="258" spans="28:28" ht="15.6" customHeight="1" x14ac:dyDescent="0.3">
      <c r="AB258" s="13"/>
    </row>
    <row r="259" spans="28:28" ht="15.6" customHeight="1" x14ac:dyDescent="0.3">
      <c r="AB259" s="13"/>
    </row>
    <row r="260" spans="28:28" ht="15.6" customHeight="1" x14ac:dyDescent="0.3">
      <c r="AB260" s="13"/>
    </row>
    <row r="261" spans="28:28" ht="15.6" customHeight="1" x14ac:dyDescent="0.3">
      <c r="AB261" s="13"/>
    </row>
    <row r="262" spans="28:28" ht="15.6" customHeight="1" x14ac:dyDescent="0.3">
      <c r="AB262" s="13"/>
    </row>
    <row r="263" spans="28:28" ht="15.6" customHeight="1" x14ac:dyDescent="0.3">
      <c r="AB263" s="13"/>
    </row>
    <row r="264" spans="28:28" ht="15.6" customHeight="1" x14ac:dyDescent="0.3">
      <c r="AB264" s="13"/>
    </row>
    <row r="265" spans="28:28" ht="15.6" customHeight="1" x14ac:dyDescent="0.3">
      <c r="AB265" s="13"/>
    </row>
    <row r="266" spans="28:28" ht="15.6" customHeight="1" x14ac:dyDescent="0.3">
      <c r="AB266" s="13"/>
    </row>
    <row r="267" spans="28:28" ht="15.6" customHeight="1" x14ac:dyDescent="0.3">
      <c r="AB267" s="13"/>
    </row>
    <row r="268" spans="28:28" ht="15.6" customHeight="1" x14ac:dyDescent="0.3">
      <c r="AB268" s="13"/>
    </row>
    <row r="269" spans="28:28" ht="15.6" customHeight="1" x14ac:dyDescent="0.3">
      <c r="AB269" s="13"/>
    </row>
    <row r="270" spans="28:28" ht="15.6" customHeight="1" x14ac:dyDescent="0.3">
      <c r="AB270" s="13"/>
    </row>
    <row r="271" spans="28:28" ht="15.6" customHeight="1" x14ac:dyDescent="0.3">
      <c r="AB271" s="13"/>
    </row>
    <row r="272" spans="28:28" ht="15.6" customHeight="1" x14ac:dyDescent="0.3">
      <c r="AB272" s="13"/>
    </row>
    <row r="273" spans="28:28" ht="15.6" customHeight="1" x14ac:dyDescent="0.3">
      <c r="AB273" s="13"/>
    </row>
    <row r="274" spans="28:28" ht="15.6" customHeight="1" x14ac:dyDescent="0.3">
      <c r="AB274" s="13"/>
    </row>
    <row r="275" spans="28:28" ht="15.6" customHeight="1" x14ac:dyDescent="0.3">
      <c r="AB275" s="13"/>
    </row>
    <row r="276" spans="28:28" ht="15.6" customHeight="1" x14ac:dyDescent="0.3">
      <c r="AB276" s="13"/>
    </row>
    <row r="277" spans="28:28" ht="15.6" customHeight="1" x14ac:dyDescent="0.3">
      <c r="AB277" s="13"/>
    </row>
    <row r="278" spans="28:28" ht="15.6" customHeight="1" x14ac:dyDescent="0.3">
      <c r="AB278" s="13"/>
    </row>
    <row r="279" spans="28:28" ht="15.6" customHeight="1" x14ac:dyDescent="0.3">
      <c r="AB279" s="13"/>
    </row>
    <row r="280" spans="28:28" ht="15.6" customHeight="1" x14ac:dyDescent="0.3">
      <c r="AB280" s="13"/>
    </row>
    <row r="281" spans="28:28" ht="15.6" customHeight="1" x14ac:dyDescent="0.3">
      <c r="AB281" s="13"/>
    </row>
    <row r="282" spans="28:28" ht="15.6" customHeight="1" x14ac:dyDescent="0.3">
      <c r="AB282" s="13"/>
    </row>
    <row r="283" spans="28:28" ht="15.6" customHeight="1" x14ac:dyDescent="0.3">
      <c r="AB283" s="13"/>
    </row>
    <row r="284" spans="28:28" ht="15.6" customHeight="1" x14ac:dyDescent="0.3">
      <c r="AB284" s="13"/>
    </row>
    <row r="285" spans="28:28" ht="15.6" customHeight="1" x14ac:dyDescent="0.3">
      <c r="AB285" s="13"/>
    </row>
    <row r="286" spans="28:28" ht="15.6" customHeight="1" x14ac:dyDescent="0.3">
      <c r="AB286" s="13"/>
    </row>
    <row r="287" spans="28:28" ht="15.6" customHeight="1" x14ac:dyDescent="0.3">
      <c r="AB287" s="13"/>
    </row>
    <row r="288" spans="28:28" ht="15.6" customHeight="1" x14ac:dyDescent="0.3">
      <c r="AB288" s="13"/>
    </row>
    <row r="289" spans="28:28" ht="15.6" customHeight="1" x14ac:dyDescent="0.3">
      <c r="AB289" s="13"/>
    </row>
    <row r="290" spans="28:28" ht="15.6" customHeight="1" x14ac:dyDescent="0.3">
      <c r="AB290" s="13"/>
    </row>
    <row r="291" spans="28:28" ht="15.6" customHeight="1" x14ac:dyDescent="0.3">
      <c r="AB291" s="13"/>
    </row>
    <row r="292" spans="28:28" ht="15.6" customHeight="1" x14ac:dyDescent="0.3">
      <c r="AB292" s="13"/>
    </row>
    <row r="293" spans="28:28" ht="15.6" customHeight="1" x14ac:dyDescent="0.3">
      <c r="AB293" s="13"/>
    </row>
    <row r="294" spans="28:28" ht="15.6" customHeight="1" x14ac:dyDescent="0.3">
      <c r="AB294" s="13"/>
    </row>
    <row r="295" spans="28:28" ht="15.6" customHeight="1" x14ac:dyDescent="0.3">
      <c r="AB295" s="13"/>
    </row>
    <row r="296" spans="28:28" ht="15.6" customHeight="1" x14ac:dyDescent="0.3">
      <c r="AB296" s="13"/>
    </row>
    <row r="297" spans="28:28" ht="15.6" customHeight="1" x14ac:dyDescent="0.3">
      <c r="AB297" s="13"/>
    </row>
    <row r="298" spans="28:28" ht="15.6" customHeight="1" x14ac:dyDescent="0.3">
      <c r="AB298" s="13"/>
    </row>
    <row r="299" spans="28:28" ht="15.6" customHeight="1" x14ac:dyDescent="0.3">
      <c r="AB299" s="13"/>
    </row>
    <row r="300" spans="28:28" ht="15.6" customHeight="1" x14ac:dyDescent="0.3">
      <c r="AB300" s="13"/>
    </row>
    <row r="301" spans="28:28" ht="15.6" customHeight="1" x14ac:dyDescent="0.3">
      <c r="AB301" s="13"/>
    </row>
    <row r="302" spans="28:28" ht="15.6" customHeight="1" x14ac:dyDescent="0.3">
      <c r="AB302" s="13"/>
    </row>
    <row r="303" spans="28:28" ht="15.6" customHeight="1" x14ac:dyDescent="0.3">
      <c r="AB303" s="13"/>
    </row>
    <row r="304" spans="28:28" ht="15.6" customHeight="1" x14ac:dyDescent="0.3">
      <c r="AB304" s="13"/>
    </row>
    <row r="305" spans="28:28" ht="15.6" customHeight="1" x14ac:dyDescent="0.3">
      <c r="AB305" s="13"/>
    </row>
    <row r="306" spans="28:28" ht="15.6" customHeight="1" x14ac:dyDescent="0.3">
      <c r="AB306" s="13"/>
    </row>
    <row r="307" spans="28:28" ht="15.6" customHeight="1" x14ac:dyDescent="0.3">
      <c r="AB307" s="13"/>
    </row>
    <row r="308" spans="28:28" ht="15.6" customHeight="1" x14ac:dyDescent="0.3">
      <c r="AB308" s="13"/>
    </row>
    <row r="309" spans="28:28" ht="15.6" customHeight="1" x14ac:dyDescent="0.3">
      <c r="AB309" s="13"/>
    </row>
    <row r="310" spans="28:28" ht="15.6" customHeight="1" x14ac:dyDescent="0.3">
      <c r="AB310" s="13"/>
    </row>
    <row r="311" spans="28:28" ht="15.6" customHeight="1" x14ac:dyDescent="0.3">
      <c r="AB311" s="13"/>
    </row>
    <row r="312" spans="28:28" ht="15.6" customHeight="1" x14ac:dyDescent="0.3">
      <c r="AB312" s="13"/>
    </row>
    <row r="313" spans="28:28" ht="15.6" customHeight="1" x14ac:dyDescent="0.3">
      <c r="AB313" s="13"/>
    </row>
    <row r="314" spans="28:28" ht="15.6" customHeight="1" x14ac:dyDescent="0.3">
      <c r="AB314" s="13"/>
    </row>
    <row r="315" spans="28:28" ht="15.6" customHeight="1" x14ac:dyDescent="0.3">
      <c r="AB315" s="13"/>
    </row>
    <row r="316" spans="28:28" ht="15.6" customHeight="1" x14ac:dyDescent="0.3">
      <c r="AB316" s="13"/>
    </row>
    <row r="317" spans="28:28" ht="15.6" customHeight="1" x14ac:dyDescent="0.3">
      <c r="AB317" s="13"/>
    </row>
    <row r="318" spans="28:28" ht="15.6" customHeight="1" x14ac:dyDescent="0.3">
      <c r="AB318" s="13"/>
    </row>
    <row r="319" spans="28:28" ht="15.6" customHeight="1" x14ac:dyDescent="0.3">
      <c r="AB319" s="13"/>
    </row>
    <row r="320" spans="28:28" ht="15.6" customHeight="1" x14ac:dyDescent="0.3">
      <c r="AB320" s="13"/>
    </row>
    <row r="321" spans="28:28" ht="15.6" customHeight="1" x14ac:dyDescent="0.3">
      <c r="AB321" s="13"/>
    </row>
    <row r="322" spans="28:28" ht="15.6" customHeight="1" x14ac:dyDescent="0.3">
      <c r="AB322" s="13"/>
    </row>
    <row r="323" spans="28:28" ht="15.6" customHeight="1" x14ac:dyDescent="0.3">
      <c r="AB323" s="13"/>
    </row>
    <row r="324" spans="28:28" ht="15.6" customHeight="1" x14ac:dyDescent="0.3">
      <c r="AB324" s="13"/>
    </row>
    <row r="325" spans="28:28" ht="15.6" customHeight="1" x14ac:dyDescent="0.3">
      <c r="AB325" s="13"/>
    </row>
    <row r="326" spans="28:28" ht="15.6" customHeight="1" x14ac:dyDescent="0.3">
      <c r="AB326" s="13"/>
    </row>
    <row r="327" spans="28:28" ht="15.6" customHeight="1" x14ac:dyDescent="0.3">
      <c r="AB327" s="13"/>
    </row>
    <row r="328" spans="28:28" ht="15.6" customHeight="1" x14ac:dyDescent="0.3">
      <c r="AB328" s="13"/>
    </row>
    <row r="329" spans="28:28" ht="15.6" customHeight="1" x14ac:dyDescent="0.3">
      <c r="AB329" s="13"/>
    </row>
    <row r="330" spans="28:28" ht="15.6" customHeight="1" x14ac:dyDescent="0.3">
      <c r="AB330" s="13"/>
    </row>
    <row r="331" spans="28:28" ht="15.6" customHeight="1" x14ac:dyDescent="0.3">
      <c r="AB331" s="13"/>
    </row>
    <row r="332" spans="28:28" ht="15.6" customHeight="1" x14ac:dyDescent="0.3">
      <c r="AB332" s="13"/>
    </row>
    <row r="333" spans="28:28" ht="15.6" customHeight="1" x14ac:dyDescent="0.3">
      <c r="AB333" s="13"/>
    </row>
    <row r="334" spans="28:28" ht="15.6" customHeight="1" x14ac:dyDescent="0.3">
      <c r="AB334" s="13"/>
    </row>
    <row r="335" spans="28:28" ht="15.6" customHeight="1" x14ac:dyDescent="0.3">
      <c r="AB335" s="13"/>
    </row>
    <row r="336" spans="28:28" ht="15.6" customHeight="1" x14ac:dyDescent="0.3">
      <c r="AB336" s="13"/>
    </row>
    <row r="337" spans="28:28" ht="15.6" customHeight="1" x14ac:dyDescent="0.3">
      <c r="AB337" s="13"/>
    </row>
    <row r="338" spans="28:28" ht="15.6" customHeight="1" x14ac:dyDescent="0.3">
      <c r="AB338" s="13"/>
    </row>
    <row r="339" spans="28:28" ht="15.6" customHeight="1" x14ac:dyDescent="0.3">
      <c r="AB339" s="13"/>
    </row>
    <row r="340" spans="28:28" ht="15.6" customHeight="1" x14ac:dyDescent="0.3">
      <c r="AB340" s="13"/>
    </row>
    <row r="341" spans="28:28" ht="15.6" customHeight="1" x14ac:dyDescent="0.3">
      <c r="AB341" s="13"/>
    </row>
    <row r="342" spans="28:28" ht="15.6" customHeight="1" x14ac:dyDescent="0.3">
      <c r="AB342" s="13"/>
    </row>
    <row r="343" spans="28:28" ht="15.6" customHeight="1" x14ac:dyDescent="0.3">
      <c r="AB343" s="13"/>
    </row>
    <row r="344" spans="28:28" ht="15.6" customHeight="1" x14ac:dyDescent="0.3">
      <c r="AB344" s="13"/>
    </row>
    <row r="345" spans="28:28" ht="15.6" customHeight="1" x14ac:dyDescent="0.3">
      <c r="AB345" s="13"/>
    </row>
    <row r="346" spans="28:28" ht="15.6" customHeight="1" x14ac:dyDescent="0.3">
      <c r="AB346" s="13"/>
    </row>
    <row r="347" spans="28:28" ht="15.6" customHeight="1" x14ac:dyDescent="0.3">
      <c r="AB347" s="13"/>
    </row>
    <row r="348" spans="28:28" ht="15.6" customHeight="1" x14ac:dyDescent="0.3">
      <c r="AB348" s="13"/>
    </row>
    <row r="349" spans="28:28" ht="15.6" customHeight="1" x14ac:dyDescent="0.3">
      <c r="AB349" s="13"/>
    </row>
    <row r="350" spans="28:28" ht="15.6" customHeight="1" x14ac:dyDescent="0.3">
      <c r="AB350" s="13"/>
    </row>
    <row r="351" spans="28:28" ht="15.6" customHeight="1" x14ac:dyDescent="0.3">
      <c r="AB351" s="13"/>
    </row>
    <row r="352" spans="28:28" ht="15.6" customHeight="1" x14ac:dyDescent="0.3">
      <c r="AB352" s="13"/>
    </row>
    <row r="353" spans="28:28" ht="15.6" customHeight="1" x14ac:dyDescent="0.3">
      <c r="AB353" s="13"/>
    </row>
    <row r="354" spans="28:28" ht="15.6" customHeight="1" x14ac:dyDescent="0.3">
      <c r="AB354" s="13"/>
    </row>
    <row r="355" spans="28:28" ht="15.6" customHeight="1" x14ac:dyDescent="0.3">
      <c r="AB355" s="13"/>
    </row>
    <row r="356" spans="28:28" ht="15.6" customHeight="1" x14ac:dyDescent="0.3">
      <c r="AB356" s="13"/>
    </row>
    <row r="357" spans="28:28" ht="15.6" customHeight="1" x14ac:dyDescent="0.3">
      <c r="AB357" s="13"/>
    </row>
    <row r="358" spans="28:28" ht="15.6" customHeight="1" x14ac:dyDescent="0.3">
      <c r="AB358" s="13"/>
    </row>
    <row r="359" spans="28:28" ht="15.6" customHeight="1" x14ac:dyDescent="0.3">
      <c r="AB359" s="13"/>
    </row>
    <row r="360" spans="28:28" ht="15.6" customHeight="1" x14ac:dyDescent="0.3">
      <c r="AB360" s="13"/>
    </row>
    <row r="361" spans="28:28" ht="15.6" customHeight="1" x14ac:dyDescent="0.3">
      <c r="AB361" s="13"/>
    </row>
    <row r="362" spans="28:28" ht="15.6" customHeight="1" x14ac:dyDescent="0.3">
      <c r="AB362" s="13"/>
    </row>
    <row r="363" spans="28:28" ht="15.6" customHeight="1" x14ac:dyDescent="0.3">
      <c r="AB363" s="13"/>
    </row>
    <row r="364" spans="28:28" ht="15.6" customHeight="1" x14ac:dyDescent="0.3">
      <c r="AB364" s="13"/>
    </row>
    <row r="365" spans="28:28" ht="15.6" customHeight="1" x14ac:dyDescent="0.3">
      <c r="AB365" s="13"/>
    </row>
    <row r="366" spans="28:28" ht="15.6" customHeight="1" x14ac:dyDescent="0.3">
      <c r="AB366" s="13"/>
    </row>
    <row r="367" spans="28:28" ht="15.6" customHeight="1" x14ac:dyDescent="0.3">
      <c r="AB367" s="13"/>
    </row>
    <row r="368" spans="28:28" ht="15.6" customHeight="1" x14ac:dyDescent="0.3">
      <c r="AB368" s="13"/>
    </row>
    <row r="369" spans="28:28" ht="15.6" customHeight="1" x14ac:dyDescent="0.3">
      <c r="AB369" s="13"/>
    </row>
    <row r="370" spans="28:28" ht="15.6" customHeight="1" x14ac:dyDescent="0.3">
      <c r="AB370" s="13"/>
    </row>
    <row r="371" spans="28:28" ht="15.6" customHeight="1" x14ac:dyDescent="0.3">
      <c r="AB371" s="13"/>
    </row>
    <row r="372" spans="28:28" ht="15.6" customHeight="1" x14ac:dyDescent="0.3">
      <c r="AB372" s="13"/>
    </row>
    <row r="373" spans="28:28" ht="15.6" customHeight="1" x14ac:dyDescent="0.3">
      <c r="AB373" s="13"/>
    </row>
    <row r="374" spans="28:28" ht="15.6" customHeight="1" x14ac:dyDescent="0.3">
      <c r="AB374" s="13"/>
    </row>
    <row r="375" spans="28:28" ht="15.6" customHeight="1" x14ac:dyDescent="0.3">
      <c r="AB375" s="13"/>
    </row>
    <row r="376" spans="28:28" ht="15.6" customHeight="1" x14ac:dyDescent="0.3">
      <c r="AB376" s="13"/>
    </row>
    <row r="377" spans="28:28" ht="15.6" customHeight="1" x14ac:dyDescent="0.3">
      <c r="AB377" s="13"/>
    </row>
    <row r="378" spans="28:28" ht="15.6" customHeight="1" x14ac:dyDescent="0.3">
      <c r="AB378" s="13"/>
    </row>
    <row r="379" spans="28:28" ht="15.6" customHeight="1" x14ac:dyDescent="0.3">
      <c r="AB379" s="13"/>
    </row>
    <row r="380" spans="28:28" ht="15.6" customHeight="1" x14ac:dyDescent="0.3">
      <c r="AB380" s="13"/>
    </row>
    <row r="381" spans="28:28" ht="15.6" customHeight="1" x14ac:dyDescent="0.3">
      <c r="AB381" s="13"/>
    </row>
    <row r="382" spans="28:28" ht="15.6" customHeight="1" x14ac:dyDescent="0.3">
      <c r="AB382" s="13"/>
    </row>
    <row r="383" spans="28:28" ht="15.6" customHeight="1" x14ac:dyDescent="0.3">
      <c r="AB383" s="13"/>
    </row>
    <row r="384" spans="28:28" ht="15.6" customHeight="1" x14ac:dyDescent="0.3">
      <c r="AB384" s="13"/>
    </row>
    <row r="385" spans="28:28" ht="15.6" customHeight="1" x14ac:dyDescent="0.3">
      <c r="AB385" s="13"/>
    </row>
    <row r="386" spans="28:28" ht="15.6" customHeight="1" x14ac:dyDescent="0.3">
      <c r="AB386" s="13"/>
    </row>
    <row r="387" spans="28:28" ht="15.6" customHeight="1" x14ac:dyDescent="0.3">
      <c r="AB387" s="13"/>
    </row>
    <row r="388" spans="28:28" ht="15.6" customHeight="1" x14ac:dyDescent="0.3">
      <c r="AB388" s="13"/>
    </row>
    <row r="389" spans="28:28" ht="15.6" customHeight="1" x14ac:dyDescent="0.3">
      <c r="AB389" s="13"/>
    </row>
    <row r="390" spans="28:28" ht="15.6" customHeight="1" x14ac:dyDescent="0.3">
      <c r="AB390" s="13"/>
    </row>
    <row r="391" spans="28:28" ht="15.6" customHeight="1" x14ac:dyDescent="0.3">
      <c r="AB391" s="13"/>
    </row>
    <row r="392" spans="28:28" ht="15.6" customHeight="1" x14ac:dyDescent="0.3">
      <c r="AB392" s="13"/>
    </row>
    <row r="393" spans="28:28" ht="15.6" customHeight="1" x14ac:dyDescent="0.3">
      <c r="AB393" s="13"/>
    </row>
    <row r="394" spans="28:28" ht="15.6" customHeight="1" x14ac:dyDescent="0.3">
      <c r="AB394" s="13"/>
    </row>
    <row r="395" spans="28:28" ht="15.6" customHeight="1" x14ac:dyDescent="0.3">
      <c r="AB395" s="13"/>
    </row>
    <row r="396" spans="28:28" ht="15.6" customHeight="1" x14ac:dyDescent="0.3">
      <c r="AB396" s="13"/>
    </row>
    <row r="397" spans="28:28" ht="15.6" customHeight="1" x14ac:dyDescent="0.3">
      <c r="AB397" s="13"/>
    </row>
    <row r="398" spans="28:28" ht="15.6" customHeight="1" x14ac:dyDescent="0.3">
      <c r="AB398" s="13"/>
    </row>
    <row r="399" spans="28:28" ht="15.6" customHeight="1" x14ac:dyDescent="0.3">
      <c r="AB399" s="13"/>
    </row>
    <row r="400" spans="28:28" ht="15.6" customHeight="1" x14ac:dyDescent="0.3">
      <c r="AB400" s="13"/>
    </row>
    <row r="401" spans="28:28" ht="15.6" customHeight="1" x14ac:dyDescent="0.3">
      <c r="AB401" s="13"/>
    </row>
    <row r="402" spans="28:28" ht="15.6" customHeight="1" x14ac:dyDescent="0.3">
      <c r="AB402" s="13"/>
    </row>
    <row r="403" spans="28:28" ht="15.6" customHeight="1" x14ac:dyDescent="0.3">
      <c r="AB403" s="13"/>
    </row>
  </sheetData>
  <phoneticPr fontId="20" type="noConversion"/>
  <conditionalFormatting sqref="K1:O3 K198:O1048576">
    <cfRule type="cellIs" dxfId="21" priority="16" operator="equal">
      <formula>$A$10</formula>
    </cfRule>
    <cfRule type="cellIs" dxfId="20" priority="17" operator="equal">
      <formula>$A$9</formula>
    </cfRule>
    <cfRule type="cellIs" dxfId="19" priority="18" operator="equal">
      <formula>$A$8</formula>
    </cfRule>
    <cfRule type="cellIs" dxfId="18" priority="19" operator="equal">
      <formula>$A$7</formula>
    </cfRule>
    <cfRule type="cellIs" dxfId="17" priority="20" operator="equal">
      <formula>$A$6</formula>
    </cfRule>
    <cfRule type="cellIs" dxfId="16" priority="21" operator="equal">
      <formula>$A$5</formula>
    </cfRule>
    <cfRule type="cellIs" dxfId="15" priority="22" operator="equal">
      <formula>$A$4</formula>
    </cfRule>
  </conditionalFormatting>
  <conditionalFormatting sqref="K4:O197">
    <cfRule type="cellIs" dxfId="14" priority="9" operator="equal">
      <formula>$A$10</formula>
    </cfRule>
    <cfRule type="cellIs" dxfId="13" priority="10" operator="equal">
      <formula>$A$9</formula>
    </cfRule>
    <cfRule type="cellIs" dxfId="12" priority="11" operator="equal">
      <formula>$A$8</formula>
    </cfRule>
    <cfRule type="cellIs" dxfId="11" priority="12" operator="equal">
      <formula>$A$7</formula>
    </cfRule>
    <cfRule type="cellIs" dxfId="10" priority="13" operator="equal">
      <formula>$A$6</formula>
    </cfRule>
    <cfRule type="cellIs" dxfId="9" priority="14" operator="equal">
      <formula>$A$5</formula>
    </cfRule>
    <cfRule type="cellIs" dxfId="8" priority="15" operator="equal">
      <formula>$A$4</formula>
    </cfRule>
  </conditionalFormatting>
  <conditionalFormatting sqref="AA1">
    <cfRule type="cellIs" dxfId="7" priority="2" operator="equal">
      <formula>$A$10</formula>
    </cfRule>
    <cfRule type="cellIs" dxfId="6" priority="3" operator="equal">
      <formula>$A$9</formula>
    </cfRule>
    <cfRule type="cellIs" dxfId="5" priority="4" operator="equal">
      <formula>$A$8</formula>
    </cfRule>
    <cfRule type="cellIs" dxfId="4" priority="5" operator="equal">
      <formula>$A$7</formula>
    </cfRule>
    <cfRule type="cellIs" dxfId="3" priority="6" operator="equal">
      <formula>$A$6</formula>
    </cfRule>
    <cfRule type="cellIs" dxfId="2" priority="7" operator="equal">
      <formula>$A$5</formula>
    </cfRule>
    <cfRule type="cellIs" dxfId="1" priority="8" operator="equal">
      <formula>$A$4</formula>
    </cfRule>
  </conditionalFormatting>
  <conditionalFormatting sqref="W4:AA203">
    <cfRule type="expression" dxfId="0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Overview</vt:lpstr>
      <vt:lpstr>Parameter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  <vt:lpstr>SF_Symbol</vt:lpstr>
      <vt:lpstr>SF_Symbol (2)</vt:lpstr>
      <vt:lpstr>SF_Symbol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2026-08-19T09:24:38Z</dcterms:modified>
</cp:coreProperties>
</file>