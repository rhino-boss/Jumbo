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C106E2E5-11A4-42C2-815D-11EA7282532E}" xr6:coauthVersionLast="47" xr6:coauthVersionMax="47" xr10:uidLastSave="{00000000-0000-0000-0000-000000000000}"/>
  <bookViews>
    <workbookView xWindow="-108" yWindow="-108" windowWidth="23256" windowHeight="12456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245" i="3" l="1"/>
  <c r="E244" i="3"/>
  <c r="E284" i="3"/>
  <c r="E283" i="3"/>
  <c r="E273" i="3"/>
  <c r="E272" i="3"/>
  <c r="J284" i="3"/>
  <c r="K284" i="3" s="1"/>
  <c r="J244" i="3"/>
  <c r="K244" i="3" s="1"/>
  <c r="E267" i="3"/>
  <c r="E289" i="3"/>
  <c r="E243" i="3"/>
  <c r="E288" i="3"/>
  <c r="E287" i="3"/>
  <c r="E247" i="3"/>
  <c r="E286" i="3"/>
  <c r="E285" i="3"/>
  <c r="E266" i="3"/>
  <c r="E246" i="3"/>
  <c r="J264" i="3"/>
  <c r="K264" i="3" s="1"/>
  <c r="J283" i="3"/>
  <c r="K283" i="3" s="1"/>
  <c r="J262" i="3"/>
  <c r="K262" i="3" s="1"/>
  <c r="J261" i="3"/>
  <c r="K261" i="3" s="1"/>
  <c r="J260" i="3"/>
  <c r="K260" i="3" s="1"/>
  <c r="J239" i="3"/>
  <c r="K239" i="3" s="1"/>
  <c r="J297" i="3"/>
  <c r="K297" i="3" s="1"/>
  <c r="J276" i="3"/>
  <c r="K276" i="3" s="1"/>
  <c r="J295" i="3"/>
  <c r="K295" i="3" s="1"/>
  <c r="J275" i="3"/>
  <c r="K275" i="3" s="1"/>
  <c r="J274" i="3"/>
  <c r="K274" i="3" s="1"/>
  <c r="J253" i="3"/>
  <c r="K253" i="3" s="1"/>
  <c r="J249" i="3"/>
  <c r="K249" i="3" s="1"/>
  <c r="J288" i="3"/>
  <c r="K288" i="3" s="1"/>
  <c r="J248" i="3"/>
  <c r="K248" i="3" s="1"/>
  <c r="J257" i="3"/>
  <c r="K257" i="3" s="1"/>
  <c r="J236" i="3"/>
  <c r="K236" i="3" s="1"/>
  <c r="J255" i="3"/>
  <c r="K255" i="3" s="1"/>
  <c r="J294" i="3"/>
  <c r="K294" i="3" s="1"/>
  <c r="J277" i="3"/>
  <c r="K277" i="3" s="1"/>
  <c r="J269" i="3"/>
  <c r="K269" i="3" s="1"/>
  <c r="J268" i="3"/>
  <c r="K268" i="3" s="1"/>
  <c r="J287" i="3"/>
  <c r="K287" i="3" s="1"/>
  <c r="J267" i="3"/>
  <c r="K267" i="3" s="1"/>
  <c r="J247" i="3"/>
  <c r="K247" i="3" s="1"/>
  <c r="J252" i="3"/>
  <c r="K252" i="3" s="1"/>
  <c r="J263" i="3"/>
  <c r="K263" i="3" s="1"/>
  <c r="J242" i="3"/>
  <c r="K242" i="3" s="1"/>
  <c r="J281" i="3"/>
  <c r="K281" i="3" s="1"/>
  <c r="J240" i="3"/>
  <c r="K240" i="3" s="1"/>
  <c r="J279" i="3"/>
  <c r="K279" i="3" s="1"/>
  <c r="J238" i="3"/>
  <c r="K238" i="3" s="1"/>
  <c r="J293" i="3"/>
  <c r="K293" i="3" s="1"/>
  <c r="J270" i="3"/>
  <c r="K270" i="3" s="1"/>
  <c r="J271" i="3"/>
  <c r="K271" i="3" s="1"/>
  <c r="J272" i="3"/>
  <c r="K272" i="3" s="1"/>
  <c r="J273" i="3"/>
  <c r="K273" i="3" s="1"/>
  <c r="J237" i="3"/>
  <c r="K237" i="3" s="1"/>
  <c r="J290" i="3"/>
  <c r="K290" i="3" s="1"/>
  <c r="J291" i="3"/>
  <c r="K291" i="3" s="1"/>
  <c r="J292" i="3"/>
  <c r="K292" i="3" s="1"/>
  <c r="J296" i="3"/>
  <c r="K296" i="3" s="1"/>
  <c r="J234" i="3"/>
  <c r="K234" i="3" s="1"/>
  <c r="J289" i="3"/>
  <c r="K289" i="3" s="1"/>
  <c r="J286" i="3"/>
  <c r="K286" i="3" s="1"/>
  <c r="J266" i="3"/>
  <c r="K266" i="3" s="1"/>
  <c r="J246" i="3"/>
  <c r="K246" i="3" s="1"/>
  <c r="J251" i="3"/>
  <c r="K251" i="3" s="1"/>
  <c r="J243" i="3"/>
  <c r="K243" i="3" s="1"/>
  <c r="J282" i="3"/>
  <c r="K282" i="3" s="1"/>
  <c r="J241" i="3"/>
  <c r="K241" i="3" s="1"/>
  <c r="J280" i="3"/>
  <c r="K280" i="3" s="1"/>
  <c r="J259" i="3"/>
  <c r="K259" i="3" s="1"/>
  <c r="J258" i="3"/>
  <c r="K258" i="3" s="1"/>
  <c r="J256" i="3"/>
  <c r="K256" i="3" s="1"/>
  <c r="J235" i="3"/>
  <c r="K235" i="3" s="1"/>
  <c r="J254" i="3"/>
  <c r="K254" i="3" s="1"/>
  <c r="J278" i="3"/>
  <c r="K278" i="3" s="1"/>
  <c r="J285" i="3"/>
  <c r="K285" i="3" s="1"/>
  <c r="J265" i="3"/>
  <c r="K265" i="3" s="1"/>
  <c r="J245" i="3"/>
  <c r="K245" i="3" s="1"/>
  <c r="J250" i="3"/>
  <c r="K250" i="3" s="1"/>
  <c r="E253" i="3"/>
  <c r="E252" i="3"/>
  <c r="E265" i="3"/>
  <c r="E293" i="3"/>
  <c r="E292" i="3"/>
  <c r="E250" i="3"/>
  <c r="E291" i="3"/>
  <c r="E249" i="3"/>
  <c r="E264" i="3"/>
  <c r="E263" i="3"/>
  <c r="E251" i="3"/>
  <c r="E290" i="3"/>
  <c r="E248" i="3"/>
  <c r="E271" i="3"/>
  <c r="E270" i="3"/>
  <c r="E269" i="3"/>
  <c r="E268" i="3"/>
  <c r="E282" i="3"/>
  <c r="E297" i="3"/>
  <c r="E277" i="3"/>
  <c r="E257" i="3"/>
  <c r="E237" i="3"/>
  <c r="E262" i="3"/>
  <c r="E281" i="3"/>
  <c r="E241" i="3"/>
  <c r="E240" i="3"/>
  <c r="E259" i="3"/>
  <c r="E278" i="3"/>
  <c r="E296" i="3"/>
  <c r="E276" i="3"/>
  <c r="E256" i="3"/>
  <c r="E236" i="3"/>
  <c r="E260" i="3"/>
  <c r="E239" i="3"/>
  <c r="E258" i="3"/>
  <c r="E295" i="3"/>
  <c r="E275" i="3"/>
  <c r="E255" i="3"/>
  <c r="E235" i="3"/>
  <c r="E242" i="3"/>
  <c r="E261" i="3"/>
  <c r="E280" i="3"/>
  <c r="E279" i="3"/>
  <c r="E238" i="3"/>
  <c r="E294" i="3"/>
  <c r="E274" i="3"/>
  <c r="E254" i="3"/>
  <c r="E234" i="3"/>
  <c r="E122" i="4"/>
  <c r="J138" i="4"/>
  <c r="K138" i="4" s="1"/>
  <c r="J98" i="4"/>
  <c r="K98" i="4" s="1"/>
  <c r="E123" i="4"/>
  <c r="J135" i="4"/>
  <c r="K135" i="4" s="1"/>
  <c r="J89" i="4"/>
  <c r="K89" i="4" s="1"/>
  <c r="J87" i="4"/>
  <c r="K87" i="4" s="1"/>
  <c r="J145" i="4"/>
  <c r="K145" i="4" s="1"/>
  <c r="J104" i="4"/>
  <c r="K104" i="4" s="1"/>
  <c r="J91" i="4"/>
  <c r="K91" i="4" s="1"/>
  <c r="J109" i="4"/>
  <c r="K109" i="4" s="1"/>
  <c r="J86" i="4"/>
  <c r="K86" i="4" s="1"/>
  <c r="J143" i="4"/>
  <c r="K143" i="4" s="1"/>
  <c r="J123" i="4"/>
  <c r="K123" i="4" s="1"/>
  <c r="J103" i="4"/>
  <c r="K103" i="4" s="1"/>
  <c r="J119" i="4"/>
  <c r="K119" i="4" s="1"/>
  <c r="J97" i="4"/>
  <c r="K97" i="4" s="1"/>
  <c r="J131" i="4"/>
  <c r="K131" i="4" s="1"/>
  <c r="J129" i="4"/>
  <c r="K129" i="4" s="1"/>
  <c r="J88" i="4"/>
  <c r="K88" i="4" s="1"/>
  <c r="J126" i="4"/>
  <c r="K126" i="4" s="1"/>
  <c r="J144" i="4"/>
  <c r="K144" i="4" s="1"/>
  <c r="J142" i="4"/>
  <c r="K142" i="4" s="1"/>
  <c r="J122" i="4"/>
  <c r="K122" i="4" s="1"/>
  <c r="J102" i="4"/>
  <c r="K102" i="4" s="1"/>
  <c r="J118" i="4"/>
  <c r="K118" i="4" s="1"/>
  <c r="J96" i="4"/>
  <c r="K96" i="4" s="1"/>
  <c r="J128" i="4"/>
  <c r="K128" i="4" s="1"/>
  <c r="J125" i="4"/>
  <c r="K125" i="4" s="1"/>
  <c r="J141" i="4"/>
  <c r="K141" i="4" s="1"/>
  <c r="J121" i="4"/>
  <c r="K121" i="4" s="1"/>
  <c r="J101" i="4"/>
  <c r="K101" i="4" s="1"/>
  <c r="J117" i="4"/>
  <c r="K117" i="4" s="1"/>
  <c r="J137" i="4"/>
  <c r="K137" i="4" s="1"/>
  <c r="J95" i="4"/>
  <c r="K95" i="4" s="1"/>
  <c r="J111" i="4"/>
  <c r="K111" i="4" s="1"/>
  <c r="J148" i="4"/>
  <c r="K148" i="4" s="1"/>
  <c r="J146" i="4"/>
  <c r="K146" i="4" s="1"/>
  <c r="J105" i="4"/>
  <c r="K105" i="4" s="1"/>
  <c r="J140" i="4"/>
  <c r="K140" i="4" s="1"/>
  <c r="J120" i="4"/>
  <c r="K120" i="4" s="1"/>
  <c r="J100" i="4"/>
  <c r="K100" i="4" s="1"/>
  <c r="J116" i="4"/>
  <c r="K116" i="4" s="1"/>
  <c r="J136" i="4"/>
  <c r="K136" i="4" s="1"/>
  <c r="J149" i="4"/>
  <c r="K149" i="4" s="1"/>
  <c r="J108" i="4"/>
  <c r="K108" i="4" s="1"/>
  <c r="J106" i="4"/>
  <c r="K106" i="4" s="1"/>
  <c r="J124" i="4"/>
  <c r="K124" i="4" s="1"/>
  <c r="J139" i="4"/>
  <c r="K139" i="4" s="1"/>
  <c r="J99" i="4"/>
  <c r="K99" i="4" s="1"/>
  <c r="J115" i="4"/>
  <c r="K115" i="4" s="1"/>
  <c r="J134" i="4"/>
  <c r="K134" i="4" s="1"/>
  <c r="J132" i="4"/>
  <c r="K132" i="4" s="1"/>
  <c r="J112" i="4"/>
  <c r="K112" i="4" s="1"/>
  <c r="J92" i="4"/>
  <c r="K92" i="4" s="1"/>
  <c r="J93" i="4"/>
  <c r="K93" i="4" s="1"/>
  <c r="J130" i="4"/>
  <c r="K130" i="4" s="1"/>
  <c r="J110" i="4"/>
  <c r="K110" i="4" s="1"/>
  <c r="J90" i="4"/>
  <c r="K90" i="4" s="1"/>
  <c r="J133" i="4"/>
  <c r="K133" i="4" s="1"/>
  <c r="J94" i="4"/>
  <c r="K94" i="4" s="1"/>
  <c r="J113" i="4"/>
  <c r="K113" i="4" s="1"/>
  <c r="J147" i="4"/>
  <c r="K147" i="4" s="1"/>
  <c r="J127" i="4"/>
  <c r="K127" i="4" s="1"/>
  <c r="J107" i="4"/>
  <c r="K107" i="4" s="1"/>
  <c r="J114" i="4"/>
  <c r="K114" i="4" s="1"/>
  <c r="E121" i="4"/>
  <c r="E105" i="4"/>
  <c r="E100" i="4"/>
  <c r="E99" i="4"/>
  <c r="E140" i="4"/>
  <c r="E139" i="4"/>
  <c r="E97" i="4"/>
  <c r="E120" i="4"/>
  <c r="E119" i="4"/>
  <c r="E117" i="4"/>
  <c r="E145" i="4"/>
  <c r="E101" i="4"/>
  <c r="E138" i="4"/>
  <c r="E118" i="4"/>
  <c r="E144" i="4"/>
  <c r="E143" i="4"/>
  <c r="E137" i="4"/>
  <c r="E104" i="4"/>
  <c r="E103" i="4"/>
  <c r="E102" i="4"/>
  <c r="E141" i="4"/>
  <c r="E98" i="4"/>
  <c r="E125" i="4"/>
  <c r="E142" i="4"/>
  <c r="E124" i="4"/>
  <c r="E116" i="4"/>
  <c r="E93" i="4"/>
  <c r="E130" i="4"/>
  <c r="E110" i="4"/>
  <c r="E90" i="4"/>
  <c r="E135" i="4"/>
  <c r="E133" i="4"/>
  <c r="E92" i="4"/>
  <c r="E91" i="4"/>
  <c r="E149" i="4"/>
  <c r="E129" i="4"/>
  <c r="E109" i="4"/>
  <c r="E89" i="4"/>
  <c r="E136" i="4"/>
  <c r="E95" i="4"/>
  <c r="E134" i="4"/>
  <c r="E112" i="4"/>
  <c r="E148" i="4"/>
  <c r="E128" i="4"/>
  <c r="E108" i="4"/>
  <c r="E88" i="4"/>
  <c r="E94" i="4"/>
  <c r="E113" i="4"/>
  <c r="E132" i="4"/>
  <c r="E131" i="4"/>
  <c r="E147" i="4"/>
  <c r="E127" i="4"/>
  <c r="E107" i="4"/>
  <c r="E87" i="4"/>
  <c r="E96" i="4"/>
  <c r="E115" i="4"/>
  <c r="E114" i="4"/>
  <c r="E111" i="4"/>
  <c r="E146" i="4"/>
  <c r="E126" i="4"/>
  <c r="E106" i="4"/>
  <c r="J37" i="4"/>
  <c r="K37" i="4" s="1"/>
  <c r="J36" i="4"/>
  <c r="K36" i="4" s="1"/>
  <c r="J75" i="4"/>
  <c r="K75" i="4" s="1"/>
  <c r="J74" i="4"/>
  <c r="K74" i="4" s="1"/>
  <c r="J38" i="4"/>
  <c r="K38" i="4" s="1"/>
  <c r="J17" i="4"/>
  <c r="K17" i="4" s="1"/>
  <c r="J35" i="4"/>
  <c r="K35" i="4" s="1"/>
  <c r="E53" i="4"/>
  <c r="E50" i="4"/>
  <c r="J39" i="4"/>
  <c r="K39" i="4" s="1"/>
  <c r="J58" i="4"/>
  <c r="K58" i="4" s="1"/>
  <c r="J77" i="4"/>
  <c r="K77" i="4" s="1"/>
  <c r="J16" i="4"/>
  <c r="K16" i="4" s="1"/>
  <c r="J15" i="4"/>
  <c r="K15" i="4" s="1"/>
  <c r="J54" i="4"/>
  <c r="K54" i="4" s="1"/>
  <c r="E52" i="4"/>
  <c r="J59" i="4"/>
  <c r="K59" i="4" s="1"/>
  <c r="J18" i="4"/>
  <c r="K18" i="4" s="1"/>
  <c r="J57" i="4"/>
  <c r="K57" i="4" s="1"/>
  <c r="J76" i="4"/>
  <c r="K76" i="4" s="1"/>
  <c r="J34" i="4"/>
  <c r="K34" i="4" s="1"/>
  <c r="E51" i="4"/>
  <c r="J19" i="4"/>
  <c r="K19" i="4" s="1"/>
  <c r="J78" i="4"/>
  <c r="K78" i="4" s="1"/>
  <c r="J56" i="4"/>
  <c r="K56" i="4" s="1"/>
  <c r="J55" i="4"/>
  <c r="K55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33" i="4"/>
  <c r="K33" i="4" s="1"/>
  <c r="J31" i="4"/>
  <c r="K31" i="4" s="1"/>
  <c r="J52" i="4"/>
  <c r="K52" i="4" s="1"/>
  <c r="J28" i="4"/>
  <c r="K28" i="4" s="1"/>
  <c r="J67" i="4"/>
  <c r="K67" i="4" s="1"/>
  <c r="J27" i="4"/>
  <c r="K27" i="4" s="1"/>
  <c r="J49" i="4"/>
  <c r="K49" i="4" s="1"/>
  <c r="J53" i="4"/>
  <c r="K53" i="4" s="1"/>
  <c r="J32" i="4"/>
  <c r="K32" i="4" s="1"/>
  <c r="J29" i="4"/>
  <c r="K29" i="4" s="1"/>
  <c r="J50" i="4"/>
  <c r="K50" i="4" s="1"/>
  <c r="J66" i="4"/>
  <c r="K66" i="4" s="1"/>
  <c r="J26" i="4"/>
  <c r="K26" i="4" s="1"/>
  <c r="J48" i="4"/>
  <c r="K48" i="4" s="1"/>
  <c r="J30" i="4"/>
  <c r="K30" i="4" s="1"/>
  <c r="J51" i="4"/>
  <c r="K51" i="4" s="1"/>
  <c r="J47" i="4"/>
  <c r="K47" i="4" s="1"/>
  <c r="J46" i="4"/>
  <c r="K46" i="4" s="1"/>
  <c r="J24" i="4"/>
  <c r="K24" i="4" s="1"/>
  <c r="J63" i="4"/>
  <c r="K63" i="4" s="1"/>
  <c r="J42" i="4"/>
  <c r="K42" i="4" s="1"/>
  <c r="J61" i="4"/>
  <c r="K61" i="4" s="1"/>
  <c r="J40" i="4"/>
  <c r="K40" i="4" s="1"/>
  <c r="J44" i="4"/>
  <c r="K44" i="4" s="1"/>
  <c r="J43" i="4"/>
  <c r="K43" i="4" s="1"/>
  <c r="J41" i="4"/>
  <c r="K41" i="4" s="1"/>
  <c r="J20" i="4"/>
  <c r="K20" i="4" s="1"/>
  <c r="J45" i="4"/>
  <c r="K45" i="4" s="1"/>
  <c r="J25" i="4"/>
  <c r="K25" i="4" s="1"/>
  <c r="J64" i="4"/>
  <c r="K64" i="4" s="1"/>
  <c r="J62" i="4"/>
  <c r="K62" i="4" s="1"/>
  <c r="J21" i="4"/>
  <c r="K21" i="4" s="1"/>
  <c r="J65" i="4"/>
  <c r="K65" i="4" s="1"/>
  <c r="J23" i="4"/>
  <c r="K23" i="4" s="1"/>
  <c r="J22" i="4"/>
  <c r="K22" i="4" s="1"/>
  <c r="J60" i="4"/>
  <c r="K60" i="4" s="1"/>
  <c r="E48" i="4"/>
  <c r="E29" i="4"/>
  <c r="E72" i="4"/>
  <c r="E71" i="4"/>
  <c r="E27" i="4"/>
  <c r="E49" i="4"/>
  <c r="E73" i="4"/>
  <c r="E28" i="4"/>
  <c r="E70" i="4"/>
  <c r="I79" i="4"/>
  <c r="J79" i="4" s="1"/>
  <c r="K79" i="4" s="1"/>
  <c r="E47" i="4"/>
  <c r="E31" i="4"/>
  <c r="E30" i="4"/>
  <c r="E69" i="4"/>
  <c r="E34" i="4"/>
  <c r="E68" i="4"/>
  <c r="E33" i="4"/>
  <c r="E32" i="4"/>
  <c r="E74" i="4"/>
  <c r="E67" i="4"/>
  <c r="E54" i="4"/>
  <c r="E44" i="4"/>
  <c r="E60" i="4"/>
  <c r="E40" i="4"/>
  <c r="E20" i="4"/>
  <c r="E66" i="4"/>
  <c r="E45" i="4"/>
  <c r="E23" i="4"/>
  <c r="E22" i="4"/>
  <c r="E79" i="4"/>
  <c r="E59" i="4"/>
  <c r="E39" i="4"/>
  <c r="E19" i="4"/>
  <c r="E26" i="4"/>
  <c r="E64" i="4"/>
  <c r="E63" i="4"/>
  <c r="E42" i="4"/>
  <c r="E61" i="4"/>
  <c r="E78" i="4"/>
  <c r="E58" i="4"/>
  <c r="E38" i="4"/>
  <c r="E18" i="4"/>
  <c r="E46" i="4"/>
  <c r="E65" i="4"/>
  <c r="E24" i="4"/>
  <c r="E43" i="4"/>
  <c r="E62" i="4"/>
  <c r="E21" i="4"/>
  <c r="E77" i="4"/>
  <c r="E57" i="4"/>
  <c r="E37" i="4"/>
  <c r="E17" i="4"/>
  <c r="E41" i="4"/>
  <c r="E76" i="4"/>
  <c r="E56" i="4"/>
  <c r="E36" i="4"/>
  <c r="E16" i="4"/>
  <c r="E25" i="4"/>
  <c r="E75" i="4"/>
  <c r="E55" i="4"/>
  <c r="E35" i="4"/>
  <c r="E15" i="4"/>
  <c r="J190" i="3"/>
  <c r="K190" i="3" s="1"/>
  <c r="J189" i="3"/>
  <c r="K189" i="3" s="1"/>
  <c r="E181" i="3"/>
  <c r="E180" i="3"/>
  <c r="E179" i="3"/>
  <c r="J210" i="3"/>
  <c r="K210" i="3" s="1"/>
  <c r="J209" i="3"/>
  <c r="K209" i="3" s="1"/>
  <c r="J170" i="3"/>
  <c r="K170" i="3" s="1"/>
  <c r="J169" i="3"/>
  <c r="K169" i="3" s="1"/>
  <c r="J217" i="3"/>
  <c r="K217" i="3" s="1"/>
  <c r="J197" i="3"/>
  <c r="K197" i="3" s="1"/>
  <c r="J177" i="3"/>
  <c r="K177" i="3" s="1"/>
  <c r="J216" i="3"/>
  <c r="K216" i="3" s="1"/>
  <c r="J196" i="3"/>
  <c r="K196" i="3" s="1"/>
  <c r="J176" i="3"/>
  <c r="K176" i="3" s="1"/>
  <c r="J208" i="3"/>
  <c r="K208" i="3" s="1"/>
  <c r="J188" i="3"/>
  <c r="K188" i="3" s="1"/>
  <c r="J168" i="3"/>
  <c r="K168" i="3" s="1"/>
  <c r="J207" i="3"/>
  <c r="K207" i="3" s="1"/>
  <c r="J187" i="3"/>
  <c r="K187" i="3" s="1"/>
  <c r="J167" i="3"/>
  <c r="K167" i="3" s="1"/>
  <c r="J226" i="3"/>
  <c r="K226" i="3" s="1"/>
  <c r="J206" i="3"/>
  <c r="K206" i="3" s="1"/>
  <c r="J186" i="3"/>
  <c r="K186" i="3" s="1"/>
  <c r="J166" i="3"/>
  <c r="K166" i="3" s="1"/>
  <c r="J165" i="3"/>
  <c r="K165" i="3" s="1"/>
  <c r="J224" i="3"/>
  <c r="K224" i="3" s="1"/>
  <c r="J204" i="3"/>
  <c r="K204" i="3" s="1"/>
  <c r="J184" i="3"/>
  <c r="K184" i="3" s="1"/>
  <c r="J164" i="3"/>
  <c r="K164" i="3" s="1"/>
  <c r="J225" i="3"/>
  <c r="K225" i="3" s="1"/>
  <c r="J223" i="3"/>
  <c r="K223" i="3" s="1"/>
  <c r="J203" i="3"/>
  <c r="K203" i="3" s="1"/>
  <c r="J183" i="3"/>
  <c r="K183" i="3" s="1"/>
  <c r="J163" i="3"/>
  <c r="K163" i="3" s="1"/>
  <c r="J222" i="3"/>
  <c r="K222" i="3" s="1"/>
  <c r="J202" i="3"/>
  <c r="K202" i="3" s="1"/>
  <c r="J182" i="3"/>
  <c r="K182" i="3" s="1"/>
  <c r="J205" i="3"/>
  <c r="K205" i="3" s="1"/>
  <c r="J221" i="3"/>
  <c r="K221" i="3" s="1"/>
  <c r="J201" i="3"/>
  <c r="K201" i="3" s="1"/>
  <c r="J181" i="3"/>
  <c r="K181" i="3" s="1"/>
  <c r="J185" i="3"/>
  <c r="K185" i="3" s="1"/>
  <c r="J220" i="3"/>
  <c r="K220" i="3" s="1"/>
  <c r="J200" i="3"/>
  <c r="K200" i="3" s="1"/>
  <c r="J180" i="3"/>
  <c r="K180" i="3" s="1"/>
  <c r="E178" i="3"/>
  <c r="J219" i="3"/>
  <c r="K219" i="3" s="1"/>
  <c r="J199" i="3"/>
  <c r="K199" i="3" s="1"/>
  <c r="J179" i="3"/>
  <c r="K179" i="3" s="1"/>
  <c r="J218" i="3"/>
  <c r="K218" i="3" s="1"/>
  <c r="J198" i="3"/>
  <c r="K198" i="3" s="1"/>
  <c r="J178" i="3"/>
  <c r="K178" i="3" s="1"/>
  <c r="E216" i="3"/>
  <c r="J211" i="3"/>
  <c r="K211" i="3" s="1"/>
  <c r="J191" i="3"/>
  <c r="K191" i="3" s="1"/>
  <c r="J171" i="3"/>
  <c r="K171" i="3" s="1"/>
  <c r="E215" i="3"/>
  <c r="E219" i="3"/>
  <c r="J173" i="3"/>
  <c r="K173" i="3" s="1"/>
  <c r="J172" i="3"/>
  <c r="K172" i="3" s="1"/>
  <c r="E213" i="3"/>
  <c r="E212" i="3"/>
  <c r="J175" i="3"/>
  <c r="K175" i="3" s="1"/>
  <c r="J214" i="3"/>
  <c r="K214" i="3" s="1"/>
  <c r="E217" i="3"/>
  <c r="E192" i="3"/>
  <c r="J195" i="3"/>
  <c r="K195" i="3" s="1"/>
  <c r="J193" i="3"/>
  <c r="K193" i="3" s="1"/>
  <c r="J192" i="3"/>
  <c r="K192" i="3" s="1"/>
  <c r="E214" i="3"/>
  <c r="E189" i="3"/>
  <c r="J194" i="3"/>
  <c r="K194" i="3" s="1"/>
  <c r="J213" i="3"/>
  <c r="K213" i="3" s="1"/>
  <c r="E188" i="3"/>
  <c r="J215" i="3"/>
  <c r="K215" i="3" s="1"/>
  <c r="J174" i="3"/>
  <c r="K174" i="3" s="1"/>
  <c r="E218" i="3"/>
  <c r="J212" i="3"/>
  <c r="K212" i="3" s="1"/>
  <c r="E182" i="3"/>
  <c r="E209" i="3"/>
  <c r="E177" i="3"/>
  <c r="E208" i="3"/>
  <c r="E176" i="3"/>
  <c r="E202" i="3"/>
  <c r="E175" i="3"/>
  <c r="E201" i="3"/>
  <c r="E174" i="3"/>
  <c r="E200" i="3"/>
  <c r="E173" i="3"/>
  <c r="E199" i="3"/>
  <c r="E172" i="3"/>
  <c r="E198" i="3"/>
  <c r="E169" i="3"/>
  <c r="E168" i="3"/>
  <c r="E197" i="3"/>
  <c r="E196" i="3"/>
  <c r="E222" i="3"/>
  <c r="E195" i="3"/>
  <c r="E221" i="3"/>
  <c r="E194" i="3"/>
  <c r="E220" i="3"/>
  <c r="E193" i="3"/>
  <c r="E211" i="3"/>
  <c r="E191" i="3"/>
  <c r="E171" i="3"/>
  <c r="E210" i="3"/>
  <c r="E190" i="3"/>
  <c r="E170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63" i="3"/>
  <c r="J109" i="3"/>
  <c r="K109" i="3" s="1"/>
  <c r="J87" i="3"/>
  <c r="K87" i="3" s="1"/>
  <c r="J86" i="3"/>
  <c r="K86" i="3" s="1"/>
  <c r="J147" i="3"/>
  <c r="K147" i="3" s="1"/>
  <c r="J146" i="3"/>
  <c r="K146" i="3" s="1"/>
  <c r="J145" i="3"/>
  <c r="K145" i="3" s="1"/>
  <c r="J149" i="3"/>
  <c r="K149" i="3" s="1"/>
  <c r="J148" i="3"/>
  <c r="K148" i="3" s="1"/>
  <c r="J126" i="3"/>
  <c r="K126" i="3" s="1"/>
  <c r="J130" i="3"/>
  <c r="K130" i="3" s="1"/>
  <c r="J89" i="3"/>
  <c r="K89" i="3" s="1"/>
  <c r="J128" i="3"/>
  <c r="K128" i="3" s="1"/>
  <c r="J107" i="3"/>
  <c r="K107" i="3" s="1"/>
  <c r="J125" i="3"/>
  <c r="K125" i="3" s="1"/>
  <c r="J129" i="3"/>
  <c r="K129" i="3" s="1"/>
  <c r="J88" i="3"/>
  <c r="K88" i="3" s="1"/>
  <c r="J127" i="3"/>
  <c r="K127" i="3" s="1"/>
  <c r="J110" i="3"/>
  <c r="K110" i="3" s="1"/>
  <c r="J108" i="3"/>
  <c r="K108" i="3" s="1"/>
  <c r="J106" i="3"/>
  <c r="K106" i="3" s="1"/>
  <c r="J105" i="3"/>
  <c r="K105" i="3" s="1"/>
  <c r="J144" i="3"/>
  <c r="K144" i="3" s="1"/>
  <c r="J104" i="3"/>
  <c r="K104" i="3" s="1"/>
  <c r="J101" i="3"/>
  <c r="K101" i="3" s="1"/>
  <c r="J122" i="3"/>
  <c r="K122" i="3" s="1"/>
  <c r="J142" i="3"/>
  <c r="K142" i="3" s="1"/>
  <c r="J140" i="3"/>
  <c r="K140" i="3" s="1"/>
  <c r="J100" i="3"/>
  <c r="K100" i="3" s="1"/>
  <c r="J121" i="3"/>
  <c r="K121" i="3" s="1"/>
  <c r="J123" i="3"/>
  <c r="K123" i="3" s="1"/>
  <c r="J120" i="3"/>
  <c r="K120" i="3" s="1"/>
  <c r="J124" i="3"/>
  <c r="K124" i="3" s="1"/>
  <c r="J138" i="3"/>
  <c r="K138" i="3" s="1"/>
  <c r="J98" i="3"/>
  <c r="K98" i="3" s="1"/>
  <c r="J103" i="3"/>
  <c r="K103" i="3" s="1"/>
  <c r="J102" i="3"/>
  <c r="K102" i="3" s="1"/>
  <c r="J118" i="3"/>
  <c r="K118" i="3" s="1"/>
  <c r="J143" i="3"/>
  <c r="K143" i="3" s="1"/>
  <c r="J141" i="3"/>
  <c r="K141" i="3" s="1"/>
  <c r="E121" i="3"/>
  <c r="J136" i="3"/>
  <c r="K136" i="3" s="1"/>
  <c r="J116" i="3"/>
  <c r="K116" i="3" s="1"/>
  <c r="J96" i="3"/>
  <c r="K96" i="3" s="1"/>
  <c r="E120" i="3"/>
  <c r="J135" i="3"/>
  <c r="K135" i="3" s="1"/>
  <c r="J115" i="3"/>
  <c r="K115" i="3" s="1"/>
  <c r="J95" i="3"/>
  <c r="K95" i="3" s="1"/>
  <c r="E119" i="3"/>
  <c r="J134" i="3"/>
  <c r="K134" i="3" s="1"/>
  <c r="J114" i="3"/>
  <c r="K114" i="3" s="1"/>
  <c r="J94" i="3"/>
  <c r="K94" i="3" s="1"/>
  <c r="J133" i="3"/>
  <c r="K133" i="3" s="1"/>
  <c r="J113" i="3"/>
  <c r="K113" i="3" s="1"/>
  <c r="J93" i="3"/>
  <c r="K93" i="3" s="1"/>
  <c r="J132" i="3"/>
  <c r="K132" i="3" s="1"/>
  <c r="J112" i="3"/>
  <c r="K112" i="3" s="1"/>
  <c r="J92" i="3"/>
  <c r="K92" i="3" s="1"/>
  <c r="J131" i="3"/>
  <c r="K131" i="3" s="1"/>
  <c r="J111" i="3"/>
  <c r="K111" i="3" s="1"/>
  <c r="J91" i="3"/>
  <c r="K91" i="3" s="1"/>
  <c r="J139" i="3"/>
  <c r="K139" i="3" s="1"/>
  <c r="E123" i="3"/>
  <c r="E122" i="3"/>
  <c r="J90" i="3"/>
  <c r="K90" i="3" s="1"/>
  <c r="J99" i="3"/>
  <c r="K99" i="3" s="1"/>
  <c r="J137" i="3"/>
  <c r="K137" i="3" s="1"/>
  <c r="E124" i="3"/>
  <c r="E125" i="3"/>
  <c r="J97" i="3"/>
  <c r="K97" i="3" s="1"/>
  <c r="J119" i="3"/>
  <c r="K119" i="3" s="1"/>
  <c r="J117" i="3"/>
  <c r="K117" i="3" s="1"/>
  <c r="E105" i="3"/>
  <c r="E104" i="3"/>
  <c r="E103" i="3"/>
  <c r="E144" i="3"/>
  <c r="E100" i="3"/>
  <c r="E142" i="3"/>
  <c r="E98" i="3"/>
  <c r="E101" i="3"/>
  <c r="E143" i="3"/>
  <c r="E141" i="3"/>
  <c r="E145" i="3"/>
  <c r="E99" i="3"/>
  <c r="E140" i="3"/>
  <c r="E139" i="3"/>
  <c r="E118" i="3"/>
  <c r="E102" i="3"/>
  <c r="E138" i="3"/>
  <c r="E137" i="3"/>
  <c r="E117" i="3"/>
  <c r="E97" i="3"/>
  <c r="E136" i="3"/>
  <c r="E116" i="3"/>
  <c r="E96" i="3"/>
  <c r="E135" i="3"/>
  <c r="E115" i="3"/>
  <c r="E95" i="3"/>
  <c r="E92" i="3"/>
  <c r="E130" i="3"/>
  <c r="E110" i="3"/>
  <c r="E90" i="3"/>
  <c r="E131" i="3"/>
  <c r="E149" i="3"/>
  <c r="E129" i="3"/>
  <c r="E109" i="3"/>
  <c r="E89" i="3"/>
  <c r="E94" i="3"/>
  <c r="E113" i="3"/>
  <c r="E132" i="3"/>
  <c r="E148" i="3"/>
  <c r="E128" i="3"/>
  <c r="E108" i="3"/>
  <c r="E88" i="3"/>
  <c r="E134" i="3"/>
  <c r="E93" i="3"/>
  <c r="E112" i="3"/>
  <c r="E91" i="3"/>
  <c r="E147" i="3"/>
  <c r="E127" i="3"/>
  <c r="E107" i="3"/>
  <c r="E87" i="3"/>
  <c r="E114" i="3"/>
  <c r="E133" i="3"/>
  <c r="E111" i="3"/>
  <c r="E146" i="3"/>
  <c r="E126" i="3"/>
  <c r="E106" i="3"/>
  <c r="E29" i="3"/>
  <c r="E30" i="3"/>
  <c r="J68" i="3"/>
  <c r="K68" i="3" s="1"/>
  <c r="E31" i="3"/>
  <c r="E53" i="3"/>
  <c r="E59" i="3"/>
  <c r="E39" i="3"/>
  <c r="E34" i="3"/>
  <c r="E33" i="3"/>
  <c r="E32" i="3"/>
  <c r="J69" i="3"/>
  <c r="K69" i="3" s="1"/>
  <c r="J47" i="3"/>
  <c r="K47" i="3" s="1"/>
  <c r="J49" i="3"/>
  <c r="K49" i="3" s="1"/>
  <c r="J23" i="3"/>
  <c r="K23" i="3" s="1"/>
  <c r="J41" i="3"/>
  <c r="K41" i="3" s="1"/>
  <c r="J59" i="3"/>
  <c r="K59" i="3" s="1"/>
  <c r="J77" i="3"/>
  <c r="K77" i="3" s="1"/>
  <c r="J57" i="3"/>
  <c r="K57" i="3" s="1"/>
  <c r="J37" i="3"/>
  <c r="K37" i="3" s="1"/>
  <c r="J17" i="3"/>
  <c r="K17" i="3" s="1"/>
  <c r="J50" i="3"/>
  <c r="K50" i="3" s="1"/>
  <c r="J28" i="3"/>
  <c r="K28" i="3" s="1"/>
  <c r="J66" i="3"/>
  <c r="K66" i="3" s="1"/>
  <c r="J63" i="3"/>
  <c r="K63" i="3" s="1"/>
  <c r="J42" i="3"/>
  <c r="K42" i="3" s="1"/>
  <c r="J60" i="3"/>
  <c r="K60" i="3" s="1"/>
  <c r="J76" i="3"/>
  <c r="K76" i="3" s="1"/>
  <c r="J75" i="3"/>
  <c r="K75" i="3" s="1"/>
  <c r="J67" i="3"/>
  <c r="K67" i="3" s="1"/>
  <c r="J46" i="3"/>
  <c r="K46" i="3" s="1"/>
  <c r="J44" i="3"/>
  <c r="K44" i="3" s="1"/>
  <c r="J22" i="3"/>
  <c r="K22" i="3" s="1"/>
  <c r="J20" i="3"/>
  <c r="K20" i="3" s="1"/>
  <c r="J18" i="3"/>
  <c r="K18" i="3" s="1"/>
  <c r="J55" i="3"/>
  <c r="K55" i="3" s="1"/>
  <c r="J71" i="3"/>
  <c r="K71" i="3" s="1"/>
  <c r="J52" i="3"/>
  <c r="K52" i="3" s="1"/>
  <c r="J73" i="3"/>
  <c r="K73" i="3" s="1"/>
  <c r="J32" i="3"/>
  <c r="K32" i="3" s="1"/>
  <c r="J53" i="3"/>
  <c r="K53" i="3" s="1"/>
  <c r="J51" i="3"/>
  <c r="K51" i="3" s="1"/>
  <c r="J72" i="3"/>
  <c r="K72" i="3" s="1"/>
  <c r="J33" i="3"/>
  <c r="K33" i="3" s="1"/>
  <c r="J27" i="3"/>
  <c r="K27" i="3" s="1"/>
  <c r="J45" i="3"/>
  <c r="K45" i="3" s="1"/>
  <c r="J43" i="3"/>
  <c r="K43" i="3" s="1"/>
  <c r="J61" i="3"/>
  <c r="K61" i="3" s="1"/>
  <c r="J40" i="3"/>
  <c r="K40" i="3" s="1"/>
  <c r="J38" i="3"/>
  <c r="K38" i="3" s="1"/>
  <c r="J56" i="3"/>
  <c r="K56" i="3" s="1"/>
  <c r="J15" i="3"/>
  <c r="K15" i="3" s="1"/>
  <c r="J65" i="3"/>
  <c r="K65" i="3" s="1"/>
  <c r="J24" i="3"/>
  <c r="K24" i="3" s="1"/>
  <c r="J62" i="3"/>
  <c r="K62" i="3" s="1"/>
  <c r="J54" i="3"/>
  <c r="K54" i="3" s="1"/>
  <c r="J19" i="3"/>
  <c r="K19" i="3" s="1"/>
  <c r="J58" i="3"/>
  <c r="K58" i="3" s="1"/>
  <c r="J36" i="3"/>
  <c r="K36" i="3" s="1"/>
  <c r="J35" i="3"/>
  <c r="K35" i="3" s="1"/>
  <c r="J48" i="3"/>
  <c r="K48" i="3" s="1"/>
  <c r="J30" i="3"/>
  <c r="K30" i="3" s="1"/>
  <c r="J64" i="3"/>
  <c r="K64" i="3" s="1"/>
  <c r="J21" i="3"/>
  <c r="K21" i="3" s="1"/>
  <c r="J39" i="3"/>
  <c r="K39" i="3" s="1"/>
  <c r="J78" i="3"/>
  <c r="K78" i="3" s="1"/>
  <c r="J16" i="3"/>
  <c r="K16" i="3" s="1"/>
  <c r="J34" i="3"/>
  <c r="K34" i="3" s="1"/>
  <c r="J70" i="3"/>
  <c r="K70" i="3" s="1"/>
  <c r="E60" i="3"/>
  <c r="J74" i="3"/>
  <c r="K74" i="3" s="1"/>
  <c r="J26" i="3"/>
  <c r="K26" i="3" s="1"/>
  <c r="J25" i="3"/>
  <c r="K25" i="3" s="1"/>
  <c r="E67" i="3"/>
  <c r="J31" i="3"/>
  <c r="K31" i="3" s="1"/>
  <c r="J29" i="3"/>
  <c r="K29" i="3" s="1"/>
  <c r="E66" i="3"/>
  <c r="E65" i="3"/>
  <c r="E63" i="3"/>
  <c r="E27" i="3"/>
  <c r="E61" i="3"/>
  <c r="E54" i="3"/>
  <c r="E28" i="3"/>
  <c r="E26" i="3"/>
  <c r="E51" i="3"/>
  <c r="E50" i="3"/>
  <c r="E79" i="3"/>
  <c r="E49" i="3"/>
  <c r="E21" i="3"/>
  <c r="E23" i="3"/>
  <c r="E74" i="3"/>
  <c r="E48" i="3"/>
  <c r="E20" i="3"/>
  <c r="E72" i="3"/>
  <c r="E46" i="3"/>
  <c r="E71" i="3"/>
  <c r="E45" i="3"/>
  <c r="E52" i="3"/>
  <c r="E25" i="3"/>
  <c r="E73" i="3"/>
  <c r="E47" i="3"/>
  <c r="E19" i="3"/>
  <c r="E70" i="3"/>
  <c r="E43" i="3"/>
  <c r="E69" i="3"/>
  <c r="E41" i="3"/>
  <c r="E68" i="3"/>
  <c r="E40" i="3"/>
  <c r="E64" i="3"/>
  <c r="E44" i="3"/>
  <c r="E24" i="3"/>
  <c r="E62" i="3"/>
  <c r="E42" i="3"/>
  <c r="E22" i="3"/>
  <c r="E78" i="3"/>
  <c r="E58" i="3"/>
  <c r="E38" i="3"/>
  <c r="E18" i="3"/>
  <c r="E77" i="3"/>
  <c r="E57" i="3"/>
  <c r="E17" i="3"/>
  <c r="E76" i="3"/>
  <c r="E56" i="3"/>
  <c r="E36" i="3"/>
  <c r="E16" i="3"/>
  <c r="E37" i="3"/>
  <c r="E75" i="3"/>
  <c r="E55" i="3"/>
  <c r="E35" i="3"/>
  <c r="E15" i="3"/>
  <c r="E156" i="3"/>
  <c r="M156" i="3" s="1"/>
  <c r="C8" i="3" s="1"/>
  <c r="L283" i="3" l="1"/>
  <c r="U283" i="3" s="1"/>
  <c r="M283" i="3"/>
  <c r="Q283" i="3"/>
  <c r="L250" i="3"/>
  <c r="U250" i="3" s="1"/>
  <c r="L296" i="3"/>
  <c r="U296" i="3" s="1"/>
  <c r="L292" i="3"/>
  <c r="U292" i="3" s="1"/>
  <c r="L291" i="3"/>
  <c r="U291" i="3" s="1"/>
  <c r="L290" i="3"/>
  <c r="U290" i="3" s="1"/>
  <c r="L237" i="3"/>
  <c r="U237" i="3" s="1"/>
  <c r="L273" i="3"/>
  <c r="U273" i="3" s="1"/>
  <c r="L235" i="3"/>
  <c r="U235" i="3" s="1"/>
  <c r="L248" i="3"/>
  <c r="U248" i="3" s="1"/>
  <c r="L258" i="3"/>
  <c r="U258" i="3" s="1"/>
  <c r="L249" i="3"/>
  <c r="U249" i="3" s="1"/>
  <c r="L238" i="3"/>
  <c r="U238" i="3" s="1"/>
  <c r="L240" i="3"/>
  <c r="U240" i="3" s="1"/>
  <c r="L284" i="3"/>
  <c r="U284" i="3" s="1"/>
  <c r="L251" i="3"/>
  <c r="U251" i="3" s="1"/>
  <c r="L263" i="3"/>
  <c r="U263" i="3" s="1"/>
  <c r="L266" i="3"/>
  <c r="U266" i="3" s="1"/>
  <c r="L252" i="3"/>
  <c r="U252" i="3" s="1"/>
  <c r="L239" i="3"/>
  <c r="U239" i="3" s="1"/>
  <c r="L245" i="3"/>
  <c r="U245" i="3" s="1"/>
  <c r="L294" i="3"/>
  <c r="U294" i="3" s="1"/>
  <c r="L272" i="3"/>
  <c r="U272" i="3" s="1"/>
  <c r="L256" i="3"/>
  <c r="U256" i="3" s="1"/>
  <c r="L288" i="3"/>
  <c r="U288" i="3" s="1"/>
  <c r="L280" i="3"/>
  <c r="U280" i="3" s="1"/>
  <c r="L241" i="3"/>
  <c r="U241" i="3" s="1"/>
  <c r="L244" i="3"/>
  <c r="U244" i="3" s="1"/>
  <c r="L281" i="3"/>
  <c r="U281" i="3" s="1"/>
  <c r="L242" i="3"/>
  <c r="U242" i="3" s="1"/>
  <c r="L246" i="3"/>
  <c r="U246" i="3" s="1"/>
  <c r="L286" i="3"/>
  <c r="U286" i="3" s="1"/>
  <c r="L247" i="3"/>
  <c r="U247" i="3" s="1"/>
  <c r="L260" i="3"/>
  <c r="U260" i="3" s="1"/>
  <c r="L268" i="3"/>
  <c r="U268" i="3" s="1"/>
  <c r="L269" i="3"/>
  <c r="U269" i="3" s="1"/>
  <c r="L265" i="3"/>
  <c r="U265" i="3" s="1"/>
  <c r="L255" i="3"/>
  <c r="U255" i="3" s="1"/>
  <c r="L254" i="3"/>
  <c r="U254" i="3" s="1"/>
  <c r="L257" i="3"/>
  <c r="U257" i="3" s="1"/>
  <c r="L271" i="3"/>
  <c r="U271" i="3" s="1"/>
  <c r="L293" i="3"/>
  <c r="U293" i="3" s="1"/>
  <c r="L274" i="3"/>
  <c r="U274" i="3" s="1"/>
  <c r="L275" i="3"/>
  <c r="U275" i="3" s="1"/>
  <c r="L295" i="3"/>
  <c r="U295" i="3" s="1"/>
  <c r="L276" i="3"/>
  <c r="U276" i="3" s="1"/>
  <c r="L297" i="3"/>
  <c r="U297" i="3" s="1"/>
  <c r="L289" i="3"/>
  <c r="U289" i="3" s="1"/>
  <c r="L267" i="3"/>
  <c r="U267" i="3" s="1"/>
  <c r="L261" i="3"/>
  <c r="U261" i="3" s="1"/>
  <c r="L264" i="3"/>
  <c r="U264" i="3" s="1"/>
  <c r="L277" i="3"/>
  <c r="U277" i="3" s="1"/>
  <c r="L285" i="3"/>
  <c r="U285" i="3" s="1"/>
  <c r="L278" i="3"/>
  <c r="U278" i="3" s="1"/>
  <c r="L236" i="3"/>
  <c r="U236" i="3" s="1"/>
  <c r="L270" i="3"/>
  <c r="U270" i="3" s="1"/>
  <c r="L259" i="3"/>
  <c r="U259" i="3" s="1"/>
  <c r="L253" i="3"/>
  <c r="U253" i="3" s="1"/>
  <c r="L279" i="3"/>
  <c r="U279" i="3" s="1"/>
  <c r="L282" i="3"/>
  <c r="U282" i="3" s="1"/>
  <c r="L243" i="3"/>
  <c r="U243" i="3" s="1"/>
  <c r="L234" i="3"/>
  <c r="U234" i="3" s="1"/>
  <c r="L287" i="3"/>
  <c r="U287" i="3" s="1"/>
  <c r="L262" i="3"/>
  <c r="U262" i="3" s="1"/>
  <c r="J7" i="4"/>
  <c r="I7" i="4"/>
  <c r="L140" i="4"/>
  <c r="U140" i="4" s="1"/>
  <c r="L110" i="4"/>
  <c r="U110" i="4" s="1"/>
  <c r="L148" i="4"/>
  <c r="U148" i="4" s="1"/>
  <c r="L103" i="4"/>
  <c r="U103" i="4" s="1"/>
  <c r="L112" i="4"/>
  <c r="U112" i="4" s="1"/>
  <c r="L117" i="4"/>
  <c r="U117" i="4" s="1"/>
  <c r="L134" i="4"/>
  <c r="U134" i="4" s="1"/>
  <c r="L104" i="4"/>
  <c r="U104" i="4" s="1"/>
  <c r="L128" i="4"/>
  <c r="U128" i="4" s="1"/>
  <c r="L96" i="4"/>
  <c r="U96" i="4" s="1"/>
  <c r="L114" i="4"/>
  <c r="U114" i="4" s="1"/>
  <c r="L108" i="4"/>
  <c r="U108" i="4" s="1"/>
  <c r="L118" i="4"/>
  <c r="U118" i="4" s="1"/>
  <c r="L89" i="4"/>
  <c r="U89" i="4" s="1"/>
  <c r="L105" i="4"/>
  <c r="U105" i="4" s="1"/>
  <c r="L146" i="4"/>
  <c r="U146" i="4" s="1"/>
  <c r="L137" i="4"/>
  <c r="U137" i="4" s="1"/>
  <c r="L86" i="4"/>
  <c r="U86" i="4" s="1"/>
  <c r="L109" i="4"/>
  <c r="U109" i="4" s="1"/>
  <c r="L87" i="4"/>
  <c r="U87" i="4" s="1"/>
  <c r="L107" i="4"/>
  <c r="U107" i="4" s="1"/>
  <c r="L149" i="4"/>
  <c r="U149" i="4" s="1"/>
  <c r="L102" i="4"/>
  <c r="U102" i="4" s="1"/>
  <c r="L135" i="4"/>
  <c r="U135" i="4" s="1"/>
  <c r="L90" i="4"/>
  <c r="U90" i="4" s="1"/>
  <c r="L97" i="4"/>
  <c r="U97" i="4" s="1"/>
  <c r="L95" i="4"/>
  <c r="U95" i="4" s="1"/>
  <c r="L143" i="4"/>
  <c r="U143" i="4" s="1"/>
  <c r="L121" i="4"/>
  <c r="U121" i="4" s="1"/>
  <c r="L125" i="4"/>
  <c r="U125" i="4" s="1"/>
  <c r="L124" i="4"/>
  <c r="U124" i="4" s="1"/>
  <c r="L127" i="4"/>
  <c r="U127" i="4" s="1"/>
  <c r="L136" i="4"/>
  <c r="U136" i="4" s="1"/>
  <c r="L122" i="4"/>
  <c r="U122" i="4" s="1"/>
  <c r="L88" i="4"/>
  <c r="U88" i="4" s="1"/>
  <c r="L129" i="4"/>
  <c r="U129" i="4" s="1"/>
  <c r="L119" i="4"/>
  <c r="U119" i="4" s="1"/>
  <c r="L92" i="4"/>
  <c r="U92" i="4" s="1"/>
  <c r="L132" i="4"/>
  <c r="U132" i="4" s="1"/>
  <c r="L91" i="4"/>
  <c r="U91" i="4" s="1"/>
  <c r="L139" i="4"/>
  <c r="U139" i="4" s="1"/>
  <c r="L147" i="4"/>
  <c r="U147" i="4" s="1"/>
  <c r="L98" i="4"/>
  <c r="U98" i="4" s="1"/>
  <c r="L133" i="4"/>
  <c r="U133" i="4" s="1"/>
  <c r="L130" i="4"/>
  <c r="U130" i="4" s="1"/>
  <c r="L93" i="4"/>
  <c r="U93" i="4" s="1"/>
  <c r="L123" i="4"/>
  <c r="U123" i="4" s="1"/>
  <c r="L141" i="4"/>
  <c r="U141" i="4" s="1"/>
  <c r="L142" i="4"/>
  <c r="U142" i="4" s="1"/>
  <c r="L113" i="4"/>
  <c r="U113" i="4" s="1"/>
  <c r="L100" i="4"/>
  <c r="U100" i="4" s="1"/>
  <c r="L144" i="4"/>
  <c r="U144" i="4" s="1"/>
  <c r="L138" i="4"/>
  <c r="U138" i="4" s="1"/>
  <c r="L131" i="4"/>
  <c r="U131" i="4" s="1"/>
  <c r="L111" i="4"/>
  <c r="U111" i="4" s="1"/>
  <c r="L101" i="4"/>
  <c r="U101" i="4" s="1"/>
  <c r="L115" i="4"/>
  <c r="U115" i="4" s="1"/>
  <c r="L99" i="4"/>
  <c r="U99" i="4" s="1"/>
  <c r="L145" i="4"/>
  <c r="U145" i="4" s="1"/>
  <c r="L106" i="4"/>
  <c r="U106" i="4" s="1"/>
  <c r="L116" i="4"/>
  <c r="U116" i="4" s="1"/>
  <c r="L94" i="4"/>
  <c r="U94" i="4" s="1"/>
  <c r="L120" i="4"/>
  <c r="U120" i="4" s="1"/>
  <c r="L126" i="4"/>
  <c r="U126" i="4" s="1"/>
  <c r="L53" i="4"/>
  <c r="U53" i="4" s="1"/>
  <c r="L41" i="4"/>
  <c r="U41" i="4" s="1"/>
  <c r="L43" i="4"/>
  <c r="U43" i="4" s="1"/>
  <c r="L44" i="4"/>
  <c r="U44" i="4" s="1"/>
  <c r="L15" i="4"/>
  <c r="U15" i="4" s="1"/>
  <c r="L63" i="4"/>
  <c r="U63" i="4" s="1"/>
  <c r="L69" i="4"/>
  <c r="U69" i="4" s="1"/>
  <c r="L51" i="4"/>
  <c r="U51" i="4" s="1"/>
  <c r="L23" i="4"/>
  <c r="U23" i="4" s="1"/>
  <c r="L48" i="4"/>
  <c r="U48" i="4" s="1"/>
  <c r="L55" i="4"/>
  <c r="U55" i="4" s="1"/>
  <c r="L17" i="4"/>
  <c r="U17" i="4" s="1"/>
  <c r="L76" i="4"/>
  <c r="U76" i="4" s="1"/>
  <c r="L27" i="4"/>
  <c r="U27" i="4" s="1"/>
  <c r="L67" i="4"/>
  <c r="U67" i="4" s="1"/>
  <c r="L40" i="4"/>
  <c r="U40" i="4" s="1"/>
  <c r="L31" i="4"/>
  <c r="U31" i="4" s="1"/>
  <c r="L42" i="4"/>
  <c r="U42" i="4" s="1"/>
  <c r="L24" i="4"/>
  <c r="U24" i="4" s="1"/>
  <c r="L65" i="4"/>
  <c r="U65" i="4" s="1"/>
  <c r="L26" i="4"/>
  <c r="U26" i="4" s="1"/>
  <c r="L56" i="4"/>
  <c r="U56" i="4" s="1"/>
  <c r="L38" i="4"/>
  <c r="U38" i="4" s="1"/>
  <c r="L49" i="4"/>
  <c r="U49" i="4" s="1"/>
  <c r="L18" i="4"/>
  <c r="U18" i="4" s="1"/>
  <c r="L54" i="4"/>
  <c r="U54" i="4" s="1"/>
  <c r="L68" i="4"/>
  <c r="U68" i="4" s="1"/>
  <c r="L72" i="4"/>
  <c r="U72" i="4" s="1"/>
  <c r="L35" i="4"/>
  <c r="U35" i="4" s="1"/>
  <c r="L21" i="4"/>
  <c r="U21" i="4" s="1"/>
  <c r="L66" i="4"/>
  <c r="U66" i="4" s="1"/>
  <c r="L78" i="4"/>
  <c r="U78" i="4" s="1"/>
  <c r="L74" i="4"/>
  <c r="U74" i="4" s="1"/>
  <c r="L20" i="4"/>
  <c r="U20" i="4" s="1"/>
  <c r="L59" i="4"/>
  <c r="U59" i="4" s="1"/>
  <c r="L28" i="4"/>
  <c r="U28" i="4" s="1"/>
  <c r="L16" i="4"/>
  <c r="U16" i="4" s="1"/>
  <c r="L77" i="4"/>
  <c r="U77" i="4" s="1"/>
  <c r="L39" i="4"/>
  <c r="U39" i="4" s="1"/>
  <c r="L71" i="4"/>
  <c r="U71" i="4" s="1"/>
  <c r="L30" i="4"/>
  <c r="U30" i="4" s="1"/>
  <c r="L62" i="4"/>
  <c r="U62" i="4" s="1"/>
  <c r="L50" i="4"/>
  <c r="U50" i="4" s="1"/>
  <c r="L19" i="4"/>
  <c r="U19" i="4" s="1"/>
  <c r="L75" i="4"/>
  <c r="U75" i="4" s="1"/>
  <c r="L45" i="4"/>
  <c r="U45" i="4" s="1"/>
  <c r="L57" i="4"/>
  <c r="U57" i="4" s="1"/>
  <c r="L79" i="4"/>
  <c r="M79" i="4" s="1"/>
  <c r="L52" i="4"/>
  <c r="U52" i="4" s="1"/>
  <c r="L58" i="4"/>
  <c r="U58" i="4" s="1"/>
  <c r="L70" i="4"/>
  <c r="U70" i="4" s="1"/>
  <c r="L60" i="4"/>
  <c r="U60" i="4" s="1"/>
  <c r="L73" i="4"/>
  <c r="U73" i="4" s="1"/>
  <c r="L64" i="4"/>
  <c r="U64" i="4" s="1"/>
  <c r="L29" i="4"/>
  <c r="U29" i="4" s="1"/>
  <c r="L36" i="4"/>
  <c r="U36" i="4" s="1"/>
  <c r="L61" i="4"/>
  <c r="U61" i="4" s="1"/>
  <c r="L33" i="4"/>
  <c r="U33" i="4" s="1"/>
  <c r="L46" i="4"/>
  <c r="U46" i="4" s="1"/>
  <c r="L47" i="4"/>
  <c r="U47" i="4" s="1"/>
  <c r="L22" i="4"/>
  <c r="U22" i="4" s="1"/>
  <c r="L25" i="4"/>
  <c r="U25" i="4" s="1"/>
  <c r="L32" i="4"/>
  <c r="U32" i="4" s="1"/>
  <c r="L34" i="4"/>
  <c r="U34" i="4" s="1"/>
  <c r="L37" i="4"/>
  <c r="U37" i="4" s="1"/>
  <c r="J9" i="3"/>
  <c r="J8" i="3"/>
  <c r="J7" i="3"/>
  <c r="I7" i="3"/>
  <c r="L221" i="3"/>
  <c r="U221" i="3" s="1"/>
  <c r="L207" i="3"/>
  <c r="U207" i="3" s="1"/>
  <c r="L215" i="3"/>
  <c r="U215" i="3" s="1"/>
  <c r="L191" i="3"/>
  <c r="U191" i="3" s="1"/>
  <c r="L222" i="3"/>
  <c r="U222" i="3" s="1"/>
  <c r="L208" i="3"/>
  <c r="U208" i="3" s="1"/>
  <c r="L211" i="3"/>
  <c r="U211" i="3" s="1"/>
  <c r="L163" i="3"/>
  <c r="U163" i="3" s="1"/>
  <c r="L176" i="3"/>
  <c r="U176" i="3" s="1"/>
  <c r="L213" i="3"/>
  <c r="U213" i="3" s="1"/>
  <c r="L183" i="3"/>
  <c r="U183" i="3" s="1"/>
  <c r="L196" i="3"/>
  <c r="U196" i="3" s="1"/>
  <c r="L193" i="3"/>
  <c r="U193" i="3" s="1"/>
  <c r="L199" i="3"/>
  <c r="U199" i="3" s="1"/>
  <c r="L184" i="3"/>
  <c r="U184" i="3" s="1"/>
  <c r="L169" i="3"/>
  <c r="U169" i="3" s="1"/>
  <c r="L202" i="3"/>
  <c r="U202" i="3" s="1"/>
  <c r="L179" i="3"/>
  <c r="U179" i="3" s="1"/>
  <c r="L195" i="3"/>
  <c r="U195" i="3" s="1"/>
  <c r="L219" i="3"/>
  <c r="U219" i="3" s="1"/>
  <c r="L204" i="3"/>
  <c r="U204" i="3" s="1"/>
  <c r="L170" i="3"/>
  <c r="U170" i="3" s="1"/>
  <c r="L188" i="3"/>
  <c r="U188" i="3" s="1"/>
  <c r="L224" i="3"/>
  <c r="U224" i="3" s="1"/>
  <c r="L209" i="3"/>
  <c r="U209" i="3" s="1"/>
  <c r="L171" i="3"/>
  <c r="U171" i="3" s="1"/>
  <c r="L217" i="3"/>
  <c r="U217" i="3" s="1"/>
  <c r="L180" i="3"/>
  <c r="U180" i="3" s="1"/>
  <c r="L165" i="3"/>
  <c r="U165" i="3" s="1"/>
  <c r="L210" i="3"/>
  <c r="U210" i="3" s="1"/>
  <c r="L168" i="3"/>
  <c r="U168" i="3" s="1"/>
  <c r="L203" i="3"/>
  <c r="U203" i="3" s="1"/>
  <c r="L164" i="3"/>
  <c r="U164" i="3" s="1"/>
  <c r="L214" i="3"/>
  <c r="U214" i="3" s="1"/>
  <c r="L200" i="3"/>
  <c r="U200" i="3" s="1"/>
  <c r="L166" i="3"/>
  <c r="U166" i="3" s="1"/>
  <c r="L187" i="3"/>
  <c r="U187" i="3" s="1"/>
  <c r="L174" i="3"/>
  <c r="U174" i="3" s="1"/>
  <c r="L194" i="3"/>
  <c r="U194" i="3" s="1"/>
  <c r="L197" i="3"/>
  <c r="U197" i="3" s="1"/>
  <c r="L175" i="3"/>
  <c r="U175" i="3" s="1"/>
  <c r="L220" i="3"/>
  <c r="U220" i="3" s="1"/>
  <c r="L186" i="3"/>
  <c r="U186" i="3" s="1"/>
  <c r="L173" i="3"/>
  <c r="U173" i="3" s="1"/>
  <c r="L212" i="3"/>
  <c r="U212" i="3" s="1"/>
  <c r="L177" i="3"/>
  <c r="U177" i="3" s="1"/>
  <c r="L225" i="3"/>
  <c r="U225" i="3" s="1"/>
  <c r="L185" i="3"/>
  <c r="U185" i="3" s="1"/>
  <c r="L206" i="3"/>
  <c r="U206" i="3" s="1"/>
  <c r="L205" i="3"/>
  <c r="U205" i="3" s="1"/>
  <c r="L178" i="3"/>
  <c r="U178" i="3" s="1"/>
  <c r="L223" i="3"/>
  <c r="U223" i="3" s="1"/>
  <c r="L181" i="3"/>
  <c r="U181" i="3" s="1"/>
  <c r="L226" i="3"/>
  <c r="U226" i="3" s="1"/>
  <c r="L189" i="3"/>
  <c r="U189" i="3" s="1"/>
  <c r="L182" i="3"/>
  <c r="U182" i="3" s="1"/>
  <c r="L216" i="3"/>
  <c r="U216" i="3" s="1"/>
  <c r="L198" i="3"/>
  <c r="U198" i="3" s="1"/>
  <c r="L218" i="3"/>
  <c r="U218" i="3" s="1"/>
  <c r="L192" i="3"/>
  <c r="U192" i="3" s="1"/>
  <c r="L172" i="3"/>
  <c r="U172" i="3" s="1"/>
  <c r="L201" i="3"/>
  <c r="U201" i="3" s="1"/>
  <c r="L167" i="3"/>
  <c r="U167" i="3" s="1"/>
  <c r="L190" i="3"/>
  <c r="U190" i="3" s="1"/>
  <c r="L106" i="3"/>
  <c r="U106" i="3" s="1"/>
  <c r="L131" i="3"/>
  <c r="U131" i="3" s="1"/>
  <c r="L118" i="3"/>
  <c r="U118" i="3" s="1"/>
  <c r="L127" i="3"/>
  <c r="U127" i="3" s="1"/>
  <c r="L112" i="3"/>
  <c r="U112" i="3" s="1"/>
  <c r="L102" i="3"/>
  <c r="U102" i="3" s="1"/>
  <c r="L88" i="3"/>
  <c r="U88" i="3" s="1"/>
  <c r="L132" i="3"/>
  <c r="U132" i="3" s="1"/>
  <c r="L103" i="3"/>
  <c r="U103" i="3" s="1"/>
  <c r="L129" i="3"/>
  <c r="U129" i="3" s="1"/>
  <c r="L93" i="3"/>
  <c r="U93" i="3" s="1"/>
  <c r="L98" i="3"/>
  <c r="U98" i="3" s="1"/>
  <c r="L125" i="3"/>
  <c r="U125" i="3" s="1"/>
  <c r="L141" i="3"/>
  <c r="U141" i="3" s="1"/>
  <c r="L92" i="3"/>
  <c r="U92" i="3" s="1"/>
  <c r="L117" i="3"/>
  <c r="U117" i="3" s="1"/>
  <c r="L100" i="3"/>
  <c r="U100" i="3" s="1"/>
  <c r="L148" i="3"/>
  <c r="U148" i="3" s="1"/>
  <c r="L95" i="3"/>
  <c r="U95" i="3" s="1"/>
  <c r="L140" i="3"/>
  <c r="U140" i="3" s="1"/>
  <c r="L149" i="3"/>
  <c r="U149" i="3" s="1"/>
  <c r="L113" i="3"/>
  <c r="U113" i="3" s="1"/>
  <c r="L137" i="3"/>
  <c r="U137" i="3" s="1"/>
  <c r="L115" i="3"/>
  <c r="U115" i="3" s="1"/>
  <c r="L142" i="3"/>
  <c r="U142" i="3" s="1"/>
  <c r="L145" i="3"/>
  <c r="U145" i="3" s="1"/>
  <c r="L143" i="3"/>
  <c r="U143" i="3" s="1"/>
  <c r="L138" i="3"/>
  <c r="U138" i="3" s="1"/>
  <c r="L133" i="3"/>
  <c r="U133" i="3" s="1"/>
  <c r="L94" i="3"/>
  <c r="U94" i="3" s="1"/>
  <c r="L97" i="3"/>
  <c r="U97" i="3" s="1"/>
  <c r="L99" i="3"/>
  <c r="U99" i="3" s="1"/>
  <c r="L135" i="3"/>
  <c r="U135" i="3" s="1"/>
  <c r="L122" i="3"/>
  <c r="U122" i="3" s="1"/>
  <c r="L146" i="3"/>
  <c r="U146" i="3" s="1"/>
  <c r="L110" i="3"/>
  <c r="U110" i="3" s="1"/>
  <c r="L89" i="3"/>
  <c r="U89" i="3" s="1"/>
  <c r="L123" i="3"/>
  <c r="U123" i="3" s="1"/>
  <c r="L90" i="3"/>
  <c r="U90" i="3" s="1"/>
  <c r="L101" i="3"/>
  <c r="U101" i="3" s="1"/>
  <c r="L147" i="3"/>
  <c r="U147" i="3" s="1"/>
  <c r="L128" i="3"/>
  <c r="U128" i="3" s="1"/>
  <c r="L119" i="3"/>
  <c r="U119" i="3" s="1"/>
  <c r="L121" i="3"/>
  <c r="U121" i="3" s="1"/>
  <c r="L96" i="3"/>
  <c r="U96" i="3" s="1"/>
  <c r="L104" i="3"/>
  <c r="U104" i="3" s="1"/>
  <c r="L86" i="3"/>
  <c r="U86" i="3" s="1"/>
  <c r="L108" i="3"/>
  <c r="U108" i="3" s="1"/>
  <c r="L124" i="3"/>
  <c r="U124" i="3" s="1"/>
  <c r="L114" i="3"/>
  <c r="U114" i="3" s="1"/>
  <c r="L134" i="3"/>
  <c r="U134" i="3" s="1"/>
  <c r="L116" i="3"/>
  <c r="U116" i="3" s="1"/>
  <c r="L144" i="3"/>
  <c r="U144" i="3" s="1"/>
  <c r="L87" i="3"/>
  <c r="U87" i="3" s="1"/>
  <c r="L91" i="3"/>
  <c r="U91" i="3" s="1"/>
  <c r="L111" i="3"/>
  <c r="U111" i="3" s="1"/>
  <c r="L107" i="3"/>
  <c r="U107" i="3" s="1"/>
  <c r="L120" i="3"/>
  <c r="U120" i="3" s="1"/>
  <c r="L130" i="3"/>
  <c r="U130" i="3" s="1"/>
  <c r="L126" i="3"/>
  <c r="U126" i="3" s="1"/>
  <c r="L139" i="3"/>
  <c r="U139" i="3" s="1"/>
  <c r="L136" i="3"/>
  <c r="U136" i="3" s="1"/>
  <c r="L105" i="3"/>
  <c r="U105" i="3" s="1"/>
  <c r="L109" i="3"/>
  <c r="U109" i="3" s="1"/>
  <c r="L73" i="3"/>
  <c r="U73" i="3" s="1"/>
  <c r="L35" i="3"/>
  <c r="U35" i="3" s="1"/>
  <c r="L32" i="3"/>
  <c r="U32" i="3" s="1"/>
  <c r="L37" i="3"/>
  <c r="U37" i="3" s="1"/>
  <c r="L36" i="3"/>
  <c r="U36" i="3" s="1"/>
  <c r="L58" i="3"/>
  <c r="U58" i="3" s="1"/>
  <c r="L54" i="3"/>
  <c r="U54" i="3" s="1"/>
  <c r="L31" i="3"/>
  <c r="U31" i="3" s="1"/>
  <c r="L24" i="3"/>
  <c r="U24" i="3" s="1"/>
  <c r="L22" i="3"/>
  <c r="U22" i="3" s="1"/>
  <c r="L26" i="3"/>
  <c r="U26" i="3" s="1"/>
  <c r="L34" i="3"/>
  <c r="U34" i="3" s="1"/>
  <c r="L61" i="3"/>
  <c r="U61" i="3" s="1"/>
  <c r="L76" i="3"/>
  <c r="U76" i="3" s="1"/>
  <c r="L56" i="3"/>
  <c r="U56" i="3" s="1"/>
  <c r="L16" i="3"/>
  <c r="U16" i="3" s="1"/>
  <c r="L43" i="3"/>
  <c r="U43" i="3" s="1"/>
  <c r="L60" i="3"/>
  <c r="U60" i="3" s="1"/>
  <c r="L77" i="3"/>
  <c r="U77" i="3" s="1"/>
  <c r="L23" i="3"/>
  <c r="U23" i="3" s="1"/>
  <c r="L15" i="3"/>
  <c r="U15" i="3" s="1"/>
  <c r="L67" i="3"/>
  <c r="U67" i="3" s="1"/>
  <c r="L75" i="3"/>
  <c r="U75" i="3" s="1"/>
  <c r="L39" i="3"/>
  <c r="U39" i="3" s="1"/>
  <c r="L27" i="3"/>
  <c r="U27" i="3" s="1"/>
  <c r="L63" i="3"/>
  <c r="U63" i="3" s="1"/>
  <c r="L57" i="3"/>
  <c r="U57" i="3" s="1"/>
  <c r="L41" i="3"/>
  <c r="U41" i="3" s="1"/>
  <c r="L20" i="3"/>
  <c r="U20" i="3" s="1"/>
  <c r="L47" i="3"/>
  <c r="U47" i="3" s="1"/>
  <c r="L69" i="3"/>
  <c r="U69" i="3" s="1"/>
  <c r="L38" i="3"/>
  <c r="U38" i="3" s="1"/>
  <c r="L70" i="3"/>
  <c r="U70" i="3" s="1"/>
  <c r="L45" i="3"/>
  <c r="U45" i="3" s="1"/>
  <c r="L21" i="3"/>
  <c r="U21" i="3" s="1"/>
  <c r="L33" i="3"/>
  <c r="U33" i="3" s="1"/>
  <c r="L66" i="3"/>
  <c r="U66" i="3" s="1"/>
  <c r="L68" i="3"/>
  <c r="U68" i="3" s="1"/>
  <c r="L52" i="3"/>
  <c r="U52" i="3" s="1"/>
  <c r="L59" i="3"/>
  <c r="U59" i="3" s="1"/>
  <c r="L55" i="3"/>
  <c r="U55" i="3" s="1"/>
  <c r="L49" i="3"/>
  <c r="U49" i="3" s="1"/>
  <c r="L44" i="3"/>
  <c r="U44" i="3" s="1"/>
  <c r="L46" i="3"/>
  <c r="U46" i="3" s="1"/>
  <c r="L64" i="3"/>
  <c r="U64" i="3" s="1"/>
  <c r="L72" i="3"/>
  <c r="U72" i="3" s="1"/>
  <c r="L28" i="3"/>
  <c r="U28" i="3" s="1"/>
  <c r="L71" i="3"/>
  <c r="U71" i="3" s="1"/>
  <c r="L29" i="3"/>
  <c r="U29" i="3" s="1"/>
  <c r="L62" i="3"/>
  <c r="U62" i="3" s="1"/>
  <c r="L65" i="3"/>
  <c r="U65" i="3" s="1"/>
  <c r="L40" i="3"/>
  <c r="U40" i="3" s="1"/>
  <c r="L42" i="3"/>
  <c r="U42" i="3" s="1"/>
  <c r="L30" i="3"/>
  <c r="U30" i="3" s="1"/>
  <c r="L51" i="3"/>
  <c r="U51" i="3" s="1"/>
  <c r="L50" i="3"/>
  <c r="U50" i="3" s="1"/>
  <c r="L19" i="3"/>
  <c r="U19" i="3" s="1"/>
  <c r="L18" i="3"/>
  <c r="U18" i="3" s="1"/>
  <c r="L25" i="3"/>
  <c r="U25" i="3" s="1"/>
  <c r="L74" i="3"/>
  <c r="U74" i="3" s="1"/>
  <c r="L78" i="3"/>
  <c r="U78" i="3" s="1"/>
  <c r="L48" i="3"/>
  <c r="U48" i="3" s="1"/>
  <c r="L53" i="3"/>
  <c r="U53" i="3" s="1"/>
  <c r="L17" i="3"/>
  <c r="U17" i="3" s="1"/>
  <c r="L79" i="3"/>
  <c r="M79" i="3" s="1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279" i="3" l="1"/>
  <c r="Q279" i="3"/>
  <c r="M266" i="3"/>
  <c r="Q266" i="3"/>
  <c r="M265" i="3"/>
  <c r="Q265" i="3"/>
  <c r="M270" i="3"/>
  <c r="Q270" i="3"/>
  <c r="M284" i="3"/>
  <c r="Q284" i="3"/>
  <c r="M278" i="3"/>
  <c r="Q278" i="3"/>
  <c r="M247" i="3"/>
  <c r="Q247" i="3"/>
  <c r="M249" i="3"/>
  <c r="Q249" i="3"/>
  <c r="M264" i="3"/>
  <c r="Q264" i="3"/>
  <c r="M248" i="3"/>
  <c r="Q248" i="3"/>
  <c r="M281" i="3"/>
  <c r="Q281" i="3"/>
  <c r="M289" i="3"/>
  <c r="Q289" i="3"/>
  <c r="M241" i="3"/>
  <c r="Q241" i="3"/>
  <c r="M290" i="3"/>
  <c r="Q290" i="3"/>
  <c r="M288" i="3"/>
  <c r="Q288" i="3"/>
  <c r="M292" i="3"/>
  <c r="Q292" i="3"/>
  <c r="M287" i="3"/>
  <c r="Q287" i="3"/>
  <c r="M274" i="3"/>
  <c r="Q274" i="3"/>
  <c r="M234" i="3"/>
  <c r="Q234" i="3"/>
  <c r="M293" i="3"/>
  <c r="Q293" i="3"/>
  <c r="M294" i="3"/>
  <c r="Q294" i="3"/>
  <c r="M250" i="3"/>
  <c r="Q250" i="3"/>
  <c r="M252" i="3"/>
  <c r="Q252" i="3"/>
  <c r="M255" i="3"/>
  <c r="Q255" i="3"/>
  <c r="M263" i="3"/>
  <c r="Q263" i="3"/>
  <c r="M269" i="3"/>
  <c r="Q269" i="3"/>
  <c r="M268" i="3"/>
  <c r="Q268" i="3"/>
  <c r="M240" i="3"/>
  <c r="Q240" i="3"/>
  <c r="M238" i="3"/>
  <c r="Q238" i="3"/>
  <c r="M277" i="3"/>
  <c r="Q277" i="3"/>
  <c r="M258" i="3"/>
  <c r="Q258" i="3"/>
  <c r="M242" i="3"/>
  <c r="Q242" i="3"/>
  <c r="M235" i="3"/>
  <c r="Q235" i="3"/>
  <c r="M244" i="3"/>
  <c r="Q244" i="3"/>
  <c r="M237" i="3"/>
  <c r="Q237" i="3"/>
  <c r="M276" i="3"/>
  <c r="Q276" i="3"/>
  <c r="M291" i="3"/>
  <c r="Q291" i="3"/>
  <c r="M275" i="3"/>
  <c r="Q275" i="3"/>
  <c r="M272" i="3"/>
  <c r="Q272" i="3"/>
  <c r="M243" i="3"/>
  <c r="Q243" i="3"/>
  <c r="M271" i="3"/>
  <c r="Q271" i="3"/>
  <c r="M245" i="3"/>
  <c r="Q245" i="3"/>
  <c r="M254" i="3"/>
  <c r="Q254" i="3"/>
  <c r="M253" i="3"/>
  <c r="Q253" i="3"/>
  <c r="M259" i="3"/>
  <c r="Q259" i="3"/>
  <c r="M251" i="3"/>
  <c r="Q251" i="3"/>
  <c r="M236" i="3"/>
  <c r="Q236" i="3"/>
  <c r="M260" i="3"/>
  <c r="Q260" i="3"/>
  <c r="M285" i="3"/>
  <c r="Q285" i="3"/>
  <c r="M286" i="3"/>
  <c r="Q286" i="3"/>
  <c r="M246" i="3"/>
  <c r="Q246" i="3"/>
  <c r="M261" i="3"/>
  <c r="Q261" i="3"/>
  <c r="M267" i="3"/>
  <c r="Q267" i="3"/>
  <c r="M273" i="3"/>
  <c r="Q273" i="3"/>
  <c r="M297" i="3"/>
  <c r="Q297" i="3"/>
  <c r="M280" i="3"/>
  <c r="Q280" i="3"/>
  <c r="M295" i="3"/>
  <c r="Q295" i="3"/>
  <c r="M262" i="3"/>
  <c r="Q262" i="3"/>
  <c r="M256" i="3"/>
  <c r="Q256" i="3"/>
  <c r="M296" i="3"/>
  <c r="Q296" i="3"/>
  <c r="M282" i="3"/>
  <c r="Q282" i="3"/>
  <c r="M257" i="3"/>
  <c r="Q257" i="3"/>
  <c r="M239" i="3"/>
  <c r="Q239" i="3"/>
  <c r="M132" i="4"/>
  <c r="Q132" i="4"/>
  <c r="M146" i="4"/>
  <c r="Q146" i="4"/>
  <c r="M108" i="4"/>
  <c r="Q108" i="4"/>
  <c r="M100" i="4"/>
  <c r="Q100" i="4"/>
  <c r="M113" i="4"/>
  <c r="Q113" i="4"/>
  <c r="M142" i="4"/>
  <c r="Q142" i="4"/>
  <c r="M141" i="4"/>
  <c r="Q141" i="4"/>
  <c r="M143" i="4"/>
  <c r="Q143" i="4"/>
  <c r="M104" i="4"/>
  <c r="Q104" i="4"/>
  <c r="M123" i="4"/>
  <c r="Q123" i="4"/>
  <c r="M95" i="4"/>
  <c r="Q95" i="4"/>
  <c r="M134" i="4"/>
  <c r="Q134" i="4"/>
  <c r="M93" i="4"/>
  <c r="Q93" i="4"/>
  <c r="M97" i="4"/>
  <c r="Q97" i="4"/>
  <c r="M117" i="4"/>
  <c r="Q117" i="4"/>
  <c r="M130" i="4"/>
  <c r="Q130" i="4"/>
  <c r="M90" i="4"/>
  <c r="Q90" i="4"/>
  <c r="M112" i="4"/>
  <c r="Q112" i="4"/>
  <c r="M106" i="4"/>
  <c r="Q106" i="4"/>
  <c r="M145" i="4"/>
  <c r="Q145" i="4"/>
  <c r="M137" i="4"/>
  <c r="Q137" i="4"/>
  <c r="M105" i="4"/>
  <c r="Q105" i="4"/>
  <c r="M131" i="4"/>
  <c r="Q131" i="4"/>
  <c r="M136" i="4"/>
  <c r="Q136" i="4"/>
  <c r="M126" i="4"/>
  <c r="Q126" i="4"/>
  <c r="M133" i="4"/>
  <c r="Q133" i="4"/>
  <c r="M135" i="4"/>
  <c r="Q135" i="4"/>
  <c r="M103" i="4"/>
  <c r="Q103" i="4"/>
  <c r="M109" i="4"/>
  <c r="Q109" i="4"/>
  <c r="M99" i="4"/>
  <c r="Q99" i="4"/>
  <c r="M119" i="4"/>
  <c r="Q119" i="4"/>
  <c r="M101" i="4"/>
  <c r="Q101" i="4"/>
  <c r="M111" i="4"/>
  <c r="Q111" i="4"/>
  <c r="M138" i="4"/>
  <c r="Q138" i="4"/>
  <c r="M98" i="4"/>
  <c r="Q98" i="4"/>
  <c r="M102" i="4"/>
  <c r="Q102" i="4"/>
  <c r="M148" i="4"/>
  <c r="Q148" i="4"/>
  <c r="M91" i="4"/>
  <c r="Q91" i="4"/>
  <c r="M92" i="4"/>
  <c r="Q92" i="4"/>
  <c r="M115" i="4"/>
  <c r="Q115" i="4"/>
  <c r="M129" i="4"/>
  <c r="Q129" i="4"/>
  <c r="M88" i="4"/>
  <c r="Q88" i="4"/>
  <c r="M89" i="4"/>
  <c r="Q89" i="4"/>
  <c r="M118" i="4"/>
  <c r="Q118" i="4"/>
  <c r="M127" i="4"/>
  <c r="Q127" i="4"/>
  <c r="M124" i="4"/>
  <c r="Q124" i="4"/>
  <c r="M96" i="4"/>
  <c r="Q96" i="4"/>
  <c r="M128" i="4"/>
  <c r="Q128" i="4"/>
  <c r="M87" i="4"/>
  <c r="Q87" i="4"/>
  <c r="M86" i="4"/>
  <c r="Q86" i="4"/>
  <c r="M122" i="4"/>
  <c r="Q122" i="4"/>
  <c r="M144" i="4"/>
  <c r="Q144" i="4"/>
  <c r="M114" i="4"/>
  <c r="Q114" i="4"/>
  <c r="M125" i="4"/>
  <c r="Q125" i="4"/>
  <c r="M121" i="4"/>
  <c r="Q121" i="4"/>
  <c r="M120" i="4"/>
  <c r="Q120" i="4"/>
  <c r="M94" i="4"/>
  <c r="Q94" i="4"/>
  <c r="M147" i="4"/>
  <c r="Q147" i="4"/>
  <c r="M149" i="4"/>
  <c r="Q149" i="4"/>
  <c r="M110" i="4"/>
  <c r="Q110" i="4"/>
  <c r="M116" i="4"/>
  <c r="Q116" i="4"/>
  <c r="M139" i="4"/>
  <c r="Q139" i="4"/>
  <c r="M107" i="4"/>
  <c r="Q107" i="4"/>
  <c r="M140" i="4"/>
  <c r="Q140" i="4"/>
  <c r="M65" i="4"/>
  <c r="Q65" i="4"/>
  <c r="M39" i="4"/>
  <c r="Q39" i="4"/>
  <c r="M36" i="4"/>
  <c r="Q36" i="4"/>
  <c r="M29" i="4"/>
  <c r="Q29" i="4"/>
  <c r="M64" i="4"/>
  <c r="Q64" i="4"/>
  <c r="M76" i="4"/>
  <c r="Q76" i="4"/>
  <c r="M17" i="4"/>
  <c r="Q17" i="4"/>
  <c r="M23" i="4"/>
  <c r="Q23" i="4"/>
  <c r="M51" i="4"/>
  <c r="Q51" i="4"/>
  <c r="M69" i="4"/>
  <c r="Q69" i="4"/>
  <c r="M37" i="4"/>
  <c r="Q37" i="4"/>
  <c r="M75" i="4"/>
  <c r="Q75" i="4"/>
  <c r="M18" i="4"/>
  <c r="Q18" i="4"/>
  <c r="M15" i="4"/>
  <c r="Q15" i="4"/>
  <c r="M33" i="4"/>
  <c r="Q33" i="4"/>
  <c r="M61" i="4"/>
  <c r="Q61" i="4"/>
  <c r="M73" i="4"/>
  <c r="Q73" i="4"/>
  <c r="M78" i="4"/>
  <c r="Q78" i="4"/>
  <c r="M55" i="4"/>
  <c r="Q55" i="4"/>
  <c r="M63" i="4"/>
  <c r="Q63" i="4"/>
  <c r="M34" i="4"/>
  <c r="Q34" i="4"/>
  <c r="M19" i="4"/>
  <c r="Q19" i="4"/>
  <c r="M49" i="4"/>
  <c r="Q49" i="4"/>
  <c r="M44" i="4"/>
  <c r="Q44" i="4"/>
  <c r="M71" i="4"/>
  <c r="Q71" i="4"/>
  <c r="M24" i="4"/>
  <c r="Q24" i="4"/>
  <c r="M31" i="4"/>
  <c r="Q31" i="4"/>
  <c r="M28" i="4"/>
  <c r="Q28" i="4"/>
  <c r="M66" i="4"/>
  <c r="Q66" i="4"/>
  <c r="M48" i="4"/>
  <c r="Q48" i="4"/>
  <c r="M32" i="4"/>
  <c r="Q32" i="4"/>
  <c r="M50" i="4"/>
  <c r="Q50" i="4"/>
  <c r="M38" i="4"/>
  <c r="Q38" i="4"/>
  <c r="M43" i="4"/>
  <c r="Q43" i="4"/>
  <c r="M47" i="4"/>
  <c r="Q47" i="4"/>
  <c r="M42" i="4"/>
  <c r="Q42" i="4"/>
  <c r="M16" i="4"/>
  <c r="Q16" i="4"/>
  <c r="M67" i="4"/>
  <c r="Q67" i="4"/>
  <c r="M20" i="4"/>
  <c r="Q20" i="4"/>
  <c r="M60" i="4"/>
  <c r="Q60" i="4"/>
  <c r="M58" i="4"/>
  <c r="Q58" i="4"/>
  <c r="M35" i="4"/>
  <c r="Q35" i="4"/>
  <c r="M68" i="4"/>
  <c r="Q68" i="4"/>
  <c r="M45" i="4"/>
  <c r="Q45" i="4"/>
  <c r="M25" i="4"/>
  <c r="Q25" i="4"/>
  <c r="M62" i="4"/>
  <c r="Q62" i="4"/>
  <c r="M56" i="4"/>
  <c r="Q56" i="4"/>
  <c r="M41" i="4"/>
  <c r="Q41" i="4"/>
  <c r="M46" i="4"/>
  <c r="Q46" i="4"/>
  <c r="M77" i="4"/>
  <c r="Q77" i="4"/>
  <c r="M40" i="4"/>
  <c r="Q40" i="4"/>
  <c r="M59" i="4"/>
  <c r="Q59" i="4"/>
  <c r="M27" i="4"/>
  <c r="Q27" i="4"/>
  <c r="M74" i="4"/>
  <c r="Q74" i="4"/>
  <c r="M70" i="4"/>
  <c r="Q70" i="4"/>
  <c r="M21" i="4"/>
  <c r="Q21" i="4"/>
  <c r="M52" i="4"/>
  <c r="Q52" i="4"/>
  <c r="M72" i="4"/>
  <c r="Q72" i="4"/>
  <c r="M57" i="4"/>
  <c r="Q57" i="4"/>
  <c r="M54" i="4"/>
  <c r="Q54" i="4"/>
  <c r="M22" i="4"/>
  <c r="Q22" i="4"/>
  <c r="M30" i="4"/>
  <c r="Q30" i="4"/>
  <c r="M26" i="4"/>
  <c r="Q26" i="4"/>
  <c r="M53" i="4"/>
  <c r="Q53" i="4"/>
  <c r="M218" i="3"/>
  <c r="Q218" i="3"/>
  <c r="M198" i="3"/>
  <c r="Q198" i="3"/>
  <c r="M202" i="3"/>
  <c r="Q202" i="3"/>
  <c r="M164" i="3"/>
  <c r="Q164" i="3"/>
  <c r="M178" i="3"/>
  <c r="Q178" i="3"/>
  <c r="M168" i="3"/>
  <c r="Q168" i="3"/>
  <c r="M183" i="3"/>
  <c r="Q183" i="3"/>
  <c r="M205" i="3"/>
  <c r="Q205" i="3"/>
  <c r="M210" i="3"/>
  <c r="Q210" i="3"/>
  <c r="M213" i="3"/>
  <c r="Q213" i="3"/>
  <c r="M182" i="3"/>
  <c r="Q182" i="3"/>
  <c r="M196" i="3"/>
  <c r="Q196" i="3"/>
  <c r="M185" i="3"/>
  <c r="Q185" i="3"/>
  <c r="M180" i="3"/>
  <c r="Q180" i="3"/>
  <c r="M163" i="3"/>
  <c r="Q163" i="3"/>
  <c r="M200" i="3"/>
  <c r="Q200" i="3"/>
  <c r="M223" i="3"/>
  <c r="Q223" i="3"/>
  <c r="M225" i="3"/>
  <c r="Q225" i="3"/>
  <c r="M217" i="3"/>
  <c r="Q217" i="3"/>
  <c r="M211" i="3"/>
  <c r="Q211" i="3"/>
  <c r="M203" i="3"/>
  <c r="Q203" i="3"/>
  <c r="M177" i="3"/>
  <c r="Q177" i="3"/>
  <c r="M171" i="3"/>
  <c r="Q171" i="3"/>
  <c r="M208" i="3"/>
  <c r="Q208" i="3"/>
  <c r="M216" i="3"/>
  <c r="Q216" i="3"/>
  <c r="M189" i="3"/>
  <c r="Q189" i="3"/>
  <c r="M212" i="3"/>
  <c r="Q212" i="3"/>
  <c r="M209" i="3"/>
  <c r="Q209" i="3"/>
  <c r="M222" i="3"/>
  <c r="Q222" i="3"/>
  <c r="M184" i="3"/>
  <c r="Q184" i="3"/>
  <c r="M193" i="3"/>
  <c r="Q193" i="3"/>
  <c r="M190" i="3"/>
  <c r="Q190" i="3"/>
  <c r="M173" i="3"/>
  <c r="Q173" i="3"/>
  <c r="M224" i="3"/>
  <c r="Q224" i="3"/>
  <c r="M191" i="3"/>
  <c r="Q191" i="3"/>
  <c r="M219" i="3"/>
  <c r="Q219" i="3"/>
  <c r="M195" i="3"/>
  <c r="Q195" i="3"/>
  <c r="M179" i="3"/>
  <c r="Q179" i="3"/>
  <c r="M187" i="3"/>
  <c r="Q187" i="3"/>
  <c r="M169" i="3"/>
  <c r="Q169" i="3"/>
  <c r="M199" i="3"/>
  <c r="Q199" i="3"/>
  <c r="M206" i="3"/>
  <c r="Q206" i="3"/>
  <c r="M167" i="3"/>
  <c r="Q167" i="3"/>
  <c r="M186" i="3"/>
  <c r="Q186" i="3"/>
  <c r="M188" i="3"/>
  <c r="Q188" i="3"/>
  <c r="M215" i="3"/>
  <c r="Q215" i="3"/>
  <c r="M192" i="3"/>
  <c r="Q192" i="3"/>
  <c r="M214" i="3"/>
  <c r="Q214" i="3"/>
  <c r="M181" i="3"/>
  <c r="Q181" i="3"/>
  <c r="M165" i="3"/>
  <c r="Q165" i="3"/>
  <c r="M201" i="3"/>
  <c r="Q201" i="3"/>
  <c r="M220" i="3"/>
  <c r="Q220" i="3"/>
  <c r="M170" i="3"/>
  <c r="Q170" i="3"/>
  <c r="M207" i="3"/>
  <c r="Q207" i="3"/>
  <c r="M197" i="3"/>
  <c r="Q197" i="3"/>
  <c r="M194" i="3"/>
  <c r="Q194" i="3"/>
  <c r="M174" i="3"/>
  <c r="Q174" i="3"/>
  <c r="M166" i="3"/>
  <c r="Q166" i="3"/>
  <c r="M226" i="3"/>
  <c r="Q226" i="3"/>
  <c r="M176" i="3"/>
  <c r="Q176" i="3"/>
  <c r="M172" i="3"/>
  <c r="Q172" i="3"/>
  <c r="M175" i="3"/>
  <c r="Q175" i="3"/>
  <c r="M204" i="3"/>
  <c r="Q204" i="3"/>
  <c r="M221" i="3"/>
  <c r="Q221" i="3"/>
  <c r="Q106" i="3"/>
  <c r="M106" i="3"/>
  <c r="M148" i="3"/>
  <c r="Q148" i="3"/>
  <c r="M111" i="3"/>
  <c r="Q111" i="3"/>
  <c r="M110" i="3"/>
  <c r="Q110" i="3"/>
  <c r="M117" i="3"/>
  <c r="Q117" i="3"/>
  <c r="M91" i="3"/>
  <c r="Q91" i="3"/>
  <c r="M146" i="3"/>
  <c r="Q146" i="3"/>
  <c r="M92" i="3"/>
  <c r="Q92" i="3"/>
  <c r="M87" i="3"/>
  <c r="Q87" i="3"/>
  <c r="M122" i="3"/>
  <c r="Q122" i="3"/>
  <c r="M141" i="3"/>
  <c r="Q141" i="3"/>
  <c r="M144" i="3"/>
  <c r="Q144" i="3"/>
  <c r="M135" i="3"/>
  <c r="Q135" i="3"/>
  <c r="M125" i="3"/>
  <c r="Q125" i="3"/>
  <c r="M108" i="3"/>
  <c r="Q108" i="3"/>
  <c r="M138" i="3"/>
  <c r="Q138" i="3"/>
  <c r="M132" i="3"/>
  <c r="Q132" i="3"/>
  <c r="M103" i="3"/>
  <c r="Q103" i="3"/>
  <c r="M86" i="3"/>
  <c r="Q86" i="3"/>
  <c r="M143" i="3"/>
  <c r="Q143" i="3"/>
  <c r="M88" i="3"/>
  <c r="Q88" i="3"/>
  <c r="M104" i="3"/>
  <c r="Q104" i="3"/>
  <c r="M145" i="3"/>
  <c r="Q145" i="3"/>
  <c r="M102" i="3"/>
  <c r="Q102" i="3"/>
  <c r="M96" i="3"/>
  <c r="Q96" i="3"/>
  <c r="M142" i="3"/>
  <c r="Q142" i="3"/>
  <c r="M112" i="3"/>
  <c r="Q112" i="3"/>
  <c r="M95" i="3"/>
  <c r="Q95" i="3"/>
  <c r="M99" i="3"/>
  <c r="Q99" i="3"/>
  <c r="M134" i="3"/>
  <c r="Q134" i="3"/>
  <c r="M129" i="3"/>
  <c r="Q129" i="3"/>
  <c r="M109" i="3"/>
  <c r="Q109" i="3"/>
  <c r="M121" i="3"/>
  <c r="Q121" i="3"/>
  <c r="M115" i="3"/>
  <c r="Q115" i="3"/>
  <c r="M127" i="3"/>
  <c r="Q127" i="3"/>
  <c r="M120" i="3"/>
  <c r="Q120" i="3"/>
  <c r="M100" i="3"/>
  <c r="Q100" i="3"/>
  <c r="M93" i="3"/>
  <c r="Q93" i="3"/>
  <c r="M114" i="3"/>
  <c r="Q114" i="3"/>
  <c r="M124" i="3"/>
  <c r="Q124" i="3"/>
  <c r="M105" i="3"/>
  <c r="Q105" i="3"/>
  <c r="M119" i="3"/>
  <c r="Q119" i="3"/>
  <c r="M137" i="3"/>
  <c r="Q137" i="3"/>
  <c r="M118" i="3"/>
  <c r="Q118" i="3"/>
  <c r="M130" i="3"/>
  <c r="Q130" i="3"/>
  <c r="M123" i="3"/>
  <c r="Q123" i="3"/>
  <c r="M98" i="3"/>
  <c r="Q98" i="3"/>
  <c r="M136" i="3"/>
  <c r="Q136" i="3"/>
  <c r="M128" i="3"/>
  <c r="Q128" i="3"/>
  <c r="M113" i="3"/>
  <c r="Q113" i="3"/>
  <c r="M131" i="3"/>
  <c r="Q131" i="3"/>
  <c r="M89" i="3"/>
  <c r="Q89" i="3"/>
  <c r="M94" i="3"/>
  <c r="Q94" i="3"/>
  <c r="M133" i="3"/>
  <c r="Q133" i="3"/>
  <c r="M139" i="3"/>
  <c r="Q139" i="3"/>
  <c r="M147" i="3"/>
  <c r="Q147" i="3"/>
  <c r="M149" i="3"/>
  <c r="Q149" i="3"/>
  <c r="M90" i="3"/>
  <c r="Q90" i="3"/>
  <c r="M107" i="3"/>
  <c r="Q107" i="3"/>
  <c r="M116" i="3"/>
  <c r="Q116" i="3"/>
  <c r="M97" i="3"/>
  <c r="Q97" i="3"/>
  <c r="M126" i="3"/>
  <c r="Q126" i="3"/>
  <c r="M101" i="3"/>
  <c r="Q101" i="3"/>
  <c r="M140" i="3"/>
  <c r="Q140" i="3"/>
  <c r="M26" i="3"/>
  <c r="Q26" i="3"/>
  <c r="M74" i="3"/>
  <c r="Q74" i="3"/>
  <c r="M59" i="3"/>
  <c r="Q59" i="3"/>
  <c r="M23" i="3"/>
  <c r="Q23" i="3"/>
  <c r="M25" i="3"/>
  <c r="Q25" i="3"/>
  <c r="M18" i="3"/>
  <c r="Q18" i="3"/>
  <c r="M66" i="3"/>
  <c r="Q66" i="3"/>
  <c r="M21" i="3"/>
  <c r="Q21" i="3"/>
  <c r="M76" i="3"/>
  <c r="Q76" i="3"/>
  <c r="M42" i="3"/>
  <c r="Q42" i="3"/>
  <c r="M40" i="3"/>
  <c r="Q40" i="3"/>
  <c r="M29" i="3"/>
  <c r="Q29" i="3"/>
  <c r="M20" i="3"/>
  <c r="Q20" i="3"/>
  <c r="M24" i="3"/>
  <c r="Q24" i="3"/>
  <c r="M71" i="3"/>
  <c r="Q71" i="3"/>
  <c r="M41" i="3"/>
  <c r="Q41" i="3"/>
  <c r="M31" i="3"/>
  <c r="Q31" i="3"/>
  <c r="M72" i="3"/>
  <c r="Q72" i="3"/>
  <c r="M63" i="3"/>
  <c r="Q63" i="3"/>
  <c r="M58" i="3"/>
  <c r="Q58" i="3"/>
  <c r="M52" i="3"/>
  <c r="Q52" i="3"/>
  <c r="M60" i="3"/>
  <c r="Q60" i="3"/>
  <c r="M16" i="3"/>
  <c r="Q16" i="3"/>
  <c r="M56" i="3"/>
  <c r="Q56" i="3"/>
  <c r="M61" i="3"/>
  <c r="Q61" i="3"/>
  <c r="M22" i="3"/>
  <c r="Q22" i="3"/>
  <c r="M64" i="3"/>
  <c r="Q64" i="3"/>
  <c r="M27" i="3"/>
  <c r="Q27" i="3"/>
  <c r="M36" i="3"/>
  <c r="Q36" i="3"/>
  <c r="M77" i="3"/>
  <c r="Q77" i="3"/>
  <c r="M19" i="3"/>
  <c r="Q19" i="3"/>
  <c r="M38" i="3"/>
  <c r="Q38" i="3"/>
  <c r="M65" i="3"/>
  <c r="Q65" i="3"/>
  <c r="M28" i="3"/>
  <c r="Q28" i="3"/>
  <c r="M17" i="3"/>
  <c r="Q17" i="3"/>
  <c r="M46" i="3"/>
  <c r="Q46" i="3"/>
  <c r="M39" i="3"/>
  <c r="Q39" i="3"/>
  <c r="M37" i="3"/>
  <c r="Q37" i="3"/>
  <c r="M30" i="3"/>
  <c r="Q30" i="3"/>
  <c r="M70" i="3"/>
  <c r="Q70" i="3"/>
  <c r="M62" i="3"/>
  <c r="Q62" i="3"/>
  <c r="M54" i="3"/>
  <c r="Q54" i="3"/>
  <c r="M53" i="3"/>
  <c r="Q53" i="3"/>
  <c r="M44" i="3"/>
  <c r="Q44" i="3"/>
  <c r="M75" i="3"/>
  <c r="Q75" i="3"/>
  <c r="M32" i="3"/>
  <c r="Q32" i="3"/>
  <c r="M68" i="3"/>
  <c r="Q68" i="3"/>
  <c r="M43" i="3"/>
  <c r="Q43" i="3"/>
  <c r="M50" i="3"/>
  <c r="Q50" i="3"/>
  <c r="M51" i="3"/>
  <c r="Q51" i="3"/>
  <c r="M45" i="3"/>
  <c r="Q45" i="3"/>
  <c r="M34" i="3"/>
  <c r="Q34" i="3"/>
  <c r="M47" i="3"/>
  <c r="Q47" i="3"/>
  <c r="M57" i="3"/>
  <c r="Q57" i="3"/>
  <c r="M48" i="3"/>
  <c r="Q48" i="3"/>
  <c r="M49" i="3"/>
  <c r="Q49" i="3"/>
  <c r="M67" i="3"/>
  <c r="Q67" i="3"/>
  <c r="M35" i="3"/>
  <c r="Q35" i="3"/>
  <c r="M33" i="3"/>
  <c r="Q33" i="3"/>
  <c r="M69" i="3"/>
  <c r="Q69" i="3"/>
  <c r="M78" i="3"/>
  <c r="Q78" i="3"/>
  <c r="M55" i="3"/>
  <c r="Q55" i="3"/>
  <c r="M15" i="3"/>
  <c r="Q15" i="3"/>
  <c r="M73" i="3"/>
  <c r="Q73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<sst xmlns="http://schemas.openxmlformats.org/spreadsheetml/2006/main" count="329" uniqueCount="124">
  <si>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</si>
  <si>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</si>
  <si>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</si>
  <si>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3.0.0.0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</si>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</sst>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I19" sqref="I19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>
      <c r="A2" s="3" t="s">
        <v>0</v>
      </c>
      <c r="B2" s="65" t="s">
        <v>1</v>
      </c>
    </row>
    <row r="3" spans="1:10">
      <c r="A3" s="3" t="s">
        <v>2</v>
      </c>
      <c r="B3" s="66" t="s">
        <v>3</v>
      </c>
      <c r="C3" s="66"/>
    </row>
    <row r="5" spans="1:10">
      <c r="A5" s="3"/>
      <c r="B5" s="6"/>
      <c r="C5" s="6"/>
    </row>
    <row r="6" spans="1:10">
      <c r="A6" s="9" t="s">
        <v>4</v>
      </c>
      <c r="B6" s="9" t="s">
        <v>5</v>
      </c>
      <c r="E6" s="69"/>
      <c r="F6" s="69"/>
      <c r="G6" s="70"/>
      <c r="H6" s="70"/>
      <c r="I6" s="70"/>
      <c r="J6" s="69"/>
    </row>
    <row r="7" spans="1:10">
      <c r="A7" s="22">
        <v>100</v>
      </c>
      <c r="B7" s="22">
        <v>1024</v>
      </c>
      <c r="H7" s="23"/>
      <c r="I7" s="71"/>
      <c r="J7" s="72"/>
    </row>
    <row r="8" spans="1:10">
      <c r="H8" s="23"/>
      <c r="I8" s="71"/>
      <c r="J8" s="72"/>
    </row>
    <row r="9" spans="1:10">
      <c r="H9" s="23"/>
      <c r="I9" s="71"/>
      <c r="J9" s="72"/>
    </row>
    <row r="10" spans="1:10">
      <c r="A10" s="9" t="s">
        <v>6</v>
      </c>
      <c r="B10" s="9" t="s">
        <v>7</v>
      </c>
      <c r="C10" s="16" t="s">
        <v>8</v>
      </c>
      <c r="D10" s="16" t="s">
        <v>9</v>
      </c>
      <c r="E10" s="23"/>
      <c r="F10" s="71"/>
      <c r="G10" s="72"/>
    </row>
    <row r="11" spans="1:10">
      <c r="A11" s="24">
        <f t="shared" ref="A11:A12" si="0">B11*$A$7</f>
        <v>100</v>
      </c>
      <c r="B11" s="22">
        <v>1</v>
      </c>
      <c r="C11" s="68">
        <f>B17+B18</f>
        <v>0.9200000093010875</v>
      </c>
      <c r="D11" s="68" t="s">
        <v>10</v>
      </c>
      <c r="E11" s="23"/>
      <c r="F11" s="71"/>
      <c r="G11" s="72"/>
    </row>
    <row r="12" spans="1:10">
      <c r="A12" s="24">
        <f t="shared" si="0"/>
        <v>4050</v>
      </c>
      <c r="B12" s="22">
        <v>40.5</v>
      </c>
      <c r="C12" s="68">
        <f>B21+B22</f>
        <v>0.92500000309783292</v>
      </c>
      <c r="D12" s="68" t="s">
        <v>11</v>
      </c>
      <c r="E12" s="23"/>
      <c r="F12" s="71"/>
      <c r="G12" s="72"/>
    </row>
    <row r="13" spans="1:10">
      <c r="A13" s="24">
        <f>B13*A7</f>
        <v>25000</v>
      </c>
      <c r="B13" s="22">
        <v>250</v>
      </c>
      <c r="C13" s="68">
        <f>B25+B26</f>
        <v>0.924999999772536</v>
      </c>
      <c r="D13" s="68" t="s">
        <v>12</v>
      </c>
      <c r="H13" s="23"/>
      <c r="I13" s="71"/>
      <c r="J13" s="72"/>
    </row>
    <row r="14" spans="1:10">
      <c r="H14" s="23"/>
      <c r="I14" s="71"/>
      <c r="J14" s="72"/>
    </row>
    <row r="15" spans="1:10">
      <c r="A15" s="5" t="s">
        <v>13</v>
      </c>
      <c r="B15" s="7"/>
      <c r="C15" s="17"/>
      <c r="D15" s="73"/>
      <c r="E15" s="23"/>
      <c r="H15" s="23"/>
      <c r="I15" s="71"/>
      <c r="J15" s="72"/>
    </row>
    <row r="16" spans="1:10">
      <c r="A16" s="16" t="s">
        <v>9</v>
      </c>
      <c r="B16" s="9" t="s">
        <v>14</v>
      </c>
      <c r="C16" s="9" t="s">
        <v>15</v>
      </c>
      <c r="D16" s="9" t="s">
        <v>16</v>
      </c>
      <c r="E16" s="9" t="s">
        <v>17</v>
      </c>
      <c r="H16" s="23"/>
      <c r="I16" s="71"/>
      <c r="J16" s="72"/>
    </row>
    <row r="17" spans="1:10">
      <c r="A17" s="101" t="str">
        <f>D11</f>
        <v>Normal Bet</v>
      </c>
      <c r="B17" s="18">
        <f>Detail!C7</f>
        <v>0.70000000943940532</v>
      </c>
      <c r="C17" s="105">
        <f>1/D17</f>
        <v>8.4372176308072852E-3</v>
      </c>
      <c r="D17" s="107">
        <f>Detail!G7</f>
        <v>118.5224849894406</v>
      </c>
      <c r="E17" s="15" t="s">
        <v>18</v>
      </c>
      <c r="H17" s="23"/>
      <c r="I17" s="71"/>
      <c r="J17" s="72"/>
    </row>
    <row r="18" spans="1:10" ht="15.6" customHeight="1">
      <c r="A18" s="102"/>
      <c r="B18" s="18">
        <f>Detail!D7</f>
        <v>0.2199999998616822</v>
      </c>
      <c r="C18" s="102"/>
      <c r="D18" s="102"/>
      <c r="E18" s="15" t="s">
        <v>19</v>
      </c>
      <c r="H18" s="23"/>
      <c r="I18" s="71"/>
      <c r="J18" s="72"/>
    </row>
    <row r="19" spans="1:10" ht="15.6" customHeight="1">
      <c r="A19" s="19"/>
      <c r="B19" s="7"/>
      <c r="C19" s="17"/>
      <c r="D19" s="73"/>
      <c r="E19" s="23"/>
      <c r="H19" s="23"/>
      <c r="I19" s="71"/>
      <c r="J19" s="72"/>
    </row>
    <row r="20" spans="1:10">
      <c r="A20" s="16" t="s">
        <v>9</v>
      </c>
      <c r="B20" s="9" t="s">
        <v>14</v>
      </c>
      <c r="C20" s="9" t="s">
        <v>15</v>
      </c>
      <c r="D20" s="9" t="s">
        <v>16</v>
      </c>
      <c r="E20" s="9" t="s">
        <v>17</v>
      </c>
      <c r="H20" s="23"/>
      <c r="I20" s="71"/>
      <c r="J20" s="72"/>
    </row>
    <row r="21" spans="1:10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18</v>
      </c>
      <c r="H21" s="23"/>
      <c r="I21" s="71"/>
      <c r="J21" s="72"/>
    </row>
    <row r="22" spans="1:10">
      <c r="A22" s="104"/>
      <c r="B22" s="18">
        <f>Detail!D8</f>
        <v>0.92500000309783292</v>
      </c>
      <c r="C22" s="102"/>
      <c r="D22" s="102"/>
      <c r="E22" s="15" t="s">
        <v>19</v>
      </c>
      <c r="H22" s="23"/>
      <c r="I22" s="71"/>
      <c r="J22" s="72"/>
    </row>
    <row r="23" spans="1:10" ht="15.6" customHeight="1">
      <c r="H23" s="23"/>
      <c r="I23" s="71"/>
      <c r="J23" s="72"/>
    </row>
    <row r="24" spans="1:10">
      <c r="A24" s="16" t="s">
        <v>9</v>
      </c>
      <c r="B24" s="9" t="s">
        <v>14</v>
      </c>
      <c r="C24" s="9" t="s">
        <v>15</v>
      </c>
      <c r="D24" s="9" t="s">
        <v>16</v>
      </c>
      <c r="E24" s="9" t="s">
        <v>17</v>
      </c>
      <c r="F24" s="4"/>
      <c r="G24" s="4"/>
      <c r="H24" s="4"/>
      <c r="I24" s="4"/>
    </row>
    <row r="25" spans="1:10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18</v>
      </c>
      <c r="F25" s="4"/>
      <c r="G25" s="4"/>
      <c r="H25" s="4"/>
      <c r="I25" s="4"/>
    </row>
    <row r="26" spans="1:10">
      <c r="A26" s="104"/>
      <c r="B26" s="18">
        <f>Detail!D9</f>
        <v>0.924999999772536</v>
      </c>
      <c r="C26" s="102"/>
      <c r="D26" s="102"/>
      <c r="E26" s="15" t="s">
        <v>19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</row>
    <row r="3" spans="1:7">
      <c r="A3" s="13" t="s">
        <v>27</v>
      </c>
      <c r="B3" s="10">
        <f>Detail_Newbie!K15</f>
        <v>730419689</v>
      </c>
      <c r="C3" s="10">
        <f>Detail_Newbie!K86</f>
        <v>0</v>
      </c>
      <c r="D3" s="10">
        <f>Detail!K15</f>
        <v>765143985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28</v>
      </c>
      <c r="B4" s="10">
        <f>Detail_Newbie!K16</f>
        <v>151415453</v>
      </c>
      <c r="C4" s="10">
        <f>Detail_Newbie!K87</f>
        <v>0</v>
      </c>
      <c r="D4" s="10">
        <f>Detail!K16</f>
        <v>130776545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29</v>
      </c>
      <c r="B5" s="10">
        <f>Detail_Newbie!K17</f>
        <v>37944796</v>
      </c>
      <c r="C5" s="10">
        <f>Detail_Newbie!K88</f>
        <v>0</v>
      </c>
      <c r="D5" s="10">
        <f>Detail!K17</f>
        <v>32772675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30</v>
      </c>
      <c r="B6" s="10">
        <f>Detail_Newbie!K18</f>
        <v>21137633</v>
      </c>
      <c r="C6" s="10">
        <f>Detail_Newbie!K89</f>
        <v>0</v>
      </c>
      <c r="D6" s="10">
        <f>Detail!K18</f>
        <v>18256437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31</v>
      </c>
      <c r="B7" s="10">
        <f>Detail_Newbie!K19</f>
        <v>13341416</v>
      </c>
      <c r="C7" s="10">
        <f>Detail_Newbie!K90</f>
        <v>0</v>
      </c>
      <c r="D7" s="10">
        <f>Detail!K19</f>
        <v>11522895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32</v>
      </c>
      <c r="B8" s="10">
        <f>Detail_Newbie!K20</f>
        <v>10802153</v>
      </c>
      <c r="C8" s="10">
        <f>Detail_Newbie!K91</f>
        <v>0</v>
      </c>
      <c r="D8" s="10">
        <f>Detail!K20</f>
        <v>9329750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33</v>
      </c>
      <c r="B9" s="10">
        <f>Detail_Newbie!K21</f>
        <v>4426550</v>
      </c>
      <c r="C9" s="10">
        <f>Detail_Newbie!K92</f>
        <v>43012479</v>
      </c>
      <c r="D9" s="10">
        <f>Detail!K21</f>
        <v>3823182</v>
      </c>
      <c r="E9" s="10">
        <f>Detail!K92</f>
        <v>48852997</v>
      </c>
      <c r="F9" s="10">
        <f>Detail!K169</f>
        <v>34462987</v>
      </c>
      <c r="G9" s="10">
        <f>Detail!K240</f>
        <v>0</v>
      </c>
    </row>
    <row r="10" spans="1:7">
      <c r="A10" s="13" t="s">
        <v>34</v>
      </c>
      <c r="B10" s="10">
        <f>Detail_Newbie!K22</f>
        <v>3788303</v>
      </c>
      <c r="C10" s="10">
        <f>Detail_Newbie!K93</f>
        <v>36711253</v>
      </c>
      <c r="D10" s="10">
        <f>Detail!K22</f>
        <v>3271933</v>
      </c>
      <c r="E10" s="10">
        <f>Detail!K93</f>
        <v>41424845</v>
      </c>
      <c r="F10" s="10">
        <f>Detail!K170</f>
        <v>29644161</v>
      </c>
      <c r="G10" s="10">
        <f>Detail!K241</f>
        <v>0</v>
      </c>
    </row>
    <row r="11" spans="1:7">
      <c r="A11" s="13" t="s">
        <v>35</v>
      </c>
      <c r="B11" s="10">
        <f>Detail_Newbie!K23</f>
        <v>3294176</v>
      </c>
      <c r="C11" s="10">
        <f>Detail_Newbie!K94</f>
        <v>38972084</v>
      </c>
      <c r="D11" s="10">
        <f>Detail!K23</f>
        <v>2845159</v>
      </c>
      <c r="E11" s="10">
        <f>Detail!K94</f>
        <v>43686249</v>
      </c>
      <c r="F11" s="10">
        <f>Detail!K171</f>
        <v>31718851</v>
      </c>
      <c r="G11" s="10">
        <f>Detail!K242</f>
        <v>0</v>
      </c>
    </row>
    <row r="12" spans="1:7">
      <c r="A12" s="13" t="s">
        <v>36</v>
      </c>
      <c r="B12" s="10">
        <f>Detail_Newbie!K24</f>
        <v>2806913</v>
      </c>
      <c r="C12" s="10">
        <f>Detail_Newbie!K95</f>
        <v>36995633</v>
      </c>
      <c r="D12" s="10">
        <f>Detail!K24</f>
        <v>2424312</v>
      </c>
      <c r="E12" s="10">
        <f>Detail!K95</f>
        <v>41200534</v>
      </c>
      <c r="F12" s="10">
        <f>Detail!K172</f>
        <v>30345913</v>
      </c>
      <c r="G12" s="10">
        <f>Detail!K243</f>
        <v>0</v>
      </c>
    </row>
    <row r="13" spans="1:7">
      <c r="A13" s="13" t="s">
        <v>37</v>
      </c>
      <c r="B13" s="10">
        <f>Detail_Newbie!K25</f>
        <v>2758873</v>
      </c>
      <c r="C13" s="10">
        <f>Detail_Newbie!K96</f>
        <v>39217960</v>
      </c>
      <c r="D13" s="10">
        <f>Detail!K25</f>
        <v>2382820</v>
      </c>
      <c r="E13" s="10">
        <f>Detail!K96</f>
        <v>43389812</v>
      </c>
      <c r="F13" s="10">
        <f>Detail!K173</f>
        <v>32421541</v>
      </c>
      <c r="G13" s="10">
        <f>Detail!K244</f>
        <v>0</v>
      </c>
    </row>
    <row r="14" spans="1:7">
      <c r="A14" s="13" t="s">
        <v>38</v>
      </c>
      <c r="B14" s="10">
        <f>Detail_Newbie!K26</f>
        <v>10280576</v>
      </c>
      <c r="C14" s="10">
        <f>Detail_Newbie!K97</f>
        <v>166401998</v>
      </c>
      <c r="D14" s="10">
        <f>Detail!K26</f>
        <v>8879267</v>
      </c>
      <c r="E14" s="10">
        <f>Detail!K97</f>
        <v>180540829</v>
      </c>
      <c r="F14" s="10">
        <f>Detail!K174</f>
        <v>140808471</v>
      </c>
      <c r="G14" s="10">
        <f>Detail!K245</f>
        <v>0</v>
      </c>
    </row>
    <row r="15" spans="1:7">
      <c r="A15" s="13" t="s">
        <v>39</v>
      </c>
      <c r="B15" s="10">
        <f>Detail_Newbie!K27</f>
        <v>3136330</v>
      </c>
      <c r="C15" s="10">
        <f>Detail_Newbie!K98</f>
        <v>112267439</v>
      </c>
      <c r="D15" s="10">
        <f>Detail!K27</f>
        <v>2708828</v>
      </c>
      <c r="E15" s="10">
        <f>Detail!K98</f>
        <v>117861847</v>
      </c>
      <c r="F15" s="10">
        <f>Detail!K175</f>
        <v>98804669</v>
      </c>
      <c r="G15" s="10">
        <f>Detail!K246</f>
        <v>0</v>
      </c>
    </row>
    <row r="16" spans="1:7">
      <c r="A16" s="13" t="s">
        <v>40</v>
      </c>
      <c r="B16" s="10">
        <f>Detail_Newbie!K28</f>
        <v>2491222</v>
      </c>
      <c r="C16" s="10">
        <f>Detail_Newbie!K99</f>
        <v>103526890</v>
      </c>
      <c r="D16" s="10">
        <f>Detail!K28</f>
        <v>2151651</v>
      </c>
      <c r="E16" s="10">
        <f>Detail!K99</f>
        <v>105171241</v>
      </c>
      <c r="F16" s="10">
        <f>Detail!K176</f>
        <v>94755436</v>
      </c>
      <c r="G16" s="10">
        <f>Detail!K247</f>
        <v>0</v>
      </c>
    </row>
    <row r="17" spans="1:7">
      <c r="A17" s="13" t="s">
        <v>41</v>
      </c>
      <c r="B17" s="10">
        <f>Detail_Newbie!K29</f>
        <v>1955917</v>
      </c>
      <c r="C17" s="10">
        <f>Detail_Newbie!K100</f>
        <v>77107303</v>
      </c>
      <c r="D17" s="10">
        <f>Detail!K29</f>
        <v>1689313</v>
      </c>
      <c r="E17" s="10">
        <f>Detail!K100</f>
        <v>75805391</v>
      </c>
      <c r="F17" s="10">
        <f>Detail!K177</f>
        <v>73388911</v>
      </c>
      <c r="G17" s="10">
        <f>Detail!K248</f>
        <v>0</v>
      </c>
    </row>
    <row r="18" spans="1:7">
      <c r="A18" s="13" t="s">
        <v>42</v>
      </c>
      <c r="B18" s="10">
        <f>Detail_Newbie!K30</f>
        <v>0</v>
      </c>
      <c r="C18" s="10">
        <f>Detail_Newbie!K101</f>
        <v>64415486</v>
      </c>
      <c r="D18" s="10">
        <f>Detail!K30</f>
        <v>533467</v>
      </c>
      <c r="E18" s="10">
        <f>Detail!K101</f>
        <v>61279828</v>
      </c>
      <c r="F18" s="10">
        <f>Detail!K178</f>
        <v>63760923</v>
      </c>
      <c r="G18" s="10">
        <f>Detail!K249</f>
        <v>0</v>
      </c>
    </row>
    <row r="19" spans="1:7">
      <c r="A19" s="13" t="s">
        <v>43</v>
      </c>
      <c r="B19" s="10">
        <f>Detail_Newbie!K31</f>
        <v>0</v>
      </c>
      <c r="C19" s="10">
        <f>Detail_Newbie!K102</f>
        <v>57960402</v>
      </c>
      <c r="D19" s="10">
        <f>Detail!K31</f>
        <v>420846</v>
      </c>
      <c r="E19" s="10">
        <f>Detail!K102</f>
        <v>53357629</v>
      </c>
      <c r="F19" s="10">
        <f>Detail!K179</f>
        <v>59663254</v>
      </c>
      <c r="G19" s="10">
        <f>Detail!K250</f>
        <v>0</v>
      </c>
    </row>
    <row r="20" spans="1:7">
      <c r="A20" s="13" t="s">
        <v>44</v>
      </c>
      <c r="B20" s="10">
        <f>Detail_Newbie!K32</f>
        <v>0</v>
      </c>
      <c r="C20" s="10">
        <f>Detail_Newbie!K103</f>
        <v>57735281</v>
      </c>
      <c r="D20" s="10">
        <f>Detail!K32</f>
        <v>361573</v>
      </c>
      <c r="E20" s="10">
        <f>Detail!K103</f>
        <v>51432051</v>
      </c>
      <c r="F20" s="10">
        <f>Detail!K180</f>
        <v>61807408</v>
      </c>
      <c r="G20" s="10">
        <f>Detail!K251</f>
        <v>0</v>
      </c>
    </row>
    <row r="21" spans="1:7">
      <c r="A21" s="13" t="s">
        <v>45</v>
      </c>
      <c r="B21" s="10">
        <f>Detail_Newbie!K33</f>
        <v>0</v>
      </c>
      <c r="C21" s="10">
        <f>Detail_Newbie!K104</f>
        <v>46210235</v>
      </c>
      <c r="D21" s="10">
        <f>Detail!K33</f>
        <v>308225</v>
      </c>
      <c r="E21" s="10">
        <f>Detail!K104</f>
        <v>39837299</v>
      </c>
      <c r="F21" s="10">
        <f>Detail!K181</f>
        <v>51442647</v>
      </c>
      <c r="G21" s="10">
        <f>Detail!K252</f>
        <v>0</v>
      </c>
    </row>
    <row r="22" spans="1:7">
      <c r="A22" s="13" t="s">
        <v>46</v>
      </c>
      <c r="B22" s="10">
        <f>Detail_Newbie!K34</f>
        <v>0</v>
      </c>
      <c r="C22" s="10">
        <f>Detail_Newbie!K105</f>
        <v>51903338</v>
      </c>
      <c r="D22" s="10">
        <f>Detail!K34</f>
        <v>296371</v>
      </c>
      <c r="E22" s="10">
        <f>Detail!K105</f>
        <v>42599631</v>
      </c>
      <c r="F22" s="10">
        <f>Detail!K182</f>
        <v>61268215</v>
      </c>
      <c r="G22" s="10">
        <f>Detail!K253</f>
        <v>81715549</v>
      </c>
    </row>
    <row r="23" spans="1:7">
      <c r="A23" s="13" t="s">
        <v>47</v>
      </c>
      <c r="B23" s="10">
        <f>Detail_Newbie!K35</f>
        <v>0</v>
      </c>
      <c r="C23" s="10">
        <f>Detail_Newbie!K106</f>
        <v>21858901</v>
      </c>
      <c r="D23" s="10">
        <f>Detail!K35</f>
        <v>100766</v>
      </c>
      <c r="E23" s="10">
        <f>Detail!K106</f>
        <v>16800032</v>
      </c>
      <c r="F23" s="10">
        <f>Detail!K183</f>
        <v>27905906</v>
      </c>
      <c r="G23" s="10">
        <f>Detail!K254</f>
        <v>81715549</v>
      </c>
    </row>
    <row r="24" spans="1:7">
      <c r="A24" s="13" t="s">
        <v>48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11296509</v>
      </c>
      <c r="F24" s="10">
        <f>Detail!K184</f>
        <v>21671118</v>
      </c>
      <c r="G24" s="10">
        <f>Detail!K255</f>
        <v>81715549</v>
      </c>
    </row>
    <row r="25" spans="1:7">
      <c r="A25" s="13" t="s">
        <v>49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7272277</v>
      </c>
      <c r="F25" s="10">
        <f>Detail!K185</f>
        <v>16111299</v>
      </c>
      <c r="G25" s="10">
        <f>Detail!K256</f>
        <v>77477002</v>
      </c>
    </row>
    <row r="26" spans="1:7">
      <c r="A26" s="13" t="s">
        <v>50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5761408</v>
      </c>
      <c r="F26" s="10">
        <f>Detail!K186</f>
        <v>14740256</v>
      </c>
      <c r="G26" s="10">
        <f>Detail!K257</f>
        <v>70372472</v>
      </c>
    </row>
    <row r="27" spans="1:7">
      <c r="A27" s="13" t="s">
        <v>51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5774572</v>
      </c>
      <c r="F27" s="10">
        <f>Detail!K187</f>
        <v>18305170</v>
      </c>
      <c r="G27" s="10">
        <f>Detail!K258</f>
        <v>67953474</v>
      </c>
    </row>
    <row r="28" spans="1:7">
      <c r="A28" s="13" t="s">
        <v>52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2675262</v>
      </c>
      <c r="F28" s="10">
        <f>Detail!K188</f>
        <v>11310632</v>
      </c>
      <c r="G28" s="10">
        <f>Detail!K259</f>
        <v>64805472</v>
      </c>
    </row>
    <row r="29" spans="1:7">
      <c r="A29" s="13" t="s">
        <v>53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1510702</v>
      </c>
      <c r="F29" s="10">
        <f>Detail!K189</f>
        <v>8517535</v>
      </c>
      <c r="G29" s="10">
        <f>Detail!K260</f>
        <v>55471071</v>
      </c>
    </row>
    <row r="30" spans="1:7">
      <c r="A30" s="13" t="s">
        <v>54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473838</v>
      </c>
      <c r="F30" s="10">
        <f>Detail!K190</f>
        <v>3563442</v>
      </c>
      <c r="G30" s="10">
        <f>Detail!K261</f>
        <v>42248489</v>
      </c>
    </row>
    <row r="31" spans="1:7">
      <c r="A31" s="13" t="s">
        <v>55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274669</v>
      </c>
      <c r="F31" s="10">
        <f>Detail!K191</f>
        <v>2146776</v>
      </c>
      <c r="G31" s="10">
        <f>Detail!K262</f>
        <v>31161746</v>
      </c>
    </row>
    <row r="32" spans="1:7">
      <c r="A32" s="13" t="s">
        <v>56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397030</v>
      </c>
      <c r="F32" s="10">
        <f>Detail!K192</f>
        <v>6484849</v>
      </c>
      <c r="G32" s="10">
        <f>Detail!K263</f>
        <v>31161746</v>
      </c>
    </row>
    <row r="33" spans="1:7">
      <c r="A33" s="13" t="s">
        <v>57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190568</v>
      </c>
      <c r="F33" s="10">
        <f>Detail!K193</f>
        <v>727894</v>
      </c>
      <c r="G33" s="10">
        <f>Detail!K264</f>
        <v>31161746</v>
      </c>
    </row>
    <row r="34" spans="1:7">
      <c r="A34" s="13" t="s">
        <v>58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161168</v>
      </c>
      <c r="F34" s="10">
        <f>Detail!K194</f>
        <v>231554</v>
      </c>
      <c r="G34" s="10">
        <f>Detail!K265</f>
        <v>31161746</v>
      </c>
    </row>
    <row r="35" spans="1:7">
      <c r="A35" s="13" t="s">
        <v>59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139579</v>
      </c>
      <c r="F35" s="10">
        <f>Detail!K195</f>
        <v>1485699</v>
      </c>
      <c r="G35" s="10">
        <f>Detail!K266</f>
        <v>46742619</v>
      </c>
    </row>
    <row r="36" spans="1:7">
      <c r="A36" s="13" t="s">
        <v>60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123135</v>
      </c>
      <c r="F36" s="10">
        <f>Detail!K196</f>
        <v>176911</v>
      </c>
      <c r="G36" s="10">
        <f>Detail!K267</f>
        <v>31161746</v>
      </c>
    </row>
    <row r="37" spans="1:7">
      <c r="A37" s="13" t="s">
        <v>61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110113</v>
      </c>
      <c r="F37" s="10">
        <f>Detail!K197</f>
        <v>758113</v>
      </c>
      <c r="G37" s="10">
        <f>Detail!K268</f>
        <v>46141259</v>
      </c>
    </row>
    <row r="38" spans="1:7">
      <c r="A38" s="13" t="s">
        <v>62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99626</v>
      </c>
      <c r="F38" s="10">
        <f>Detail!K198</f>
        <v>143135</v>
      </c>
      <c r="G38" s="10">
        <f>Detail!K269</f>
        <v>26150639</v>
      </c>
    </row>
    <row r="39" spans="1:7">
      <c r="A39" s="13" t="s">
        <v>63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90945</v>
      </c>
      <c r="F39" s="10">
        <f>Detail!K199</f>
        <v>130663</v>
      </c>
      <c r="G39" s="10">
        <f>Detail!K270</f>
        <v>21950994</v>
      </c>
    </row>
    <row r="40" spans="1:7">
      <c r="A40" s="13" t="s">
        <v>64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83637</v>
      </c>
      <c r="F40" s="10">
        <f>Detail!K200</f>
        <v>120163</v>
      </c>
      <c r="G40" s="10">
        <f>Detail!K271</f>
        <v>18230792</v>
      </c>
    </row>
    <row r="41" spans="1:7">
      <c r="A41" s="13" t="s">
        <v>65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77438</v>
      </c>
      <c r="F41" s="10">
        <f>Detail!K201</f>
        <v>111257</v>
      </c>
      <c r="G41" s="10">
        <f>Detail!K272</f>
        <v>15007183</v>
      </c>
    </row>
    <row r="42" spans="1:7">
      <c r="A42" s="13" t="s">
        <v>66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72086</v>
      </c>
      <c r="F42" s="10">
        <f>Detail!K202</f>
        <v>103568</v>
      </c>
      <c r="G42" s="10">
        <f>Detail!K273</f>
        <v>12259089</v>
      </c>
    </row>
    <row r="43" spans="1:7">
      <c r="A43" s="13" t="s">
        <v>67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67425</v>
      </c>
      <c r="F43" s="10">
        <f>Detail!K203</f>
        <v>805797</v>
      </c>
      <c r="G43" s="10">
        <f>Detail!K274</f>
        <v>9947934</v>
      </c>
    </row>
    <row r="44" spans="1:7">
      <c r="A44" s="13" t="s">
        <v>68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63309</v>
      </c>
      <c r="F44" s="10">
        <f>Detail!K204</f>
        <v>90957</v>
      </c>
      <c r="G44" s="10">
        <f>Detail!K275</f>
        <v>8025197</v>
      </c>
    </row>
    <row r="45" spans="1:7">
      <c r="A45" s="13" t="s">
        <v>69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70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71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72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44489</v>
      </c>
      <c r="F48" s="10">
        <f>Detail!K208</f>
        <v>63919</v>
      </c>
      <c r="G48" s="10">
        <f>Detail!K279</f>
        <v>575751</v>
      </c>
    </row>
    <row r="49" spans="1:7">
      <c r="A49" s="13" t="s">
        <v>73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74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75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76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77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78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79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80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81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82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83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84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85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86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87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88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89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90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19</v>
      </c>
      <c r="B67" s="10">
        <f>Detail_Newbie!K79</f>
        <v>8509010</v>
      </c>
      <c r="C67" s="26">
        <v>0</v>
      </c>
      <c r="D67" s="25">
        <f>Detail!K79</f>
        <v>8509010</v>
      </c>
      <c r="E67" s="26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topLeftCell="H236" workbookViewId="0">
      <selection activeCell="W254" sqref="W254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>
      <c r="A2" s="45" t="s">
        <v>91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>
      <c r="A3" s="45" t="s">
        <v>6</v>
      </c>
      <c r="B3" s="74">
        <f>Overview!A7</f>
        <v>100</v>
      </c>
      <c r="C3" s="1"/>
      <c r="F3" s="36"/>
      <c r="G3" s="37"/>
    </row>
    <row r="4" spans="1:26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>
      <c r="A5" s="29"/>
      <c r="B5" s="29"/>
      <c r="C5" s="1" t="s">
        <v>92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>
      <c r="A6" s="41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2" t="s">
        <v>98</v>
      </c>
      <c r="J6" s="43" t="s">
        <v>99</v>
      </c>
      <c r="K6" s="37"/>
      <c r="L6" s="37"/>
      <c r="M6" s="44"/>
      <c r="Q6" s="37"/>
      <c r="R6" s="37"/>
    </row>
    <row r="7" spans="1:26">
      <c r="A7" s="45" t="s">
        <v>10</v>
      </c>
      <c r="B7" s="45">
        <f>Overview!B11</f>
        <v>1</v>
      </c>
      <c r="C7" s="77">
        <f>SUM(M15:M79)</f>
        <v>0.70000000943940532</v>
      </c>
      <c r="D7" s="77">
        <f>SUM(M86:M149)*F7</f>
        <v>0.2199999998616822</v>
      </c>
      <c r="E7" s="78">
        <f>SUM(C7:D7)</f>
        <v>0.9200000093010875</v>
      </c>
      <c r="F7" s="31">
        <f>L79</f>
        <v>8.4372176308072852E-3</v>
      </c>
      <c r="G7" s="32">
        <f>1/F7</f>
        <v>118.5224849894406</v>
      </c>
      <c r="H7" s="33">
        <f>D7*G7</f>
        <v>26.074946681283162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>
      <c r="A8" s="45" t="s">
        <v>11</v>
      </c>
      <c r="B8" s="45">
        <f>Overview!B12</f>
        <v>40.5</v>
      </c>
      <c r="C8" s="77">
        <f>M156/B8</f>
        <v>0</v>
      </c>
      <c r="D8" s="77">
        <f>SUM(M163:M226)/B8</f>
        <v>0.92500000309783292</v>
      </c>
      <c r="E8" s="78">
        <f>SUM(C8:D8)</f>
        <v>0.92500000309783292</v>
      </c>
      <c r="F8" s="34">
        <f>D156</f>
        <v>1</v>
      </c>
      <c r="G8" s="32">
        <f>1/F8</f>
        <v>1</v>
      </c>
      <c r="H8" s="33">
        <f>D8*G8*B8</f>
        <v>37.462500125462235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>
      <c r="A9" s="45" t="s">
        <v>100</v>
      </c>
      <c r="B9" s="45">
        <v>250</v>
      </c>
      <c r="C9" s="77">
        <f>0</f>
        <v>0</v>
      </c>
      <c r="D9" s="77">
        <f>IFERROR(SUM(M234:M297)/B9,0)</f>
        <v>0.924999999772536</v>
      </c>
      <c r="E9" s="78">
        <f>SUM(C9:D9)</f>
        <v>0.924999999772536</v>
      </c>
      <c r="F9" s="34">
        <f>1</f>
        <v>1</v>
      </c>
      <c r="G9" s="32">
        <f>IFERROR(1/F9,0)</f>
        <v>1</v>
      </c>
      <c r="H9" s="33">
        <f>D9*G9*B9</f>
        <v>231.24999994313399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>
      <c r="A11" s="63" t="s">
        <v>10</v>
      </c>
      <c r="B11" s="63" t="s">
        <v>18</v>
      </c>
      <c r="C11" s="63"/>
      <c r="D11" s="82"/>
      <c r="E11" s="59"/>
      <c r="F11" s="60"/>
      <c r="G11" s="63" t="s">
        <v>10</v>
      </c>
      <c r="H11" s="63" t="s">
        <v>18</v>
      </c>
      <c r="I11" s="58"/>
      <c r="J11" s="58"/>
      <c r="K11" s="61"/>
      <c r="L11" s="99"/>
      <c r="M11" s="99"/>
      <c r="N11" s="60"/>
      <c r="O11" s="63" t="s">
        <v>10</v>
      </c>
      <c r="P11" s="63" t="s">
        <v>18</v>
      </c>
      <c r="Q11" s="99"/>
      <c r="R11" s="99"/>
    </row>
    <row r="12" spans="1:26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>
      <c r="A13" s="48" t="s">
        <v>101</v>
      </c>
      <c r="B13" s="83">
        <v>1000000000</v>
      </c>
      <c r="C13" s="1"/>
      <c r="D13" s="1"/>
      <c r="E13" s="1"/>
      <c r="G13" s="48" t="s">
        <v>102</v>
      </c>
      <c r="H13" s="29"/>
      <c r="I13" s="29"/>
      <c r="J13" s="29"/>
      <c r="K13" s="29"/>
      <c r="L13" s="29"/>
      <c r="M13" s="29"/>
      <c r="Q13" s="29"/>
      <c r="R13" s="29"/>
    </row>
    <row r="14" spans="1:26">
      <c r="A14" s="9" t="s">
        <v>20</v>
      </c>
      <c r="B14" s="9" t="s">
        <v>103</v>
      </c>
      <c r="C14" s="9" t="s">
        <v>104</v>
      </c>
      <c r="D14" s="9" t="s">
        <v>95</v>
      </c>
      <c r="E14" s="9" t="s">
        <v>105</v>
      </c>
      <c r="G14" s="9" t="s">
        <v>20</v>
      </c>
      <c r="H14" s="9" t="s">
        <v>106</v>
      </c>
      <c r="I14" s="9" t="s">
        <v>107</v>
      </c>
      <c r="J14" s="9" t="s">
        <v>108</v>
      </c>
      <c r="K14" s="9" t="s">
        <v>109</v>
      </c>
      <c r="L14" s="9" t="s">
        <v>95</v>
      </c>
      <c r="M14" s="9" t="s">
        <v>110</v>
      </c>
      <c r="O14" s="9" t="s">
        <v>111</v>
      </c>
      <c r="P14" s="9" t="s">
        <v>112</v>
      </c>
      <c r="Q14" s="9" t="s">
        <v>113</v>
      </c>
      <c r="R14" s="9" t="s">
        <v>114</v>
      </c>
      <c r="T14" s="12" t="s">
        <v>113</v>
      </c>
      <c r="U14" s="12" t="s">
        <v>115</v>
      </c>
    </row>
    <row r="15" spans="1:26">
      <c r="A15" s="13" t="str">
        <f t="shared" ref="A15:A46" si="0">"("&amp;$O15&amp;", "&amp;$P15&amp;"]"</f>
        <v>(-1, 0]</v>
      </c>
      <c r="B15" s="84">
        <v>642768432</v>
      </c>
      <c r="C15" s="84">
        <v>0</v>
      </c>
      <c r="D15" s="28">
        <f t="shared" ref="D15:D46" si="1">IFERROR(B15/SUM($B$15:$B$78),0)</f>
        <v>0.642768432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1.1903882438955871</v>
      </c>
      <c r="I15" s="27">
        <f t="shared" ref="I15:I46" si="4">D15*H15</f>
        <v>0.76514398500000003</v>
      </c>
      <c r="J15" s="27">
        <f t="shared" ref="J15:J46" si="5">IFERROR(I15/SUM($I$15:$I$78),0)</f>
        <v>0.7651439849999998</v>
      </c>
      <c r="K15" s="87">
        <f t="shared" ref="K15:K46" si="6">INT(J15*$B$2)</f>
        <v>765143985</v>
      </c>
      <c r="L15" s="100">
        <f t="shared" ref="L15:L46" si="7">IFERROR(K15/SUM($K$15:$K$79),0)</f>
        <v>0.75868829867965182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0.75868829867965182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>
      <c r="A16" s="13" t="str">
        <f t="shared" si="0"/>
        <v>(0, 1]</v>
      </c>
      <c r="B16" s="89">
        <v>165067367</v>
      </c>
      <c r="C16" s="89">
        <v>6883193835</v>
      </c>
      <c r="D16" s="27">
        <f t="shared" si="1"/>
        <v>0.16506736699999999</v>
      </c>
      <c r="E16" s="90">
        <f t="shared" si="2"/>
        <v>0.41699301079903939</v>
      </c>
      <c r="G16" s="13" t="str">
        <f t="shared" si="3"/>
        <v>(0, 1]</v>
      </c>
      <c r="H16" s="86">
        <v>0.79226165278325422</v>
      </c>
      <c r="I16" s="27">
        <f t="shared" si="4"/>
        <v>0.13077654499999999</v>
      </c>
      <c r="J16" s="27">
        <f t="shared" si="5"/>
        <v>0.13077654499999997</v>
      </c>
      <c r="K16" s="87">
        <f t="shared" si="6"/>
        <v>130776545</v>
      </c>
      <c r="L16" s="100">
        <f t="shared" si="7"/>
        <v>0.12967315482882993</v>
      </c>
      <c r="M16" s="100">
        <f t="shared" si="8"/>
        <v>5.4072799251883789E-2</v>
      </c>
      <c r="N16" s="88"/>
      <c r="O16" s="45">
        <v>0</v>
      </c>
      <c r="P16" s="45">
        <v>1</v>
      </c>
      <c r="Q16" s="100">
        <f t="shared" si="9"/>
        <v>0.12967315482882993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>
      <c r="A17" s="13" t="str">
        <f t="shared" si="0"/>
        <v>(1, 2]</v>
      </c>
      <c r="B17" s="89">
        <v>48607194</v>
      </c>
      <c r="C17" s="89">
        <v>7281533335</v>
      </c>
      <c r="D17" s="27">
        <f t="shared" si="1"/>
        <v>4.8607193999999999E-2</v>
      </c>
      <c r="E17" s="90">
        <f t="shared" si="2"/>
        <v>1.4980361415225902</v>
      </c>
      <c r="F17" s="51"/>
      <c r="G17" s="13" t="str">
        <f t="shared" si="3"/>
        <v>(1, 2]</v>
      </c>
      <c r="H17" s="86">
        <v>0.67423507310461084</v>
      </c>
      <c r="I17" s="27">
        <f t="shared" si="4"/>
        <v>3.2772675000000001E-2</v>
      </c>
      <c r="J17" s="27">
        <f t="shared" si="5"/>
        <v>3.2772674999999994E-2</v>
      </c>
      <c r="K17" s="87">
        <f t="shared" si="6"/>
        <v>32772675</v>
      </c>
      <c r="L17" s="100">
        <f t="shared" si="7"/>
        <v>3.2496164808681283E-2</v>
      </c>
      <c r="M17" s="100">
        <f t="shared" si="8"/>
        <v>4.8680429344279089E-2</v>
      </c>
      <c r="N17" s="88"/>
      <c r="O17" s="45">
        <v>1</v>
      </c>
      <c r="P17" s="45">
        <v>2</v>
      </c>
      <c r="Q17" s="100">
        <f t="shared" si="9"/>
        <v>3.2496164808681283E-2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>
      <c r="A18" s="13" t="str">
        <f t="shared" si="0"/>
        <v>(2, 3]</v>
      </c>
      <c r="B18" s="89">
        <v>26919097</v>
      </c>
      <c r="C18" s="89">
        <v>6802776700</v>
      </c>
      <c r="D18" s="27">
        <f t="shared" si="1"/>
        <v>2.6919096999999999E-2</v>
      </c>
      <c r="E18" s="90">
        <f t="shared" si="2"/>
        <v>2.5271192046300812</v>
      </c>
      <c r="F18" s="51"/>
      <c r="G18" s="13" t="str">
        <f t="shared" si="3"/>
        <v>(2, 3]</v>
      </c>
      <c r="H18" s="86">
        <v>0.67819648630858609</v>
      </c>
      <c r="I18" s="27">
        <f t="shared" si="4"/>
        <v>1.8256437E-2</v>
      </c>
      <c r="J18" s="27">
        <f t="shared" si="5"/>
        <v>1.8256436999999997E-2</v>
      </c>
      <c r="K18" s="87">
        <f t="shared" si="6"/>
        <v>18256437</v>
      </c>
      <c r="L18" s="100">
        <f t="shared" si="7"/>
        <v>1.8102403467867876E-2</v>
      </c>
      <c r="M18" s="100">
        <f t="shared" si="8"/>
        <v>4.5746931453611091E-2</v>
      </c>
      <c r="N18" s="88"/>
      <c r="O18" s="45">
        <v>2</v>
      </c>
      <c r="P18" s="45">
        <v>3</v>
      </c>
      <c r="Q18" s="100">
        <f t="shared" si="9"/>
        <v>1.8102403467867876E-2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>
      <c r="A19" s="13" t="str">
        <f t="shared" si="0"/>
        <v>(3, 4]</v>
      </c>
      <c r="B19" s="89">
        <v>17682966</v>
      </c>
      <c r="C19" s="89">
        <v>6307283715</v>
      </c>
      <c r="D19" s="27">
        <f t="shared" si="1"/>
        <v>1.7682966000000001E-2</v>
      </c>
      <c r="E19" s="90">
        <f t="shared" si="2"/>
        <v>3.5668697858718952</v>
      </c>
      <c r="F19" s="91"/>
      <c r="G19" s="13" t="str">
        <f t="shared" si="3"/>
        <v>(3, 4]</v>
      </c>
      <c r="H19" s="86">
        <v>0.65163813581952257</v>
      </c>
      <c r="I19" s="27">
        <f t="shared" si="4"/>
        <v>1.1522895E-2</v>
      </c>
      <c r="J19" s="27">
        <f t="shared" si="5"/>
        <v>1.1522894999999998E-2</v>
      </c>
      <c r="K19" s="87">
        <f t="shared" si="6"/>
        <v>11522895</v>
      </c>
      <c r="L19" s="100">
        <f t="shared" si="7"/>
        <v>1.1425673827148059E-2</v>
      </c>
      <c r="M19" s="100">
        <f t="shared" si="8"/>
        <v>4.0753890757281717E-2</v>
      </c>
      <c r="N19" s="88"/>
      <c r="O19" s="45">
        <v>3</v>
      </c>
      <c r="P19" s="45">
        <v>4</v>
      </c>
      <c r="Q19" s="100">
        <f t="shared" si="9"/>
        <v>1.1425673827148059E-2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>
      <c r="A20" s="13" t="str">
        <f t="shared" si="0"/>
        <v>(4, 5]</v>
      </c>
      <c r="B20" s="89">
        <v>13063433</v>
      </c>
      <c r="C20" s="89">
        <v>5912495700</v>
      </c>
      <c r="D20" s="27">
        <f t="shared" si="1"/>
        <v>1.3063432999999999E-2</v>
      </c>
      <c r="E20" s="90">
        <f t="shared" si="2"/>
        <v>4.5259892250375531</v>
      </c>
      <c r="F20" s="91"/>
      <c r="G20" s="13" t="str">
        <f t="shared" si="3"/>
        <v>(4, 5]</v>
      </c>
      <c r="H20" s="86">
        <v>0.7141882229579315</v>
      </c>
      <c r="I20" s="27">
        <f t="shared" si="4"/>
        <v>9.3297499999999995E-3</v>
      </c>
      <c r="J20" s="27">
        <f t="shared" si="5"/>
        <v>9.3297499999999978E-3</v>
      </c>
      <c r="K20" s="87">
        <f t="shared" si="6"/>
        <v>9329750</v>
      </c>
      <c r="L20" s="100">
        <f t="shared" si="7"/>
        <v>9.2510328688089755E-3</v>
      </c>
      <c r="M20" s="100">
        <f t="shared" si="8"/>
        <v>4.1870075084697665E-2</v>
      </c>
      <c r="N20" s="88"/>
      <c r="O20" s="45">
        <v>4</v>
      </c>
      <c r="P20" s="45">
        <v>5</v>
      </c>
      <c r="Q20" s="100">
        <f t="shared" si="9"/>
        <v>9.2510328688089755E-3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>
      <c r="A21" s="13" t="str">
        <f t="shared" si="0"/>
        <v>(5, 6]</v>
      </c>
      <c r="B21" s="89">
        <v>9983714</v>
      </c>
      <c r="C21" s="89">
        <v>5549114420</v>
      </c>
      <c r="D21" s="27">
        <f t="shared" si="1"/>
        <v>9.9837139999999994E-3</v>
      </c>
      <c r="E21" s="90">
        <f t="shared" si="2"/>
        <v>5.5581664498802752</v>
      </c>
      <c r="F21" s="91"/>
      <c r="G21" s="13" t="str">
        <f t="shared" si="3"/>
        <v>(5, 6]</v>
      </c>
      <c r="H21" s="86">
        <v>0.38294185911174944</v>
      </c>
      <c r="I21" s="27">
        <f t="shared" si="4"/>
        <v>3.8231820000000001E-3</v>
      </c>
      <c r="J21" s="27">
        <f t="shared" si="5"/>
        <v>3.8231819999999992E-3</v>
      </c>
      <c r="K21" s="87">
        <f t="shared" si="6"/>
        <v>3823182</v>
      </c>
      <c r="L21" s="100">
        <f t="shared" si="7"/>
        <v>3.7909249814238148E-3</v>
      </c>
      <c r="M21" s="100">
        <f t="shared" si="8"/>
        <v>2.1070592045762854E-2</v>
      </c>
      <c r="N21" s="88"/>
      <c r="O21" s="45">
        <v>5</v>
      </c>
      <c r="P21" s="45">
        <v>6</v>
      </c>
      <c r="Q21" s="100">
        <f t="shared" si="9"/>
        <v>3.7909249814238148E-3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>
      <c r="A22" s="13" t="str">
        <f t="shared" si="0"/>
        <v>(6, 7]</v>
      </c>
      <c r="B22" s="89">
        <v>7840713</v>
      </c>
      <c r="C22" s="89">
        <v>5105038170</v>
      </c>
      <c r="D22" s="27">
        <f t="shared" si="1"/>
        <v>7.8407129999999992E-3</v>
      </c>
      <c r="E22" s="90">
        <f t="shared" si="2"/>
        <v>6.510936148281413</v>
      </c>
      <c r="F22" s="91"/>
      <c r="G22" s="13" t="str">
        <f t="shared" si="3"/>
        <v>(6, 7]</v>
      </c>
      <c r="H22" s="86">
        <v>0.4173004419368494</v>
      </c>
      <c r="I22" s="27">
        <f t="shared" si="4"/>
        <v>3.2719329999999999E-3</v>
      </c>
      <c r="J22" s="27">
        <f t="shared" si="5"/>
        <v>3.271932999999999E-3</v>
      </c>
      <c r="K22" s="87">
        <f t="shared" si="6"/>
        <v>3271933</v>
      </c>
      <c r="L22" s="100">
        <f t="shared" si="7"/>
        <v>3.2443269892055799E-3</v>
      </c>
      <c r="M22" s="100">
        <f t="shared" si="8"/>
        <v>2.1123605870863611E-2</v>
      </c>
      <c r="N22" s="88"/>
      <c r="O22" s="45">
        <v>6</v>
      </c>
      <c r="P22" s="45">
        <v>7</v>
      </c>
      <c r="Q22" s="100">
        <f t="shared" si="9"/>
        <v>3.2443269892055799E-3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>
      <c r="A23" s="13" t="str">
        <f t="shared" si="0"/>
        <v>(7, 8]</v>
      </c>
      <c r="B23" s="89">
        <v>7134958</v>
      </c>
      <c r="C23" s="89">
        <v>5377533620</v>
      </c>
      <c r="D23" s="27">
        <f t="shared" si="1"/>
        <v>7.1349580000000003E-3</v>
      </c>
      <c r="E23" s="90">
        <f t="shared" si="2"/>
        <v>7.5368819550164128</v>
      </c>
      <c r="F23" s="91"/>
      <c r="G23" s="13" t="str">
        <f t="shared" si="3"/>
        <v>(7, 8]</v>
      </c>
      <c r="H23" s="86">
        <v>0.3987632442966027</v>
      </c>
      <c r="I23" s="27">
        <f t="shared" si="4"/>
        <v>2.8451589999999999E-3</v>
      </c>
      <c r="J23" s="27">
        <f t="shared" si="5"/>
        <v>2.8451589999999994E-3</v>
      </c>
      <c r="K23" s="87">
        <f t="shared" si="6"/>
        <v>2845159</v>
      </c>
      <c r="L23" s="100">
        <f t="shared" si="7"/>
        <v>2.8211537743227499E-3</v>
      </c>
      <c r="M23" s="100">
        <f t="shared" si="8"/>
        <v>2.1262702974019578E-2</v>
      </c>
      <c r="N23" s="88"/>
      <c r="O23" s="45">
        <v>7</v>
      </c>
      <c r="P23" s="45">
        <v>8</v>
      </c>
      <c r="Q23" s="100">
        <f t="shared" si="9"/>
        <v>2.8211537743227499E-3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>
      <c r="A24" s="13" t="str">
        <f t="shared" si="0"/>
        <v>(8, 9]</v>
      </c>
      <c r="B24" s="89">
        <v>5766826</v>
      </c>
      <c r="C24" s="89">
        <v>4914562050</v>
      </c>
      <c r="D24" s="27">
        <f t="shared" si="1"/>
        <v>5.7668260000000001E-3</v>
      </c>
      <c r="E24" s="90">
        <f t="shared" si="2"/>
        <v>8.5221264695692227</v>
      </c>
      <c r="F24" s="91"/>
      <c r="G24" s="13" t="str">
        <f t="shared" si="3"/>
        <v>(8, 9]</v>
      </c>
      <c r="H24" s="86">
        <v>0.42038930947457059</v>
      </c>
      <c r="I24" s="27">
        <f t="shared" si="4"/>
        <v>2.4243120000000001E-3</v>
      </c>
      <c r="J24" s="27">
        <f t="shared" si="5"/>
        <v>2.4243119999999996E-3</v>
      </c>
      <c r="K24" s="87">
        <f t="shared" si="6"/>
        <v>2424312</v>
      </c>
      <c r="L24" s="100">
        <f t="shared" si="7"/>
        <v>2.4038575520510222E-3</v>
      </c>
      <c r="M24" s="100">
        <f t="shared" si="8"/>
        <v>2.0485978073407893E-2</v>
      </c>
      <c r="N24" s="88"/>
      <c r="O24" s="45">
        <v>8</v>
      </c>
      <c r="P24" s="45">
        <v>9</v>
      </c>
      <c r="Q24" s="100">
        <f t="shared" si="9"/>
        <v>2.4038575520510222E-3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>
      <c r="A25" s="13" t="str">
        <f t="shared" si="0"/>
        <v>(9, 10]</v>
      </c>
      <c r="B25" s="89">
        <v>4689306</v>
      </c>
      <c r="C25" s="89">
        <v>4469552495</v>
      </c>
      <c r="D25" s="27">
        <f t="shared" si="1"/>
        <v>4.6893059999999999E-3</v>
      </c>
      <c r="E25" s="90">
        <f t="shared" si="2"/>
        <v>9.5313730752482346</v>
      </c>
      <c r="F25" s="91"/>
      <c r="G25" s="13" t="str">
        <f t="shared" si="3"/>
        <v>(9, 10]</v>
      </c>
      <c r="H25" s="86">
        <v>0.50813915747873994</v>
      </c>
      <c r="I25" s="27">
        <f t="shared" si="4"/>
        <v>2.3828199999999999E-3</v>
      </c>
      <c r="J25" s="27">
        <f t="shared" si="5"/>
        <v>2.3828199999999995E-3</v>
      </c>
      <c r="K25" s="87">
        <f t="shared" si="6"/>
        <v>2382820</v>
      </c>
      <c r="L25" s="100">
        <f t="shared" si="7"/>
        <v>2.3627156290849599E-3</v>
      </c>
      <c r="M25" s="100">
        <f t="shared" si="8"/>
        <v>2.2519924131528583E-2</v>
      </c>
      <c r="N25" s="88"/>
      <c r="O25" s="45">
        <v>9</v>
      </c>
      <c r="P25" s="45">
        <v>10</v>
      </c>
      <c r="Q25" s="100">
        <f t="shared" si="9"/>
        <v>2.3627156290849599E-3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>
      <c r="A26" s="13" t="str">
        <f t="shared" si="0"/>
        <v>(10, 15]</v>
      </c>
      <c r="B26" s="89">
        <v>16458688</v>
      </c>
      <c r="C26" s="89">
        <v>20262859505</v>
      </c>
      <c r="D26" s="27">
        <f t="shared" si="1"/>
        <v>1.6458687999999999E-2</v>
      </c>
      <c r="E26" s="90">
        <f t="shared" si="2"/>
        <v>12.311345536776686</v>
      </c>
      <c r="F26" s="91"/>
      <c r="G26" s="13" t="str">
        <f t="shared" si="3"/>
        <v>(10, 15]</v>
      </c>
      <c r="H26" s="86">
        <v>0.53948814146060731</v>
      </c>
      <c r="I26" s="27">
        <f t="shared" si="4"/>
        <v>8.8792669999999997E-3</v>
      </c>
      <c r="J26" s="27">
        <f t="shared" si="5"/>
        <v>8.879266999999998E-3</v>
      </c>
      <c r="K26" s="87">
        <f t="shared" si="6"/>
        <v>8879267</v>
      </c>
      <c r="L26" s="100">
        <f t="shared" si="7"/>
        <v>8.8043506919189551E-3</v>
      </c>
      <c r="M26" s="100">
        <f t="shared" si="8"/>
        <v>0.10839340359517316</v>
      </c>
      <c r="N26" s="88"/>
      <c r="O26" s="45">
        <v>10</v>
      </c>
      <c r="P26" s="45">
        <v>15</v>
      </c>
      <c r="Q26" s="100">
        <f t="shared" si="9"/>
        <v>8.8043506919189551E-3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>
      <c r="A27" s="13" t="str">
        <f t="shared" si="0"/>
        <v>(15, 20]</v>
      </c>
      <c r="B27" s="89">
        <v>9533587</v>
      </c>
      <c r="C27" s="89">
        <v>16541096140</v>
      </c>
      <c r="D27" s="27">
        <f t="shared" si="1"/>
        <v>9.5335869999999996E-3</v>
      </c>
      <c r="E27" s="90">
        <f t="shared" si="2"/>
        <v>17.350338482252273</v>
      </c>
      <c r="F27" s="91"/>
      <c r="G27" s="13" t="str">
        <f t="shared" si="3"/>
        <v>(15, 20]</v>
      </c>
      <c r="H27" s="86">
        <v>0.28413523682114611</v>
      </c>
      <c r="I27" s="27">
        <f t="shared" si="4"/>
        <v>2.7088279999999999E-3</v>
      </c>
      <c r="J27" s="27">
        <f t="shared" si="5"/>
        <v>2.7088279999999995E-3</v>
      </c>
      <c r="K27" s="87">
        <f t="shared" si="6"/>
        <v>2708828</v>
      </c>
      <c r="L27" s="100">
        <f t="shared" si="7"/>
        <v>2.6859730286395754E-3</v>
      </c>
      <c r="M27" s="100">
        <f t="shared" si="8"/>
        <v>4.6602541201096914E-2</v>
      </c>
      <c r="N27" s="88"/>
      <c r="O27" s="45">
        <v>15</v>
      </c>
      <c r="P27" s="45">
        <v>20</v>
      </c>
      <c r="Q27" s="100">
        <f t="shared" si="9"/>
        <v>2.6859730286395754E-3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>
      <c r="A28" s="13" t="str">
        <f t="shared" si="0"/>
        <v>(20, 25]</v>
      </c>
      <c r="B28" s="89">
        <v>6177309</v>
      </c>
      <c r="C28" s="89">
        <v>13847458525</v>
      </c>
      <c r="D28" s="27">
        <f t="shared" si="1"/>
        <v>6.1773089999999998E-3</v>
      </c>
      <c r="E28" s="90">
        <f t="shared" si="2"/>
        <v>22.416651854391613</v>
      </c>
      <c r="F28" s="91"/>
      <c r="G28" s="13" t="str">
        <f t="shared" si="3"/>
        <v>(20, 25]</v>
      </c>
      <c r="H28" s="86">
        <v>0.34831526154835385</v>
      </c>
      <c r="I28" s="27">
        <f t="shared" si="4"/>
        <v>2.1516510000000001E-3</v>
      </c>
      <c r="J28" s="27">
        <f t="shared" si="5"/>
        <v>2.1516509999999997E-3</v>
      </c>
      <c r="K28" s="87">
        <f t="shared" si="6"/>
        <v>2151651</v>
      </c>
      <c r="L28" s="100">
        <f t="shared" si="7"/>
        <v>2.1334970522474558E-3</v>
      </c>
      <c r="M28" s="100">
        <f t="shared" si="8"/>
        <v>4.782586065260197E-2</v>
      </c>
      <c r="N28" s="88"/>
      <c r="O28" s="45">
        <v>20</v>
      </c>
      <c r="P28" s="45">
        <v>25</v>
      </c>
      <c r="Q28" s="100">
        <f t="shared" si="9"/>
        <v>2.1334970522474558E-3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>
      <c r="A29" s="13" t="str">
        <f t="shared" si="0"/>
        <v>(25, 30]</v>
      </c>
      <c r="B29" s="89">
        <v>4284185</v>
      </c>
      <c r="C29" s="89">
        <v>11720617050</v>
      </c>
      <c r="D29" s="27">
        <f t="shared" si="1"/>
        <v>4.2841850000000002E-3</v>
      </c>
      <c r="E29" s="90">
        <f t="shared" si="2"/>
        <v>27.357868649463086</v>
      </c>
      <c r="F29" s="91"/>
      <c r="G29" s="13" t="str">
        <f t="shared" si="3"/>
        <v>(25, 30]</v>
      </c>
      <c r="H29" s="86">
        <v>0.39431373761870692</v>
      </c>
      <c r="I29" s="27">
        <f t="shared" si="4"/>
        <v>1.689313E-3</v>
      </c>
      <c r="J29" s="27">
        <f t="shared" si="5"/>
        <v>1.6893129999999996E-3</v>
      </c>
      <c r="K29" s="87">
        <f t="shared" si="6"/>
        <v>1689313</v>
      </c>
      <c r="L29" s="100">
        <f t="shared" si="7"/>
        <v>1.675059898572448E-3</v>
      </c>
      <c r="M29" s="100">
        <f t="shared" si="8"/>
        <v>4.5826068685127994E-2</v>
      </c>
      <c r="N29" s="88"/>
      <c r="O29" s="45">
        <v>25</v>
      </c>
      <c r="P29" s="45">
        <v>30</v>
      </c>
      <c r="Q29" s="100">
        <f t="shared" si="9"/>
        <v>1.675059898572448E-3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>
      <c r="A30" s="13" t="str">
        <f t="shared" si="0"/>
        <v>(30, 35]</v>
      </c>
      <c r="B30" s="89">
        <v>3019933</v>
      </c>
      <c r="C30" s="89">
        <v>9787573815</v>
      </c>
      <c r="D30" s="27">
        <f t="shared" si="1"/>
        <v>3.0199329999999998E-3</v>
      </c>
      <c r="E30" s="90">
        <f t="shared" si="2"/>
        <v>32.409903845548889</v>
      </c>
      <c r="F30" s="91"/>
      <c r="G30" s="13" t="str">
        <f t="shared" si="3"/>
        <v>(30, 35]</v>
      </c>
      <c r="H30" s="86">
        <v>0.17664862101245296</v>
      </c>
      <c r="I30" s="27">
        <f t="shared" si="4"/>
        <v>5.3346700000000003E-4</v>
      </c>
      <c r="J30" s="27">
        <f t="shared" si="5"/>
        <v>5.3346699999999993E-4</v>
      </c>
      <c r="K30" s="87">
        <f t="shared" si="6"/>
        <v>533467</v>
      </c>
      <c r="L30" s="100">
        <f t="shared" si="7"/>
        <v>5.2896602282214615E-4</v>
      </c>
      <c r="M30" s="100">
        <f t="shared" si="8"/>
        <v>1.7143737937228176E-2</v>
      </c>
      <c r="N30" s="88"/>
      <c r="O30" s="45">
        <v>30</v>
      </c>
      <c r="P30" s="45">
        <v>35</v>
      </c>
      <c r="Q30" s="100">
        <f t="shared" si="9"/>
        <v>5.2896602282214615E-4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>
      <c r="A31" s="13" t="str">
        <f t="shared" si="0"/>
        <v>(35, 40]</v>
      </c>
      <c r="B31" s="89">
        <v>2320118</v>
      </c>
      <c r="C31" s="89">
        <v>8680968890</v>
      </c>
      <c r="D31" s="27">
        <f t="shared" si="1"/>
        <v>2.3201179999999999E-3</v>
      </c>
      <c r="E31" s="90">
        <f t="shared" si="2"/>
        <v>37.41606629490397</v>
      </c>
      <c r="F31" s="91"/>
      <c r="G31" s="13" t="str">
        <f t="shared" si="3"/>
        <v>(35, 40]</v>
      </c>
      <c r="H31" s="86">
        <v>0.18138991206481739</v>
      </c>
      <c r="I31" s="27">
        <f t="shared" si="4"/>
        <v>4.2084599999999995E-4</v>
      </c>
      <c r="J31" s="27">
        <f t="shared" si="5"/>
        <v>4.2084599999999984E-4</v>
      </c>
      <c r="K31" s="87">
        <f t="shared" si="6"/>
        <v>420846</v>
      </c>
      <c r="L31" s="100">
        <f t="shared" si="7"/>
        <v>4.1729523070894526E-4</v>
      </c>
      <c r="M31" s="100">
        <f t="shared" si="8"/>
        <v>1.5613546016753143E-2</v>
      </c>
      <c r="N31" s="88"/>
      <c r="O31" s="45">
        <v>35</v>
      </c>
      <c r="P31" s="45">
        <v>40</v>
      </c>
      <c r="Q31" s="100">
        <f t="shared" si="9"/>
        <v>4.1729523070894526E-4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>
      <c r="A32" s="13" t="str">
        <f t="shared" si="0"/>
        <v>(40, 45]</v>
      </c>
      <c r="B32" s="89">
        <v>1700714</v>
      </c>
      <c r="C32" s="89">
        <v>7213356120</v>
      </c>
      <c r="D32" s="27">
        <f t="shared" si="1"/>
        <v>1.7007140000000001E-3</v>
      </c>
      <c r="E32" s="90">
        <f t="shared" si="2"/>
        <v>42.413692837243651</v>
      </c>
      <c r="F32" s="91"/>
      <c r="G32" s="13" t="str">
        <f t="shared" si="3"/>
        <v>(40, 45]</v>
      </c>
      <c r="H32" s="86">
        <v>0.21260070770276485</v>
      </c>
      <c r="I32" s="27">
        <f t="shared" si="4"/>
        <v>3.6157300000000002E-4</v>
      </c>
      <c r="J32" s="27">
        <f t="shared" si="5"/>
        <v>3.6157299999999996E-4</v>
      </c>
      <c r="K32" s="87">
        <f t="shared" si="6"/>
        <v>361573</v>
      </c>
      <c r="L32" s="100">
        <f t="shared" si="7"/>
        <v>3.5852232990957612E-4</v>
      </c>
      <c r="M32" s="100">
        <f t="shared" si="8"/>
        <v>1.5206255976077694E-2</v>
      </c>
      <c r="N32" s="88"/>
      <c r="O32" s="45">
        <v>40</v>
      </c>
      <c r="P32" s="45">
        <v>45</v>
      </c>
      <c r="Q32" s="100">
        <f t="shared" si="9"/>
        <v>3.5852232990957612E-4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>
      <c r="A33" s="13" t="str">
        <f t="shared" si="0"/>
        <v>(45, 50]</v>
      </c>
      <c r="B33" s="89">
        <v>1324002</v>
      </c>
      <c r="C33" s="89">
        <v>6284776125</v>
      </c>
      <c r="D33" s="27">
        <f t="shared" si="1"/>
        <v>1.3240019999999999E-3</v>
      </c>
      <c r="E33" s="90">
        <f t="shared" si="2"/>
        <v>47.468025916879277</v>
      </c>
      <c r="F33" s="91"/>
      <c r="G33" s="13" t="str">
        <f t="shared" si="3"/>
        <v>(45, 50]</v>
      </c>
      <c r="H33" s="86">
        <v>0.23279798670998991</v>
      </c>
      <c r="I33" s="27">
        <f t="shared" si="4"/>
        <v>3.0822500000000002E-4</v>
      </c>
      <c r="J33" s="27">
        <f t="shared" si="5"/>
        <v>3.0822499999999997E-4</v>
      </c>
      <c r="K33" s="87">
        <f t="shared" si="6"/>
        <v>308225</v>
      </c>
      <c r="L33" s="100">
        <f t="shared" si="7"/>
        <v>3.0562443859574441E-4</v>
      </c>
      <c r="M33" s="100">
        <f t="shared" si="8"/>
        <v>1.4507388772094475E-2</v>
      </c>
      <c r="N33" s="88"/>
      <c r="O33" s="45">
        <v>45</v>
      </c>
      <c r="P33" s="45">
        <v>50</v>
      </c>
      <c r="Q33" s="100">
        <f t="shared" si="9"/>
        <v>3.0562443859574441E-4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>
      <c r="A34" s="13" t="str">
        <f t="shared" si="0"/>
        <v>(50, 60]</v>
      </c>
      <c r="B34" s="89">
        <v>1847035</v>
      </c>
      <c r="C34" s="89">
        <v>10084132345</v>
      </c>
      <c r="D34" s="27">
        <f t="shared" si="1"/>
        <v>1.8470349999999999E-3</v>
      </c>
      <c r="E34" s="90">
        <f t="shared" si="2"/>
        <v>54.596325164385078</v>
      </c>
      <c r="F34" s="91"/>
      <c r="G34" s="13" t="str">
        <f t="shared" si="3"/>
        <v>(50, 60]</v>
      </c>
      <c r="H34" s="86">
        <v>0.16045770654048247</v>
      </c>
      <c r="I34" s="27">
        <f t="shared" si="4"/>
        <v>2.9637100000000003E-4</v>
      </c>
      <c r="J34" s="27">
        <f t="shared" si="5"/>
        <v>2.9637099999999997E-4</v>
      </c>
      <c r="K34" s="87">
        <f t="shared" si="6"/>
        <v>296371</v>
      </c>
      <c r="L34" s="100">
        <f t="shared" si="7"/>
        <v>2.9387045337353999E-4</v>
      </c>
      <c r="M34" s="100">
        <f t="shared" si="8"/>
        <v>1.6044246828587055E-2</v>
      </c>
      <c r="N34" s="88"/>
      <c r="O34" s="45">
        <v>50</v>
      </c>
      <c r="P34" s="45">
        <v>60</v>
      </c>
      <c r="Q34" s="100">
        <f t="shared" si="9"/>
        <v>2.9387045337353999E-4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>
      <c r="A35" s="13" t="str">
        <f t="shared" si="0"/>
        <v>(60, 70]</v>
      </c>
      <c r="B35" s="89">
        <v>1173994</v>
      </c>
      <c r="C35" s="89">
        <v>7594701825</v>
      </c>
      <c r="D35" s="27">
        <f t="shared" si="1"/>
        <v>1.173994E-3</v>
      </c>
      <c r="E35" s="90">
        <f t="shared" si="2"/>
        <v>64.69114684572493</v>
      </c>
      <c r="F35" s="91"/>
      <c r="G35" s="13" t="str">
        <f t="shared" si="3"/>
        <v>(60, 70]</v>
      </c>
      <c r="H35" s="86">
        <v>8.5831784489528912E-2</v>
      </c>
      <c r="I35" s="27">
        <f t="shared" si="4"/>
        <v>1.00766E-4</v>
      </c>
      <c r="J35" s="27">
        <f t="shared" si="5"/>
        <v>1.0076599999999998E-4</v>
      </c>
      <c r="K35" s="87">
        <f t="shared" si="6"/>
        <v>100766</v>
      </c>
      <c r="L35" s="100">
        <f t="shared" si="7"/>
        <v>9.9915815328214077E-5</v>
      </c>
      <c r="M35" s="100">
        <f t="shared" si="8"/>
        <v>6.4636686816078306E-3</v>
      </c>
      <c r="N35" s="88"/>
      <c r="O35" s="45">
        <v>60</v>
      </c>
      <c r="P35" s="45">
        <v>70</v>
      </c>
      <c r="Q35" s="100">
        <f t="shared" si="9"/>
        <v>9.9915815328214077E-5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>
      <c r="A36" s="13" t="str">
        <f t="shared" si="0"/>
        <v>(70, 80]</v>
      </c>
      <c r="B36" s="89">
        <v>783561</v>
      </c>
      <c r="C36" s="89">
        <v>5852326655</v>
      </c>
      <c r="D36" s="27">
        <f t="shared" si="1"/>
        <v>7.83561E-4</v>
      </c>
      <c r="E36" s="90">
        <f t="shared" si="2"/>
        <v>74.688845603596917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>
      <c r="A37" s="13" t="str">
        <f t="shared" si="0"/>
        <v>(80, 90]</v>
      </c>
      <c r="B37" s="89">
        <v>514288</v>
      </c>
      <c r="C37" s="89">
        <v>4355235275</v>
      </c>
      <c r="D37" s="27">
        <f t="shared" si="1"/>
        <v>5.1428800000000001E-4</v>
      </c>
      <c r="E37" s="90">
        <f t="shared" si="2"/>
        <v>84.684753970537912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>
      <c r="A38" s="13" t="str">
        <f t="shared" si="0"/>
        <v>(90, 100]</v>
      </c>
      <c r="B38" s="89">
        <v>363270</v>
      </c>
      <c r="C38" s="89">
        <v>3443690050</v>
      </c>
      <c r="D38" s="27">
        <f t="shared" si="1"/>
        <v>3.6327000000000001E-4</v>
      </c>
      <c r="E38" s="90">
        <f t="shared" si="2"/>
        <v>94.796984336719248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>
      <c r="A39" s="13" t="str">
        <f t="shared" si="0"/>
        <v>(100, 120]</v>
      </c>
      <c r="B39" s="89">
        <v>428416</v>
      </c>
      <c r="C39" s="89">
        <v>4661097590</v>
      </c>
      <c r="D39" s="27">
        <f t="shared" si="1"/>
        <v>4.2841599999999999E-4</v>
      </c>
      <c r="E39" s="90">
        <f t="shared" si="2"/>
        <v>108.79840132021212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>
      <c r="A40" s="13" t="str">
        <f t="shared" si="0"/>
        <v>(120, 140]</v>
      </c>
      <c r="B40" s="89">
        <v>228606</v>
      </c>
      <c r="C40" s="89">
        <v>2949643405</v>
      </c>
      <c r="D40" s="27">
        <f t="shared" si="1"/>
        <v>2.2860600000000001E-4</v>
      </c>
      <c r="E40" s="90">
        <f t="shared" si="2"/>
        <v>129.02738357698396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>
      <c r="A41" s="13" t="str">
        <f t="shared" si="0"/>
        <v>(140, 160]</v>
      </c>
      <c r="B41" s="89">
        <v>124806</v>
      </c>
      <c r="C41" s="89">
        <v>1859796675</v>
      </c>
      <c r="D41" s="27">
        <f t="shared" si="1"/>
        <v>1.2480600000000001E-4</v>
      </c>
      <c r="E41" s="90">
        <f t="shared" si="2"/>
        <v>149.01500528820731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>
      <c r="A42" s="13" t="str">
        <f t="shared" si="0"/>
        <v>(160, 180]</v>
      </c>
      <c r="B42" s="89">
        <v>69153</v>
      </c>
      <c r="C42" s="89">
        <v>1168637345</v>
      </c>
      <c r="D42" s="27">
        <f t="shared" si="1"/>
        <v>6.9152999999999993E-5</v>
      </c>
      <c r="E42" s="90">
        <f t="shared" si="2"/>
        <v>168.99300753401877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>
      <c r="A43" s="13" t="str">
        <f t="shared" si="0"/>
        <v>(180, 200]</v>
      </c>
      <c r="B43" s="89">
        <v>44984</v>
      </c>
      <c r="C43" s="89">
        <v>851786160</v>
      </c>
      <c r="D43" s="27">
        <f t="shared" si="1"/>
        <v>4.4984000000000002E-5</v>
      </c>
      <c r="E43" s="90">
        <f t="shared" si="2"/>
        <v>189.35313889382891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>
      <c r="A44" s="13" t="str">
        <f t="shared" si="0"/>
        <v>(200, 250]</v>
      </c>
      <c r="B44" s="89">
        <v>47840</v>
      </c>
      <c r="C44" s="89">
        <v>1054156880</v>
      </c>
      <c r="D44" s="27">
        <f t="shared" si="1"/>
        <v>4.7840000000000003E-5</v>
      </c>
      <c r="E44" s="90">
        <f t="shared" si="2"/>
        <v>220.35051839464882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>
      <c r="A45" s="13" t="str">
        <f t="shared" si="0"/>
        <v>(250, 300]</v>
      </c>
      <c r="B45" s="89">
        <v>18019</v>
      </c>
      <c r="C45" s="89">
        <v>487888510</v>
      </c>
      <c r="D45" s="27">
        <f t="shared" si="1"/>
        <v>1.8019000000000001E-5</v>
      </c>
      <c r="E45" s="90">
        <f t="shared" si="2"/>
        <v>270.76336644652866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>
      <c r="A46" s="13" t="str">
        <f t="shared" si="0"/>
        <v>(300, 350]</v>
      </c>
      <c r="B46" s="89">
        <v>6545</v>
      </c>
      <c r="C46" s="89">
        <v>210151740</v>
      </c>
      <c r="D46" s="27">
        <f t="shared" si="1"/>
        <v>6.545E-6</v>
      </c>
      <c r="E46" s="90">
        <f t="shared" si="2"/>
        <v>321.08745607333844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>
      <c r="A47" s="13" t="str">
        <f t="shared" ref="A47:A78" si="11">"("&amp;$O47&amp;", "&amp;$P47&amp;"]"</f>
        <v>(350, 400]</v>
      </c>
      <c r="B47" s="89">
        <v>3388</v>
      </c>
      <c r="C47" s="89">
        <v>126557180</v>
      </c>
      <c r="D47" s="27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>
      <c r="A48" s="13" t="str">
        <f t="shared" si="11"/>
        <v>(400, 450]</v>
      </c>
      <c r="B48" s="89">
        <v>1445</v>
      </c>
      <c r="C48" s="89">
        <v>60909905</v>
      </c>
      <c r="D48" s="27">
        <f t="shared" si="12"/>
        <v>1.4449999999999999E-6</v>
      </c>
      <c r="E48" s="90">
        <f t="shared" si="13"/>
        <v>421.52183391003462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>
      <c r="A49" s="13" t="str">
        <f t="shared" si="11"/>
        <v>(450, 500]</v>
      </c>
      <c r="B49" s="89">
        <v>859</v>
      </c>
      <c r="C49" s="89">
        <v>40850940</v>
      </c>
      <c r="D49" s="27">
        <f t="shared" si="12"/>
        <v>8.5899999999999995E-7</v>
      </c>
      <c r="E49" s="90">
        <f t="shared" si="13"/>
        <v>475.56391152502908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>
      <c r="A50" s="13" t="str">
        <f t="shared" si="11"/>
        <v>(500, 550]</v>
      </c>
      <c r="B50" s="89">
        <v>461</v>
      </c>
      <c r="C50" s="89">
        <v>24059565</v>
      </c>
      <c r="D50" s="27">
        <f t="shared" si="12"/>
        <v>4.6100000000000001E-7</v>
      </c>
      <c r="E50" s="90">
        <f t="shared" si="13"/>
        <v>521.89945770065071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>
      <c r="A51" s="13" t="str">
        <f t="shared" si="11"/>
        <v>(550, 600]</v>
      </c>
      <c r="B51" s="89">
        <v>321</v>
      </c>
      <c r="C51" s="89">
        <v>18281215</v>
      </c>
      <c r="D51" s="27">
        <f t="shared" si="12"/>
        <v>3.2099999999999998E-7</v>
      </c>
      <c r="E51" s="90">
        <f t="shared" si="13"/>
        <v>569.50825545171347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>
      <c r="A52" s="13" t="str">
        <f t="shared" si="11"/>
        <v>(600, 650]</v>
      </c>
      <c r="B52" s="89">
        <v>135</v>
      </c>
      <c r="C52" s="89">
        <v>8432440</v>
      </c>
      <c r="D52" s="27">
        <f t="shared" si="12"/>
        <v>1.35E-7</v>
      </c>
      <c r="E52" s="90">
        <f t="shared" si="13"/>
        <v>624.62518518518516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>
      <c r="A53" s="13" t="str">
        <f t="shared" si="11"/>
        <v>(650, 700]</v>
      </c>
      <c r="B53" s="89">
        <v>74</v>
      </c>
      <c r="C53" s="89">
        <v>4951330</v>
      </c>
      <c r="D53" s="27">
        <f t="shared" si="12"/>
        <v>7.4000000000000001E-8</v>
      </c>
      <c r="E53" s="90">
        <f t="shared" si="13"/>
        <v>669.09864864864869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>
      <c r="A54" s="13" t="str">
        <f t="shared" si="11"/>
        <v>(700, 750]</v>
      </c>
      <c r="B54" s="89">
        <v>91</v>
      </c>
      <c r="C54" s="89">
        <v>6648350</v>
      </c>
      <c r="D54" s="27">
        <f t="shared" si="12"/>
        <v>9.0999999999999994E-8</v>
      </c>
      <c r="E54" s="90">
        <f t="shared" si="13"/>
        <v>730.58791208791217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>
      <c r="A55" s="13" t="str">
        <f t="shared" si="11"/>
        <v>(750, 800]</v>
      </c>
      <c r="B55" s="89">
        <v>59</v>
      </c>
      <c r="C55" s="89">
        <v>4532570</v>
      </c>
      <c r="D55" s="27">
        <f t="shared" si="12"/>
        <v>5.8999999999999999E-8</v>
      </c>
      <c r="E55" s="90">
        <f t="shared" si="13"/>
        <v>768.23220338983049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>
      <c r="A56" s="13" t="str">
        <f t="shared" si="11"/>
        <v>(800, 850]</v>
      </c>
      <c r="B56" s="89">
        <v>38</v>
      </c>
      <c r="C56" s="89">
        <v>3142735</v>
      </c>
      <c r="D56" s="27">
        <f t="shared" si="12"/>
        <v>3.8000000000000003E-8</v>
      </c>
      <c r="E56" s="90">
        <f t="shared" si="13"/>
        <v>827.03552631578941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>
      <c r="A57" s="13" t="str">
        <f t="shared" si="11"/>
        <v>(850, 900]</v>
      </c>
      <c r="B57" s="89">
        <v>11</v>
      </c>
      <c r="C57" s="89">
        <v>959050</v>
      </c>
      <c r="D57" s="27">
        <f t="shared" si="12"/>
        <v>1.0999999999999999E-8</v>
      </c>
      <c r="E57" s="90">
        <f t="shared" si="13"/>
        <v>871.86363636363637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>
      <c r="A58" s="13" t="str">
        <f t="shared" si="11"/>
        <v>(900, 950]</v>
      </c>
      <c r="B58" s="89">
        <v>16</v>
      </c>
      <c r="C58" s="89">
        <v>1478095</v>
      </c>
      <c r="D58" s="27">
        <f t="shared" si="12"/>
        <v>1.6000000000000001E-8</v>
      </c>
      <c r="E58" s="90">
        <f t="shared" si="13"/>
        <v>923.80937500000005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>
      <c r="A59" s="13" t="str">
        <f t="shared" si="11"/>
        <v>(950, 1000]</v>
      </c>
      <c r="B59" s="89">
        <v>13</v>
      </c>
      <c r="C59" s="89">
        <v>1274470</v>
      </c>
      <c r="D59" s="27">
        <f t="shared" si="12"/>
        <v>1.3000000000000001E-8</v>
      </c>
      <c r="E59" s="90">
        <f t="shared" si="13"/>
        <v>980.36153846153843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>
      <c r="A60" s="13" t="str">
        <f t="shared" si="11"/>
        <v>(1000, 2000]</v>
      </c>
      <c r="B60" s="89">
        <v>30</v>
      </c>
      <c r="C60" s="89">
        <v>3442955</v>
      </c>
      <c r="D60" s="27">
        <f t="shared" si="12"/>
        <v>2.9999999999999997E-8</v>
      </c>
      <c r="E60" s="90">
        <f t="shared" si="13"/>
        <v>1147.6516666666666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>
      <c r="A79" s="13" t="s">
        <v>19</v>
      </c>
      <c r="B79" s="89">
        <v>8336580</v>
      </c>
      <c r="C79" s="89">
        <v>2844300350</v>
      </c>
      <c r="D79" s="27">
        <f>B79/B13</f>
        <v>8.3365799999999997E-3</v>
      </c>
      <c r="E79" s="90">
        <f t="shared" si="13"/>
        <v>3.4118311705759434</v>
      </c>
      <c r="F79" s="91"/>
      <c r="G79" s="13" t="s">
        <v>19</v>
      </c>
      <c r="H79" s="86">
        <v>1.0206835416921567</v>
      </c>
      <c r="I79" s="27">
        <f t="shared" ref="I79" si="22">D79*H79</f>
        <v>8.5090099999999991E-3</v>
      </c>
      <c r="J79" s="27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2.8786362105721209E-2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10</v>
      </c>
      <c r="B82" s="63" t="s">
        <v>19</v>
      </c>
      <c r="C82" s="63"/>
      <c r="D82" s="82"/>
      <c r="E82" s="59"/>
      <c r="F82" s="60"/>
      <c r="G82" s="63" t="s">
        <v>10</v>
      </c>
      <c r="H82" s="63" t="s">
        <v>19</v>
      </c>
      <c r="I82" s="58"/>
      <c r="J82" s="58"/>
      <c r="K82" s="61"/>
      <c r="L82" s="99"/>
      <c r="M82" s="99"/>
      <c r="N82" s="60"/>
      <c r="O82" s="63" t="s">
        <v>10</v>
      </c>
      <c r="P82" s="63" t="s">
        <v>19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101</v>
      </c>
      <c r="B84" s="48"/>
      <c r="C84" s="1"/>
      <c r="D84" s="1"/>
      <c r="E84" s="1"/>
      <c r="G84" s="48" t="s">
        <v>102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20</v>
      </c>
      <c r="B85" s="9" t="s">
        <v>103</v>
      </c>
      <c r="C85" s="9" t="s">
        <v>104</v>
      </c>
      <c r="D85" s="9" t="s">
        <v>95</v>
      </c>
      <c r="E85" s="9" t="s">
        <v>105</v>
      </c>
      <c r="G85" s="9" t="s">
        <v>20</v>
      </c>
      <c r="H85" s="9" t="s">
        <v>106</v>
      </c>
      <c r="I85" s="9" t="s">
        <v>107</v>
      </c>
      <c r="J85" s="9" t="s">
        <v>108</v>
      </c>
      <c r="K85" s="9" t="s">
        <v>109</v>
      </c>
      <c r="L85" s="9" t="s">
        <v>95</v>
      </c>
      <c r="M85" s="9" t="s">
        <v>110</v>
      </c>
      <c r="O85" s="9" t="s">
        <v>111</v>
      </c>
      <c r="P85" s="9" t="s">
        <v>112</v>
      </c>
      <c r="Q85" s="9" t="s">
        <v>113</v>
      </c>
      <c r="R85" s="9" t="s">
        <v>114</v>
      </c>
      <c r="T85" s="12" t="s">
        <v>113</v>
      </c>
      <c r="U85" s="12" t="s">
        <v>115</v>
      </c>
    </row>
    <row r="86" spans="1:21">
      <c r="A86" s="13" t="str">
        <f t="shared" ref="A86:A117" si="26">"("&amp;$O86&amp;", "&amp;$P86&amp;"]"</f>
        <v>(-1, 0]</v>
      </c>
      <c r="B86" s="84">
        <v>55218</v>
      </c>
      <c r="C86" s="84">
        <v>0</v>
      </c>
      <c r="D86" s="27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84581</v>
      </c>
      <c r="C87" s="89">
        <v>4760560</v>
      </c>
      <c r="D87" s="27">
        <f t="shared" si="27"/>
        <v>1.0112446734829028E-2</v>
      </c>
      <c r="E87" s="90">
        <f t="shared" si="28"/>
        <v>0.56284035421666812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64013</v>
      </c>
      <c r="C88" s="89">
        <v>10029540</v>
      </c>
      <c r="D88" s="27">
        <f t="shared" si="27"/>
        <v>7.6533506678404207E-3</v>
      </c>
      <c r="E88" s="90">
        <f t="shared" si="28"/>
        <v>1.566797369284364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55751</v>
      </c>
      <c r="C89" s="89">
        <v>14330930</v>
      </c>
      <c r="D89" s="27">
        <f t="shared" si="27"/>
        <v>6.6655515767542733E-3</v>
      </c>
      <c r="E89" s="90">
        <f t="shared" si="28"/>
        <v>2.5705242955283314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49939</v>
      </c>
      <c r="C90" s="89">
        <v>17889880</v>
      </c>
      <c r="D90" s="27">
        <f t="shared" si="27"/>
        <v>5.9706728164791957E-3</v>
      </c>
      <c r="E90" s="90">
        <f t="shared" si="28"/>
        <v>3.5823464626844754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47937</v>
      </c>
      <c r="C91" s="89">
        <v>21917950</v>
      </c>
      <c r="D91" s="27">
        <f t="shared" si="27"/>
        <v>5.7313150604450074E-3</v>
      </c>
      <c r="E91" s="90">
        <f t="shared" si="28"/>
        <v>4.5722406491853897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46015</v>
      </c>
      <c r="C92" s="89">
        <v>25632270</v>
      </c>
      <c r="D92" s="27">
        <f t="shared" si="27"/>
        <v>5.5015220499066899E-3</v>
      </c>
      <c r="E92" s="90">
        <f t="shared" si="28"/>
        <v>5.5704161686406612</v>
      </c>
      <c r="F92" s="88"/>
      <c r="G92" s="13" t="str">
        <f t="shared" si="29"/>
        <v>(5, 6]</v>
      </c>
      <c r="H92" s="86">
        <v>8.8799056982473754</v>
      </c>
      <c r="I92" s="27">
        <f t="shared" si="30"/>
        <v>4.8852996999999995E-2</v>
      </c>
      <c r="J92" s="27">
        <f t="shared" si="31"/>
        <v>4.8852997000000002E-2</v>
      </c>
      <c r="K92" s="87">
        <f t="shared" si="32"/>
        <v>48852997</v>
      </c>
      <c r="L92" s="100">
        <f t="shared" si="33"/>
        <v>4.8852997000000002E-2</v>
      </c>
      <c r="M92" s="100">
        <f t="shared" si="34"/>
        <v>0.27213152437535371</v>
      </c>
      <c r="N92" s="67"/>
      <c r="O92" s="45">
        <v>5</v>
      </c>
      <c r="P92" s="45">
        <v>6</v>
      </c>
      <c r="Q92" s="100">
        <f t="shared" si="35"/>
        <v>4.8852997000000002E-2</v>
      </c>
      <c r="R92" s="100">
        <v>3.5688793718772309E-2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43596</v>
      </c>
      <c r="C93" s="89">
        <v>28617500</v>
      </c>
      <c r="D93" s="27">
        <f t="shared" si="27"/>
        <v>5.2123080579752701E-3</v>
      </c>
      <c r="E93" s="90">
        <f t="shared" si="28"/>
        <v>6.5642490136709783</v>
      </c>
      <c r="F93" s="88"/>
      <c r="G93" s="13" t="str">
        <f t="shared" si="29"/>
        <v>(6, 7]</v>
      </c>
      <c r="H93" s="86">
        <v>7.9475051242638086</v>
      </c>
      <c r="I93" s="27">
        <f t="shared" si="30"/>
        <v>4.1424845000000002E-2</v>
      </c>
      <c r="J93" s="27">
        <f t="shared" si="31"/>
        <v>4.1424845000000009E-2</v>
      </c>
      <c r="K93" s="87">
        <f t="shared" si="32"/>
        <v>41424845</v>
      </c>
      <c r="L93" s="100">
        <f t="shared" si="33"/>
        <v>4.1424845000000002E-2</v>
      </c>
      <c r="M93" s="100">
        <f t="shared" si="34"/>
        <v>0.27192299793272318</v>
      </c>
      <c r="N93" s="88"/>
      <c r="O93" s="45">
        <v>6</v>
      </c>
      <c r="P93" s="45">
        <v>7</v>
      </c>
      <c r="Q93" s="100">
        <f t="shared" si="35"/>
        <v>4.1424845000000002E-2</v>
      </c>
      <c r="R93" s="100">
        <v>3.0692362598144181E-2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43437</v>
      </c>
      <c r="C94" s="89">
        <v>32884090</v>
      </c>
      <c r="D94" s="27">
        <f t="shared" si="27"/>
        <v>5.1932981263022255E-3</v>
      </c>
      <c r="E94" s="90">
        <f t="shared" si="28"/>
        <v>7.5705251283468007</v>
      </c>
      <c r="F94" s="88"/>
      <c r="G94" s="13" t="str">
        <f t="shared" si="29"/>
        <v>(7, 8]</v>
      </c>
      <c r="H94" s="86">
        <v>8.4120433561756336</v>
      </c>
      <c r="I94" s="27">
        <f t="shared" si="30"/>
        <v>4.3686249000000003E-2</v>
      </c>
      <c r="J94" s="27">
        <f t="shared" si="31"/>
        <v>4.368624900000001E-2</v>
      </c>
      <c r="K94" s="87">
        <f t="shared" si="32"/>
        <v>43686249</v>
      </c>
      <c r="L94" s="100">
        <f t="shared" si="33"/>
        <v>4.3686249000000003E-2</v>
      </c>
      <c r="M94" s="100">
        <f t="shared" si="34"/>
        <v>0.3307278458177153</v>
      </c>
      <c r="N94" s="88"/>
      <c r="O94" s="45">
        <v>7</v>
      </c>
      <c r="P94" s="45">
        <v>8</v>
      </c>
      <c r="Q94" s="100">
        <f t="shared" si="35"/>
        <v>4.3686249000000003E-2</v>
      </c>
      <c r="R94" s="100">
        <v>3.2833690221270521E-2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42950</v>
      </c>
      <c r="C95" s="89">
        <v>36789480</v>
      </c>
      <c r="D95" s="27">
        <f t="shared" si="27"/>
        <v>5.135072738096106E-3</v>
      </c>
      <c r="E95" s="90">
        <f t="shared" si="28"/>
        <v>8.5656530849825376</v>
      </c>
      <c r="F95" s="88"/>
      <c r="G95" s="13" t="str">
        <f t="shared" si="29"/>
        <v>(8, 9]</v>
      </c>
      <c r="H95" s="86">
        <v>8.0233593760690578</v>
      </c>
      <c r="I95" s="27">
        <f t="shared" si="30"/>
        <v>4.1200534000000004E-2</v>
      </c>
      <c r="J95" s="27">
        <f t="shared" si="31"/>
        <v>4.1200534000000011E-2</v>
      </c>
      <c r="K95" s="87">
        <f t="shared" si="32"/>
        <v>41200534</v>
      </c>
      <c r="L95" s="100">
        <f t="shared" si="33"/>
        <v>4.1200533999999997E-2</v>
      </c>
      <c r="M95" s="100">
        <f t="shared" si="34"/>
        <v>0.3529094811600279</v>
      </c>
      <c r="N95" s="88"/>
      <c r="O95" s="45">
        <v>8</v>
      </c>
      <c r="P95" s="45">
        <v>9</v>
      </c>
      <c r="Q95" s="100">
        <f t="shared" si="35"/>
        <v>4.1200533999999997E-2</v>
      </c>
      <c r="R95" s="100">
        <v>3.1406138472519628E-2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42155</v>
      </c>
      <c r="C96" s="89">
        <v>40319540</v>
      </c>
      <c r="D96" s="27">
        <f t="shared" si="27"/>
        <v>5.0400230797308819E-3</v>
      </c>
      <c r="E96" s="90">
        <f t="shared" si="28"/>
        <v>9.5645925750207574</v>
      </c>
      <c r="F96" s="88"/>
      <c r="G96" s="13" t="str">
        <f t="shared" si="29"/>
        <v>(9, 10]</v>
      </c>
      <c r="H96" s="86">
        <v>8.6090502590152518</v>
      </c>
      <c r="I96" s="27">
        <f t="shared" si="30"/>
        <v>4.3389811999999993E-2</v>
      </c>
      <c r="J96" s="27">
        <f t="shared" si="31"/>
        <v>4.3389812E-2</v>
      </c>
      <c r="K96" s="87">
        <f t="shared" si="32"/>
        <v>43389812</v>
      </c>
      <c r="L96" s="100">
        <f t="shared" si="33"/>
        <v>4.3389812E-2</v>
      </c>
      <c r="M96" s="100">
        <f t="shared" si="34"/>
        <v>0.41500587368674657</v>
      </c>
      <c r="N96" s="88"/>
      <c r="O96" s="45">
        <v>9</v>
      </c>
      <c r="P96" s="45">
        <v>10</v>
      </c>
      <c r="Q96" s="100">
        <f t="shared" si="35"/>
        <v>4.3389812E-2</v>
      </c>
      <c r="R96" s="100">
        <v>3.3547466095645968E-2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202809</v>
      </c>
      <c r="C97" s="89">
        <v>254308990</v>
      </c>
      <c r="D97" s="27">
        <f t="shared" si="27"/>
        <v>2.4247705865902986E-2</v>
      </c>
      <c r="E97" s="90">
        <f t="shared" si="28"/>
        <v>12.539334546297255</v>
      </c>
      <c r="F97" s="88"/>
      <c r="G97" s="13" t="str">
        <f t="shared" si="29"/>
        <v>(10, 15]</v>
      </c>
      <c r="H97" s="86">
        <v>7.4456870269890443</v>
      </c>
      <c r="I97" s="27">
        <f t="shared" si="30"/>
        <v>0.18054082900000001</v>
      </c>
      <c r="J97" s="27">
        <f t="shared" si="31"/>
        <v>0.18054082900000004</v>
      </c>
      <c r="K97" s="87">
        <f t="shared" si="32"/>
        <v>180540829</v>
      </c>
      <c r="L97" s="100">
        <f t="shared" si="33"/>
        <v>0.18054082900000001</v>
      </c>
      <c r="M97" s="100">
        <f t="shared" si="34"/>
        <v>2.2638618540968456</v>
      </c>
      <c r="N97" s="88"/>
      <c r="O97" s="45">
        <v>10</v>
      </c>
      <c r="P97" s="45">
        <v>15</v>
      </c>
      <c r="Q97" s="100">
        <f t="shared" si="35"/>
        <v>0.18054082900000001</v>
      </c>
      <c r="R97" s="100">
        <v>0.145610278372591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194393</v>
      </c>
      <c r="C98" s="89">
        <v>341185810</v>
      </c>
      <c r="D98" s="27">
        <f t="shared" si="27"/>
        <v>2.3241494639737285E-2</v>
      </c>
      <c r="E98" s="90">
        <f t="shared" si="28"/>
        <v>17.551342383727807</v>
      </c>
      <c r="F98" s="88"/>
      <c r="G98" s="13" t="str">
        <f t="shared" si="29"/>
        <v>(15, 20]</v>
      </c>
      <c r="H98" s="86">
        <v>5.0711819023241738</v>
      </c>
      <c r="I98" s="27">
        <f t="shared" si="30"/>
        <v>0.11786184700000002</v>
      </c>
      <c r="J98" s="27">
        <f t="shared" si="31"/>
        <v>0.11786184700000003</v>
      </c>
      <c r="K98" s="87">
        <f t="shared" si="32"/>
        <v>117861847</v>
      </c>
      <c r="L98" s="100">
        <f t="shared" si="33"/>
        <v>0.11786184700000001</v>
      </c>
      <c r="M98" s="100">
        <f t="shared" si="34"/>
        <v>2.0686336306755422</v>
      </c>
      <c r="N98" s="88"/>
      <c r="O98" s="45">
        <v>15</v>
      </c>
      <c r="P98" s="45">
        <v>20</v>
      </c>
      <c r="Q98" s="100">
        <f t="shared" si="35"/>
        <v>0.11786184700000001</v>
      </c>
      <c r="R98" s="100">
        <v>0.10206995003568881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188251</v>
      </c>
      <c r="C99" s="89">
        <v>424612980</v>
      </c>
      <c r="D99" s="27">
        <f t="shared" si="27"/>
        <v>2.2507161304291739E-2</v>
      </c>
      <c r="E99" s="90">
        <f t="shared" si="28"/>
        <v>22.555682572735336</v>
      </c>
      <c r="F99" s="88"/>
      <c r="G99" s="13" t="str">
        <f t="shared" si="29"/>
        <v>(20, 25]</v>
      </c>
      <c r="H99" s="86">
        <v>4.6727901212466811</v>
      </c>
      <c r="I99" s="27">
        <f t="shared" si="30"/>
        <v>0.105171241</v>
      </c>
      <c r="J99" s="27">
        <f t="shared" si="31"/>
        <v>0.10517124100000001</v>
      </c>
      <c r="K99" s="87">
        <f t="shared" si="32"/>
        <v>105171241</v>
      </c>
      <c r="L99" s="100">
        <f t="shared" si="33"/>
        <v>0.105171241</v>
      </c>
      <c r="M99" s="100">
        <f t="shared" si="34"/>
        <v>2.3722091277766482</v>
      </c>
      <c r="N99" s="88"/>
      <c r="O99" s="45">
        <v>20</v>
      </c>
      <c r="P99" s="45">
        <v>25</v>
      </c>
      <c r="Q99" s="100">
        <f t="shared" si="35"/>
        <v>0.105171241</v>
      </c>
      <c r="R99" s="100">
        <v>9.7787294789436111E-2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184695</v>
      </c>
      <c r="C100" s="89">
        <v>508784530</v>
      </c>
      <c r="D100" s="27">
        <f t="shared" si="27"/>
        <v>2.2082008367000239E-2</v>
      </c>
      <c r="E100" s="90">
        <f t="shared" si="28"/>
        <v>27.547282276185062</v>
      </c>
      <c r="F100" s="88"/>
      <c r="G100" s="13" t="str">
        <f t="shared" si="29"/>
        <v>(25, 30]</v>
      </c>
      <c r="H100" s="86">
        <v>3.4329029198849943</v>
      </c>
      <c r="I100" s="27">
        <f t="shared" si="30"/>
        <v>7.5805391E-2</v>
      </c>
      <c r="J100" s="27">
        <f t="shared" si="31"/>
        <v>7.5805391000000014E-2</v>
      </c>
      <c r="K100" s="87">
        <f t="shared" si="32"/>
        <v>75805391</v>
      </c>
      <c r="L100" s="100">
        <f t="shared" si="33"/>
        <v>7.5805391E-2</v>
      </c>
      <c r="M100" s="100">
        <f t="shared" si="34"/>
        <v>2.0882325039335785</v>
      </c>
      <c r="N100" s="88"/>
      <c r="O100" s="45">
        <v>25</v>
      </c>
      <c r="P100" s="45">
        <v>30</v>
      </c>
      <c r="Q100" s="100">
        <f t="shared" si="35"/>
        <v>7.5805391E-2</v>
      </c>
      <c r="R100" s="100">
        <v>7.5660242683797285E-2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180804</v>
      </c>
      <c r="C101" s="89">
        <v>588557320</v>
      </c>
      <c r="D101" s="27">
        <f t="shared" si="27"/>
        <v>2.1616803057944781E-2</v>
      </c>
      <c r="E101" s="90">
        <f t="shared" si="28"/>
        <v>32.552228932988207</v>
      </c>
      <c r="F101" s="88"/>
      <c r="G101" s="13" t="str">
        <f t="shared" si="29"/>
        <v>(30, 35]</v>
      </c>
      <c r="H101" s="86">
        <v>2.8348238097806022</v>
      </c>
      <c r="I101" s="27">
        <f t="shared" si="30"/>
        <v>6.1279827999999995E-2</v>
      </c>
      <c r="J101" s="27">
        <f t="shared" si="31"/>
        <v>6.1279828000000001E-2</v>
      </c>
      <c r="K101" s="87">
        <f t="shared" si="32"/>
        <v>61279828</v>
      </c>
      <c r="L101" s="100">
        <f t="shared" si="33"/>
        <v>6.1279828000000001E-2</v>
      </c>
      <c r="M101" s="100">
        <f t="shared" si="34"/>
        <v>1.9947949900301409</v>
      </c>
      <c r="N101" s="88"/>
      <c r="O101" s="45">
        <v>30</v>
      </c>
      <c r="P101" s="45">
        <v>35</v>
      </c>
      <c r="Q101" s="100">
        <f t="shared" si="35"/>
        <v>6.1279828000000001E-2</v>
      </c>
      <c r="R101" s="100">
        <v>6.5667380442541043E-2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177130</v>
      </c>
      <c r="C102" s="89">
        <v>665155830</v>
      </c>
      <c r="D102" s="27">
        <f t="shared" si="27"/>
        <v>2.1177542121046875E-2</v>
      </c>
      <c r="E102" s="90">
        <f t="shared" si="28"/>
        <v>37.55184497261898</v>
      </c>
      <c r="F102" s="88"/>
      <c r="G102" s="13" t="str">
        <f t="shared" si="29"/>
        <v>(35, 40]</v>
      </c>
      <c r="H102" s="86">
        <v>2.5195383248451475</v>
      </c>
      <c r="I102" s="27">
        <f t="shared" si="30"/>
        <v>5.3357628999999997E-2</v>
      </c>
      <c r="J102" s="27">
        <f t="shared" si="31"/>
        <v>5.3357629000000004E-2</v>
      </c>
      <c r="K102" s="87">
        <f t="shared" si="32"/>
        <v>53357629</v>
      </c>
      <c r="L102" s="100">
        <f t="shared" si="33"/>
        <v>5.3357628999999997E-2</v>
      </c>
      <c r="M102" s="100">
        <f t="shared" si="34"/>
        <v>2.0036774123145187</v>
      </c>
      <c r="N102" s="88"/>
      <c r="O102" s="45">
        <v>35</v>
      </c>
      <c r="P102" s="45">
        <v>40</v>
      </c>
      <c r="Q102" s="100">
        <f t="shared" si="35"/>
        <v>5.3357628999999997E-2</v>
      </c>
      <c r="R102" s="100">
        <v>6.1384725196288369E-2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174735</v>
      </c>
      <c r="C103" s="89">
        <v>743586950</v>
      </c>
      <c r="D103" s="27">
        <f t="shared" si="27"/>
        <v>2.0891197552764217E-2</v>
      </c>
      <c r="E103" s="90">
        <f t="shared" si="28"/>
        <v>42.555123472687207</v>
      </c>
      <c r="F103" s="88"/>
      <c r="G103" s="13" t="str">
        <f t="shared" si="29"/>
        <v>(40, 45]</v>
      </c>
      <c r="H103" s="86">
        <v>2.4619005621913126</v>
      </c>
      <c r="I103" s="27">
        <f t="shared" si="30"/>
        <v>5.1432050999999999E-2</v>
      </c>
      <c r="J103" s="27">
        <f t="shared" si="31"/>
        <v>5.1432051000000006E-2</v>
      </c>
      <c r="K103" s="87">
        <f t="shared" si="32"/>
        <v>51432051</v>
      </c>
      <c r="L103" s="100">
        <f t="shared" si="33"/>
        <v>5.1432050999999999E-2</v>
      </c>
      <c r="M103" s="100">
        <f t="shared" si="34"/>
        <v>2.1886972807585456</v>
      </c>
      <c r="N103" s="88"/>
      <c r="O103" s="45">
        <v>40</v>
      </c>
      <c r="P103" s="45">
        <v>45</v>
      </c>
      <c r="Q103" s="100">
        <f t="shared" si="35"/>
        <v>5.1432050999999999E-2</v>
      </c>
      <c r="R103" s="100">
        <v>6.3526052819414702E-2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171139</v>
      </c>
      <c r="C104" s="89">
        <v>813719490</v>
      </c>
      <c r="D104" s="27">
        <f t="shared" si="27"/>
        <v>2.0461262242724786E-2</v>
      </c>
      <c r="E104" s="90">
        <f t="shared" si="28"/>
        <v>47.547285539824351</v>
      </c>
      <c r="F104" s="88"/>
      <c r="G104" s="13" t="str">
        <f t="shared" si="29"/>
        <v>(45, 50]</v>
      </c>
      <c r="H104" s="86">
        <v>1.9469619482622371</v>
      </c>
      <c r="I104" s="27">
        <f t="shared" si="30"/>
        <v>3.9837299E-2</v>
      </c>
      <c r="J104" s="27">
        <f t="shared" si="31"/>
        <v>3.9837299000000007E-2</v>
      </c>
      <c r="K104" s="87">
        <f t="shared" si="32"/>
        <v>39837299</v>
      </c>
      <c r="L104" s="100">
        <f t="shared" si="33"/>
        <v>3.9837299E-2</v>
      </c>
      <c r="M104" s="100">
        <f t="shared" si="34"/>
        <v>1.894155430688359</v>
      </c>
      <c r="N104" s="88"/>
      <c r="O104" s="45">
        <v>45</v>
      </c>
      <c r="P104" s="45">
        <v>50</v>
      </c>
      <c r="Q104" s="100">
        <f t="shared" si="35"/>
        <v>3.9837299E-2</v>
      </c>
      <c r="R104" s="100">
        <v>5.2819414703783013E-2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334569</v>
      </c>
      <c r="C105" s="89">
        <v>1841082090</v>
      </c>
      <c r="D105" s="27">
        <f t="shared" si="27"/>
        <v>4.0000841697603637E-2</v>
      </c>
      <c r="E105" s="90">
        <f t="shared" si="28"/>
        <v>55.028472153726135</v>
      </c>
      <c r="F105" s="88"/>
      <c r="G105" s="13" t="str">
        <f t="shared" si="29"/>
        <v>(50, 60]</v>
      </c>
      <c r="H105" s="86">
        <v>1.0649683654669708</v>
      </c>
      <c r="I105" s="27">
        <f t="shared" si="30"/>
        <v>4.2599630999999999E-2</v>
      </c>
      <c r="J105" s="27">
        <f t="shared" si="31"/>
        <v>4.2599631000000006E-2</v>
      </c>
      <c r="K105" s="87">
        <f t="shared" si="32"/>
        <v>42599631</v>
      </c>
      <c r="L105" s="100">
        <f t="shared" si="33"/>
        <v>4.2599630999999999E-2</v>
      </c>
      <c r="M105" s="100">
        <f t="shared" si="34"/>
        <v>2.3441926082425084</v>
      </c>
      <c r="N105" s="88"/>
      <c r="O105" s="45">
        <v>50</v>
      </c>
      <c r="P105" s="45">
        <v>60</v>
      </c>
      <c r="Q105" s="100">
        <f t="shared" si="35"/>
        <v>4.2599630999999999E-2</v>
      </c>
      <c r="R105" s="100">
        <v>3.1406138472519628E-2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324502</v>
      </c>
      <c r="C106" s="89">
        <v>2110213430</v>
      </c>
      <c r="D106" s="27">
        <f t="shared" si="27"/>
        <v>3.8797238036266883E-2</v>
      </c>
      <c r="E106" s="90">
        <f t="shared" si="28"/>
        <v>65.029288879575475</v>
      </c>
      <c r="F106" s="88"/>
      <c r="G106" s="13" t="str">
        <f t="shared" si="29"/>
        <v>(60, 70]</v>
      </c>
      <c r="H106" s="86">
        <v>0.433021339928777</v>
      </c>
      <c r="I106" s="27">
        <f t="shared" si="30"/>
        <v>1.6800031999999999E-2</v>
      </c>
      <c r="J106" s="27">
        <f t="shared" si="31"/>
        <v>1.6800032000000003E-2</v>
      </c>
      <c r="K106" s="87">
        <f t="shared" si="32"/>
        <v>16800032</v>
      </c>
      <c r="L106" s="100">
        <f t="shared" si="33"/>
        <v>1.6800031999999999E-2</v>
      </c>
      <c r="M106" s="100">
        <f t="shared" si="34"/>
        <v>1.0924941341141121</v>
      </c>
      <c r="N106" s="88"/>
      <c r="O106" s="45">
        <v>60</v>
      </c>
      <c r="P106" s="45">
        <v>70</v>
      </c>
      <c r="Q106" s="100">
        <f t="shared" si="35"/>
        <v>1.6800031999999999E-2</v>
      </c>
      <c r="R106" s="100">
        <v>2.855103497501784E-2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313591</v>
      </c>
      <c r="C107" s="89">
        <v>2352848560</v>
      </c>
      <c r="D107" s="27">
        <f t="shared" si="27"/>
        <v>3.7492726309948689E-2</v>
      </c>
      <c r="E107" s="90">
        <f t="shared" si="28"/>
        <v>75.029211935291514</v>
      </c>
      <c r="F107" s="88"/>
      <c r="G107" s="13" t="str">
        <f t="shared" si="29"/>
        <v>(70, 80]</v>
      </c>
      <c r="H107" s="86">
        <v>0.30129868141924032</v>
      </c>
      <c r="I107" s="27">
        <f t="shared" si="30"/>
        <v>1.1296509E-2</v>
      </c>
      <c r="J107" s="27">
        <f t="shared" si="31"/>
        <v>1.1296509000000001E-2</v>
      </c>
      <c r="K107" s="87">
        <f t="shared" si="32"/>
        <v>11296509</v>
      </c>
      <c r="L107" s="100">
        <f t="shared" si="33"/>
        <v>1.1296509E-2</v>
      </c>
      <c r="M107" s="100">
        <f t="shared" si="34"/>
        <v>0.84756816788992795</v>
      </c>
      <c r="N107" s="88"/>
      <c r="O107" s="45">
        <v>70</v>
      </c>
      <c r="P107" s="45">
        <v>80</v>
      </c>
      <c r="Q107" s="100">
        <f t="shared" si="35"/>
        <v>1.1296509E-2</v>
      </c>
      <c r="R107" s="100">
        <v>2.2127052105638829E-2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302583</v>
      </c>
      <c r="C108" s="89">
        <v>2572701950</v>
      </c>
      <c r="D108" s="27">
        <f t="shared" si="27"/>
        <v>3.6176617329716741E-2</v>
      </c>
      <c r="E108" s="90">
        <f t="shared" si="28"/>
        <v>85.024669264301025</v>
      </c>
      <c r="F108" s="88"/>
      <c r="G108" s="13" t="str">
        <f t="shared" si="29"/>
        <v>(80, 90]</v>
      </c>
      <c r="H108" s="86">
        <v>0.20102147565981235</v>
      </c>
      <c r="I108" s="27">
        <f t="shared" si="30"/>
        <v>7.2722769999999997E-3</v>
      </c>
      <c r="J108" s="27">
        <f t="shared" si="31"/>
        <v>7.2722770000000006E-3</v>
      </c>
      <c r="K108" s="87">
        <f t="shared" si="32"/>
        <v>7272277</v>
      </c>
      <c r="L108" s="100">
        <f t="shared" si="33"/>
        <v>7.2722769999999997E-3</v>
      </c>
      <c r="M108" s="100">
        <f t="shared" si="34"/>
        <v>0.61832294672338328</v>
      </c>
      <c r="N108" s="88"/>
      <c r="O108" s="45">
        <v>80</v>
      </c>
      <c r="P108" s="45">
        <v>90</v>
      </c>
      <c r="Q108" s="100">
        <f t="shared" si="35"/>
        <v>7.2722769999999997E-3</v>
      </c>
      <c r="R108" s="100">
        <v>1.6416845110635261E-2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290174</v>
      </c>
      <c r="C109" s="89">
        <v>2757205050</v>
      </c>
      <c r="D109" s="27">
        <f t="shared" si="27"/>
        <v>3.4693005743988349E-2</v>
      </c>
      <c r="E109" s="90">
        <f t="shared" si="28"/>
        <v>95.019024792021341</v>
      </c>
      <c r="F109" s="88"/>
      <c r="G109" s="13" t="str">
        <f t="shared" si="29"/>
        <v>(90, 100]</v>
      </c>
      <c r="H109" s="94">
        <v>0.16606828599733953</v>
      </c>
      <c r="I109" s="52">
        <f t="shared" si="30"/>
        <v>5.761408E-3</v>
      </c>
      <c r="J109" s="52">
        <f t="shared" si="31"/>
        <v>5.7614080000000008E-3</v>
      </c>
      <c r="K109" s="87">
        <f t="shared" si="32"/>
        <v>5761408</v>
      </c>
      <c r="L109" s="100">
        <f t="shared" si="33"/>
        <v>5.761408E-3</v>
      </c>
      <c r="M109" s="100">
        <f t="shared" si="34"/>
        <v>0.54744336958895012</v>
      </c>
      <c r="N109" s="88"/>
      <c r="O109" s="45">
        <v>90</v>
      </c>
      <c r="P109" s="45">
        <v>100</v>
      </c>
      <c r="Q109" s="100">
        <f t="shared" si="35"/>
        <v>5.761408E-3</v>
      </c>
      <c r="R109" s="100">
        <v>1.498929336188437E-2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544944</v>
      </c>
      <c r="C110" s="89">
        <v>5988889530</v>
      </c>
      <c r="D110" s="27">
        <f t="shared" si="27"/>
        <v>6.515313336877869E-2</v>
      </c>
      <c r="E110" s="90">
        <f t="shared" si="28"/>
        <v>109.89917367656126</v>
      </c>
      <c r="F110" s="88"/>
      <c r="G110" s="13" t="str">
        <f t="shared" si="29"/>
        <v>(100, 120]</v>
      </c>
      <c r="H110" s="94">
        <v>8.8630764192335357E-2</v>
      </c>
      <c r="I110" s="52">
        <f t="shared" si="30"/>
        <v>5.7745720000000004E-3</v>
      </c>
      <c r="J110" s="52">
        <f t="shared" si="31"/>
        <v>5.7745720000000013E-3</v>
      </c>
      <c r="K110" s="87">
        <f t="shared" si="32"/>
        <v>5774572</v>
      </c>
      <c r="L110" s="100">
        <f t="shared" si="33"/>
        <v>5.7745720000000004E-3</v>
      </c>
      <c r="M110" s="100">
        <f t="shared" si="34"/>
        <v>0.63462069113580777</v>
      </c>
      <c r="N110" s="88"/>
      <c r="O110" s="45">
        <v>100</v>
      </c>
      <c r="P110" s="45">
        <v>120</v>
      </c>
      <c r="Q110" s="100">
        <f t="shared" si="35"/>
        <v>5.7745720000000004E-3</v>
      </c>
      <c r="R110" s="100">
        <v>1.8558172733761601E-2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496474</v>
      </c>
      <c r="C111" s="89">
        <v>6448866850</v>
      </c>
      <c r="D111" s="27">
        <f t="shared" si="27"/>
        <v>5.9358093191467433E-2</v>
      </c>
      <c r="E111" s="90">
        <f t="shared" si="28"/>
        <v>129.89334486800919</v>
      </c>
      <c r="F111" s="88"/>
      <c r="G111" s="13" t="str">
        <f t="shared" si="29"/>
        <v>(120, 140]</v>
      </c>
      <c r="H111" s="94">
        <v>4.5069877689139816E-2</v>
      </c>
      <c r="I111" s="52">
        <f t="shared" si="30"/>
        <v>2.6752619999999999E-3</v>
      </c>
      <c r="J111" s="52">
        <f t="shared" si="31"/>
        <v>2.6752620000000003E-3</v>
      </c>
      <c r="K111" s="87">
        <f t="shared" si="32"/>
        <v>2675262</v>
      </c>
      <c r="L111" s="100">
        <f t="shared" si="33"/>
        <v>2.6752619999999999E-3</v>
      </c>
      <c r="M111" s="100">
        <f t="shared" si="34"/>
        <v>0.34749872957827999</v>
      </c>
      <c r="N111" s="88"/>
      <c r="O111" s="45">
        <v>120</v>
      </c>
      <c r="P111" s="45">
        <v>140</v>
      </c>
      <c r="Q111" s="100">
        <f t="shared" si="35"/>
        <v>2.6752619999999999E-3</v>
      </c>
      <c r="R111" s="100">
        <v>1.142041399000714E-2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447550</v>
      </c>
      <c r="C112" s="89">
        <v>6707843560</v>
      </c>
      <c r="D112" s="27">
        <f t="shared" si="27"/>
        <v>5.3508773083467111E-2</v>
      </c>
      <c r="E112" s="90">
        <f t="shared" si="28"/>
        <v>149.8791991956206</v>
      </c>
      <c r="F112" s="88"/>
      <c r="G112" s="13" t="str">
        <f t="shared" si="29"/>
        <v>(140, 160]</v>
      </c>
      <c r="H112" s="94">
        <v>2.8232790866714333E-2</v>
      </c>
      <c r="I112" s="52">
        <f t="shared" si="30"/>
        <v>1.5107020000000001E-3</v>
      </c>
      <c r="J112" s="52">
        <f t="shared" si="31"/>
        <v>1.5107020000000003E-3</v>
      </c>
      <c r="K112" s="87">
        <f t="shared" si="32"/>
        <v>1510702</v>
      </c>
      <c r="L112" s="100">
        <f t="shared" si="33"/>
        <v>1.5107020000000001E-3</v>
      </c>
      <c r="M112" s="100">
        <f t="shared" si="34"/>
        <v>0.22642280598322245</v>
      </c>
      <c r="N112" s="88"/>
      <c r="O112" s="45">
        <v>140</v>
      </c>
      <c r="P112" s="45">
        <v>160</v>
      </c>
      <c r="Q112" s="100">
        <f t="shared" si="35"/>
        <v>1.5107020000000001E-3</v>
      </c>
      <c r="R112" s="100">
        <v>8.5653104925053538E-3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401699</v>
      </c>
      <c r="C113" s="89">
        <v>6824039140</v>
      </c>
      <c r="D113" s="27">
        <f t="shared" si="27"/>
        <v>4.8026858761826954E-2</v>
      </c>
      <c r="E113" s="90">
        <f t="shared" si="28"/>
        <v>169.87941568189115</v>
      </c>
      <c r="F113" s="88"/>
      <c r="G113" s="13" t="str">
        <f t="shared" si="29"/>
        <v>(160, 180]</v>
      </c>
      <c r="H113" s="94">
        <v>9.8661043469413685E-3</v>
      </c>
      <c r="I113" s="52">
        <f t="shared" si="30"/>
        <v>4.7383800000000008E-4</v>
      </c>
      <c r="J113" s="52">
        <f t="shared" si="31"/>
        <v>4.7383800000000013E-4</v>
      </c>
      <c r="K113" s="87">
        <f t="shared" si="32"/>
        <v>473838</v>
      </c>
      <c r="L113" s="100">
        <f t="shared" si="33"/>
        <v>4.7383800000000003E-4</v>
      </c>
      <c r="M113" s="100">
        <f t="shared" si="34"/>
        <v>8.0495322567875935E-2</v>
      </c>
      <c r="N113" s="88"/>
      <c r="O113" s="45">
        <v>160</v>
      </c>
      <c r="P113" s="45">
        <v>180</v>
      </c>
      <c r="Q113" s="100">
        <f t="shared" si="35"/>
        <v>4.7383800000000003E-4</v>
      </c>
      <c r="R113" s="100">
        <v>3.56887937187723E-3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359175</v>
      </c>
      <c r="C114" s="89">
        <v>6819468580</v>
      </c>
      <c r="D114" s="27">
        <f t="shared" si="27"/>
        <v>4.2942718293496371E-2</v>
      </c>
      <c r="E114" s="90">
        <f t="shared" si="28"/>
        <v>189.86478958724857</v>
      </c>
      <c r="F114" s="88"/>
      <c r="G114" s="13" t="str">
        <f t="shared" si="29"/>
        <v>(180, 200]</v>
      </c>
      <c r="H114" s="94">
        <v>6.3961717123435652E-3</v>
      </c>
      <c r="I114" s="52">
        <f t="shared" si="30"/>
        <v>2.7466900000000001E-4</v>
      </c>
      <c r="J114" s="52">
        <f t="shared" si="31"/>
        <v>2.7466900000000006E-4</v>
      </c>
      <c r="K114" s="87">
        <f t="shared" si="32"/>
        <v>274669</v>
      </c>
      <c r="L114" s="100">
        <f t="shared" si="33"/>
        <v>2.7466900000000001E-4</v>
      </c>
      <c r="M114" s="100">
        <f t="shared" si="34"/>
        <v>5.2149971891139978E-2</v>
      </c>
      <c r="N114" s="88"/>
      <c r="O114" s="45">
        <v>180</v>
      </c>
      <c r="P114" s="45">
        <v>200</v>
      </c>
      <c r="Q114" s="100">
        <f t="shared" si="35"/>
        <v>2.7466900000000001E-4</v>
      </c>
      <c r="R114" s="100">
        <v>2.141327623126338E-3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728579</v>
      </c>
      <c r="C115" s="89">
        <v>16300420450</v>
      </c>
      <c r="D115" s="27">
        <f t="shared" si="27"/>
        <v>8.7108408857958633E-2</v>
      </c>
      <c r="E115" s="90">
        <f t="shared" si="28"/>
        <v>223.72893605223319</v>
      </c>
      <c r="F115" s="88"/>
      <c r="G115" s="13" t="str">
        <f t="shared" si="29"/>
        <v>(200, 250]</v>
      </c>
      <c r="H115" s="94">
        <v>4.557883735970979E-3</v>
      </c>
      <c r="I115" s="52">
        <f t="shared" si="30"/>
        <v>3.9703000000000004E-4</v>
      </c>
      <c r="J115" s="52">
        <f t="shared" si="31"/>
        <v>3.9703000000000009E-4</v>
      </c>
      <c r="K115" s="87">
        <f t="shared" si="32"/>
        <v>397030</v>
      </c>
      <c r="L115" s="100">
        <f t="shared" si="33"/>
        <v>3.9702999999999998E-4</v>
      </c>
      <c r="M115" s="100">
        <f t="shared" si="34"/>
        <v>8.8827099480818142E-2</v>
      </c>
      <c r="N115" s="88"/>
      <c r="O115" s="45">
        <v>200</v>
      </c>
      <c r="P115" s="45">
        <v>250</v>
      </c>
      <c r="Q115" s="100">
        <f t="shared" si="35"/>
        <v>3.9702999999999998E-4</v>
      </c>
      <c r="R115" s="100">
        <v>6.4239828693790149E-3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527104</v>
      </c>
      <c r="C116" s="89">
        <v>14424519190</v>
      </c>
      <c r="D116" s="27">
        <f t="shared" si="27"/>
        <v>6.3020195123199299E-2</v>
      </c>
      <c r="E116" s="90">
        <f t="shared" si="28"/>
        <v>273.65603732849684</v>
      </c>
      <c r="F116" s="88"/>
      <c r="G116" s="13" t="str">
        <f t="shared" si="29"/>
        <v>(250, 300]</v>
      </c>
      <c r="H116" s="94">
        <v>3.0239195487645706E-3</v>
      </c>
      <c r="I116" s="52">
        <f t="shared" si="30"/>
        <v>1.9056800000000001E-4</v>
      </c>
      <c r="J116" s="52">
        <f t="shared" si="31"/>
        <v>1.9056800000000004E-4</v>
      </c>
      <c r="K116" s="87">
        <f t="shared" si="32"/>
        <v>190568</v>
      </c>
      <c r="L116" s="100">
        <f t="shared" si="33"/>
        <v>1.9056800000000001E-4</v>
      </c>
      <c r="M116" s="100">
        <f t="shared" si="34"/>
        <v>5.2150083721616988E-2</v>
      </c>
      <c r="N116" s="88"/>
      <c r="O116" s="45">
        <v>250</v>
      </c>
      <c r="P116" s="45">
        <v>300</v>
      </c>
      <c r="Q116" s="100">
        <f t="shared" si="35"/>
        <v>1.9056800000000001E-4</v>
      </c>
      <c r="R116" s="100">
        <v>7.1377587437544611E-4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376240</v>
      </c>
      <c r="C117" s="89">
        <v>12174194450</v>
      </c>
      <c r="D117" s="27">
        <f t="shared" si="27"/>
        <v>4.4982998067084494E-2</v>
      </c>
      <c r="E117" s="90">
        <f t="shared" si="28"/>
        <v>323.5752299064427</v>
      </c>
      <c r="F117" s="88"/>
      <c r="G117" s="13" t="str">
        <f t="shared" si="29"/>
        <v>(300, 350]</v>
      </c>
      <c r="H117" s="94">
        <v>3.5828647917074208E-3</v>
      </c>
      <c r="I117" s="52">
        <f t="shared" si="30"/>
        <v>1.61168E-4</v>
      </c>
      <c r="J117" s="52">
        <f t="shared" si="31"/>
        <v>1.6116800000000003E-4</v>
      </c>
      <c r="K117" s="87">
        <f t="shared" si="32"/>
        <v>161168</v>
      </c>
      <c r="L117" s="100">
        <f t="shared" si="33"/>
        <v>1.61168E-4</v>
      </c>
      <c r="M117" s="100">
        <f t="shared" si="34"/>
        <v>5.2149972653561555E-2</v>
      </c>
      <c r="N117" s="88"/>
      <c r="O117" s="45">
        <v>300</v>
      </c>
      <c r="P117" s="45">
        <v>350</v>
      </c>
      <c r="Q117" s="100">
        <f t="shared" si="35"/>
        <v>1.61168E-4</v>
      </c>
      <c r="R117" s="100">
        <v>0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7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3" t="str">
        <f t="shared" ref="G118:G149" si="40">"("&amp;$O118&amp;", "&amp;$P118&amp;"]"</f>
        <v>(350, 400]</v>
      </c>
      <c r="H118" s="94">
        <v>4.4301973109099882E-3</v>
      </c>
      <c r="I118" s="52">
        <f t="shared" ref="I118:I149" si="41">D118*H118</f>
        <v>1.39579E-4</v>
      </c>
      <c r="J118" s="52">
        <f t="shared" ref="J118:J149" si="42">IFERROR(I118/SUM($I$86:$I$149),0)</f>
        <v>1.3957900000000003E-4</v>
      </c>
      <c r="K118" s="87">
        <f t="shared" ref="K118:K149" si="43">INT(J118*$B$2)</f>
        <v>139579</v>
      </c>
      <c r="L118" s="100">
        <f t="shared" ref="L118:L149" si="44">IFERROR(K118/SUM($K$86:$K$149),0)</f>
        <v>1.39579E-4</v>
      </c>
      <c r="M118" s="100">
        <f t="shared" ref="M118:M149" si="45">L118*E118</f>
        <v>5.2150216428211528E-2</v>
      </c>
      <c r="N118" s="88"/>
      <c r="O118" s="45">
        <v>350</v>
      </c>
      <c r="P118" s="45">
        <v>400</v>
      </c>
      <c r="Q118" s="100">
        <f t="shared" ref="Q118:Q149" si="46">L118</f>
        <v>1.39579E-4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184753</v>
      </c>
      <c r="C119" s="89">
        <v>7824656320</v>
      </c>
      <c r="D119" s="27">
        <f t="shared" si="38"/>
        <v>2.208894280748475E-2</v>
      </c>
      <c r="E119" s="90">
        <f t="shared" si="39"/>
        <v>423.51985191038847</v>
      </c>
      <c r="F119" s="88"/>
      <c r="G119" s="13" t="str">
        <f t="shared" si="40"/>
        <v>(400, 450]</v>
      </c>
      <c r="H119" s="94">
        <v>5.5745085255178529E-3</v>
      </c>
      <c r="I119" s="52">
        <f t="shared" si="41"/>
        <v>1.2313499999999999E-4</v>
      </c>
      <c r="J119" s="52">
        <f t="shared" si="42"/>
        <v>1.2313500000000002E-4</v>
      </c>
      <c r="K119" s="87">
        <f t="shared" si="43"/>
        <v>123135</v>
      </c>
      <c r="L119" s="100">
        <f t="shared" si="44"/>
        <v>1.2313499999999999E-4</v>
      </c>
      <c r="M119" s="100">
        <f t="shared" si="45"/>
        <v>5.2150116964985678E-2</v>
      </c>
      <c r="N119" s="88"/>
      <c r="O119" s="45">
        <v>400</v>
      </c>
      <c r="P119" s="45">
        <v>450</v>
      </c>
      <c r="Q119" s="100">
        <f t="shared" si="46"/>
        <v>1.2313499999999999E-4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128657</v>
      </c>
      <c r="C120" s="89">
        <v>6093245310</v>
      </c>
      <c r="D120" s="27">
        <f t="shared" si="38"/>
        <v>1.5382143265779528E-2</v>
      </c>
      <c r="E120" s="90">
        <f t="shared" si="39"/>
        <v>473.60386997986899</v>
      </c>
      <c r="F120" s="88"/>
      <c r="G120" s="13" t="str">
        <f t="shared" si="40"/>
        <v>(450, 500]</v>
      </c>
      <c r="H120" s="94">
        <v>7.1584952823165468E-3</v>
      </c>
      <c r="I120" s="52">
        <f t="shared" si="41"/>
        <v>1.1011299999999999E-4</v>
      </c>
      <c r="J120" s="52">
        <f t="shared" si="42"/>
        <v>1.1011300000000001E-4</v>
      </c>
      <c r="K120" s="87">
        <f t="shared" si="43"/>
        <v>110113</v>
      </c>
      <c r="L120" s="100">
        <f t="shared" si="44"/>
        <v>1.1011299999999999E-4</v>
      </c>
      <c r="M120" s="100">
        <f t="shared" si="45"/>
        <v>5.2149942935093313E-2</v>
      </c>
      <c r="N120" s="88"/>
      <c r="O120" s="45">
        <v>450</v>
      </c>
      <c r="P120" s="45">
        <v>500</v>
      </c>
      <c r="Q120" s="100">
        <f t="shared" si="46"/>
        <v>1.1011299999999999E-4</v>
      </c>
      <c r="R120" s="100">
        <v>7.1377587437544611E-4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88357</v>
      </c>
      <c r="C121" s="89">
        <v>4625117990</v>
      </c>
      <c r="D121" s="27">
        <f t="shared" si="38"/>
        <v>1.0563902722234172E-2</v>
      </c>
      <c r="E121" s="90">
        <f t="shared" si="39"/>
        <v>523.45801577690509</v>
      </c>
      <c r="F121" s="88"/>
      <c r="G121" s="13" t="str">
        <f t="shared" si="40"/>
        <v>(500, 550]</v>
      </c>
      <c r="H121" s="94">
        <v>9.4307949078624217E-3</v>
      </c>
      <c r="I121" s="52">
        <f t="shared" si="41"/>
        <v>9.9625999999999998E-5</v>
      </c>
      <c r="J121" s="52">
        <f t="shared" si="42"/>
        <v>9.9626000000000011E-5</v>
      </c>
      <c r="K121" s="87">
        <f t="shared" si="43"/>
        <v>99626</v>
      </c>
      <c r="L121" s="100">
        <f t="shared" si="44"/>
        <v>9.9625999999999998E-5</v>
      </c>
      <c r="M121" s="100">
        <f t="shared" si="45"/>
        <v>5.2150028279789942E-2</v>
      </c>
      <c r="N121" s="88"/>
      <c r="O121" s="45">
        <v>500</v>
      </c>
      <c r="P121" s="45">
        <v>550</v>
      </c>
      <c r="Q121" s="100">
        <f t="shared" si="46"/>
        <v>9.9625999999999998E-5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61353</v>
      </c>
      <c r="C122" s="89">
        <v>3518119460</v>
      </c>
      <c r="D122" s="27">
        <f t="shared" si="38"/>
        <v>7.3353228801026869E-3</v>
      </c>
      <c r="E122" s="90">
        <f t="shared" si="39"/>
        <v>573.42256450377329</v>
      </c>
      <c r="F122" s="88"/>
      <c r="G122" s="13" t="str">
        <f t="shared" si="40"/>
        <v>(550, 600]</v>
      </c>
      <c r="H122" s="86">
        <v>1.239822724732287E-2</v>
      </c>
      <c r="I122" s="27">
        <f t="shared" si="41"/>
        <v>9.0945000000000004E-5</v>
      </c>
      <c r="J122" s="27">
        <f t="shared" si="42"/>
        <v>9.0945000000000018E-5</v>
      </c>
      <c r="K122" s="87">
        <f t="shared" si="43"/>
        <v>90945</v>
      </c>
      <c r="L122" s="100">
        <f t="shared" si="44"/>
        <v>9.0945000000000004E-5</v>
      </c>
      <c r="M122" s="100">
        <f t="shared" si="45"/>
        <v>5.2149915128795667E-2</v>
      </c>
      <c r="N122" s="88"/>
      <c r="O122" s="45">
        <v>550</v>
      </c>
      <c r="P122" s="45">
        <v>600</v>
      </c>
      <c r="Q122" s="100">
        <f t="shared" si="46"/>
        <v>9.0945000000000004E-5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42665</v>
      </c>
      <c r="C123" s="89">
        <v>2660290870</v>
      </c>
      <c r="D123" s="27">
        <f t="shared" si="38"/>
        <v>5.1009983322670635E-3</v>
      </c>
      <c r="E123" s="90">
        <f t="shared" si="39"/>
        <v>623.53002929801949</v>
      </c>
      <c r="F123" s="88"/>
      <c r="G123" s="13" t="str">
        <f t="shared" si="40"/>
        <v>(600, 650]</v>
      </c>
      <c r="H123" s="86">
        <v>1.6396202184765028E-2</v>
      </c>
      <c r="I123" s="27">
        <f t="shared" si="41"/>
        <v>8.3636999999999999E-5</v>
      </c>
      <c r="J123" s="27">
        <f t="shared" si="42"/>
        <v>8.3637000000000013E-5</v>
      </c>
      <c r="K123" s="87">
        <f t="shared" si="43"/>
        <v>83637</v>
      </c>
      <c r="L123" s="100">
        <f t="shared" si="44"/>
        <v>8.3636999999999999E-5</v>
      </c>
      <c r="M123" s="100">
        <f t="shared" si="45"/>
        <v>5.2150181060398454E-2</v>
      </c>
      <c r="N123" s="88"/>
      <c r="O123" s="45">
        <v>600</v>
      </c>
      <c r="P123" s="45">
        <v>650</v>
      </c>
      <c r="Q123" s="100">
        <f t="shared" si="46"/>
        <v>8.3636999999999999E-5</v>
      </c>
      <c r="R123" s="100">
        <v>0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29296</v>
      </c>
      <c r="C124" s="89">
        <v>1972914430</v>
      </c>
      <c r="D124" s="27">
        <f t="shared" si="38"/>
        <v>3.502609800588208E-3</v>
      </c>
      <c r="E124" s="90">
        <f t="shared" si="39"/>
        <v>673.44157222829062</v>
      </c>
      <c r="F124" s="88"/>
      <c r="G124" s="13" t="str">
        <f t="shared" si="40"/>
        <v>(650, 700]</v>
      </c>
      <c r="H124" s="86">
        <v>2.2108657375136537E-2</v>
      </c>
      <c r="I124" s="27">
        <f t="shared" si="41"/>
        <v>7.7438E-5</v>
      </c>
      <c r="J124" s="27">
        <f t="shared" si="42"/>
        <v>7.7438000000000013E-5</v>
      </c>
      <c r="K124" s="87">
        <f t="shared" si="43"/>
        <v>77438</v>
      </c>
      <c r="L124" s="100">
        <f t="shared" si="44"/>
        <v>7.7438E-5</v>
      </c>
      <c r="M124" s="100">
        <f t="shared" si="45"/>
        <v>5.2149968470214372E-2</v>
      </c>
      <c r="N124" s="88"/>
      <c r="O124" s="45">
        <v>650</v>
      </c>
      <c r="P124" s="45">
        <v>700</v>
      </c>
      <c r="Q124" s="100">
        <f t="shared" si="46"/>
        <v>7.7438E-5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20236</v>
      </c>
      <c r="C125" s="89">
        <v>1463960560</v>
      </c>
      <c r="D125" s="27">
        <f t="shared" si="38"/>
        <v>2.4194023731807404E-3</v>
      </c>
      <c r="E125" s="90">
        <f t="shared" si="39"/>
        <v>723.44364498912819</v>
      </c>
      <c r="F125" s="88"/>
      <c r="G125" s="13" t="str">
        <f t="shared" si="40"/>
        <v>(700, 750]</v>
      </c>
      <c r="H125" s="86">
        <v>2.9794961267740661E-2</v>
      </c>
      <c r="I125" s="27">
        <f t="shared" si="41"/>
        <v>7.2086000000000001E-5</v>
      </c>
      <c r="J125" s="27">
        <f t="shared" si="42"/>
        <v>7.2086000000000014E-5</v>
      </c>
      <c r="K125" s="87">
        <f t="shared" si="43"/>
        <v>72086</v>
      </c>
      <c r="L125" s="100">
        <f t="shared" si="44"/>
        <v>7.2086000000000001E-5</v>
      </c>
      <c r="M125" s="100">
        <f t="shared" si="45"/>
        <v>5.2150158592686298E-2</v>
      </c>
      <c r="N125" s="88"/>
      <c r="O125" s="45">
        <v>700</v>
      </c>
      <c r="P125" s="45">
        <v>750</v>
      </c>
      <c r="Q125" s="100">
        <f t="shared" si="46"/>
        <v>7.2086000000000001E-5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14051</v>
      </c>
      <c r="C126" s="89">
        <v>1086775270</v>
      </c>
      <c r="D126" s="27">
        <f t="shared" si="38"/>
        <v>1.6799279870311616E-3</v>
      </c>
      <c r="E126" s="90">
        <f t="shared" si="39"/>
        <v>773.45048039285462</v>
      </c>
      <c r="F126" s="88"/>
      <c r="G126" s="13" t="str">
        <f t="shared" si="40"/>
        <v>(750, 800]</v>
      </c>
      <c r="H126" s="86">
        <v>4.0135648980499608E-2</v>
      </c>
      <c r="I126" s="27">
        <f t="shared" si="41"/>
        <v>6.7424999999999999E-5</v>
      </c>
      <c r="J126" s="27">
        <f t="shared" si="42"/>
        <v>6.7425000000000013E-5</v>
      </c>
      <c r="K126" s="87">
        <f t="shared" si="43"/>
        <v>67425</v>
      </c>
      <c r="L126" s="100">
        <f t="shared" si="44"/>
        <v>6.7424999999999999E-5</v>
      </c>
      <c r="M126" s="100">
        <f t="shared" si="45"/>
        <v>5.2149898640488225E-2</v>
      </c>
      <c r="N126" s="88"/>
      <c r="O126" s="45">
        <v>750</v>
      </c>
      <c r="P126" s="45">
        <v>800</v>
      </c>
      <c r="Q126" s="100">
        <f t="shared" si="46"/>
        <v>6.7424999999999999E-5</v>
      </c>
      <c r="R126" s="100">
        <v>7.1377587437544611E-4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9888</v>
      </c>
      <c r="C127" s="89">
        <v>814515590</v>
      </c>
      <c r="D127" s="27">
        <f t="shared" si="38"/>
        <v>1.1822025432897392E-3</v>
      </c>
      <c r="E127" s="90">
        <f t="shared" si="39"/>
        <v>823.74149474110027</v>
      </c>
      <c r="F127" s="88"/>
      <c r="G127" s="13" t="str">
        <f t="shared" si="40"/>
        <v>(800, 850]</v>
      </c>
      <c r="H127" s="86">
        <v>5.3551737271541264E-2</v>
      </c>
      <c r="I127" s="27">
        <f t="shared" si="41"/>
        <v>6.3309E-5</v>
      </c>
      <c r="J127" s="27">
        <f t="shared" si="42"/>
        <v>6.3309000000000013E-5</v>
      </c>
      <c r="K127" s="87">
        <f t="shared" si="43"/>
        <v>63309</v>
      </c>
      <c r="L127" s="100">
        <f t="shared" si="44"/>
        <v>6.3309E-5</v>
      </c>
      <c r="M127" s="100">
        <f t="shared" si="45"/>
        <v>5.2150250290564318E-2</v>
      </c>
      <c r="N127" s="88"/>
      <c r="O127" s="45">
        <v>800</v>
      </c>
      <c r="P127" s="45">
        <v>850</v>
      </c>
      <c r="Q127" s="100">
        <f t="shared" si="46"/>
        <v>6.3309E-5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6851</v>
      </c>
      <c r="C128" s="89">
        <v>598465100</v>
      </c>
      <c r="D128" s="27">
        <f t="shared" si="38"/>
        <v>8.1910089240271066E-4</v>
      </c>
      <c r="E128" s="90">
        <f t="shared" si="39"/>
        <v>873.54415413808204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4931</v>
      </c>
      <c r="C129" s="89">
        <v>455292250</v>
      </c>
      <c r="D129" s="27">
        <f t="shared" si="38"/>
        <v>5.895470005017905E-4</v>
      </c>
      <c r="E129" s="90">
        <f t="shared" si="39"/>
        <v>923.3264043804503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3379</v>
      </c>
      <c r="C130" s="89">
        <v>328959390</v>
      </c>
      <c r="D130" s="27">
        <f t="shared" si="38"/>
        <v>4.0399093788187992E-4</v>
      </c>
      <c r="E130" s="90">
        <f t="shared" si="39"/>
        <v>973.54066291802314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9282</v>
      </c>
      <c r="C131" s="89">
        <v>1088039000</v>
      </c>
      <c r="D131" s="27">
        <f t="shared" si="38"/>
        <v>1.1097495961585112E-3</v>
      </c>
      <c r="E131" s="90">
        <f t="shared" si="39"/>
        <v>1172.2031889678949</v>
      </c>
      <c r="F131" s="88"/>
      <c r="G131" s="13" t="str">
        <f t="shared" si="40"/>
        <v>(1000, 2000]</v>
      </c>
      <c r="H131" s="86">
        <v>4.0089223869963372E-2</v>
      </c>
      <c r="I131" s="27">
        <f t="shared" si="41"/>
        <v>4.4489E-5</v>
      </c>
      <c r="J131" s="27">
        <f t="shared" si="42"/>
        <v>4.4489000000000007E-5</v>
      </c>
      <c r="K131" s="92">
        <f t="shared" si="43"/>
        <v>44489</v>
      </c>
      <c r="L131" s="100">
        <f t="shared" si="44"/>
        <v>4.4489E-5</v>
      </c>
      <c r="M131" s="100">
        <f t="shared" si="45"/>
        <v>5.2150147673992675E-2</v>
      </c>
      <c r="N131" s="88"/>
      <c r="O131" s="45">
        <v>1000</v>
      </c>
      <c r="P131" s="45">
        <v>2000</v>
      </c>
      <c r="Q131" s="100">
        <f t="shared" si="46"/>
        <v>4.4489E-5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96</v>
      </c>
      <c r="C132" s="89">
        <v>21722990</v>
      </c>
      <c r="D132" s="27">
        <f t="shared" si="38"/>
        <v>1.1477694595046011E-5</v>
      </c>
      <c r="E132" s="90">
        <f t="shared" si="39"/>
        <v>2262.8114583333336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2</v>
      </c>
      <c r="C133" s="89">
        <v>673350</v>
      </c>
      <c r="D133" s="27">
        <f t="shared" si="38"/>
        <v>2.3911863739679191E-7</v>
      </c>
      <c r="E133" s="90">
        <f t="shared" si="39"/>
        <v>3366.75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  <row r="152" spans="1:21" s="57" customFormat="1" ht="15.6" customHeight="1" collapsed="1">
      <c r="A152" s="64" t="s">
        <v>11</v>
      </c>
      <c r="B152" s="64" t="s">
        <v>18</v>
      </c>
      <c r="C152" s="64"/>
      <c r="D152" s="54"/>
      <c r="E152" s="54"/>
      <c r="F152" s="55"/>
      <c r="G152" s="64" t="s">
        <v>11</v>
      </c>
      <c r="H152" s="64" t="s">
        <v>18</v>
      </c>
      <c r="I152" s="56"/>
      <c r="J152" s="56"/>
      <c r="K152" s="56"/>
      <c r="L152" s="56"/>
      <c r="M152" s="56"/>
      <c r="N152" s="55"/>
      <c r="O152" s="64" t="s">
        <v>11</v>
      </c>
      <c r="P152" s="64" t="s">
        <v>18</v>
      </c>
      <c r="Q152" s="56"/>
      <c r="R152" s="56"/>
    </row>
    <row r="153" spans="1:21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>
      <c r="A154" s="48" t="s">
        <v>101</v>
      </c>
      <c r="C154" s="1"/>
      <c r="D154" s="1"/>
      <c r="E154" s="1"/>
      <c r="G154" s="48" t="s">
        <v>102</v>
      </c>
      <c r="H154" s="29"/>
      <c r="I154" s="29"/>
      <c r="J154" s="29"/>
      <c r="K154" s="29"/>
      <c r="L154" s="29"/>
      <c r="M154" s="29"/>
      <c r="Q154" s="29"/>
      <c r="R154" s="29"/>
    </row>
    <row r="155" spans="1:21">
      <c r="A155" s="9" t="s">
        <v>20</v>
      </c>
      <c r="B155" s="9" t="s">
        <v>103</v>
      </c>
      <c r="C155" s="9" t="s">
        <v>104</v>
      </c>
      <c r="D155" s="9" t="s">
        <v>95</v>
      </c>
      <c r="E155" s="9" t="s">
        <v>105</v>
      </c>
      <c r="G155" s="9" t="s">
        <v>20</v>
      </c>
      <c r="H155" s="9" t="s">
        <v>106</v>
      </c>
      <c r="I155" s="9" t="s">
        <v>107</v>
      </c>
      <c r="J155" s="9" t="s">
        <v>108</v>
      </c>
      <c r="K155" s="9" t="s">
        <v>109</v>
      </c>
      <c r="L155" s="9" t="s">
        <v>95</v>
      </c>
      <c r="M155" s="9" t="s">
        <v>110</v>
      </c>
      <c r="Q155" s="9" t="s">
        <v>113</v>
      </c>
      <c r="R155" s="9" t="s">
        <v>114</v>
      </c>
    </row>
    <row r="156" spans="1:21">
      <c r="A156" s="13" t="s">
        <v>11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11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>
      <c r="A159" s="64" t="s">
        <v>11</v>
      </c>
      <c r="B159" s="64" t="s">
        <v>19</v>
      </c>
      <c r="C159" s="64"/>
      <c r="D159" s="54"/>
      <c r="E159" s="54"/>
      <c r="F159" s="55"/>
      <c r="G159" s="64" t="s">
        <v>11</v>
      </c>
      <c r="H159" s="64" t="s">
        <v>19</v>
      </c>
      <c r="I159" s="56"/>
      <c r="J159" s="56"/>
      <c r="K159" s="56"/>
      <c r="L159" s="56"/>
      <c r="M159" s="56"/>
      <c r="N159" s="55"/>
      <c r="O159" s="64" t="s">
        <v>11</v>
      </c>
      <c r="P159" s="64" t="s">
        <v>19</v>
      </c>
      <c r="Q159" s="56"/>
      <c r="R159" s="56"/>
    </row>
    <row r="160" spans="1:21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>
      <c r="A161" s="48" t="s">
        <v>101</v>
      </c>
      <c r="C161" s="1"/>
      <c r="D161" s="1"/>
      <c r="E161" s="1"/>
      <c r="G161" s="48" t="s">
        <v>102</v>
      </c>
      <c r="H161" s="29"/>
      <c r="I161" s="29"/>
      <c r="J161" s="29"/>
      <c r="L161" s="29"/>
      <c r="M161" s="29"/>
      <c r="Q161" s="29"/>
      <c r="R161" s="29"/>
    </row>
    <row r="162" spans="1:21">
      <c r="A162" s="9" t="s">
        <v>20</v>
      </c>
      <c r="B162" s="9" t="s">
        <v>103</v>
      </c>
      <c r="C162" s="9" t="s">
        <v>104</v>
      </c>
      <c r="D162" s="9" t="s">
        <v>95</v>
      </c>
      <c r="E162" s="9" t="s">
        <v>105</v>
      </c>
      <c r="G162" s="9" t="s">
        <v>20</v>
      </c>
      <c r="H162" s="9" t="s">
        <v>106</v>
      </c>
      <c r="I162" s="9" t="s">
        <v>107</v>
      </c>
      <c r="J162" s="9" t="s">
        <v>108</v>
      </c>
      <c r="K162" s="9" t="s">
        <v>109</v>
      </c>
      <c r="L162" s="9" t="s">
        <v>95</v>
      </c>
      <c r="M162" s="9" t="s">
        <v>110</v>
      </c>
      <c r="O162" s="9" t="s">
        <v>111</v>
      </c>
      <c r="P162" s="9" t="s">
        <v>112</v>
      </c>
      <c r="Q162" s="9" t="s">
        <v>113</v>
      </c>
      <c r="R162" s="9" t="s">
        <v>114</v>
      </c>
      <c r="T162" s="12" t="s">
        <v>113</v>
      </c>
      <c r="U162" s="12" t="s">
        <v>115</v>
      </c>
    </row>
    <row r="163" spans="1:21">
      <c r="A163" s="13" t="str">
        <f t="shared" ref="A163:A194" si="48">"("&amp;$O163&amp;", "&amp;$P163&amp;"]"</f>
        <v>(-1, 0]</v>
      </c>
      <c r="B163" s="95">
        <v>55218</v>
      </c>
      <c r="C163" s="95">
        <v>0</v>
      </c>
      <c r="D163" s="27">
        <f t="shared" ref="D163:D194" si="49">IFERROR(B163/SUM($B$163:$B$226),0)</f>
        <v>6.6018264598880277E-3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>
      <c r="A164" s="13" t="str">
        <f t="shared" si="48"/>
        <v>(0, 1]</v>
      </c>
      <c r="B164" s="96">
        <v>84581</v>
      </c>
      <c r="C164" s="96">
        <v>4760560</v>
      </c>
      <c r="D164" s="27">
        <f t="shared" si="49"/>
        <v>1.0112446734829028E-2</v>
      </c>
      <c r="E164" s="90">
        <f t="shared" si="50"/>
        <v>0.56284035421666812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>
      <c r="A165" s="13" t="str">
        <f t="shared" si="48"/>
        <v>(1, 2]</v>
      </c>
      <c r="B165" s="96">
        <v>64013</v>
      </c>
      <c r="C165" s="96">
        <v>10029540</v>
      </c>
      <c r="D165" s="27">
        <f t="shared" si="49"/>
        <v>7.6533506678404207E-3</v>
      </c>
      <c r="E165" s="90">
        <f t="shared" si="50"/>
        <v>1.566797369284364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>
      <c r="A166" s="13" t="str">
        <f t="shared" si="48"/>
        <v>(2, 3]</v>
      </c>
      <c r="B166" s="96">
        <v>55751</v>
      </c>
      <c r="C166" s="96">
        <v>14330930</v>
      </c>
      <c r="D166" s="27">
        <f t="shared" si="49"/>
        <v>6.6655515767542733E-3</v>
      </c>
      <c r="E166" s="90">
        <f t="shared" si="50"/>
        <v>2.5705242955283314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>
      <c r="A167" s="13" t="str">
        <f t="shared" si="48"/>
        <v>(3, 4]</v>
      </c>
      <c r="B167" s="96">
        <v>49939</v>
      </c>
      <c r="C167" s="96">
        <v>17889880</v>
      </c>
      <c r="D167" s="27">
        <f t="shared" si="49"/>
        <v>5.9706728164791957E-3</v>
      </c>
      <c r="E167" s="90">
        <f t="shared" si="50"/>
        <v>3.5823464626844754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>
      <c r="A168" s="13" t="str">
        <f t="shared" si="48"/>
        <v>(4, 5]</v>
      </c>
      <c r="B168" s="96">
        <v>47937</v>
      </c>
      <c r="C168" s="96">
        <v>21917950</v>
      </c>
      <c r="D168" s="27">
        <f t="shared" si="49"/>
        <v>5.7313150604450074E-3</v>
      </c>
      <c r="E168" s="90">
        <f t="shared" si="50"/>
        <v>4.5722406491853897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>
      <c r="A169" s="13" t="str">
        <f t="shared" si="48"/>
        <v>(5, 6]</v>
      </c>
      <c r="B169" s="96">
        <v>46015</v>
      </c>
      <c r="C169" s="96">
        <v>25632270</v>
      </c>
      <c r="D169" s="27">
        <f t="shared" si="49"/>
        <v>5.5015220499066899E-3</v>
      </c>
      <c r="E169" s="90">
        <f t="shared" si="50"/>
        <v>5.5704161686406612</v>
      </c>
      <c r="F169" s="88"/>
      <c r="G169" s="13" t="str">
        <f t="shared" si="51"/>
        <v>(5, 6]</v>
      </c>
      <c r="H169" s="86">
        <v>6.2642640868056718</v>
      </c>
      <c r="I169" s="27">
        <f t="shared" si="52"/>
        <v>3.4462987E-2</v>
      </c>
      <c r="J169" s="27">
        <f t="shared" si="53"/>
        <v>3.4462987000000014E-2</v>
      </c>
      <c r="K169" s="87">
        <f t="shared" si="54"/>
        <v>34462987</v>
      </c>
      <c r="L169" s="100">
        <f t="shared" si="55"/>
        <v>3.4462987E-2</v>
      </c>
      <c r="M169" s="100">
        <f t="shared" si="56"/>
        <v>0.19197318000445293</v>
      </c>
      <c r="N169" s="88"/>
      <c r="O169" s="45">
        <v>5</v>
      </c>
      <c r="P169" s="45">
        <v>6</v>
      </c>
      <c r="Q169" s="100">
        <f t="shared" si="57"/>
        <v>3.4462987E-2</v>
      </c>
      <c r="R169" s="100">
        <v>3.5688793718772309E-2</v>
      </c>
      <c r="T169" s="27"/>
      <c r="U169" s="50">
        <f t="shared" si="58"/>
        <v>0</v>
      </c>
    </row>
    <row r="170" spans="1:21">
      <c r="A170" s="13" t="str">
        <f t="shared" si="48"/>
        <v>(6, 7]</v>
      </c>
      <c r="B170" s="96">
        <v>43596</v>
      </c>
      <c r="C170" s="96">
        <v>28617500</v>
      </c>
      <c r="D170" s="27">
        <f t="shared" si="49"/>
        <v>5.2123080579752701E-3</v>
      </c>
      <c r="E170" s="90">
        <f t="shared" si="50"/>
        <v>6.5642490136709783</v>
      </c>
      <c r="F170" s="88"/>
      <c r="G170" s="13" t="str">
        <f t="shared" si="51"/>
        <v>(6, 7]</v>
      </c>
      <c r="H170" s="86">
        <v>5.6873386358356042</v>
      </c>
      <c r="I170" s="27">
        <f t="shared" si="52"/>
        <v>2.9644160999999999E-2</v>
      </c>
      <c r="J170" s="27">
        <f t="shared" si="53"/>
        <v>2.9644161000000013E-2</v>
      </c>
      <c r="K170" s="87">
        <f t="shared" si="54"/>
        <v>29644161</v>
      </c>
      <c r="L170" s="100">
        <f t="shared" si="55"/>
        <v>2.9644160999999999E-2</v>
      </c>
      <c r="M170" s="100">
        <f t="shared" si="56"/>
        <v>0.19459165460535369</v>
      </c>
      <c r="N170" s="88"/>
      <c r="O170" s="45">
        <v>6</v>
      </c>
      <c r="P170" s="45">
        <v>7</v>
      </c>
      <c r="Q170" s="100">
        <f t="shared" si="57"/>
        <v>2.9644160999999999E-2</v>
      </c>
      <c r="R170" s="100">
        <v>3.0692362598144181E-2</v>
      </c>
      <c r="T170" s="27"/>
      <c r="U170" s="50">
        <f t="shared" si="58"/>
        <v>0</v>
      </c>
    </row>
    <row r="171" spans="1:21">
      <c r="A171" s="13" t="str">
        <f t="shared" si="48"/>
        <v>(7, 8]</v>
      </c>
      <c r="B171" s="96">
        <v>43437</v>
      </c>
      <c r="C171" s="96">
        <v>32884090</v>
      </c>
      <c r="D171" s="27">
        <f t="shared" si="49"/>
        <v>5.1932981263022255E-3</v>
      </c>
      <c r="E171" s="90">
        <f t="shared" si="50"/>
        <v>7.5705251283468007</v>
      </c>
      <c r="F171" s="88"/>
      <c r="G171" s="13" t="str">
        <f t="shared" si="51"/>
        <v>(7, 8]</v>
      </c>
      <c r="H171" s="86">
        <v>6.1076507122429948</v>
      </c>
      <c r="I171" s="27">
        <f t="shared" si="52"/>
        <v>3.1718850999999999E-2</v>
      </c>
      <c r="J171" s="27">
        <f t="shared" si="53"/>
        <v>3.1718851000000013E-2</v>
      </c>
      <c r="K171" s="87">
        <f t="shared" si="54"/>
        <v>31718851</v>
      </c>
      <c r="L171" s="100">
        <f t="shared" si="55"/>
        <v>3.1718850999999999E-2</v>
      </c>
      <c r="M171" s="100">
        <f t="shared" si="56"/>
        <v>0.24012835853778805</v>
      </c>
      <c r="N171" s="88"/>
      <c r="O171" s="45">
        <v>7</v>
      </c>
      <c r="P171" s="45">
        <v>8</v>
      </c>
      <c r="Q171" s="100">
        <f t="shared" si="57"/>
        <v>3.1718850999999999E-2</v>
      </c>
      <c r="R171" s="100">
        <v>3.2833690221270521E-2</v>
      </c>
      <c r="T171" s="27"/>
      <c r="U171" s="50">
        <f t="shared" si="58"/>
        <v>0</v>
      </c>
    </row>
    <row r="172" spans="1:21">
      <c r="A172" s="13" t="str">
        <f t="shared" si="48"/>
        <v>(8, 9]</v>
      </c>
      <c r="B172" s="96">
        <v>42950</v>
      </c>
      <c r="C172" s="96">
        <v>36789480</v>
      </c>
      <c r="D172" s="27">
        <f t="shared" si="49"/>
        <v>5.135072738096106E-3</v>
      </c>
      <c r="E172" s="90">
        <f t="shared" si="50"/>
        <v>8.5656530849825376</v>
      </c>
      <c r="F172" s="88"/>
      <c r="G172" s="13" t="str">
        <f t="shared" si="51"/>
        <v>(8, 9]</v>
      </c>
      <c r="H172" s="86">
        <v>5.9095390752441679</v>
      </c>
      <c r="I172" s="27">
        <f t="shared" si="52"/>
        <v>3.0345912999999999E-2</v>
      </c>
      <c r="J172" s="27">
        <f t="shared" si="53"/>
        <v>3.0345913000000013E-2</v>
      </c>
      <c r="K172" s="87">
        <f t="shared" si="54"/>
        <v>30345913</v>
      </c>
      <c r="L172" s="100">
        <f t="shared" si="55"/>
        <v>3.0345912999999999E-2</v>
      </c>
      <c r="M172" s="100">
        <f t="shared" si="56"/>
        <v>0.2599325633050617</v>
      </c>
      <c r="N172" s="88"/>
      <c r="O172" s="45">
        <v>8</v>
      </c>
      <c r="P172" s="45">
        <v>9</v>
      </c>
      <c r="Q172" s="100">
        <f t="shared" si="57"/>
        <v>3.0345912999999999E-2</v>
      </c>
      <c r="R172" s="100">
        <v>3.1406138472519628E-2</v>
      </c>
      <c r="T172" s="27"/>
      <c r="U172" s="50">
        <f t="shared" si="58"/>
        <v>0</v>
      </c>
    </row>
    <row r="173" spans="1:21">
      <c r="A173" s="13" t="str">
        <f t="shared" si="48"/>
        <v>(9, 10]</v>
      </c>
      <c r="B173" s="96">
        <v>42155</v>
      </c>
      <c r="C173" s="96">
        <v>40319540</v>
      </c>
      <c r="D173" s="27">
        <f t="shared" si="49"/>
        <v>5.0400230797308819E-3</v>
      </c>
      <c r="E173" s="90">
        <f t="shared" si="50"/>
        <v>9.5645925750207574</v>
      </c>
      <c r="F173" s="88"/>
      <c r="G173" s="13" t="str">
        <f t="shared" si="51"/>
        <v>(9, 10]</v>
      </c>
      <c r="H173" s="86">
        <v>6.4328159786385708</v>
      </c>
      <c r="I173" s="27">
        <f t="shared" si="52"/>
        <v>3.2421540999999998E-2</v>
      </c>
      <c r="J173" s="27">
        <f t="shared" si="53"/>
        <v>3.2421541000000012E-2</v>
      </c>
      <c r="K173" s="87">
        <f t="shared" si="54"/>
        <v>32421541</v>
      </c>
      <c r="L173" s="100">
        <f t="shared" si="55"/>
        <v>3.2421540999999998E-2</v>
      </c>
      <c r="M173" s="100">
        <f t="shared" si="56"/>
        <v>0.31009883031933105</v>
      </c>
      <c r="N173" s="88"/>
      <c r="O173" s="45">
        <v>9</v>
      </c>
      <c r="P173" s="45">
        <v>10</v>
      </c>
      <c r="Q173" s="100">
        <f t="shared" si="57"/>
        <v>3.2421540999999998E-2</v>
      </c>
      <c r="R173" s="100">
        <v>3.3547466095645968E-2</v>
      </c>
      <c r="T173" s="27"/>
      <c r="U173" s="50">
        <f t="shared" si="58"/>
        <v>0</v>
      </c>
    </row>
    <row r="174" spans="1:21">
      <c r="A174" s="13" t="str">
        <f t="shared" si="48"/>
        <v>(10, 15]</v>
      </c>
      <c r="B174" s="96">
        <v>202809</v>
      </c>
      <c r="C174" s="96">
        <v>254308990</v>
      </c>
      <c r="D174" s="27">
        <f t="shared" si="49"/>
        <v>2.4247705865902986E-2</v>
      </c>
      <c r="E174" s="90">
        <f t="shared" si="50"/>
        <v>12.539334546297255</v>
      </c>
      <c r="F174" s="88"/>
      <c r="G174" s="13" t="str">
        <f t="shared" si="51"/>
        <v>(10, 15]</v>
      </c>
      <c r="H174" s="86">
        <v>5.8070842569071335</v>
      </c>
      <c r="I174" s="27">
        <f t="shared" si="52"/>
        <v>0.14080847099999999</v>
      </c>
      <c r="J174" s="27">
        <f t="shared" si="53"/>
        <v>0.14080847100000005</v>
      </c>
      <c r="K174" s="87">
        <f t="shared" si="54"/>
        <v>140808471</v>
      </c>
      <c r="L174" s="100">
        <f t="shared" si="55"/>
        <v>0.14080847099999999</v>
      </c>
      <c r="M174" s="100">
        <f t="shared" si="56"/>
        <v>1.7656445248215951</v>
      </c>
      <c r="N174" s="88"/>
      <c r="O174" s="45">
        <v>10</v>
      </c>
      <c r="P174" s="45">
        <v>15</v>
      </c>
      <c r="Q174" s="100">
        <f t="shared" si="57"/>
        <v>0.14080847099999999</v>
      </c>
      <c r="R174" s="100">
        <v>0.145610278372591</v>
      </c>
      <c r="T174" s="27"/>
      <c r="U174" s="50">
        <f t="shared" si="58"/>
        <v>0</v>
      </c>
    </row>
    <row r="175" spans="1:21">
      <c r="A175" s="13" t="str">
        <f t="shared" si="48"/>
        <v>(15, 20]</v>
      </c>
      <c r="B175" s="96">
        <v>194393</v>
      </c>
      <c r="C175" s="96">
        <v>341185810</v>
      </c>
      <c r="D175" s="27">
        <f t="shared" si="49"/>
        <v>2.3241494639737285E-2</v>
      </c>
      <c r="E175" s="90">
        <f t="shared" si="50"/>
        <v>17.551342383727807</v>
      </c>
      <c r="F175" s="88"/>
      <c r="G175" s="13" t="str">
        <f t="shared" si="51"/>
        <v>(15, 20]</v>
      </c>
      <c r="H175" s="86">
        <v>4.2512183717766634</v>
      </c>
      <c r="I175" s="27">
        <f t="shared" si="52"/>
        <v>9.8804668999999998E-2</v>
      </c>
      <c r="J175" s="27">
        <f t="shared" si="53"/>
        <v>9.8804669000000039E-2</v>
      </c>
      <c r="K175" s="87">
        <f t="shared" si="54"/>
        <v>98804669</v>
      </c>
      <c r="L175" s="100">
        <f t="shared" si="55"/>
        <v>9.8804668999999998E-2</v>
      </c>
      <c r="M175" s="100">
        <f t="shared" si="56"/>
        <v>1.734154574729897</v>
      </c>
      <c r="N175" s="88"/>
      <c r="O175" s="45">
        <v>15</v>
      </c>
      <c r="P175" s="45">
        <v>20</v>
      </c>
      <c r="Q175" s="100">
        <f t="shared" si="57"/>
        <v>9.8804668999999998E-2</v>
      </c>
      <c r="R175" s="100">
        <v>0.10206995003568881</v>
      </c>
      <c r="T175" s="27"/>
      <c r="U175" s="50">
        <f t="shared" si="58"/>
        <v>0</v>
      </c>
    </row>
    <row r="176" spans="1:21">
      <c r="A176" s="13" t="str">
        <f t="shared" si="48"/>
        <v>(20, 25]</v>
      </c>
      <c r="B176" s="96">
        <v>188251</v>
      </c>
      <c r="C176" s="96">
        <v>424612980</v>
      </c>
      <c r="D176" s="27">
        <f t="shared" si="49"/>
        <v>2.2507161304291739E-2</v>
      </c>
      <c r="E176" s="90">
        <f t="shared" si="50"/>
        <v>22.555682572735336</v>
      </c>
      <c r="F176" s="88"/>
      <c r="G176" s="13" t="str">
        <f t="shared" si="51"/>
        <v>(20, 25]</v>
      </c>
      <c r="H176" s="86">
        <v>4.2100127474508175</v>
      </c>
      <c r="I176" s="27">
        <f t="shared" si="52"/>
        <v>9.4755435999999985E-2</v>
      </c>
      <c r="J176" s="27">
        <f t="shared" si="53"/>
        <v>9.4755436000000026E-2</v>
      </c>
      <c r="K176" s="87">
        <f t="shared" si="54"/>
        <v>94755436</v>
      </c>
      <c r="L176" s="100">
        <f t="shared" si="55"/>
        <v>9.4755435999999998E-2</v>
      </c>
      <c r="M176" s="100">
        <f t="shared" si="56"/>
        <v>2.1372735364571382</v>
      </c>
      <c r="N176" s="88"/>
      <c r="O176" s="45">
        <v>20</v>
      </c>
      <c r="P176" s="45">
        <v>25</v>
      </c>
      <c r="Q176" s="100">
        <f t="shared" si="57"/>
        <v>9.4755435999999998E-2</v>
      </c>
      <c r="R176" s="100">
        <v>9.7787294789436111E-2</v>
      </c>
      <c r="T176" s="27"/>
      <c r="U176" s="50">
        <f t="shared" si="58"/>
        <v>0</v>
      </c>
    </row>
    <row r="177" spans="1:21">
      <c r="A177" s="13" t="str">
        <f t="shared" si="48"/>
        <v>(25, 30]</v>
      </c>
      <c r="B177" s="96">
        <v>184695</v>
      </c>
      <c r="C177" s="96">
        <v>508784530</v>
      </c>
      <c r="D177" s="27">
        <f t="shared" si="49"/>
        <v>2.2082008367000239E-2</v>
      </c>
      <c r="E177" s="90">
        <f t="shared" si="50"/>
        <v>27.547282276185062</v>
      </c>
      <c r="F177" s="88"/>
      <c r="G177" s="13" t="str">
        <f t="shared" si="51"/>
        <v>(25, 30]</v>
      </c>
      <c r="H177" s="86">
        <v>3.3234708446933543</v>
      </c>
      <c r="I177" s="27">
        <f t="shared" si="52"/>
        <v>7.3388911000000001E-2</v>
      </c>
      <c r="J177" s="27">
        <f t="shared" si="53"/>
        <v>7.3388911000000029E-2</v>
      </c>
      <c r="K177" s="87">
        <f t="shared" si="54"/>
        <v>73388911</v>
      </c>
      <c r="L177" s="100">
        <f t="shared" si="55"/>
        <v>7.3388911000000001E-2</v>
      </c>
      <c r="M177" s="100">
        <f t="shared" si="56"/>
        <v>2.0216650472588231</v>
      </c>
      <c r="N177" s="88"/>
      <c r="O177" s="45">
        <v>25</v>
      </c>
      <c r="P177" s="45">
        <v>30</v>
      </c>
      <c r="Q177" s="100">
        <f t="shared" si="57"/>
        <v>7.3388911000000001E-2</v>
      </c>
      <c r="R177" s="100">
        <v>7.5660242683797285E-2</v>
      </c>
      <c r="T177" s="27"/>
      <c r="U177" s="50">
        <f t="shared" si="58"/>
        <v>0</v>
      </c>
    </row>
    <row r="178" spans="1:21">
      <c r="A178" s="13" t="str">
        <f t="shared" si="48"/>
        <v>(30, 35]</v>
      </c>
      <c r="B178" s="96">
        <v>180804</v>
      </c>
      <c r="C178" s="96">
        <v>588557320</v>
      </c>
      <c r="D178" s="27">
        <f t="shared" si="49"/>
        <v>2.1616803057944781E-2</v>
      </c>
      <c r="E178" s="90">
        <f t="shared" si="50"/>
        <v>32.552228932988207</v>
      </c>
      <c r="F178" s="88"/>
      <c r="G178" s="13" t="str">
        <f t="shared" si="51"/>
        <v>(30, 35]</v>
      </c>
      <c r="H178" s="86">
        <v>2.9496000323954505</v>
      </c>
      <c r="I178" s="27">
        <f t="shared" si="52"/>
        <v>6.3760922999999997E-2</v>
      </c>
      <c r="J178" s="27">
        <f t="shared" si="53"/>
        <v>6.3760923000000025E-2</v>
      </c>
      <c r="K178" s="87">
        <f t="shared" si="54"/>
        <v>63760923</v>
      </c>
      <c r="L178" s="100">
        <f t="shared" si="55"/>
        <v>6.3760922999999997E-2</v>
      </c>
      <c r="M178" s="100">
        <f t="shared" si="56"/>
        <v>2.0755601624746332</v>
      </c>
      <c r="N178" s="88"/>
      <c r="O178" s="45">
        <v>30</v>
      </c>
      <c r="P178" s="45">
        <v>35</v>
      </c>
      <c r="Q178" s="100">
        <f t="shared" si="57"/>
        <v>6.3760922999999997E-2</v>
      </c>
      <c r="R178" s="100">
        <v>6.5667380442541043E-2</v>
      </c>
      <c r="T178" s="27"/>
      <c r="U178" s="50">
        <f t="shared" si="58"/>
        <v>0</v>
      </c>
    </row>
    <row r="179" spans="1:21">
      <c r="A179" s="13" t="str">
        <f t="shared" si="48"/>
        <v>(35, 40]</v>
      </c>
      <c r="B179" s="96">
        <v>177130</v>
      </c>
      <c r="C179" s="96">
        <v>665155830</v>
      </c>
      <c r="D179" s="27">
        <f t="shared" si="49"/>
        <v>2.1177542121046875E-2</v>
      </c>
      <c r="E179" s="90">
        <f t="shared" si="50"/>
        <v>37.55184497261898</v>
      </c>
      <c r="F179" s="88"/>
      <c r="G179" s="13" t="str">
        <f t="shared" si="51"/>
        <v>(35, 40]</v>
      </c>
      <c r="H179" s="86">
        <v>2.8172888836190708</v>
      </c>
      <c r="I179" s="27">
        <f t="shared" si="52"/>
        <v>5.9663253999999999E-2</v>
      </c>
      <c r="J179" s="27">
        <f t="shared" si="53"/>
        <v>5.9663254000000027E-2</v>
      </c>
      <c r="K179" s="87">
        <f t="shared" si="54"/>
        <v>59663254</v>
      </c>
      <c r="L179" s="100">
        <f t="shared" si="55"/>
        <v>5.9663253999999999E-2</v>
      </c>
      <c r="M179" s="100">
        <f t="shared" si="56"/>
        <v>2.2404652647699894</v>
      </c>
      <c r="N179" s="88"/>
      <c r="O179" s="45">
        <v>35</v>
      </c>
      <c r="P179" s="45">
        <v>40</v>
      </c>
      <c r="Q179" s="100">
        <f t="shared" si="57"/>
        <v>5.9663253999999999E-2</v>
      </c>
      <c r="R179" s="100">
        <v>6.1384725196288369E-2</v>
      </c>
      <c r="T179" s="27"/>
      <c r="U179" s="50">
        <f t="shared" si="58"/>
        <v>0</v>
      </c>
    </row>
    <row r="180" spans="1:21">
      <c r="A180" s="13" t="str">
        <f t="shared" si="48"/>
        <v>(40, 45]</v>
      </c>
      <c r="B180" s="96">
        <v>174735</v>
      </c>
      <c r="C180" s="96">
        <v>743586950</v>
      </c>
      <c r="D180" s="27">
        <f t="shared" si="49"/>
        <v>2.0891197552764217E-2</v>
      </c>
      <c r="E180" s="90">
        <f t="shared" si="50"/>
        <v>42.555123472687207</v>
      </c>
      <c r="F180" s="88"/>
      <c r="G180" s="13" t="str">
        <f t="shared" si="51"/>
        <v>(40, 45]</v>
      </c>
      <c r="H180" s="86">
        <v>2.9585382955618051</v>
      </c>
      <c r="I180" s="27">
        <f t="shared" si="52"/>
        <v>6.1807408000000001E-2</v>
      </c>
      <c r="J180" s="27">
        <f t="shared" si="53"/>
        <v>6.1807408000000029E-2</v>
      </c>
      <c r="K180" s="87">
        <f t="shared" si="54"/>
        <v>61807408</v>
      </c>
      <c r="L180" s="100">
        <f t="shared" si="55"/>
        <v>6.1807408000000001E-2</v>
      </c>
      <c r="M180" s="100">
        <f t="shared" si="56"/>
        <v>2.6302218789667551</v>
      </c>
      <c r="N180" s="88"/>
      <c r="O180" s="45">
        <v>40</v>
      </c>
      <c r="P180" s="45">
        <v>45</v>
      </c>
      <c r="Q180" s="100">
        <f t="shared" si="57"/>
        <v>6.1807408000000001E-2</v>
      </c>
      <c r="R180" s="100">
        <v>6.3526052819414702E-2</v>
      </c>
      <c r="T180" s="27"/>
      <c r="U180" s="50">
        <f t="shared" si="58"/>
        <v>0</v>
      </c>
    </row>
    <row r="181" spans="1:21">
      <c r="A181" s="13" t="str">
        <f t="shared" si="48"/>
        <v>(45, 50]</v>
      </c>
      <c r="B181" s="96">
        <v>171139</v>
      </c>
      <c r="C181" s="96">
        <v>813719490</v>
      </c>
      <c r="D181" s="27">
        <f t="shared" si="49"/>
        <v>2.0461262242724786E-2</v>
      </c>
      <c r="E181" s="90">
        <f t="shared" si="50"/>
        <v>47.547285539824351</v>
      </c>
      <c r="F181" s="88"/>
      <c r="G181" s="13" t="str">
        <f t="shared" si="51"/>
        <v>(45, 50]</v>
      </c>
      <c r="H181" s="86">
        <v>2.5141482666002664</v>
      </c>
      <c r="I181" s="27">
        <f t="shared" si="52"/>
        <v>5.1442647000000001E-2</v>
      </c>
      <c r="J181" s="27">
        <f t="shared" si="53"/>
        <v>5.1442647000000022E-2</v>
      </c>
      <c r="K181" s="87">
        <f t="shared" si="54"/>
        <v>51442647</v>
      </c>
      <c r="L181" s="100">
        <f t="shared" si="55"/>
        <v>5.1442647000000001E-2</v>
      </c>
      <c r="M181" s="100">
        <f t="shared" si="56"/>
        <v>2.4459582258333885</v>
      </c>
      <c r="N181" s="88"/>
      <c r="O181" s="45">
        <v>45</v>
      </c>
      <c r="P181" s="45">
        <v>50</v>
      </c>
      <c r="Q181" s="100">
        <f t="shared" si="57"/>
        <v>5.1442647000000001E-2</v>
      </c>
      <c r="R181" s="100">
        <v>5.2819414703783013E-2</v>
      </c>
      <c r="T181" s="27"/>
      <c r="U181" s="50">
        <f t="shared" si="58"/>
        <v>0</v>
      </c>
    </row>
    <row r="182" spans="1:21">
      <c r="A182" s="13" t="str">
        <f t="shared" si="48"/>
        <v>(50, 60]</v>
      </c>
      <c r="B182" s="96">
        <v>334569</v>
      </c>
      <c r="C182" s="96">
        <v>1841082090</v>
      </c>
      <c r="D182" s="27">
        <f t="shared" si="49"/>
        <v>4.0000841697603637E-2</v>
      </c>
      <c r="E182" s="90">
        <f t="shared" si="50"/>
        <v>55.028472153726135</v>
      </c>
      <c r="F182" s="88"/>
      <c r="G182" s="13" t="str">
        <f t="shared" si="51"/>
        <v>(50, 60]</v>
      </c>
      <c r="H182" s="86">
        <v>1.5316731448596104</v>
      </c>
      <c r="I182" s="27">
        <f t="shared" si="52"/>
        <v>6.1268215000000001E-2</v>
      </c>
      <c r="J182" s="27">
        <f t="shared" si="53"/>
        <v>6.1268215000000029E-2</v>
      </c>
      <c r="K182" s="87">
        <f t="shared" si="54"/>
        <v>61268215</v>
      </c>
      <c r="L182" s="100">
        <f t="shared" si="55"/>
        <v>6.1268215000000001E-2</v>
      </c>
      <c r="M182" s="100">
        <f t="shared" si="56"/>
        <v>3.3714962630360059</v>
      </c>
      <c r="N182" s="88"/>
      <c r="O182" s="45">
        <v>50</v>
      </c>
      <c r="P182" s="45">
        <v>60</v>
      </c>
      <c r="Q182" s="100">
        <f t="shared" si="57"/>
        <v>6.1268215000000001E-2</v>
      </c>
      <c r="R182" s="100">
        <v>3.1406138472519628E-2</v>
      </c>
      <c r="T182" s="27"/>
      <c r="U182" s="50">
        <f t="shared" si="58"/>
        <v>0</v>
      </c>
    </row>
    <row r="183" spans="1:21">
      <c r="A183" s="13" t="str">
        <f t="shared" si="48"/>
        <v>(60, 70]</v>
      </c>
      <c r="B183" s="96">
        <v>324502</v>
      </c>
      <c r="C183" s="96">
        <v>2110213430</v>
      </c>
      <c r="D183" s="27">
        <f t="shared" si="49"/>
        <v>3.8797238036266883E-2</v>
      </c>
      <c r="E183" s="90">
        <f t="shared" si="50"/>
        <v>65.029288879575475</v>
      </c>
      <c r="F183" s="88"/>
      <c r="G183" s="13" t="str">
        <f t="shared" si="51"/>
        <v>(60, 70]</v>
      </c>
      <c r="H183" s="86">
        <v>0.71927558281118154</v>
      </c>
      <c r="I183" s="27">
        <f t="shared" si="52"/>
        <v>2.7905906000000001E-2</v>
      </c>
      <c r="J183" s="27">
        <f t="shared" si="53"/>
        <v>2.7905906000000015E-2</v>
      </c>
      <c r="K183" s="87">
        <f t="shared" si="54"/>
        <v>27905906</v>
      </c>
      <c r="L183" s="100">
        <f t="shared" si="55"/>
        <v>2.7905906000000001E-2</v>
      </c>
      <c r="M183" s="100">
        <f t="shared" si="56"/>
        <v>1.8147012227202786</v>
      </c>
      <c r="N183" s="88"/>
      <c r="O183" s="45">
        <v>60</v>
      </c>
      <c r="P183" s="45">
        <v>70</v>
      </c>
      <c r="Q183" s="100">
        <f t="shared" si="57"/>
        <v>2.7905906000000001E-2</v>
      </c>
      <c r="R183" s="100">
        <v>2.855103497501784E-2</v>
      </c>
      <c r="T183" s="27"/>
      <c r="U183" s="50">
        <f t="shared" si="58"/>
        <v>0</v>
      </c>
    </row>
    <row r="184" spans="1:21">
      <c r="A184" s="13" t="str">
        <f t="shared" si="48"/>
        <v>(70, 80]</v>
      </c>
      <c r="B184" s="96">
        <v>313591</v>
      </c>
      <c r="C184" s="96">
        <v>2352848560</v>
      </c>
      <c r="D184" s="27">
        <f t="shared" si="49"/>
        <v>3.7492726309948689E-2</v>
      </c>
      <c r="E184" s="90">
        <f t="shared" si="50"/>
        <v>75.029211935291514</v>
      </c>
      <c r="F184" s="88"/>
      <c r="G184" s="13" t="str">
        <f t="shared" si="51"/>
        <v>(70, 80]</v>
      </c>
      <c r="H184" s="86">
        <v>0.57800859347615841</v>
      </c>
      <c r="I184" s="27">
        <f t="shared" si="52"/>
        <v>2.1671118E-2</v>
      </c>
      <c r="J184" s="27">
        <f t="shared" si="53"/>
        <v>2.167111800000001E-2</v>
      </c>
      <c r="K184" s="87">
        <f t="shared" si="54"/>
        <v>21671118</v>
      </c>
      <c r="L184" s="100">
        <f t="shared" si="55"/>
        <v>2.1671118E-2</v>
      </c>
      <c r="M184" s="100">
        <f t="shared" si="56"/>
        <v>1.6259669052967107</v>
      </c>
      <c r="N184" s="88"/>
      <c r="O184" s="45">
        <v>70</v>
      </c>
      <c r="P184" s="45">
        <v>80</v>
      </c>
      <c r="Q184" s="100">
        <f t="shared" si="57"/>
        <v>2.1671118E-2</v>
      </c>
      <c r="R184" s="100">
        <v>2.2127052105638829E-2</v>
      </c>
      <c r="T184" s="27"/>
      <c r="U184" s="50">
        <f t="shared" si="58"/>
        <v>0</v>
      </c>
    </row>
    <row r="185" spans="1:21">
      <c r="A185" s="13" t="str">
        <f t="shared" si="48"/>
        <v>(80, 90]</v>
      </c>
      <c r="B185" s="96">
        <v>302583</v>
      </c>
      <c r="C185" s="96">
        <v>2572701950</v>
      </c>
      <c r="D185" s="27">
        <f t="shared" si="49"/>
        <v>3.6176617329716741E-2</v>
      </c>
      <c r="E185" s="90">
        <f t="shared" si="50"/>
        <v>85.024669264301025</v>
      </c>
      <c r="F185" s="88"/>
      <c r="G185" s="13" t="str">
        <f t="shared" si="51"/>
        <v>(80, 90]</v>
      </c>
      <c r="H185" s="86">
        <v>0.44535117402382485</v>
      </c>
      <c r="I185" s="27">
        <f t="shared" si="52"/>
        <v>1.6111298999999999E-2</v>
      </c>
      <c r="J185" s="27">
        <f t="shared" si="53"/>
        <v>1.6111299000000006E-2</v>
      </c>
      <c r="K185" s="87">
        <f t="shared" si="54"/>
        <v>16111299</v>
      </c>
      <c r="L185" s="100">
        <f t="shared" si="55"/>
        <v>1.6111298999999999E-2</v>
      </c>
      <c r="M185" s="100">
        <f t="shared" si="56"/>
        <v>1.3698578688932637</v>
      </c>
      <c r="N185" s="88"/>
      <c r="O185" s="45">
        <v>80</v>
      </c>
      <c r="P185" s="45">
        <v>90</v>
      </c>
      <c r="Q185" s="100">
        <f t="shared" si="57"/>
        <v>1.6111298999999999E-2</v>
      </c>
      <c r="R185" s="100">
        <v>1.6416845110635261E-2</v>
      </c>
      <c r="T185" s="27"/>
      <c r="U185" s="50">
        <f t="shared" si="58"/>
        <v>0</v>
      </c>
    </row>
    <row r="186" spans="1:21">
      <c r="A186" s="13" t="str">
        <f t="shared" si="48"/>
        <v>(90, 100]</v>
      </c>
      <c r="B186" s="96">
        <v>290174</v>
      </c>
      <c r="C186" s="96">
        <v>2757205050</v>
      </c>
      <c r="D186" s="27">
        <f t="shared" si="49"/>
        <v>3.4693005743988349E-2</v>
      </c>
      <c r="E186" s="90">
        <f t="shared" si="50"/>
        <v>95.019024792021341</v>
      </c>
      <c r="F186" s="88"/>
      <c r="G186" s="13" t="str">
        <f t="shared" si="51"/>
        <v>(90, 100]</v>
      </c>
      <c r="H186" s="86">
        <v>0.42487687889522835</v>
      </c>
      <c r="I186" s="27">
        <f t="shared" si="52"/>
        <v>1.4740255999999998E-2</v>
      </c>
      <c r="J186" s="27">
        <f t="shared" si="53"/>
        <v>1.4740256000000005E-2</v>
      </c>
      <c r="K186" s="87">
        <f t="shared" si="54"/>
        <v>14740256</v>
      </c>
      <c r="L186" s="100">
        <f t="shared" si="55"/>
        <v>1.4740256E-2</v>
      </c>
      <c r="M186" s="100">
        <f t="shared" si="56"/>
        <v>1.4006047503047414</v>
      </c>
      <c r="N186" s="88"/>
      <c r="O186" s="45">
        <v>90</v>
      </c>
      <c r="P186" s="45">
        <v>100</v>
      </c>
      <c r="Q186" s="100">
        <f t="shared" si="57"/>
        <v>1.4740256E-2</v>
      </c>
      <c r="R186" s="100">
        <v>1.498929336188437E-2</v>
      </c>
      <c r="T186" s="27"/>
      <c r="U186" s="50">
        <f t="shared" si="58"/>
        <v>0</v>
      </c>
    </row>
    <row r="187" spans="1:21">
      <c r="A187" s="13" t="str">
        <f t="shared" si="48"/>
        <v>(100, 120]</v>
      </c>
      <c r="B187" s="96">
        <v>544944</v>
      </c>
      <c r="C187" s="96">
        <v>5988889530</v>
      </c>
      <c r="D187" s="27">
        <f t="shared" si="49"/>
        <v>6.515313336877869E-2</v>
      </c>
      <c r="E187" s="90">
        <f t="shared" si="50"/>
        <v>109.89917367656126</v>
      </c>
      <c r="F187" s="88"/>
      <c r="G187" s="13" t="str">
        <f t="shared" si="51"/>
        <v>(100, 120]</v>
      </c>
      <c r="H187" s="86">
        <v>0.28095609610038824</v>
      </c>
      <c r="I187" s="27">
        <f t="shared" si="52"/>
        <v>1.8305169999999999E-2</v>
      </c>
      <c r="J187" s="27">
        <f t="shared" si="53"/>
        <v>1.8305170000000006E-2</v>
      </c>
      <c r="K187" s="87">
        <f t="shared" si="54"/>
        <v>18305170</v>
      </c>
      <c r="L187" s="100">
        <f t="shared" si="55"/>
        <v>1.8305169999999999E-2</v>
      </c>
      <c r="M187" s="100">
        <f t="shared" si="56"/>
        <v>2.0117230570089788</v>
      </c>
      <c r="N187" s="88"/>
      <c r="O187" s="45">
        <v>100</v>
      </c>
      <c r="P187" s="45">
        <v>120</v>
      </c>
      <c r="Q187" s="100">
        <f t="shared" si="57"/>
        <v>1.8305169999999999E-2</v>
      </c>
      <c r="R187" s="100">
        <v>1.8558172733761601E-2</v>
      </c>
      <c r="T187" s="27"/>
      <c r="U187" s="50">
        <f t="shared" si="58"/>
        <v>0</v>
      </c>
    </row>
    <row r="188" spans="1:21">
      <c r="A188" s="13" t="str">
        <f t="shared" si="48"/>
        <v>(120, 140]</v>
      </c>
      <c r="B188" s="96">
        <v>496474</v>
      </c>
      <c r="C188" s="96">
        <v>6448866850</v>
      </c>
      <c r="D188" s="27">
        <f t="shared" si="49"/>
        <v>5.9358093191467433E-2</v>
      </c>
      <c r="E188" s="90">
        <f t="shared" si="50"/>
        <v>129.89334486800919</v>
      </c>
      <c r="F188" s="88"/>
      <c r="G188" s="13" t="str">
        <f t="shared" si="51"/>
        <v>(120, 140]</v>
      </c>
      <c r="H188" s="86">
        <v>0.1905491128819797</v>
      </c>
      <c r="I188" s="27">
        <f t="shared" si="52"/>
        <v>1.1310631999999999E-2</v>
      </c>
      <c r="J188" s="27">
        <f t="shared" si="53"/>
        <v>1.1310632000000004E-2</v>
      </c>
      <c r="K188" s="87">
        <f t="shared" si="54"/>
        <v>11310632</v>
      </c>
      <c r="L188" s="100">
        <f t="shared" si="55"/>
        <v>1.1310631999999999E-2</v>
      </c>
      <c r="M188" s="100">
        <f t="shared" si="56"/>
        <v>1.4691758230511405</v>
      </c>
      <c r="N188" s="88"/>
      <c r="O188" s="45">
        <v>120</v>
      </c>
      <c r="P188" s="45">
        <v>140</v>
      </c>
      <c r="Q188" s="100">
        <f t="shared" si="57"/>
        <v>1.1310631999999999E-2</v>
      </c>
      <c r="R188" s="100">
        <v>1.142041399000714E-2</v>
      </c>
      <c r="T188" s="27"/>
      <c r="U188" s="50">
        <f t="shared" si="58"/>
        <v>0</v>
      </c>
    </row>
    <row r="189" spans="1:21">
      <c r="A189" s="13" t="str">
        <f t="shared" si="48"/>
        <v>(140, 160]</v>
      </c>
      <c r="B189" s="96">
        <v>447550</v>
      </c>
      <c r="C189" s="96">
        <v>6707843560</v>
      </c>
      <c r="D189" s="27">
        <f t="shared" si="49"/>
        <v>5.3508773083467111E-2</v>
      </c>
      <c r="E189" s="90">
        <f t="shared" si="50"/>
        <v>149.8791991956206</v>
      </c>
      <c r="F189" s="88"/>
      <c r="G189" s="13" t="str">
        <f t="shared" si="51"/>
        <v>(140, 160]</v>
      </c>
      <c r="H189" s="86">
        <v>0.1591801588631773</v>
      </c>
      <c r="I189" s="27">
        <f t="shared" si="52"/>
        <v>8.5175349999999997E-3</v>
      </c>
      <c r="J189" s="27">
        <f t="shared" si="53"/>
        <v>8.5175350000000032E-3</v>
      </c>
      <c r="K189" s="87">
        <f t="shared" si="54"/>
        <v>8517535</v>
      </c>
      <c r="L189" s="100">
        <f t="shared" si="55"/>
        <v>8.5175349999999997E-3</v>
      </c>
      <c r="M189" s="100">
        <f t="shared" si="56"/>
        <v>1.2766013249206702</v>
      </c>
      <c r="N189" s="88"/>
      <c r="O189" s="45">
        <v>140</v>
      </c>
      <c r="P189" s="45">
        <v>160</v>
      </c>
      <c r="Q189" s="100">
        <f t="shared" si="57"/>
        <v>8.5175349999999997E-3</v>
      </c>
      <c r="R189" s="100">
        <v>8.5653104925053538E-3</v>
      </c>
      <c r="T189" s="27"/>
      <c r="U189" s="50">
        <f t="shared" si="58"/>
        <v>0</v>
      </c>
    </row>
    <row r="190" spans="1:21">
      <c r="A190" s="13" t="str">
        <f t="shared" si="48"/>
        <v>(160, 180]</v>
      </c>
      <c r="B190" s="96">
        <v>401699</v>
      </c>
      <c r="C190" s="96">
        <v>6824039140</v>
      </c>
      <c r="D190" s="27">
        <f t="shared" si="49"/>
        <v>4.8026858761826954E-2</v>
      </c>
      <c r="E190" s="90">
        <f t="shared" si="50"/>
        <v>169.87941568189115</v>
      </c>
      <c r="F190" s="88"/>
      <c r="G190" s="13" t="str">
        <f t="shared" si="51"/>
        <v>(160, 180]</v>
      </c>
      <c r="H190" s="86">
        <v>7.4196857589035575E-2</v>
      </c>
      <c r="I190" s="27">
        <f t="shared" si="52"/>
        <v>3.563442E-3</v>
      </c>
      <c r="J190" s="27">
        <f t="shared" si="53"/>
        <v>3.5634420000000017E-3</v>
      </c>
      <c r="K190" s="87">
        <f t="shared" si="54"/>
        <v>3563442</v>
      </c>
      <c r="L190" s="100">
        <f t="shared" si="55"/>
        <v>3.563442E-3</v>
      </c>
      <c r="M190" s="100">
        <f t="shared" si="56"/>
        <v>0.60535544477630954</v>
      </c>
      <c r="N190" s="88"/>
      <c r="O190" s="45">
        <v>160</v>
      </c>
      <c r="P190" s="45">
        <v>180</v>
      </c>
      <c r="Q190" s="100">
        <f t="shared" si="57"/>
        <v>3.563442E-3</v>
      </c>
      <c r="R190" s="100">
        <v>3.56887937187723E-3</v>
      </c>
      <c r="T190" s="27"/>
      <c r="U190" s="50">
        <f t="shared" si="58"/>
        <v>0</v>
      </c>
    </row>
    <row r="191" spans="1:21">
      <c r="A191" s="13" t="str">
        <f t="shared" si="48"/>
        <v>(180, 200]</v>
      </c>
      <c r="B191" s="96">
        <v>359175</v>
      </c>
      <c r="C191" s="96">
        <v>6819468580</v>
      </c>
      <c r="D191" s="27">
        <f t="shared" si="49"/>
        <v>4.2942718293496371E-2</v>
      </c>
      <c r="E191" s="90">
        <f t="shared" si="50"/>
        <v>189.86478958724857</v>
      </c>
      <c r="F191" s="88"/>
      <c r="G191" s="13" t="str">
        <f t="shared" si="51"/>
        <v>(180, 200]</v>
      </c>
      <c r="H191" s="86">
        <v>4.9991618726314468E-2</v>
      </c>
      <c r="I191" s="27">
        <f t="shared" si="52"/>
        <v>2.146776E-3</v>
      </c>
      <c r="J191" s="27">
        <f t="shared" si="53"/>
        <v>2.1467760000000008E-3</v>
      </c>
      <c r="K191" s="87">
        <f t="shared" si="54"/>
        <v>2146776</v>
      </c>
      <c r="L191" s="100">
        <f t="shared" si="55"/>
        <v>2.146776E-3</v>
      </c>
      <c r="M191" s="100">
        <f t="shared" si="56"/>
        <v>0.40759717353095515</v>
      </c>
      <c r="N191" s="88"/>
      <c r="O191" s="45">
        <v>180</v>
      </c>
      <c r="P191" s="45">
        <v>200</v>
      </c>
      <c r="Q191" s="100">
        <f t="shared" si="57"/>
        <v>2.146776E-3</v>
      </c>
      <c r="R191" s="100">
        <v>2.141327623126338E-3</v>
      </c>
      <c r="T191" s="27"/>
      <c r="U191" s="50">
        <f t="shared" si="58"/>
        <v>0</v>
      </c>
    </row>
    <row r="192" spans="1:21">
      <c r="A192" s="13" t="str">
        <f t="shared" si="48"/>
        <v>(200, 250]</v>
      </c>
      <c r="B192" s="96">
        <v>728579</v>
      </c>
      <c r="C192" s="96">
        <v>16300420450</v>
      </c>
      <c r="D192" s="27">
        <f t="shared" si="49"/>
        <v>8.7108408857958633E-2</v>
      </c>
      <c r="E192" s="90">
        <f t="shared" si="50"/>
        <v>223.72893605223319</v>
      </c>
      <c r="F192" s="88"/>
      <c r="G192" s="13" t="str">
        <f t="shared" si="51"/>
        <v>(200, 250]</v>
      </c>
      <c r="H192" s="86">
        <v>7.4445729006190134E-2</v>
      </c>
      <c r="I192" s="27">
        <f t="shared" si="52"/>
        <v>6.4848490000000009E-3</v>
      </c>
      <c r="J192" s="27">
        <f t="shared" si="53"/>
        <v>6.4848490000000035E-3</v>
      </c>
      <c r="K192" s="87">
        <f t="shared" si="54"/>
        <v>6484849</v>
      </c>
      <c r="L192" s="100">
        <f t="shared" si="55"/>
        <v>6.484849E-3</v>
      </c>
      <c r="M192" s="100">
        <f t="shared" si="56"/>
        <v>1.4508483672293884</v>
      </c>
      <c r="N192" s="88"/>
      <c r="O192" s="45">
        <v>200</v>
      </c>
      <c r="P192" s="45">
        <v>250</v>
      </c>
      <c r="Q192" s="100">
        <f t="shared" si="57"/>
        <v>6.484849E-3</v>
      </c>
      <c r="R192" s="100">
        <v>6.4239828693790149E-3</v>
      </c>
      <c r="T192" s="27"/>
      <c r="U192" s="50">
        <f t="shared" si="58"/>
        <v>0</v>
      </c>
    </row>
    <row r="193" spans="1:21">
      <c r="A193" s="13" t="str">
        <f t="shared" si="48"/>
        <v>(250, 300]</v>
      </c>
      <c r="B193" s="96">
        <v>527104</v>
      </c>
      <c r="C193" s="96">
        <v>14424519190</v>
      </c>
      <c r="D193" s="27">
        <f t="shared" si="49"/>
        <v>6.3020195123199299E-2</v>
      </c>
      <c r="E193" s="90">
        <f t="shared" si="50"/>
        <v>273.65603732849684</v>
      </c>
      <c r="F193" s="88"/>
      <c r="G193" s="13" t="str">
        <f t="shared" si="51"/>
        <v>(250, 300]</v>
      </c>
      <c r="H193" s="86">
        <v>1.1550170521957717E-2</v>
      </c>
      <c r="I193" s="27">
        <f t="shared" si="52"/>
        <v>7.2789399999999998E-4</v>
      </c>
      <c r="J193" s="27">
        <f t="shared" si="53"/>
        <v>7.2789400000000031E-4</v>
      </c>
      <c r="K193" s="87">
        <f t="shared" si="54"/>
        <v>727894</v>
      </c>
      <c r="L193" s="100">
        <f t="shared" si="55"/>
        <v>7.2789399999999998E-4</v>
      </c>
      <c r="M193" s="100">
        <f t="shared" si="56"/>
        <v>0.19919258763518888</v>
      </c>
      <c r="N193" s="88"/>
      <c r="O193" s="45">
        <v>250</v>
      </c>
      <c r="P193" s="45">
        <v>300</v>
      </c>
      <c r="Q193" s="100">
        <f t="shared" si="57"/>
        <v>7.2789399999999998E-4</v>
      </c>
      <c r="R193" s="100">
        <v>7.1377587437544611E-4</v>
      </c>
      <c r="T193" s="27"/>
      <c r="U193" s="50">
        <f t="shared" si="58"/>
        <v>0</v>
      </c>
    </row>
    <row r="194" spans="1:21">
      <c r="A194" s="13" t="str">
        <f t="shared" si="48"/>
        <v>(300, 350]</v>
      </c>
      <c r="B194" s="96">
        <v>376240</v>
      </c>
      <c r="C194" s="96">
        <v>12174194450</v>
      </c>
      <c r="D194" s="27">
        <f t="shared" si="49"/>
        <v>4.4982998067084494E-2</v>
      </c>
      <c r="E194" s="90">
        <f t="shared" si="50"/>
        <v>323.5752299064427</v>
      </c>
      <c r="F194" s="88"/>
      <c r="G194" s="13" t="str">
        <f t="shared" si="51"/>
        <v>(300, 350]</v>
      </c>
      <c r="H194" s="86">
        <v>5.1475893104029344E-3</v>
      </c>
      <c r="I194" s="27">
        <f t="shared" si="52"/>
        <v>2.31554E-4</v>
      </c>
      <c r="J194" s="27">
        <f t="shared" si="53"/>
        <v>2.3155400000000011E-4</v>
      </c>
      <c r="K194" s="87">
        <f t="shared" si="54"/>
        <v>231554</v>
      </c>
      <c r="L194" s="100">
        <f t="shared" si="55"/>
        <v>2.31554E-4</v>
      </c>
      <c r="M194" s="100">
        <f t="shared" si="56"/>
        <v>7.4925138785756434E-2</v>
      </c>
      <c r="N194" s="88"/>
      <c r="O194" s="45">
        <v>300</v>
      </c>
      <c r="P194" s="45">
        <v>350</v>
      </c>
      <c r="Q194" s="100">
        <f t="shared" si="57"/>
        <v>2.31554E-4</v>
      </c>
      <c r="R194" s="100">
        <v>0</v>
      </c>
      <c r="T194" s="27"/>
      <c r="U194" s="50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6">
        <v>263520</v>
      </c>
      <c r="C195" s="96">
        <v>9845768370</v>
      </c>
      <c r="D195" s="27">
        <f t="shared" ref="D195:D226" si="60">IFERROR(B195/SUM($B$163:$B$226),0)</f>
        <v>3.1506271663401302E-2</v>
      </c>
      <c r="E195" s="90">
        <f t="shared" ref="E195:E226" si="61">IFERROR(C195/B195/$B$3,0)</f>
        <v>373.62508993624778</v>
      </c>
      <c r="F195" s="88"/>
      <c r="G195" s="13" t="str">
        <f t="shared" ref="G195:G226" si="62">"("&amp;$O195&amp;", "&amp;$P195&amp;"]"</f>
        <v>(350, 400]</v>
      </c>
      <c r="H195" s="86">
        <v>4.7155658907297358E-2</v>
      </c>
      <c r="I195" s="27">
        <f t="shared" ref="I195:I226" si="63">D195*H195</f>
        <v>1.485699E-3</v>
      </c>
      <c r="J195" s="27">
        <f t="shared" ref="J195:J226" si="64">IFERROR(I195/SUM($I$163:$I$226),0)</f>
        <v>1.4856990000000007E-3</v>
      </c>
      <c r="K195" s="87">
        <f t="shared" ref="K195:K226" si="65">INT(J195*$B$2)</f>
        <v>1485699</v>
      </c>
      <c r="L195" s="100">
        <f t="shared" ref="L195:L226" si="66">IFERROR(K195/SUM($K$163:$K$226),0)</f>
        <v>1.485699E-3</v>
      </c>
      <c r="M195" s="100">
        <f t="shared" ref="M195:M226" si="67">L195*E195</f>
        <v>0.55509442249319341</v>
      </c>
      <c r="N195" s="88"/>
      <c r="O195" s="45">
        <v>350</v>
      </c>
      <c r="P195" s="45">
        <v>400</v>
      </c>
      <c r="Q195" s="100">
        <f t="shared" ref="Q195:Q226" si="68">L195</f>
        <v>1.485699E-3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>
      <c r="A196" s="13" t="str">
        <f t="shared" si="59"/>
        <v>(400, 450]</v>
      </c>
      <c r="B196" s="96">
        <v>184753</v>
      </c>
      <c r="C196" s="96">
        <v>7824656320</v>
      </c>
      <c r="D196" s="27">
        <f t="shared" si="60"/>
        <v>2.208894280748475E-2</v>
      </c>
      <c r="E196" s="90">
        <f t="shared" si="61"/>
        <v>423.51985191038847</v>
      </c>
      <c r="F196" s="88"/>
      <c r="G196" s="13" t="str">
        <f t="shared" si="62"/>
        <v>(400, 450]</v>
      </c>
      <c r="H196" s="86">
        <v>8.0090297458715147E-3</v>
      </c>
      <c r="I196" s="27">
        <f t="shared" si="63"/>
        <v>1.76911E-4</v>
      </c>
      <c r="J196" s="27">
        <f t="shared" si="64"/>
        <v>1.7691100000000008E-4</v>
      </c>
      <c r="K196" s="87">
        <f t="shared" si="65"/>
        <v>176911</v>
      </c>
      <c r="L196" s="100">
        <f t="shared" si="66"/>
        <v>1.76911E-4</v>
      </c>
      <c r="M196" s="100">
        <f t="shared" si="67"/>
        <v>7.4925320521318728E-2</v>
      </c>
      <c r="N196" s="88"/>
      <c r="O196" s="45">
        <v>400</v>
      </c>
      <c r="P196" s="45">
        <v>450</v>
      </c>
      <c r="Q196" s="100">
        <f t="shared" si="68"/>
        <v>1.76911E-4</v>
      </c>
      <c r="R196" s="100">
        <v>0</v>
      </c>
      <c r="T196" s="27"/>
      <c r="U196" s="50">
        <f t="shared" si="69"/>
        <v>0</v>
      </c>
    </row>
    <row r="197" spans="1:21">
      <c r="A197" s="13" t="str">
        <f t="shared" si="59"/>
        <v>(450, 500]</v>
      </c>
      <c r="B197" s="96">
        <v>128657</v>
      </c>
      <c r="C197" s="96">
        <v>6093245310</v>
      </c>
      <c r="D197" s="27">
        <f t="shared" si="60"/>
        <v>1.5382143265779528E-2</v>
      </c>
      <c r="E197" s="90">
        <f t="shared" si="61"/>
        <v>473.60386997986899</v>
      </c>
      <c r="F197" s="88"/>
      <c r="G197" s="13" t="str">
        <f t="shared" si="62"/>
        <v>(450, 500]</v>
      </c>
      <c r="H197" s="86">
        <v>4.9285264537001487E-2</v>
      </c>
      <c r="I197" s="27">
        <f t="shared" si="63"/>
        <v>7.5811300000000004E-4</v>
      </c>
      <c r="J197" s="27">
        <f t="shared" si="64"/>
        <v>7.5811300000000036E-4</v>
      </c>
      <c r="K197" s="87">
        <f t="shared" si="65"/>
        <v>758113</v>
      </c>
      <c r="L197" s="100">
        <f t="shared" si="66"/>
        <v>7.5811300000000004E-4</v>
      </c>
      <c r="M197" s="100">
        <f t="shared" si="67"/>
        <v>0.35904525068204846</v>
      </c>
      <c r="N197" s="88"/>
      <c r="O197" s="45">
        <v>450</v>
      </c>
      <c r="P197" s="45">
        <v>500</v>
      </c>
      <c r="Q197" s="100">
        <f t="shared" si="68"/>
        <v>7.5811300000000004E-4</v>
      </c>
      <c r="R197" s="100">
        <v>7.1377587437544611E-4</v>
      </c>
      <c r="T197" s="27"/>
      <c r="U197" s="50">
        <f t="shared" si="69"/>
        <v>0</v>
      </c>
    </row>
    <row r="198" spans="1:21">
      <c r="A198" s="13" t="str">
        <f t="shared" si="59"/>
        <v>(500, 550]</v>
      </c>
      <c r="B198" s="96">
        <v>88357</v>
      </c>
      <c r="C198" s="96">
        <v>4625117990</v>
      </c>
      <c r="D198" s="27">
        <f t="shared" si="60"/>
        <v>1.0563902722234172E-2</v>
      </c>
      <c r="E198" s="90">
        <f t="shared" si="61"/>
        <v>523.45801577690509</v>
      </c>
      <c r="F198" s="88"/>
      <c r="G198" s="13" t="str">
        <f t="shared" si="62"/>
        <v>(500, 550]</v>
      </c>
      <c r="H198" s="86">
        <v>1.3549443208970426E-2</v>
      </c>
      <c r="I198" s="27">
        <f t="shared" si="63"/>
        <v>1.4313499999999999E-4</v>
      </c>
      <c r="J198" s="27">
        <f t="shared" si="64"/>
        <v>1.4313500000000004E-4</v>
      </c>
      <c r="K198" s="87">
        <f t="shared" si="65"/>
        <v>143135</v>
      </c>
      <c r="L198" s="100">
        <f t="shared" si="66"/>
        <v>1.4313499999999999E-4</v>
      </c>
      <c r="M198" s="100">
        <f t="shared" si="67"/>
        <v>7.4925163088227303E-2</v>
      </c>
      <c r="N198" s="88"/>
      <c r="O198" s="45">
        <v>500</v>
      </c>
      <c r="P198" s="45">
        <v>550</v>
      </c>
      <c r="Q198" s="100">
        <f t="shared" si="68"/>
        <v>1.4313499999999999E-4</v>
      </c>
      <c r="R198" s="100">
        <v>0</v>
      </c>
      <c r="T198" s="27"/>
      <c r="U198" s="50">
        <f t="shared" si="69"/>
        <v>0</v>
      </c>
    </row>
    <row r="199" spans="1:21">
      <c r="A199" s="13" t="str">
        <f t="shared" si="59"/>
        <v>(550, 600]</v>
      </c>
      <c r="B199" s="96">
        <v>61353</v>
      </c>
      <c r="C199" s="96">
        <v>3518119460</v>
      </c>
      <c r="D199" s="27">
        <f t="shared" si="60"/>
        <v>7.3353228801026869E-3</v>
      </c>
      <c r="E199" s="90">
        <f t="shared" si="61"/>
        <v>573.42256450377329</v>
      </c>
      <c r="F199" s="88"/>
      <c r="G199" s="13" t="str">
        <f t="shared" si="62"/>
        <v>(550, 600]</v>
      </c>
      <c r="H199" s="86">
        <v>1.7812849159568399E-2</v>
      </c>
      <c r="I199" s="27">
        <f t="shared" si="63"/>
        <v>1.3066299999999999E-4</v>
      </c>
      <c r="J199" s="27">
        <f t="shared" si="64"/>
        <v>1.3066300000000005E-4</v>
      </c>
      <c r="K199" s="87">
        <f t="shared" si="65"/>
        <v>130663</v>
      </c>
      <c r="L199" s="100">
        <f t="shared" si="66"/>
        <v>1.3066299999999999E-4</v>
      </c>
      <c r="M199" s="100">
        <f t="shared" si="67"/>
        <v>7.4925112545756525E-2</v>
      </c>
      <c r="N199" s="88"/>
      <c r="O199" s="45">
        <v>550</v>
      </c>
      <c r="P199" s="45">
        <v>600</v>
      </c>
      <c r="Q199" s="100">
        <f t="shared" si="68"/>
        <v>1.3066299999999999E-4</v>
      </c>
      <c r="R199" s="100">
        <v>0</v>
      </c>
      <c r="T199" s="27"/>
      <c r="U199" s="50">
        <f t="shared" si="69"/>
        <v>0</v>
      </c>
    </row>
    <row r="200" spans="1:21">
      <c r="A200" s="13" t="str">
        <f t="shared" si="59"/>
        <v>(600, 650]</v>
      </c>
      <c r="B200" s="96">
        <v>42665</v>
      </c>
      <c r="C200" s="96">
        <v>2660290870</v>
      </c>
      <c r="D200" s="27">
        <f t="shared" si="60"/>
        <v>5.1009983322670635E-3</v>
      </c>
      <c r="E200" s="90">
        <f t="shared" si="61"/>
        <v>623.53002929801949</v>
      </c>
      <c r="F200" s="88"/>
      <c r="G200" s="13" t="str">
        <f t="shared" si="62"/>
        <v>(600, 650]</v>
      </c>
      <c r="H200" s="86">
        <v>2.3556761279432788E-2</v>
      </c>
      <c r="I200" s="27">
        <f t="shared" si="63"/>
        <v>1.2016299999999999E-4</v>
      </c>
      <c r="J200" s="27">
        <f t="shared" si="64"/>
        <v>1.2016300000000005E-4</v>
      </c>
      <c r="K200" s="87">
        <f t="shared" si="65"/>
        <v>120163</v>
      </c>
      <c r="L200" s="100">
        <f t="shared" si="66"/>
        <v>1.2016299999999999E-4</v>
      </c>
      <c r="M200" s="100">
        <f t="shared" si="67"/>
        <v>7.4925238910537914E-2</v>
      </c>
      <c r="N200" s="88"/>
      <c r="O200" s="45">
        <v>600</v>
      </c>
      <c r="P200" s="45">
        <v>650</v>
      </c>
      <c r="Q200" s="100">
        <f t="shared" si="68"/>
        <v>1.2016299999999999E-4</v>
      </c>
      <c r="R200" s="100">
        <v>0</v>
      </c>
      <c r="T200" s="27"/>
      <c r="U200" s="50">
        <f t="shared" si="69"/>
        <v>0</v>
      </c>
    </row>
    <row r="201" spans="1:21">
      <c r="A201" s="13" t="str">
        <f t="shared" si="59"/>
        <v>(650, 700]</v>
      </c>
      <c r="B201" s="96">
        <v>29296</v>
      </c>
      <c r="C201" s="96">
        <v>1972914430</v>
      </c>
      <c r="D201" s="27">
        <f t="shared" si="60"/>
        <v>3.502609800588208E-3</v>
      </c>
      <c r="E201" s="90">
        <f t="shared" si="61"/>
        <v>673.44157222829062</v>
      </c>
      <c r="F201" s="88"/>
      <c r="G201" s="13" t="str">
        <f t="shared" si="62"/>
        <v>(650, 700]</v>
      </c>
      <c r="H201" s="86">
        <v>3.1764029205113321E-2</v>
      </c>
      <c r="I201" s="27">
        <f t="shared" si="63"/>
        <v>1.1125699999999998E-4</v>
      </c>
      <c r="J201" s="27">
        <f t="shared" si="64"/>
        <v>1.1125700000000004E-4</v>
      </c>
      <c r="K201" s="87">
        <f t="shared" si="65"/>
        <v>111257</v>
      </c>
      <c r="L201" s="100">
        <f t="shared" si="66"/>
        <v>1.11257E-4</v>
      </c>
      <c r="M201" s="100">
        <f t="shared" si="67"/>
        <v>7.4925089001402934E-2</v>
      </c>
      <c r="N201" s="88"/>
      <c r="O201" s="45">
        <v>650</v>
      </c>
      <c r="P201" s="45">
        <v>700</v>
      </c>
      <c r="Q201" s="100">
        <f t="shared" si="68"/>
        <v>1.11257E-4</v>
      </c>
      <c r="R201" s="100">
        <v>0</v>
      </c>
      <c r="T201" s="27"/>
      <c r="U201" s="50">
        <f t="shared" si="69"/>
        <v>0</v>
      </c>
    </row>
    <row r="202" spans="1:21">
      <c r="A202" s="13" t="str">
        <f t="shared" si="59"/>
        <v>(700, 750]</v>
      </c>
      <c r="B202" s="96">
        <v>20236</v>
      </c>
      <c r="C202" s="96">
        <v>1463960560</v>
      </c>
      <c r="D202" s="27">
        <f t="shared" si="60"/>
        <v>2.4194023731807404E-3</v>
      </c>
      <c r="E202" s="90">
        <f t="shared" si="61"/>
        <v>723.44364498912819</v>
      </c>
      <c r="F202" s="88"/>
      <c r="G202" s="13" t="str">
        <f t="shared" si="62"/>
        <v>(700, 750]</v>
      </c>
      <c r="H202" s="86">
        <v>4.2807265607432303E-2</v>
      </c>
      <c r="I202" s="27">
        <f t="shared" si="63"/>
        <v>1.0356800000000001E-4</v>
      </c>
      <c r="J202" s="27">
        <f t="shared" si="64"/>
        <v>1.0356800000000005E-4</v>
      </c>
      <c r="K202" s="87">
        <f t="shared" si="65"/>
        <v>103568</v>
      </c>
      <c r="L202" s="100">
        <f t="shared" si="66"/>
        <v>1.03568E-4</v>
      </c>
      <c r="M202" s="100">
        <f t="shared" si="67"/>
        <v>7.4925611424234026E-2</v>
      </c>
      <c r="N202" s="88"/>
      <c r="O202" s="45">
        <v>700</v>
      </c>
      <c r="P202" s="45">
        <v>750</v>
      </c>
      <c r="Q202" s="100">
        <f t="shared" si="68"/>
        <v>1.03568E-4</v>
      </c>
      <c r="R202" s="100">
        <v>0</v>
      </c>
      <c r="T202" s="27"/>
      <c r="U202" s="50">
        <f t="shared" si="69"/>
        <v>0</v>
      </c>
    </row>
    <row r="203" spans="1:21">
      <c r="A203" s="13" t="str">
        <f t="shared" si="59"/>
        <v>(750, 800]</v>
      </c>
      <c r="B203" s="96">
        <v>14051</v>
      </c>
      <c r="C203" s="96">
        <v>1086775270</v>
      </c>
      <c r="D203" s="27">
        <f t="shared" si="60"/>
        <v>1.6799279870311616E-3</v>
      </c>
      <c r="E203" s="90">
        <f t="shared" si="61"/>
        <v>773.45048039285462</v>
      </c>
      <c r="F203" s="88"/>
      <c r="G203" s="13" t="str">
        <f t="shared" si="62"/>
        <v>(750, 800]</v>
      </c>
      <c r="H203" s="86">
        <v>0.47966163205843004</v>
      </c>
      <c r="I203" s="27">
        <f t="shared" si="63"/>
        <v>8.0579700000000002E-4</v>
      </c>
      <c r="J203" s="27">
        <f t="shared" si="64"/>
        <v>8.0579700000000035E-4</v>
      </c>
      <c r="K203" s="87">
        <f t="shared" si="65"/>
        <v>805797</v>
      </c>
      <c r="L203" s="100">
        <f t="shared" si="66"/>
        <v>8.0579700000000002E-4</v>
      </c>
      <c r="M203" s="100">
        <f t="shared" si="67"/>
        <v>0.62324407674912108</v>
      </c>
      <c r="N203" s="88"/>
      <c r="O203" s="45">
        <v>750</v>
      </c>
      <c r="P203" s="45">
        <v>800</v>
      </c>
      <c r="Q203" s="100">
        <f t="shared" si="68"/>
        <v>8.0579700000000002E-4</v>
      </c>
      <c r="R203" s="100">
        <v>7.1377587437544611E-4</v>
      </c>
      <c r="T203" s="27"/>
      <c r="U203" s="50">
        <f t="shared" si="69"/>
        <v>0</v>
      </c>
    </row>
    <row r="204" spans="1:21">
      <c r="A204" s="13" t="str">
        <f t="shared" si="59"/>
        <v>(800, 850]</v>
      </c>
      <c r="B204" s="96">
        <v>9888</v>
      </c>
      <c r="C204" s="96">
        <v>814515590</v>
      </c>
      <c r="D204" s="27">
        <f t="shared" si="60"/>
        <v>1.1822025432897392E-3</v>
      </c>
      <c r="E204" s="90">
        <f t="shared" si="61"/>
        <v>823.74149474110027</v>
      </c>
      <c r="F204" s="88"/>
      <c r="G204" s="13" t="str">
        <f t="shared" si="62"/>
        <v>(800, 850]</v>
      </c>
      <c r="H204" s="86">
        <v>7.6938592727851945E-2</v>
      </c>
      <c r="I204" s="27">
        <f t="shared" si="63"/>
        <v>9.0957000000000003E-5</v>
      </c>
      <c r="J204" s="27">
        <f t="shared" si="64"/>
        <v>9.0957000000000044E-5</v>
      </c>
      <c r="K204" s="87">
        <f t="shared" si="65"/>
        <v>90957</v>
      </c>
      <c r="L204" s="100">
        <f t="shared" si="66"/>
        <v>9.0957000000000003E-5</v>
      </c>
      <c r="M204" s="100">
        <f t="shared" si="67"/>
        <v>7.4925055137166255E-2</v>
      </c>
      <c r="N204" s="88"/>
      <c r="O204" s="45">
        <v>800</v>
      </c>
      <c r="P204" s="45">
        <v>850</v>
      </c>
      <c r="Q204" s="100">
        <f t="shared" si="68"/>
        <v>9.0957000000000003E-5</v>
      </c>
      <c r="R204" s="100">
        <v>0</v>
      </c>
      <c r="T204" s="27"/>
      <c r="U204" s="50">
        <f t="shared" si="69"/>
        <v>0</v>
      </c>
    </row>
    <row r="205" spans="1:21">
      <c r="A205" s="13" t="str">
        <f t="shared" si="59"/>
        <v>(850, 900]</v>
      </c>
      <c r="B205" s="96">
        <v>6851</v>
      </c>
      <c r="C205" s="96">
        <v>598465100</v>
      </c>
      <c r="D205" s="27">
        <f t="shared" si="60"/>
        <v>8.1910089240271066E-4</v>
      </c>
      <c r="E205" s="90">
        <f t="shared" si="61"/>
        <v>873.54415413808204</v>
      </c>
      <c r="F205" s="88"/>
      <c r="G205" s="13" t="str">
        <f t="shared" si="62"/>
        <v>(850, 900]</v>
      </c>
      <c r="H205" s="86">
        <v>0</v>
      </c>
      <c r="I205" s="27">
        <f t="shared" si="63"/>
        <v>0</v>
      </c>
      <c r="J205" s="27">
        <f t="shared" si="64"/>
        <v>0</v>
      </c>
      <c r="K205" s="92">
        <f t="shared" si="65"/>
        <v>0</v>
      </c>
      <c r="L205" s="100">
        <f t="shared" si="66"/>
        <v>0</v>
      </c>
      <c r="M205" s="100">
        <f t="shared" si="67"/>
        <v>0</v>
      </c>
      <c r="N205" s="88"/>
      <c r="O205" s="45">
        <v>850</v>
      </c>
      <c r="P205" s="45">
        <v>900</v>
      </c>
      <c r="Q205" s="100">
        <f t="shared" si="68"/>
        <v>0</v>
      </c>
      <c r="R205" s="100">
        <v>0</v>
      </c>
      <c r="T205" s="27"/>
      <c r="U205" s="50">
        <f t="shared" si="69"/>
        <v>0</v>
      </c>
    </row>
    <row r="206" spans="1:21">
      <c r="A206" s="13" t="str">
        <f t="shared" si="59"/>
        <v>(900, 950]</v>
      </c>
      <c r="B206" s="96">
        <v>4931</v>
      </c>
      <c r="C206" s="96">
        <v>455292250</v>
      </c>
      <c r="D206" s="27">
        <f t="shared" si="60"/>
        <v>5.895470005017905E-4</v>
      </c>
      <c r="E206" s="90">
        <f t="shared" si="61"/>
        <v>923.3264043804503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>
      <c r="A207" s="13" t="str">
        <f t="shared" si="59"/>
        <v>(950, 1000]</v>
      </c>
      <c r="B207" s="96">
        <v>3379</v>
      </c>
      <c r="C207" s="96">
        <v>328959390</v>
      </c>
      <c r="D207" s="27">
        <f t="shared" si="60"/>
        <v>4.0399093788187992E-4</v>
      </c>
      <c r="E207" s="90">
        <f t="shared" si="61"/>
        <v>973.54066291802314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>
      <c r="A208" s="13" t="str">
        <f t="shared" si="59"/>
        <v>(1000, 2000]</v>
      </c>
      <c r="B208" s="96">
        <v>9282</v>
      </c>
      <c r="C208" s="96">
        <v>1088039000</v>
      </c>
      <c r="D208" s="27">
        <f t="shared" si="60"/>
        <v>1.1097495961585112E-3</v>
      </c>
      <c r="E208" s="90">
        <f t="shared" si="61"/>
        <v>1172.2031889678949</v>
      </c>
      <c r="F208" s="88"/>
      <c r="G208" s="13" t="str">
        <f t="shared" si="62"/>
        <v>(1000, 2000]</v>
      </c>
      <c r="H208" s="86">
        <v>5.759767808995906E-2</v>
      </c>
      <c r="I208" s="27">
        <f t="shared" si="63"/>
        <v>6.3918999999999996E-5</v>
      </c>
      <c r="J208" s="27">
        <f t="shared" si="64"/>
        <v>6.3919000000000023E-5</v>
      </c>
      <c r="K208" s="92">
        <f t="shared" si="65"/>
        <v>63919</v>
      </c>
      <c r="L208" s="100">
        <f t="shared" si="66"/>
        <v>6.3918999999999996E-5</v>
      </c>
      <c r="M208" s="100">
        <f t="shared" si="67"/>
        <v>7.4926055635638866E-2</v>
      </c>
      <c r="N208" s="88"/>
      <c r="O208" s="45">
        <v>1000</v>
      </c>
      <c r="P208" s="45">
        <v>2000</v>
      </c>
      <c r="Q208" s="100">
        <f t="shared" si="68"/>
        <v>6.3918999999999996E-5</v>
      </c>
      <c r="R208" s="100">
        <v>0</v>
      </c>
      <c r="T208" s="27"/>
      <c r="U208" s="50">
        <f t="shared" si="69"/>
        <v>0</v>
      </c>
    </row>
    <row r="209" spans="1:21">
      <c r="A209" s="13" t="str">
        <f t="shared" si="59"/>
        <v>(2000, 3000]</v>
      </c>
      <c r="B209" s="96">
        <v>96</v>
      </c>
      <c r="C209" s="96">
        <v>21722990</v>
      </c>
      <c r="D209" s="27">
        <f t="shared" si="60"/>
        <v>1.1477694595046011E-5</v>
      </c>
      <c r="E209" s="90">
        <f t="shared" si="61"/>
        <v>2262.8114583333336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>
      <c r="A210" s="13" t="str">
        <f t="shared" si="59"/>
        <v>(3000, 4000]</v>
      </c>
      <c r="B210" s="96">
        <v>2</v>
      </c>
      <c r="C210" s="96">
        <v>673350</v>
      </c>
      <c r="D210" s="27">
        <f t="shared" si="60"/>
        <v>2.3911863739679191E-7</v>
      </c>
      <c r="E210" s="90">
        <f t="shared" si="61"/>
        <v>3366.75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>
      <c r="F227" s="4"/>
      <c r="N227" s="4"/>
      <c r="O227" s="4"/>
      <c r="P227" s="4"/>
    </row>
    <row r="230" spans="1:21" s="57" customFormat="1" ht="15.6" customHeight="1" collapsed="1">
      <c r="A230" s="64" t="s">
        <v>100</v>
      </c>
      <c r="B230" s="64" t="s">
        <v>19</v>
      </c>
      <c r="C230" s="64"/>
      <c r="D230" s="54"/>
      <c r="E230" s="54"/>
      <c r="F230" s="55"/>
      <c r="G230" s="64" t="s">
        <v>100</v>
      </c>
      <c r="H230" s="64" t="s">
        <v>19</v>
      </c>
      <c r="I230" s="56"/>
      <c r="J230" s="56"/>
      <c r="K230" s="56"/>
      <c r="L230" s="56"/>
      <c r="M230" s="56"/>
      <c r="N230" s="55"/>
      <c r="O230" s="64" t="s">
        <v>100</v>
      </c>
      <c r="P230" s="64" t="s">
        <v>19</v>
      </c>
      <c r="Q230" s="56"/>
      <c r="R230" s="56"/>
    </row>
    <row r="231" spans="1:21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>
      <c r="A232" s="48" t="s">
        <v>101</v>
      </c>
      <c r="C232" s="1"/>
      <c r="D232" s="1"/>
      <c r="E232" s="1"/>
      <c r="G232" s="48" t="s">
        <v>102</v>
      </c>
      <c r="H232" s="29"/>
      <c r="I232" s="29"/>
      <c r="J232" s="29"/>
      <c r="L232" s="29"/>
      <c r="M232" s="29"/>
      <c r="Q232" s="29"/>
      <c r="R232" s="29"/>
    </row>
    <row r="233" spans="1:21">
      <c r="A233" s="9" t="s">
        <v>20</v>
      </c>
      <c r="B233" s="9" t="s">
        <v>103</v>
      </c>
      <c r="C233" s="9" t="s">
        <v>104</v>
      </c>
      <c r="D233" s="9" t="s">
        <v>95</v>
      </c>
      <c r="E233" s="9" t="s">
        <v>105</v>
      </c>
      <c r="G233" s="9" t="s">
        <v>20</v>
      </c>
      <c r="H233" s="9" t="s">
        <v>106</v>
      </c>
      <c r="I233" s="9" t="s">
        <v>107</v>
      </c>
      <c r="J233" s="9" t="s">
        <v>108</v>
      </c>
      <c r="K233" s="9" t="s">
        <v>109</v>
      </c>
      <c r="L233" s="9" t="s">
        <v>95</v>
      </c>
      <c r="M233" s="9" t="s">
        <v>110</v>
      </c>
      <c r="O233" s="9" t="s">
        <v>111</v>
      </c>
      <c r="P233" s="9" t="s">
        <v>112</v>
      </c>
      <c r="Q233" s="9" t="s">
        <v>113</v>
      </c>
      <c r="R233" s="9" t="s">
        <v>114</v>
      </c>
      <c r="T233" s="12" t="s">
        <v>113</v>
      </c>
      <c r="U233" s="12" t="s">
        <v>115</v>
      </c>
    </row>
    <row r="234" spans="1:21">
      <c r="A234" s="13" t="str">
        <f t="shared" ref="A234:A265" si="70">"("&amp;$O234&amp;", "&amp;$P234&amp;"]"</f>
        <v>(-1, 0]</v>
      </c>
      <c r="B234" s="84">
        <v>691894</v>
      </c>
      <c r="C234" s="84">
        <v>0</v>
      </c>
      <c r="D234" s="27">
        <f t="shared" ref="D234:D265" si="71">IFERROR(B234/SUM($B$234:$B$297),0)</f>
        <v>6.9189400000000002E-3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>
      <c r="A235" s="13" t="str">
        <f t="shared" si="70"/>
        <v>(0, 1]</v>
      </c>
      <c r="B235" s="89">
        <v>787587</v>
      </c>
      <c r="C235" s="89">
        <v>43505670</v>
      </c>
      <c r="D235" s="27">
        <f t="shared" si="71"/>
        <v>7.8758700000000001E-3</v>
      </c>
      <c r="E235" s="90">
        <f t="shared" si="72"/>
        <v>0.55239192622529321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>
      <c r="A236" s="13" t="str">
        <f t="shared" si="70"/>
        <v>(1, 2]</v>
      </c>
      <c r="B236" s="89">
        <v>434399</v>
      </c>
      <c r="C236" s="89">
        <v>67235920</v>
      </c>
      <c r="D236" s="27">
        <f t="shared" si="71"/>
        <v>4.3439899999999998E-3</v>
      </c>
      <c r="E236" s="90">
        <f t="shared" si="72"/>
        <v>1.5477917766845686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>
      <c r="A237" s="13" t="str">
        <f t="shared" si="70"/>
        <v>(2, 3]</v>
      </c>
      <c r="B237" s="89">
        <v>283446</v>
      </c>
      <c r="C237" s="89">
        <v>72463880</v>
      </c>
      <c r="D237" s="27">
        <f t="shared" si="71"/>
        <v>2.83446E-3</v>
      </c>
      <c r="E237" s="90">
        <f t="shared" si="72"/>
        <v>2.5565321084086561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>
      <c r="A238" s="13" t="str">
        <f t="shared" si="70"/>
        <v>(3, 4]</v>
      </c>
      <c r="B238" s="89">
        <v>197207</v>
      </c>
      <c r="C238" s="89">
        <v>70672670</v>
      </c>
      <c r="D238" s="27">
        <f t="shared" si="71"/>
        <v>1.9720699999999998E-3</v>
      </c>
      <c r="E238" s="90">
        <f t="shared" si="72"/>
        <v>3.5836795854102541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>
      <c r="A239" s="13" t="str">
        <f t="shared" si="70"/>
        <v>(4, 5]</v>
      </c>
      <c r="B239" s="89">
        <v>167558</v>
      </c>
      <c r="C239" s="89">
        <v>76762960</v>
      </c>
      <c r="D239" s="27">
        <f t="shared" si="71"/>
        <v>1.6755800000000001E-3</v>
      </c>
      <c r="E239" s="90">
        <f t="shared" si="72"/>
        <v>4.5812769309731554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>
      <c r="A240" s="13" t="str">
        <f t="shared" si="70"/>
        <v>(5, 6]</v>
      </c>
      <c r="B240" s="89">
        <v>133761</v>
      </c>
      <c r="C240" s="89">
        <v>74557180</v>
      </c>
      <c r="D240" s="27">
        <f t="shared" si="71"/>
        <v>1.3376099999999999E-3</v>
      </c>
      <c r="E240" s="90">
        <f t="shared" si="72"/>
        <v>5.5739101830877464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>
      <c r="A241" s="13" t="str">
        <f t="shared" si="70"/>
        <v>(6, 7]</v>
      </c>
      <c r="B241" s="89">
        <v>109400</v>
      </c>
      <c r="C241" s="89">
        <v>71786290</v>
      </c>
      <c r="D241" s="27">
        <f t="shared" si="71"/>
        <v>1.0939999999999999E-3</v>
      </c>
      <c r="E241" s="90">
        <f t="shared" si="72"/>
        <v>6.5618180987202921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>
      <c r="A242" s="13" t="str">
        <f t="shared" si="70"/>
        <v>(7, 8]</v>
      </c>
      <c r="B242" s="89">
        <v>103709</v>
      </c>
      <c r="C242" s="89">
        <v>78622550</v>
      </c>
      <c r="D242" s="27">
        <f t="shared" si="71"/>
        <v>1.0370900000000001E-3</v>
      </c>
      <c r="E242" s="90">
        <f t="shared" si="72"/>
        <v>7.5810730023430946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>
      <c r="A243" s="13" t="str">
        <f t="shared" si="70"/>
        <v>(8, 9]</v>
      </c>
      <c r="B243" s="89">
        <v>106753</v>
      </c>
      <c r="C243" s="89">
        <v>91485740</v>
      </c>
      <c r="D243" s="27">
        <f t="shared" si="71"/>
        <v>1.0675299999999999E-3</v>
      </c>
      <c r="E243" s="90">
        <f t="shared" si="72"/>
        <v>8.5698519011175343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>
      <c r="A244" s="13" t="str">
        <f t="shared" si="70"/>
        <v>(9, 10]</v>
      </c>
      <c r="B244" s="89">
        <v>96198</v>
      </c>
      <c r="C244" s="89">
        <v>92019900</v>
      </c>
      <c r="D244" s="27">
        <f t="shared" si="71"/>
        <v>9.6197999999999997E-4</v>
      </c>
      <c r="E244" s="90">
        <f t="shared" si="72"/>
        <v>9.5656770411027257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>
      <c r="A245" s="13" t="str">
        <f t="shared" si="70"/>
        <v>(10, 15]</v>
      </c>
      <c r="B245" s="89">
        <v>417954</v>
      </c>
      <c r="C245" s="89">
        <v>523693410</v>
      </c>
      <c r="D245" s="27">
        <f t="shared" si="71"/>
        <v>4.1795399999999998E-3</v>
      </c>
      <c r="E245" s="90">
        <f t="shared" si="72"/>
        <v>12.529929370217776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>
      <c r="A246" s="13" t="str">
        <f t="shared" si="70"/>
        <v>(15, 20]</v>
      </c>
      <c r="B246" s="89">
        <v>389137</v>
      </c>
      <c r="C246" s="89">
        <v>683291950</v>
      </c>
      <c r="D246" s="27">
        <f t="shared" si="71"/>
        <v>3.8913699999999999E-3</v>
      </c>
      <c r="E246" s="90">
        <f t="shared" si="72"/>
        <v>17.559161683417408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>
      <c r="A247" s="13" t="str">
        <f t="shared" si="70"/>
        <v>(20, 25]</v>
      </c>
      <c r="B247" s="89">
        <v>367176</v>
      </c>
      <c r="C247" s="89">
        <v>828147880</v>
      </c>
      <c r="D247" s="27">
        <f t="shared" si="71"/>
        <v>3.67176E-3</v>
      </c>
      <c r="E247" s="90">
        <f t="shared" si="72"/>
        <v>22.554520992657473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>
      <c r="A248" s="13" t="str">
        <f t="shared" si="70"/>
        <v>(25, 30]</v>
      </c>
      <c r="B248" s="89">
        <v>364652</v>
      </c>
      <c r="C248" s="89">
        <v>1003695410</v>
      </c>
      <c r="D248" s="27">
        <f t="shared" si="71"/>
        <v>3.6465199999999999E-3</v>
      </c>
      <c r="E248" s="90">
        <f t="shared" si="72"/>
        <v>27.524747156192753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>
      <c r="A249" s="13" t="str">
        <f t="shared" si="70"/>
        <v>(30, 35]</v>
      </c>
      <c r="B249" s="89">
        <v>354195</v>
      </c>
      <c r="C249" s="89">
        <v>1154366610</v>
      </c>
      <c r="D249" s="27">
        <f t="shared" si="71"/>
        <v>3.5419499999999999E-3</v>
      </c>
      <c r="E249" s="90">
        <f t="shared" si="72"/>
        <v>32.591273451065092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>
      <c r="A250" s="13" t="str">
        <f t="shared" si="70"/>
        <v>(35, 40]</v>
      </c>
      <c r="B250" s="89">
        <v>350307</v>
      </c>
      <c r="C250" s="89">
        <v>1315743980</v>
      </c>
      <c r="D250" s="27">
        <f t="shared" si="71"/>
        <v>3.5030700000000001E-3</v>
      </c>
      <c r="E250" s="90">
        <f t="shared" si="72"/>
        <v>37.559739885300608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>
      <c r="A251" s="13" t="str">
        <f t="shared" si="70"/>
        <v>(40, 45]</v>
      </c>
      <c r="B251" s="89">
        <v>349788</v>
      </c>
      <c r="C251" s="89">
        <v>1488019040</v>
      </c>
      <c r="D251" s="27">
        <f t="shared" si="71"/>
        <v>3.4978800000000001E-3</v>
      </c>
      <c r="E251" s="90">
        <f t="shared" si="72"/>
        <v>42.540597161709371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>
      <c r="A252" s="13" t="str">
        <f t="shared" si="70"/>
        <v>(45, 50]</v>
      </c>
      <c r="B252" s="89">
        <v>341678</v>
      </c>
      <c r="C252" s="89">
        <v>1626714610</v>
      </c>
      <c r="D252" s="27">
        <f t="shared" si="71"/>
        <v>3.4167799999999999E-3</v>
      </c>
      <c r="E252" s="90">
        <f t="shared" si="72"/>
        <v>47.609580072465889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>
      <c r="A253" s="13" t="str">
        <f t="shared" si="70"/>
        <v>(50, 60]</v>
      </c>
      <c r="B253" s="89">
        <v>690034</v>
      </c>
      <c r="C253" s="89">
        <v>3797581940</v>
      </c>
      <c r="D253" s="27">
        <f t="shared" si="71"/>
        <v>6.9003399999999996E-3</v>
      </c>
      <c r="E253" s="90">
        <f t="shared" si="72"/>
        <v>55.034707565134468</v>
      </c>
      <c r="F253" s="88"/>
      <c r="G253" s="13" t="str">
        <f t="shared" si="73"/>
        <v>(50, 60]</v>
      </c>
      <c r="H253" s="86">
        <v>11.842249657263265</v>
      </c>
      <c r="I253" s="27">
        <f t="shared" si="74"/>
        <v>8.1715548999999998E-2</v>
      </c>
      <c r="J253" s="27">
        <f t="shared" si="75"/>
        <v>8.1715548999999985E-2</v>
      </c>
      <c r="K253" s="87">
        <f t="shared" si="76"/>
        <v>81715549</v>
      </c>
      <c r="L253" s="100">
        <f t="shared" si="77"/>
        <v>8.1715548999999998E-2</v>
      </c>
      <c r="M253" s="100">
        <f t="shared" si="78"/>
        <v>4.4971913427394163</v>
      </c>
      <c r="N253" s="88"/>
      <c r="O253" s="45">
        <v>50</v>
      </c>
      <c r="P253" s="45">
        <v>60</v>
      </c>
      <c r="Q253" s="100">
        <f t="shared" si="79"/>
        <v>8.1715548999999998E-2</v>
      </c>
      <c r="R253" s="100">
        <v>0</v>
      </c>
      <c r="T253" s="27"/>
      <c r="U253" s="50">
        <f t="shared" si="80"/>
        <v>0</v>
      </c>
    </row>
    <row r="254" spans="1:21">
      <c r="A254" s="13" t="str">
        <f t="shared" si="70"/>
        <v>(60, 70]</v>
      </c>
      <c r="B254" s="89">
        <v>684530</v>
      </c>
      <c r="C254" s="89">
        <v>4453890300</v>
      </c>
      <c r="D254" s="27">
        <f t="shared" si="71"/>
        <v>6.8453000000000003E-3</v>
      </c>
      <c r="E254" s="90">
        <f t="shared" si="72"/>
        <v>65.06493944750413</v>
      </c>
      <c r="F254" s="88"/>
      <c r="G254" s="13" t="str">
        <f t="shared" si="73"/>
        <v>(60, 70]</v>
      </c>
      <c r="H254" s="86">
        <v>11.93746789768162</v>
      </c>
      <c r="I254" s="27">
        <f t="shared" si="74"/>
        <v>8.1715548999999998E-2</v>
      </c>
      <c r="J254" s="27">
        <f t="shared" si="75"/>
        <v>8.1715548999999985E-2</v>
      </c>
      <c r="K254" s="87">
        <f t="shared" si="76"/>
        <v>81715549</v>
      </c>
      <c r="L254" s="100">
        <f t="shared" si="77"/>
        <v>8.1715548999999998E-2</v>
      </c>
      <c r="M254" s="100">
        <f t="shared" si="78"/>
        <v>5.3168172476045568</v>
      </c>
      <c r="N254" s="88"/>
      <c r="O254" s="45">
        <v>60</v>
      </c>
      <c r="P254" s="45">
        <v>70</v>
      </c>
      <c r="Q254" s="100">
        <f t="shared" si="79"/>
        <v>8.1715548999999998E-2</v>
      </c>
      <c r="R254" s="100">
        <v>0</v>
      </c>
      <c r="T254" s="27"/>
      <c r="U254" s="50">
        <f t="shared" si="80"/>
        <v>0</v>
      </c>
    </row>
    <row r="255" spans="1:21">
      <c r="A255" s="13" t="str">
        <f t="shared" si="70"/>
        <v>(70, 80]</v>
      </c>
      <c r="B255" s="89">
        <v>684288</v>
      </c>
      <c r="C255" s="89">
        <v>5136603000</v>
      </c>
      <c r="D255" s="27">
        <f t="shared" si="71"/>
        <v>6.84288E-3</v>
      </c>
      <c r="E255" s="90">
        <f t="shared" si="72"/>
        <v>75.064928801907968</v>
      </c>
      <c r="F255" s="88"/>
      <c r="G255" s="13" t="str">
        <f t="shared" si="73"/>
        <v>(70, 80]</v>
      </c>
      <c r="H255" s="86">
        <v>11.941689610222596</v>
      </c>
      <c r="I255" s="27">
        <f t="shared" si="74"/>
        <v>8.1715548999999998E-2</v>
      </c>
      <c r="J255" s="27">
        <f t="shared" si="75"/>
        <v>8.1715548999999985E-2</v>
      </c>
      <c r="K255" s="87">
        <f t="shared" si="76"/>
        <v>81715549</v>
      </c>
      <c r="L255" s="100">
        <f t="shared" si="77"/>
        <v>8.1715548999999998E-2</v>
      </c>
      <c r="M255" s="100">
        <f t="shared" si="78"/>
        <v>6.1339718676938215</v>
      </c>
      <c r="N255" s="88"/>
      <c r="O255" s="45">
        <v>70</v>
      </c>
      <c r="P255" s="45">
        <v>80</v>
      </c>
      <c r="Q255" s="100">
        <f t="shared" si="79"/>
        <v>8.1715548999999998E-2</v>
      </c>
      <c r="R255" s="100">
        <v>0</v>
      </c>
      <c r="T255" s="27"/>
      <c r="U255" s="50">
        <f t="shared" si="80"/>
        <v>0</v>
      </c>
    </row>
    <row r="256" spans="1:21">
      <c r="A256" s="13" t="str">
        <f t="shared" si="70"/>
        <v>(80, 90]</v>
      </c>
      <c r="B256" s="89">
        <v>687046</v>
      </c>
      <c r="C256" s="89">
        <v>5843072460</v>
      </c>
      <c r="D256" s="27">
        <f t="shared" si="71"/>
        <v>6.8704600000000001E-3</v>
      </c>
      <c r="E256" s="90">
        <f t="shared" si="72"/>
        <v>85.046306360855013</v>
      </c>
      <c r="F256" s="88"/>
      <c r="G256" s="13" t="str">
        <f t="shared" si="73"/>
        <v>(80, 90]</v>
      </c>
      <c r="H256" s="86">
        <v>11.276828916841085</v>
      </c>
      <c r="I256" s="27">
        <f t="shared" si="74"/>
        <v>7.7477002000000003E-2</v>
      </c>
      <c r="J256" s="27">
        <f t="shared" si="75"/>
        <v>7.7477001999999989E-2</v>
      </c>
      <c r="K256" s="87">
        <f t="shared" si="76"/>
        <v>77477002</v>
      </c>
      <c r="L256" s="100">
        <f t="shared" si="77"/>
        <v>7.7477002000000003E-2</v>
      </c>
      <c r="M256" s="100">
        <f t="shared" si="78"/>
        <v>6.5891328480125768</v>
      </c>
      <c r="N256" s="88"/>
      <c r="O256" s="45">
        <v>80</v>
      </c>
      <c r="P256" s="45">
        <v>90</v>
      </c>
      <c r="Q256" s="100">
        <f t="shared" si="79"/>
        <v>7.7477002000000003E-2</v>
      </c>
      <c r="R256" s="100">
        <v>0</v>
      </c>
      <c r="T256" s="27"/>
      <c r="U256" s="50">
        <f t="shared" si="80"/>
        <v>0</v>
      </c>
    </row>
    <row r="257" spans="1:21">
      <c r="A257" s="13" t="str">
        <f t="shared" si="70"/>
        <v>(90, 100]</v>
      </c>
      <c r="B257" s="89">
        <v>686419</v>
      </c>
      <c r="C257" s="89">
        <v>6526978080</v>
      </c>
      <c r="D257" s="27">
        <f t="shared" si="71"/>
        <v>6.86419E-3</v>
      </c>
      <c r="E257" s="90">
        <f t="shared" si="72"/>
        <v>95.087374912407725</v>
      </c>
      <c r="F257" s="88"/>
      <c r="G257" s="13" t="str">
        <f t="shared" si="73"/>
        <v>(90, 100]</v>
      </c>
      <c r="H257" s="86">
        <v>10.252115981638038</v>
      </c>
      <c r="I257" s="27">
        <f t="shared" si="74"/>
        <v>7.0372472000000005E-2</v>
      </c>
      <c r="J257" s="27">
        <f t="shared" si="75"/>
        <v>7.0372471999999991E-2</v>
      </c>
      <c r="K257" s="87">
        <f t="shared" si="76"/>
        <v>70372472</v>
      </c>
      <c r="L257" s="100">
        <f t="shared" si="77"/>
        <v>7.0372472000000005E-2</v>
      </c>
      <c r="M257" s="100">
        <f t="shared" si="78"/>
        <v>6.6915336285769156</v>
      </c>
      <c r="N257" s="88"/>
      <c r="O257" s="45">
        <v>90</v>
      </c>
      <c r="P257" s="45">
        <v>100</v>
      </c>
      <c r="Q257" s="100">
        <f t="shared" si="79"/>
        <v>7.0372472000000005E-2</v>
      </c>
      <c r="R257" s="100">
        <v>0</v>
      </c>
      <c r="T257" s="27"/>
      <c r="U257" s="50">
        <f t="shared" si="80"/>
        <v>0</v>
      </c>
    </row>
    <row r="258" spans="1:21">
      <c r="A258" s="13" t="str">
        <f t="shared" si="70"/>
        <v>(100, 120]</v>
      </c>
      <c r="B258" s="89">
        <v>1384118</v>
      </c>
      <c r="C258" s="89">
        <v>15235699520</v>
      </c>
      <c r="D258" s="27">
        <f t="shared" si="71"/>
        <v>1.384118E-2</v>
      </c>
      <c r="E258" s="90">
        <f t="shared" si="72"/>
        <v>110.0751490841099</v>
      </c>
      <c r="F258" s="88"/>
      <c r="G258" s="13" t="str">
        <f t="shared" si="73"/>
        <v>(100, 120]</v>
      </c>
      <c r="H258" s="86">
        <v>4.9095145067111332</v>
      </c>
      <c r="I258" s="27">
        <f t="shared" si="74"/>
        <v>6.7953474E-2</v>
      </c>
      <c r="J258" s="27">
        <f t="shared" si="75"/>
        <v>6.7953473999999986E-2</v>
      </c>
      <c r="K258" s="87">
        <f t="shared" si="76"/>
        <v>67953474</v>
      </c>
      <c r="L258" s="100">
        <f t="shared" si="77"/>
        <v>6.7953474E-2</v>
      </c>
      <c r="M258" s="100">
        <f t="shared" si="78"/>
        <v>7.4799887813331853</v>
      </c>
      <c r="N258" s="88"/>
      <c r="O258" s="45">
        <v>100</v>
      </c>
      <c r="P258" s="45">
        <v>120</v>
      </c>
      <c r="Q258" s="100">
        <f t="shared" si="79"/>
        <v>6.7953474E-2</v>
      </c>
      <c r="R258" s="100">
        <v>0.19038512128462146</v>
      </c>
      <c r="T258" s="27"/>
      <c r="U258" s="50">
        <f t="shared" si="80"/>
        <v>0</v>
      </c>
    </row>
    <row r="259" spans="1:21">
      <c r="A259" s="13" t="str">
        <f t="shared" si="70"/>
        <v>(120, 140]</v>
      </c>
      <c r="B259" s="89">
        <v>1395375</v>
      </c>
      <c r="C259" s="89">
        <v>18150787700</v>
      </c>
      <c r="D259" s="27">
        <f t="shared" si="71"/>
        <v>1.3953749999999999E-2</v>
      </c>
      <c r="E259" s="90">
        <f t="shared" si="72"/>
        <v>130.07820621696678</v>
      </c>
      <c r="F259" s="88"/>
      <c r="G259" s="13" t="str">
        <f t="shared" si="73"/>
        <v>(120, 140]</v>
      </c>
      <c r="H259" s="86">
        <v>4.6443050792797642</v>
      </c>
      <c r="I259" s="27">
        <f t="shared" si="74"/>
        <v>6.4805472000000003E-2</v>
      </c>
      <c r="J259" s="27">
        <f t="shared" si="75"/>
        <v>6.4805471999999989E-2</v>
      </c>
      <c r="K259" s="87">
        <f t="shared" si="76"/>
        <v>64805472</v>
      </c>
      <c r="L259" s="100">
        <f t="shared" si="77"/>
        <v>6.4805472000000003E-2</v>
      </c>
      <c r="M259" s="100">
        <f t="shared" si="78"/>
        <v>8.4297795508038664</v>
      </c>
      <c r="N259" s="88"/>
      <c r="O259" s="45">
        <v>120</v>
      </c>
      <c r="P259" s="45">
        <v>140</v>
      </c>
      <c r="Q259" s="100">
        <f t="shared" si="79"/>
        <v>6.4805472000000003E-2</v>
      </c>
      <c r="R259" s="100">
        <v>0.16559557398714689</v>
      </c>
      <c r="T259" s="27"/>
      <c r="U259" s="50">
        <f t="shared" si="80"/>
        <v>0</v>
      </c>
    </row>
    <row r="260" spans="1:21">
      <c r="A260" s="13" t="str">
        <f t="shared" si="70"/>
        <v>(140, 160]</v>
      </c>
      <c r="B260" s="89">
        <v>1410717</v>
      </c>
      <c r="C260" s="89">
        <v>21172870160</v>
      </c>
      <c r="D260" s="27">
        <f t="shared" si="71"/>
        <v>1.410717E-2</v>
      </c>
      <c r="E260" s="90">
        <f t="shared" si="72"/>
        <v>150.08587944995347</v>
      </c>
      <c r="F260" s="88"/>
      <c r="G260" s="13" t="str">
        <f t="shared" si="73"/>
        <v>(140, 160]</v>
      </c>
      <c r="H260" s="86">
        <v>3.9321189863027097</v>
      </c>
      <c r="I260" s="27">
        <f t="shared" si="74"/>
        <v>5.5471070999999997E-2</v>
      </c>
      <c r="J260" s="27">
        <f t="shared" si="75"/>
        <v>5.5471070999999983E-2</v>
      </c>
      <c r="K260" s="87">
        <f t="shared" si="76"/>
        <v>55471071</v>
      </c>
      <c r="L260" s="100">
        <f t="shared" si="77"/>
        <v>5.5471070999999997E-2</v>
      </c>
      <c r="M260" s="100">
        <f t="shared" si="78"/>
        <v>8.3254244750658088</v>
      </c>
      <c r="N260" s="88"/>
      <c r="O260" s="45">
        <v>140</v>
      </c>
      <c r="P260" s="45">
        <v>160</v>
      </c>
      <c r="Q260" s="100">
        <f t="shared" si="79"/>
        <v>5.5471070999999997E-2</v>
      </c>
      <c r="R260" s="100">
        <v>0.13174008258088099</v>
      </c>
      <c r="T260" s="27"/>
      <c r="U260" s="50">
        <f t="shared" si="80"/>
        <v>0</v>
      </c>
    </row>
    <row r="261" spans="1:21">
      <c r="A261" s="13" t="str">
        <f t="shared" si="70"/>
        <v>(160, 180]</v>
      </c>
      <c r="B261" s="89">
        <v>1426406</v>
      </c>
      <c r="C261" s="89">
        <v>24258213210</v>
      </c>
      <c r="D261" s="27">
        <f t="shared" si="71"/>
        <v>1.426406E-2</v>
      </c>
      <c r="E261" s="90">
        <f t="shared" si="72"/>
        <v>170.06527741750946</v>
      </c>
      <c r="F261" s="88"/>
      <c r="G261" s="13" t="str">
        <f t="shared" si="73"/>
        <v>(160, 180]</v>
      </c>
      <c r="H261" s="86">
        <v>2.9618838535452037</v>
      </c>
      <c r="I261" s="27">
        <f t="shared" si="74"/>
        <v>4.2248489E-2</v>
      </c>
      <c r="J261" s="27">
        <f t="shared" si="75"/>
        <v>4.2248488999999993E-2</v>
      </c>
      <c r="K261" s="87">
        <f t="shared" si="76"/>
        <v>42248489</v>
      </c>
      <c r="L261" s="100">
        <f t="shared" si="77"/>
        <v>4.2248489E-2</v>
      </c>
      <c r="M261" s="100">
        <f t="shared" si="78"/>
        <v>7.1850010022555972</v>
      </c>
      <c r="N261" s="88"/>
      <c r="O261" s="45">
        <v>160</v>
      </c>
      <c r="P261" s="45">
        <v>180</v>
      </c>
      <c r="Q261" s="100">
        <f t="shared" si="79"/>
        <v>4.2248489E-2</v>
      </c>
      <c r="R261" s="100">
        <v>9.2868193114418324E-2</v>
      </c>
      <c r="T261" s="27"/>
      <c r="U261" s="50">
        <f t="shared" si="80"/>
        <v>0</v>
      </c>
    </row>
    <row r="262" spans="1:21">
      <c r="A262" s="13" t="str">
        <f t="shared" si="70"/>
        <v>(180, 200]</v>
      </c>
      <c r="B262" s="89">
        <v>1441195</v>
      </c>
      <c r="C262" s="89">
        <v>27394015950</v>
      </c>
      <c r="D262" s="27">
        <f t="shared" si="71"/>
        <v>1.441195E-2</v>
      </c>
      <c r="E262" s="90">
        <f t="shared" si="72"/>
        <v>190.0784831337883</v>
      </c>
      <c r="F262" s="88"/>
      <c r="G262" s="13" t="str">
        <f t="shared" si="73"/>
        <v>(180, 200]</v>
      </c>
      <c r="H262" s="86">
        <v>2.1622158000825706</v>
      </c>
      <c r="I262" s="27">
        <f t="shared" si="74"/>
        <v>3.1161746000000004E-2</v>
      </c>
      <c r="J262" s="27">
        <f t="shared" si="75"/>
        <v>3.1161745999999997E-2</v>
      </c>
      <c r="K262" s="87">
        <f t="shared" si="76"/>
        <v>31161746</v>
      </c>
      <c r="L262" s="100">
        <f t="shared" si="77"/>
        <v>3.1161746000000001E-2</v>
      </c>
      <c r="M262" s="100">
        <f t="shared" si="78"/>
        <v>5.9231774114803954</v>
      </c>
      <c r="N262" s="88"/>
      <c r="O262" s="45">
        <v>180</v>
      </c>
      <c r="P262" s="45">
        <v>200</v>
      </c>
      <c r="Q262" s="100">
        <f t="shared" si="79"/>
        <v>3.1161746000000001E-2</v>
      </c>
      <c r="R262" s="100">
        <v>7.7661853931942249E-2</v>
      </c>
      <c r="T262" s="27"/>
      <c r="U262" s="50">
        <f t="shared" si="80"/>
        <v>0</v>
      </c>
    </row>
    <row r="263" spans="1:21">
      <c r="A263" s="13" t="str">
        <f t="shared" si="70"/>
        <v>(200, 250]</v>
      </c>
      <c r="B263" s="89">
        <v>3649300</v>
      </c>
      <c r="C263" s="89">
        <v>82156881130</v>
      </c>
      <c r="D263" s="27">
        <f t="shared" si="71"/>
        <v>3.6492999999999998E-2</v>
      </c>
      <c r="E263" s="90">
        <f t="shared" si="72"/>
        <v>225.13052127805332</v>
      </c>
      <c r="F263" s="88"/>
      <c r="G263" s="13" t="str">
        <f t="shared" si="73"/>
        <v>(200, 250]</v>
      </c>
      <c r="H263" s="86">
        <v>0.85391022935905525</v>
      </c>
      <c r="I263" s="27">
        <f t="shared" si="74"/>
        <v>3.1161746000000001E-2</v>
      </c>
      <c r="J263" s="27">
        <f t="shared" si="75"/>
        <v>3.1161745999999994E-2</v>
      </c>
      <c r="K263" s="87">
        <f t="shared" si="76"/>
        <v>31161746</v>
      </c>
      <c r="L263" s="100">
        <f t="shared" si="77"/>
        <v>3.1161746000000001E-2</v>
      </c>
      <c r="M263" s="100">
        <f t="shared" si="78"/>
        <v>7.0154601209142928</v>
      </c>
      <c r="N263" s="88"/>
      <c r="O263" s="45">
        <v>200</v>
      </c>
      <c r="P263" s="45">
        <v>250</v>
      </c>
      <c r="Q263" s="100">
        <f t="shared" si="79"/>
        <v>3.1161746000000001E-2</v>
      </c>
      <c r="R263" s="100">
        <v>7.8106011937272138E-2</v>
      </c>
      <c r="T263" s="27"/>
      <c r="U263" s="50">
        <f t="shared" si="80"/>
        <v>0</v>
      </c>
    </row>
    <row r="264" spans="1:21">
      <c r="A264" s="13" t="str">
        <f t="shared" si="70"/>
        <v>(250, 300]</v>
      </c>
      <c r="B264" s="89">
        <v>3704048</v>
      </c>
      <c r="C264" s="89">
        <v>101896147240</v>
      </c>
      <c r="D264" s="27">
        <f t="shared" si="71"/>
        <v>3.7040480000000001E-2</v>
      </c>
      <c r="E264" s="90">
        <f t="shared" si="72"/>
        <v>275.09402480745388</v>
      </c>
      <c r="F264" s="88"/>
      <c r="G264" s="13" t="str">
        <f t="shared" si="73"/>
        <v>(250, 300]</v>
      </c>
      <c r="H264" s="86">
        <v>0.84128893578052988</v>
      </c>
      <c r="I264" s="27">
        <f t="shared" si="74"/>
        <v>3.1161746000000001E-2</v>
      </c>
      <c r="J264" s="27">
        <f t="shared" si="75"/>
        <v>3.1161745999999994E-2</v>
      </c>
      <c r="K264" s="87">
        <f t="shared" si="76"/>
        <v>31161746</v>
      </c>
      <c r="L264" s="100">
        <f t="shared" si="77"/>
        <v>3.1161746000000001E-2</v>
      </c>
      <c r="M264" s="100">
        <f t="shared" si="78"/>
        <v>8.5724101271675774</v>
      </c>
      <c r="N264" s="88"/>
      <c r="O264" s="45">
        <v>250</v>
      </c>
      <c r="P264" s="45">
        <v>300</v>
      </c>
      <c r="Q264" s="100">
        <f t="shared" si="79"/>
        <v>3.1161746000000001E-2</v>
      </c>
      <c r="R264" s="100">
        <v>6.2218464746621578E-2</v>
      </c>
      <c r="T264" s="27"/>
      <c r="U264" s="50">
        <f t="shared" si="80"/>
        <v>0</v>
      </c>
    </row>
    <row r="265" spans="1:21">
      <c r="A265" s="13" t="str">
        <f t="shared" si="70"/>
        <v>(300, 350]</v>
      </c>
      <c r="B265" s="89">
        <v>3727507</v>
      </c>
      <c r="C265" s="89">
        <v>121168199700</v>
      </c>
      <c r="D265" s="27">
        <f t="shared" si="71"/>
        <v>3.727507E-2</v>
      </c>
      <c r="E265" s="90">
        <f t="shared" si="72"/>
        <v>325.06498230586823</v>
      </c>
      <c r="F265" s="88"/>
      <c r="G265" s="13" t="str">
        <f t="shared" si="73"/>
        <v>(300, 350]</v>
      </c>
      <c r="H265" s="86">
        <v>0.83599429860225616</v>
      </c>
      <c r="I265" s="27">
        <f t="shared" si="74"/>
        <v>3.1161746000000001E-2</v>
      </c>
      <c r="J265" s="27">
        <f t="shared" si="75"/>
        <v>3.1161745999999994E-2</v>
      </c>
      <c r="K265" s="87">
        <f t="shared" si="76"/>
        <v>31161746</v>
      </c>
      <c r="L265" s="100">
        <f t="shared" si="77"/>
        <v>3.1161746000000001E-2</v>
      </c>
      <c r="M265" s="100">
        <f t="shared" si="78"/>
        <v>10.129592412109961</v>
      </c>
      <c r="N265" s="88"/>
      <c r="O265" s="45">
        <v>300</v>
      </c>
      <c r="P265" s="45">
        <v>350</v>
      </c>
      <c r="Q265" s="100">
        <f t="shared" si="79"/>
        <v>3.1161746000000001E-2</v>
      </c>
      <c r="R265" s="100">
        <v>5.4238473650861686E-2</v>
      </c>
      <c r="T265" s="27"/>
      <c r="U265" s="50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89">
        <v>3721118</v>
      </c>
      <c r="C266" s="89">
        <v>139550861920</v>
      </c>
      <c r="D266" s="27">
        <f t="shared" ref="D266:D297" si="82">IFERROR(B266/SUM($B$234:$B$297),0)</f>
        <v>3.7211180000000003E-2</v>
      </c>
      <c r="E266" s="90">
        <f t="shared" ref="E266:E297" si="83">IFERROR(C266/B266/$B$3,0)</f>
        <v>375.02401676055422</v>
      </c>
      <c r="F266" s="88"/>
      <c r="G266" s="13" t="str">
        <f t="shared" ref="G266:G297" si="84">"("&amp;$O266&amp;", "&amp;$P266&amp;"]"</f>
        <v>(350, 400]</v>
      </c>
      <c r="H266" s="86">
        <v>1.256144497433298</v>
      </c>
      <c r="I266" s="27">
        <f t="shared" ref="I266:I297" si="85">D266*H266</f>
        <v>4.6742618999999992E-2</v>
      </c>
      <c r="J266" s="27">
        <f t="shared" ref="J266:J297" si="86">IFERROR(I266/SUM($I$234:$I$297),0)</f>
        <v>4.6742618999999985E-2</v>
      </c>
      <c r="K266" s="87">
        <f t="shared" ref="K266:K297" si="87">INT(J266*$B$2)</f>
        <v>46742619</v>
      </c>
      <c r="L266" s="100">
        <f t="shared" ref="L266:L297" si="88">IFERROR(K266/SUM($K$234:$K$297),0)</f>
        <v>4.6742618999999999E-2</v>
      </c>
      <c r="M266" s="100">
        <f t="shared" ref="M266:M297" si="89">L266*E266</f>
        <v>17.529604731288199</v>
      </c>
      <c r="N266" s="88"/>
      <c r="O266" s="45">
        <v>350</v>
      </c>
      <c r="P266" s="45">
        <v>400</v>
      </c>
      <c r="Q266" s="100">
        <f t="shared" ref="Q266:Q297" si="90">L266</f>
        <v>4.6742618999999999E-2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>
      <c r="A267" s="13" t="str">
        <f t="shared" si="81"/>
        <v>(400, 450]</v>
      </c>
      <c r="B267" s="89">
        <v>3689328</v>
      </c>
      <c r="C267" s="89">
        <v>156800049440</v>
      </c>
      <c r="D267" s="27">
        <f t="shared" si="82"/>
        <v>3.6893280000000001E-2</v>
      </c>
      <c r="E267" s="90">
        <f t="shared" si="83"/>
        <v>425.00978346192045</v>
      </c>
      <c r="F267" s="88"/>
      <c r="G267" s="13" t="str">
        <f t="shared" si="84"/>
        <v>(400, 450]</v>
      </c>
      <c r="H267" s="86">
        <v>0.84464558315227056</v>
      </c>
      <c r="I267" s="27">
        <f t="shared" si="85"/>
        <v>3.1161746000000001E-2</v>
      </c>
      <c r="J267" s="27">
        <f t="shared" si="86"/>
        <v>3.1161745999999994E-2</v>
      </c>
      <c r="K267" s="87">
        <f t="shared" si="87"/>
        <v>31161746</v>
      </c>
      <c r="L267" s="100">
        <f t="shared" si="88"/>
        <v>3.1161746000000001E-2</v>
      </c>
      <c r="M267" s="100">
        <f t="shared" si="89"/>
        <v>13.244046919755366</v>
      </c>
      <c r="N267" s="88"/>
      <c r="O267" s="45">
        <v>400</v>
      </c>
      <c r="P267" s="45">
        <v>450</v>
      </c>
      <c r="Q267" s="100">
        <f t="shared" si="90"/>
        <v>3.1161746000000001E-2</v>
      </c>
      <c r="R267" s="100">
        <v>2.673084232077011E-2</v>
      </c>
      <c r="T267" s="27"/>
      <c r="U267" s="50">
        <f t="shared" si="91"/>
        <v>0</v>
      </c>
    </row>
    <row r="268" spans="1:21">
      <c r="A268" s="13" t="str">
        <f t="shared" si="81"/>
        <v>(450, 500]</v>
      </c>
      <c r="B268" s="89">
        <v>3637035</v>
      </c>
      <c r="C268" s="89">
        <v>172748316950</v>
      </c>
      <c r="D268" s="27">
        <f t="shared" si="82"/>
        <v>3.6370350000000003E-2</v>
      </c>
      <c r="E268" s="90">
        <f t="shared" si="83"/>
        <v>474.97018024297262</v>
      </c>
      <c r="F268" s="88"/>
      <c r="G268" s="13" t="str">
        <f t="shared" si="84"/>
        <v>(450, 500]</v>
      </c>
      <c r="H268" s="86">
        <v>1.2686503979202839</v>
      </c>
      <c r="I268" s="27">
        <f t="shared" si="85"/>
        <v>4.6141259000000004E-2</v>
      </c>
      <c r="J268" s="27">
        <f t="shared" si="86"/>
        <v>4.6141258999999997E-2</v>
      </c>
      <c r="K268" s="87">
        <f t="shared" si="87"/>
        <v>46141259</v>
      </c>
      <c r="L268" s="100">
        <f t="shared" si="88"/>
        <v>4.6141258999999997E-2</v>
      </c>
      <c r="M268" s="100">
        <f t="shared" si="89"/>
        <v>21.915722103867679</v>
      </c>
      <c r="N268" s="88"/>
      <c r="O268" s="45">
        <v>450</v>
      </c>
      <c r="P268" s="45">
        <v>500</v>
      </c>
      <c r="Q268" s="100">
        <f t="shared" si="90"/>
        <v>4.6141258999999997E-2</v>
      </c>
      <c r="R268" s="100">
        <v>2.4327817291933809E-2</v>
      </c>
      <c r="T268" s="27"/>
      <c r="U268" s="50">
        <f t="shared" si="91"/>
        <v>0</v>
      </c>
    </row>
    <row r="269" spans="1:21">
      <c r="A269" s="13" t="str">
        <f t="shared" si="81"/>
        <v>(500, 550]</v>
      </c>
      <c r="B269" s="89">
        <v>3560403</v>
      </c>
      <c r="C269" s="89">
        <v>186902718830</v>
      </c>
      <c r="D269" s="27">
        <f t="shared" si="82"/>
        <v>3.5604030000000002E-2</v>
      </c>
      <c r="E269" s="90">
        <f t="shared" si="83"/>
        <v>524.9482118456815</v>
      </c>
      <c r="F269" s="88"/>
      <c r="G269" s="13" t="str">
        <f t="shared" si="84"/>
        <v>(500, 550]</v>
      </c>
      <c r="H269" s="86">
        <v>0.73448536584201274</v>
      </c>
      <c r="I269" s="27">
        <f t="shared" si="85"/>
        <v>2.6150639E-2</v>
      </c>
      <c r="J269" s="27">
        <f t="shared" si="86"/>
        <v>2.6150638999999993E-2</v>
      </c>
      <c r="K269" s="87">
        <f t="shared" si="87"/>
        <v>26150639</v>
      </c>
      <c r="L269" s="100">
        <f t="shared" si="88"/>
        <v>2.6150639E-2</v>
      </c>
      <c r="M269" s="100">
        <f t="shared" si="89"/>
        <v>13.72773118167194</v>
      </c>
      <c r="N269" s="88"/>
      <c r="O269" s="45">
        <v>500</v>
      </c>
      <c r="P269" s="45">
        <v>550</v>
      </c>
      <c r="Q269" s="100">
        <f t="shared" si="90"/>
        <v>2.6150639E-2</v>
      </c>
      <c r="R269" s="100">
        <v>2.8445086341341037E-2</v>
      </c>
      <c r="T269" s="27"/>
      <c r="U269" s="50">
        <f t="shared" si="91"/>
        <v>0</v>
      </c>
    </row>
    <row r="270" spans="1:21">
      <c r="A270" s="13" t="str">
        <f t="shared" si="81"/>
        <v>(550, 600]</v>
      </c>
      <c r="B270" s="89">
        <v>3467580</v>
      </c>
      <c r="C270" s="89">
        <v>199359997250</v>
      </c>
      <c r="D270" s="27">
        <f t="shared" si="82"/>
        <v>3.46758E-2</v>
      </c>
      <c r="E270" s="90">
        <f t="shared" si="83"/>
        <v>574.92544440214795</v>
      </c>
      <c r="F270" s="88"/>
      <c r="G270" s="13" t="str">
        <f t="shared" si="84"/>
        <v>(550, 600]</v>
      </c>
      <c r="H270" s="86">
        <v>0.63303496963300054</v>
      </c>
      <c r="I270" s="27">
        <f t="shared" si="85"/>
        <v>2.1950994000000001E-2</v>
      </c>
      <c r="J270" s="27">
        <f t="shared" si="86"/>
        <v>2.1950993999999998E-2</v>
      </c>
      <c r="K270" s="87">
        <f t="shared" si="87"/>
        <v>21950994</v>
      </c>
      <c r="L270" s="100">
        <f t="shared" si="88"/>
        <v>2.1950994000000001E-2</v>
      </c>
      <c r="M270" s="100">
        <f t="shared" si="89"/>
        <v>12.620184980518884</v>
      </c>
      <c r="N270" s="88"/>
      <c r="O270" s="45">
        <v>550</v>
      </c>
      <c r="P270" s="45">
        <v>600</v>
      </c>
      <c r="Q270" s="100">
        <f t="shared" si="90"/>
        <v>2.1950994000000001E-2</v>
      </c>
      <c r="R270" s="100">
        <v>1.2014650144175801E-2</v>
      </c>
      <c r="T270" s="27"/>
      <c r="U270" s="50">
        <f t="shared" si="91"/>
        <v>0</v>
      </c>
    </row>
    <row r="271" spans="1:21">
      <c r="A271" s="13" t="str">
        <f t="shared" si="81"/>
        <v>(600, 650]</v>
      </c>
      <c r="B271" s="89">
        <v>3361112</v>
      </c>
      <c r="C271" s="89">
        <v>210042400860</v>
      </c>
      <c r="D271" s="27">
        <f t="shared" si="82"/>
        <v>3.3611120000000001E-2</v>
      </c>
      <c r="E271" s="90">
        <f t="shared" si="83"/>
        <v>624.9193744808266</v>
      </c>
      <c r="F271" s="88"/>
      <c r="G271" s="13" t="str">
        <f t="shared" si="84"/>
        <v>(600, 650]</v>
      </c>
      <c r="H271" s="86">
        <v>0.54240358548004342</v>
      </c>
      <c r="I271" s="27">
        <f t="shared" si="85"/>
        <v>1.8230791999999999E-2</v>
      </c>
      <c r="J271" s="27">
        <f t="shared" si="86"/>
        <v>1.8230791999999996E-2</v>
      </c>
      <c r="K271" s="87">
        <f t="shared" si="87"/>
        <v>18230792</v>
      </c>
      <c r="L271" s="100">
        <f t="shared" si="88"/>
        <v>1.8230791999999999E-2</v>
      </c>
      <c r="M271" s="100">
        <f t="shared" si="89"/>
        <v>11.392775132930057</v>
      </c>
      <c r="N271" s="88"/>
      <c r="O271" s="45">
        <v>600</v>
      </c>
      <c r="P271" s="45">
        <v>650</v>
      </c>
      <c r="Q271" s="100">
        <f t="shared" si="90"/>
        <v>1.8230791999999999E-2</v>
      </c>
      <c r="R271" s="100">
        <v>3.7226010446712123E-3</v>
      </c>
      <c r="T271" s="27"/>
      <c r="U271" s="50">
        <f t="shared" si="91"/>
        <v>0</v>
      </c>
    </row>
    <row r="272" spans="1:21">
      <c r="A272" s="13" t="str">
        <f t="shared" si="81"/>
        <v>(650, 700]</v>
      </c>
      <c r="B272" s="89">
        <v>3244389</v>
      </c>
      <c r="C272" s="89">
        <v>218962468470</v>
      </c>
      <c r="D272" s="27">
        <f t="shared" si="82"/>
        <v>3.2443890000000003E-2</v>
      </c>
      <c r="E272" s="90">
        <f t="shared" si="83"/>
        <v>674.89585394969583</v>
      </c>
      <c r="F272" s="88"/>
      <c r="G272" s="13" t="str">
        <f t="shared" si="84"/>
        <v>(650, 700]</v>
      </c>
      <c r="H272" s="86">
        <v>0.46255806563269691</v>
      </c>
      <c r="I272" s="27">
        <f t="shared" si="85"/>
        <v>1.5007183E-2</v>
      </c>
      <c r="J272" s="27">
        <f t="shared" si="86"/>
        <v>1.5007182999999997E-2</v>
      </c>
      <c r="K272" s="87">
        <f t="shared" si="87"/>
        <v>15007183</v>
      </c>
      <c r="L272" s="100">
        <f t="shared" si="88"/>
        <v>1.5007183E-2</v>
      </c>
      <c r="M272" s="100">
        <f t="shared" si="89"/>
        <v>10.128285586164358</v>
      </c>
      <c r="N272" s="88"/>
      <c r="O272" s="45">
        <v>650</v>
      </c>
      <c r="P272" s="45">
        <v>700</v>
      </c>
      <c r="Q272" s="100">
        <f t="shared" si="90"/>
        <v>1.5007183E-2</v>
      </c>
      <c r="R272" s="100">
        <v>2.2526660270319925E-3</v>
      </c>
      <c r="T272" s="27"/>
      <c r="U272" s="50">
        <f t="shared" si="91"/>
        <v>0</v>
      </c>
    </row>
    <row r="273" spans="1:21">
      <c r="A273" s="13" t="str">
        <f t="shared" si="81"/>
        <v>(700, 750]</v>
      </c>
      <c r="B273" s="89">
        <v>3117886</v>
      </c>
      <c r="C273" s="89">
        <v>226007827170</v>
      </c>
      <c r="D273" s="27">
        <f t="shared" si="82"/>
        <v>3.1178859999999999E-2</v>
      </c>
      <c r="E273" s="90">
        <f t="shared" si="83"/>
        <v>724.87521086402774</v>
      </c>
      <c r="F273" s="88"/>
      <c r="G273" s="13" t="str">
        <f t="shared" si="84"/>
        <v>(700, 750]</v>
      </c>
      <c r="H273" s="86">
        <v>0.39318592790114842</v>
      </c>
      <c r="I273" s="27">
        <f t="shared" si="85"/>
        <v>1.2259089000000001E-2</v>
      </c>
      <c r="J273" s="27">
        <f t="shared" si="86"/>
        <v>1.2259088999999997E-2</v>
      </c>
      <c r="K273" s="87">
        <f t="shared" si="87"/>
        <v>12259089</v>
      </c>
      <c r="L273" s="100">
        <f t="shared" si="88"/>
        <v>1.2259089000000001E-2</v>
      </c>
      <c r="M273" s="100">
        <f t="shared" si="89"/>
        <v>8.8863097238758844</v>
      </c>
      <c r="N273" s="88"/>
      <c r="O273" s="45">
        <v>700</v>
      </c>
      <c r="P273" s="45">
        <v>750</v>
      </c>
      <c r="Q273" s="100">
        <f t="shared" si="90"/>
        <v>1.2259089000000001E-2</v>
      </c>
      <c r="R273" s="100">
        <v>2.2741570272898845E-3</v>
      </c>
      <c r="T273" s="27"/>
      <c r="U273" s="50">
        <f t="shared" si="91"/>
        <v>0</v>
      </c>
    </row>
    <row r="274" spans="1:21">
      <c r="A274" s="13" t="str">
        <f t="shared" si="81"/>
        <v>(750, 800]</v>
      </c>
      <c r="B274" s="89">
        <v>2985046</v>
      </c>
      <c r="C274" s="89">
        <v>231297465550</v>
      </c>
      <c r="D274" s="27">
        <f t="shared" si="82"/>
        <v>2.9850459999999999E-2</v>
      </c>
      <c r="E274" s="90">
        <f t="shared" si="83"/>
        <v>774.85394044178884</v>
      </c>
      <c r="F274" s="88"/>
      <c r="G274" s="13" t="str">
        <f t="shared" si="84"/>
        <v>(750, 800]</v>
      </c>
      <c r="H274" s="86">
        <v>0.33325898495366574</v>
      </c>
      <c r="I274" s="27">
        <f t="shared" si="85"/>
        <v>9.9479340000000003E-3</v>
      </c>
      <c r="J274" s="27">
        <f t="shared" si="86"/>
        <v>9.9479339999999986E-3</v>
      </c>
      <c r="K274" s="87">
        <f t="shared" si="87"/>
        <v>9947934</v>
      </c>
      <c r="L274" s="100">
        <f t="shared" si="88"/>
        <v>9.9479340000000003E-3</v>
      </c>
      <c r="M274" s="100">
        <f t="shared" si="89"/>
        <v>7.7081958591548467</v>
      </c>
      <c r="N274" s="88"/>
      <c r="O274" s="45">
        <v>750</v>
      </c>
      <c r="P274" s="45">
        <v>800</v>
      </c>
      <c r="Q274" s="100">
        <f t="shared" si="90"/>
        <v>9.9479340000000003E-3</v>
      </c>
      <c r="R274" s="100">
        <v>2.2816250273795004E-3</v>
      </c>
      <c r="T274" s="27"/>
      <c r="U274" s="50">
        <f t="shared" si="91"/>
        <v>0</v>
      </c>
    </row>
    <row r="275" spans="1:21">
      <c r="A275" s="13" t="str">
        <f t="shared" si="81"/>
        <v>(800, 850]</v>
      </c>
      <c r="B275" s="89">
        <v>2846134</v>
      </c>
      <c r="C275" s="89">
        <v>234762575600</v>
      </c>
      <c r="D275" s="27">
        <f t="shared" si="82"/>
        <v>2.8461340000000002E-2</v>
      </c>
      <c r="E275" s="90">
        <f t="shared" si="83"/>
        <v>824.84723347530371</v>
      </c>
      <c r="F275" s="88"/>
      <c r="G275" s="13" t="str">
        <f t="shared" si="84"/>
        <v>(800, 850]</v>
      </c>
      <c r="H275" s="86">
        <v>0.28196834723874559</v>
      </c>
      <c r="I275" s="27">
        <f t="shared" si="85"/>
        <v>8.0251969999999995E-3</v>
      </c>
      <c r="J275" s="27">
        <f t="shared" si="86"/>
        <v>8.0251969999999978E-3</v>
      </c>
      <c r="K275" s="87">
        <f t="shared" si="87"/>
        <v>8025197</v>
      </c>
      <c r="L275" s="100">
        <f t="shared" si="88"/>
        <v>8.0251969999999995E-3</v>
      </c>
      <c r="M275" s="100">
        <f t="shared" si="89"/>
        <v>6.6195615435443065</v>
      </c>
      <c r="N275" s="88"/>
      <c r="O275" s="45">
        <v>800</v>
      </c>
      <c r="P275" s="45">
        <v>850</v>
      </c>
      <c r="Q275" s="100">
        <f t="shared" si="90"/>
        <v>8.0251969999999995E-3</v>
      </c>
      <c r="R275" s="100">
        <v>1.5291920183503043E-3</v>
      </c>
      <c r="T275" s="27"/>
      <c r="U275" s="50">
        <f t="shared" si="91"/>
        <v>0</v>
      </c>
    </row>
    <row r="276" spans="1:21">
      <c r="A276" s="13" t="str">
        <f t="shared" si="81"/>
        <v>(850, 900]</v>
      </c>
      <c r="B276" s="89">
        <v>2705788</v>
      </c>
      <c r="C276" s="89">
        <v>236711777420</v>
      </c>
      <c r="D276" s="27">
        <f t="shared" si="82"/>
        <v>2.7057879999999999E-2</v>
      </c>
      <c r="E276" s="90">
        <f t="shared" si="83"/>
        <v>874.83489992564091</v>
      </c>
      <c r="F276" s="88"/>
      <c r="G276" s="13" t="str">
        <f t="shared" si="84"/>
        <v>(850, 900]</v>
      </c>
      <c r="H276" s="86">
        <v>0.23804947024674514</v>
      </c>
      <c r="I276" s="27">
        <f t="shared" si="85"/>
        <v>6.4411140000000004E-3</v>
      </c>
      <c r="J276" s="27">
        <f t="shared" si="86"/>
        <v>6.4411139999999987E-3</v>
      </c>
      <c r="K276" s="92">
        <f t="shared" si="87"/>
        <v>6441114</v>
      </c>
      <c r="L276" s="100">
        <f t="shared" si="88"/>
        <v>6.4411140000000004E-3</v>
      </c>
      <c r="M276" s="100">
        <f t="shared" si="89"/>
        <v>5.6349113215996454</v>
      </c>
      <c r="N276" s="88"/>
      <c r="O276" s="45">
        <v>850</v>
      </c>
      <c r="P276" s="45">
        <v>900</v>
      </c>
      <c r="Q276" s="100">
        <f t="shared" si="90"/>
        <v>6.4411140000000004E-3</v>
      </c>
      <c r="R276" s="100">
        <v>1.5278220183338642E-3</v>
      </c>
      <c r="T276" s="27"/>
      <c r="U276" s="50">
        <f t="shared" si="91"/>
        <v>0</v>
      </c>
    </row>
    <row r="277" spans="1:21">
      <c r="A277" s="13" t="str">
        <f t="shared" si="81"/>
        <v>(900, 950]</v>
      </c>
      <c r="B277" s="89">
        <v>2566488</v>
      </c>
      <c r="C277" s="89">
        <v>237355964190</v>
      </c>
      <c r="D277" s="27">
        <f t="shared" si="82"/>
        <v>2.5664880000000001E-2</v>
      </c>
      <c r="E277" s="90">
        <f t="shared" si="83"/>
        <v>924.82787447282044</v>
      </c>
      <c r="F277" s="88"/>
      <c r="G277" s="13" t="str">
        <f t="shared" si="84"/>
        <v>(900, 950]</v>
      </c>
      <c r="H277" s="86">
        <v>0.20051011343127262</v>
      </c>
      <c r="I277" s="27">
        <f t="shared" si="85"/>
        <v>5.1460680000000002E-3</v>
      </c>
      <c r="J277" s="27">
        <f t="shared" si="86"/>
        <v>5.1460679999999993E-3</v>
      </c>
      <c r="K277" s="92">
        <f t="shared" si="87"/>
        <v>5146068</v>
      </c>
      <c r="L277" s="100">
        <f t="shared" si="88"/>
        <v>5.1460680000000002E-3</v>
      </c>
      <c r="M277" s="100">
        <f t="shared" si="89"/>
        <v>4.7592271303325981</v>
      </c>
      <c r="N277" s="88"/>
      <c r="O277" s="45">
        <v>900</v>
      </c>
      <c r="P277" s="45">
        <v>950</v>
      </c>
      <c r="Q277" s="100">
        <f t="shared" si="90"/>
        <v>5.1460680000000002E-3</v>
      </c>
      <c r="R277" s="100">
        <v>1.5125650181507801E-3</v>
      </c>
      <c r="T277" s="27"/>
      <c r="U277" s="50">
        <f t="shared" si="91"/>
        <v>0</v>
      </c>
    </row>
    <row r="278" spans="1:21">
      <c r="A278" s="13" t="str">
        <f t="shared" si="81"/>
        <v>(950, 1000]</v>
      </c>
      <c r="B278" s="89">
        <v>2426350</v>
      </c>
      <c r="C278" s="89">
        <v>236526316260</v>
      </c>
      <c r="D278" s="27">
        <f t="shared" si="82"/>
        <v>2.42635E-2</v>
      </c>
      <c r="E278" s="90">
        <f t="shared" si="83"/>
        <v>974.82356733364929</v>
      </c>
      <c r="F278" s="88"/>
      <c r="G278" s="13" t="str">
        <f t="shared" si="84"/>
        <v>(950, 1000]</v>
      </c>
      <c r="H278" s="86">
        <v>0.16875603272405054</v>
      </c>
      <c r="I278" s="27">
        <f t="shared" si="85"/>
        <v>4.0946120000000001E-3</v>
      </c>
      <c r="J278" s="27">
        <f t="shared" si="86"/>
        <v>4.0946119999999992E-3</v>
      </c>
      <c r="K278" s="92">
        <f t="shared" si="87"/>
        <v>4094612</v>
      </c>
      <c r="L278" s="100">
        <f t="shared" si="88"/>
        <v>4.0946120000000001E-3</v>
      </c>
      <c r="M278" s="100">
        <f t="shared" si="89"/>
        <v>3.9915242766871684</v>
      </c>
      <c r="N278" s="88"/>
      <c r="O278" s="45">
        <v>950</v>
      </c>
      <c r="P278" s="45">
        <v>1000</v>
      </c>
      <c r="Q278" s="100">
        <f t="shared" si="90"/>
        <v>4.0946120000000001E-3</v>
      </c>
      <c r="R278" s="100">
        <v>1.4996680179960161E-3</v>
      </c>
      <c r="T278" s="27"/>
      <c r="U278" s="50">
        <f t="shared" si="91"/>
        <v>0</v>
      </c>
    </row>
    <row r="279" spans="1:21">
      <c r="A279" s="13" t="str">
        <f t="shared" si="81"/>
        <v>(1000, 2000]</v>
      </c>
      <c r="B279" s="89">
        <v>25444487</v>
      </c>
      <c r="C279" s="89">
        <v>3510915219740</v>
      </c>
      <c r="D279" s="27">
        <f t="shared" si="82"/>
        <v>0.25444486999999999</v>
      </c>
      <c r="E279" s="90">
        <f t="shared" si="83"/>
        <v>1379.8333681241047</v>
      </c>
      <c r="F279" s="88"/>
      <c r="G279" s="13" t="str">
        <f t="shared" si="84"/>
        <v>(1000, 2000]</v>
      </c>
      <c r="H279" s="86">
        <v>2.2627730714319372E-3</v>
      </c>
      <c r="I279" s="27">
        <f t="shared" si="85"/>
        <v>5.75751E-4</v>
      </c>
      <c r="J279" s="27">
        <f t="shared" si="86"/>
        <v>5.7575099999999989E-4</v>
      </c>
      <c r="K279" s="92">
        <f t="shared" si="87"/>
        <v>575751</v>
      </c>
      <c r="L279" s="100">
        <f t="shared" si="88"/>
        <v>5.75751E-4</v>
      </c>
      <c r="M279" s="100">
        <f t="shared" si="89"/>
        <v>0.79444044153082138</v>
      </c>
      <c r="N279" s="88"/>
      <c r="O279" s="45">
        <v>1000</v>
      </c>
      <c r="P279" s="45">
        <v>2000</v>
      </c>
      <c r="Q279" s="100">
        <f t="shared" si="90"/>
        <v>5.75751E-4</v>
      </c>
      <c r="R279" s="100">
        <v>3.8625470463505645E-3</v>
      </c>
      <c r="T279" s="27"/>
      <c r="U279" s="50">
        <f t="shared" si="91"/>
        <v>0</v>
      </c>
    </row>
    <row r="280" spans="1:21">
      <c r="A280" s="13" t="str">
        <f t="shared" si="81"/>
        <v>(2000, 3000]</v>
      </c>
      <c r="B280" s="89">
        <v>4789678</v>
      </c>
      <c r="C280" s="89">
        <v>1127426457590</v>
      </c>
      <c r="D280" s="27">
        <f t="shared" si="82"/>
        <v>4.789678E-2</v>
      </c>
      <c r="E280" s="90">
        <f t="shared" si="83"/>
        <v>2353.8669146234884</v>
      </c>
      <c r="F280" s="88"/>
      <c r="G280" s="13" t="str">
        <f t="shared" si="84"/>
        <v>(2000, 3000]</v>
      </c>
      <c r="H280" s="86">
        <v>7.0526661708782937E-5</v>
      </c>
      <c r="I280" s="27">
        <f t="shared" si="85"/>
        <v>3.3780000000000005E-6</v>
      </c>
      <c r="J280" s="27">
        <f t="shared" si="86"/>
        <v>3.3779999999999997E-6</v>
      </c>
      <c r="K280" s="92">
        <f t="shared" si="87"/>
        <v>3378</v>
      </c>
      <c r="L280" s="100">
        <f t="shared" si="88"/>
        <v>3.3780000000000001E-6</v>
      </c>
      <c r="M280" s="100">
        <f t="shared" si="89"/>
        <v>7.9513624375981435E-3</v>
      </c>
      <c r="N280" s="88"/>
      <c r="O280" s="45">
        <v>2000</v>
      </c>
      <c r="P280" s="45">
        <v>3000</v>
      </c>
      <c r="Q280" s="100">
        <f t="shared" si="90"/>
        <v>3.3780000000000001E-6</v>
      </c>
      <c r="R280" s="100">
        <v>1.7462260209547122E-3</v>
      </c>
      <c r="T280" s="27"/>
      <c r="U280" s="50">
        <f t="shared" si="91"/>
        <v>0</v>
      </c>
    </row>
    <row r="281" spans="1:21">
      <c r="A281" s="13" t="str">
        <f t="shared" si="81"/>
        <v>(3000, 4000]</v>
      </c>
      <c r="B281" s="89">
        <v>707366</v>
      </c>
      <c r="C281" s="89">
        <v>236624116450</v>
      </c>
      <c r="D281" s="27">
        <f t="shared" si="82"/>
        <v>7.0736599999999998E-3</v>
      </c>
      <c r="E281" s="90">
        <f t="shared" si="83"/>
        <v>3345.1440477772471</v>
      </c>
      <c r="F281" s="88"/>
      <c r="G281" s="13" t="str">
        <f t="shared" si="84"/>
        <v>(3000, 4000]</v>
      </c>
      <c r="H281" s="86">
        <v>1.979173440623383E-6</v>
      </c>
      <c r="I281" s="27">
        <f t="shared" si="85"/>
        <v>1.4E-8</v>
      </c>
      <c r="J281" s="27">
        <f t="shared" si="86"/>
        <v>1.3999999999999996E-8</v>
      </c>
      <c r="K281" s="92">
        <f t="shared" si="87"/>
        <v>14</v>
      </c>
      <c r="L281" s="100">
        <f t="shared" si="88"/>
        <v>1.4E-8</v>
      </c>
      <c r="M281" s="100">
        <f t="shared" si="89"/>
        <v>4.683201666888146E-5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>
      <c r="A282" s="13" t="str">
        <f t="shared" si="81"/>
        <v>(4000, 5000]</v>
      </c>
      <c r="B282" s="89">
        <v>96606</v>
      </c>
      <c r="C282" s="89">
        <v>41965357330</v>
      </c>
      <c r="D282" s="27">
        <f t="shared" si="82"/>
        <v>9.6606000000000003E-4</v>
      </c>
      <c r="E282" s="90">
        <f t="shared" si="83"/>
        <v>4343.9700774279036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>
      <c r="A283" s="13" t="str">
        <f t="shared" si="81"/>
        <v>(5000, 6000]</v>
      </c>
      <c r="B283" s="89">
        <v>13203</v>
      </c>
      <c r="C283" s="89">
        <v>7056897200</v>
      </c>
      <c r="D283" s="27">
        <f t="shared" si="82"/>
        <v>1.3202999999999999E-4</v>
      </c>
      <c r="E283" s="90">
        <f t="shared" si="83"/>
        <v>5344.9194879951528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>
      <c r="A284" s="13" t="str">
        <f t="shared" si="81"/>
        <v>(6000, 7000]</v>
      </c>
      <c r="B284" s="89">
        <v>1882</v>
      </c>
      <c r="C284" s="89">
        <v>1194385120</v>
      </c>
      <c r="D284" s="27">
        <f t="shared" si="82"/>
        <v>1.8819999999999999E-5</v>
      </c>
      <c r="E284" s="90">
        <f t="shared" si="83"/>
        <v>6346.3608926673742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>
      <c r="A285" s="13" t="str">
        <f t="shared" si="81"/>
        <v>(7000, 8000]</v>
      </c>
      <c r="B285" s="89">
        <v>284</v>
      </c>
      <c r="C285" s="89">
        <v>209094350</v>
      </c>
      <c r="D285" s="27">
        <f t="shared" si="82"/>
        <v>2.8399999999999999E-6</v>
      </c>
      <c r="E285" s="90">
        <f t="shared" si="83"/>
        <v>7362.477112676057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>
      <c r="A286" s="13" t="str">
        <f t="shared" si="81"/>
        <v>(8000, 9000]</v>
      </c>
      <c r="B286" s="89">
        <v>40</v>
      </c>
      <c r="C286" s="89">
        <v>33560900</v>
      </c>
      <c r="D286" s="27">
        <f t="shared" si="82"/>
        <v>3.9999999999999998E-7</v>
      </c>
      <c r="E286" s="90">
        <f t="shared" si="83"/>
        <v>8390.2250000000004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>
      <c r="A287" s="13" t="str">
        <f t="shared" si="81"/>
        <v>(9000, 10000]</v>
      </c>
      <c r="B287" s="89">
        <v>14</v>
      </c>
      <c r="C287" s="89">
        <v>13023890</v>
      </c>
      <c r="D287" s="27">
        <f t="shared" si="82"/>
        <v>1.4000000000000001E-7</v>
      </c>
      <c r="E287" s="90">
        <f t="shared" si="83"/>
        <v>9302.778571428571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>
      <c r="A288" s="13" t="str">
        <f t="shared" si="81"/>
        <v>(10000, 20000]</v>
      </c>
      <c r="B288" s="89">
        <v>1</v>
      </c>
      <c r="C288" s="89">
        <v>1208130</v>
      </c>
      <c r="D288" s="27">
        <f t="shared" si="82"/>
        <v>1E-8</v>
      </c>
      <c r="E288" s="90">
        <f t="shared" si="83"/>
        <v>12081.3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>
      <c r="A2" s="45" t="s">
        <v>91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>
      <c r="A3" s="45" t="s">
        <v>6</v>
      </c>
      <c r="B3" s="74">
        <f>Overview!A7</f>
        <v>100</v>
      </c>
      <c r="C3" s="1"/>
      <c r="F3" s="36"/>
      <c r="G3" s="37"/>
    </row>
    <row r="4" spans="1:21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>
      <c r="A5" s="29"/>
      <c r="B5" s="29"/>
      <c r="C5" s="1" t="s">
        <v>92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>
      <c r="A6" s="41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2" t="s">
        <v>98</v>
      </c>
      <c r="J6" s="43" t="s">
        <v>99</v>
      </c>
      <c r="K6" s="37"/>
      <c r="L6" s="37"/>
      <c r="M6" s="44"/>
      <c r="Q6" s="37"/>
      <c r="R6" s="37"/>
    </row>
    <row r="7" spans="1:21">
      <c r="A7" s="45" t="s">
        <v>10</v>
      </c>
      <c r="B7" s="45">
        <f>Overview!B11</f>
        <v>1</v>
      </c>
      <c r="C7" s="77">
        <f>SUM(M15:M79)</f>
        <v>0.700000009990141</v>
      </c>
      <c r="D7" s="77">
        <f>SUM(M86:M149)*F7</f>
        <v>0.22999999960088918</v>
      </c>
      <c r="E7" s="78">
        <f>SUM(C7:D7)</f>
        <v>0.93000000959103013</v>
      </c>
      <c r="F7" s="31">
        <f>L79</f>
        <v>8.4372176308072852E-3</v>
      </c>
      <c r="G7" s="32">
        <f>1/F7</f>
        <v>118.5224849894406</v>
      </c>
      <c r="H7" s="33">
        <f>D7*G7</f>
        <v>27.260171500267731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>
      <c r="L8" s="37"/>
      <c r="M8" s="44"/>
      <c r="Q8" s="37"/>
      <c r="R8" s="37"/>
    </row>
    <row r="9" spans="1:21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>
      <c r="A11" s="63" t="s">
        <v>10</v>
      </c>
      <c r="B11" s="63" t="s">
        <v>18</v>
      </c>
      <c r="C11" s="63"/>
      <c r="D11" s="82"/>
      <c r="E11" s="59"/>
      <c r="F11" s="60"/>
      <c r="G11" s="63" t="s">
        <v>10</v>
      </c>
      <c r="H11" s="63" t="s">
        <v>18</v>
      </c>
      <c r="I11" s="58"/>
      <c r="J11" s="58"/>
      <c r="K11" s="61"/>
      <c r="L11" s="99"/>
      <c r="M11" s="99"/>
      <c r="N11" s="60"/>
      <c r="O11" s="63" t="s">
        <v>10</v>
      </c>
      <c r="P11" s="63" t="s">
        <v>18</v>
      </c>
      <c r="Q11" s="99"/>
      <c r="R11" s="99"/>
    </row>
    <row r="12" spans="1:21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>
      <c r="A13" s="48" t="s">
        <v>101</v>
      </c>
      <c r="B13" s="83">
        <v>1000000000</v>
      </c>
      <c r="C13" s="1"/>
      <c r="D13" s="1"/>
      <c r="E13" s="1"/>
      <c r="G13" s="48" t="s">
        <v>102</v>
      </c>
      <c r="H13" s="29"/>
      <c r="I13" s="29"/>
      <c r="J13" s="29"/>
      <c r="K13" s="29"/>
      <c r="L13" s="29"/>
      <c r="M13" s="29"/>
      <c r="Q13" s="29"/>
      <c r="R13" s="29"/>
    </row>
    <row r="14" spans="1:21">
      <c r="A14" s="9" t="s">
        <v>20</v>
      </c>
      <c r="B14" s="9" t="s">
        <v>103</v>
      </c>
      <c r="C14" s="9" t="s">
        <v>104</v>
      </c>
      <c r="D14" s="9" t="s">
        <v>95</v>
      </c>
      <c r="E14" s="9" t="s">
        <v>105</v>
      </c>
      <c r="G14" s="9" t="s">
        <v>20</v>
      </c>
      <c r="H14" s="9" t="s">
        <v>106</v>
      </c>
      <c r="I14" s="9" t="s">
        <v>107</v>
      </c>
      <c r="J14" s="9" t="s">
        <v>108</v>
      </c>
      <c r="K14" s="9" t="s">
        <v>109</v>
      </c>
      <c r="L14" s="9" t="s">
        <v>95</v>
      </c>
      <c r="M14" s="9" t="s">
        <v>110</v>
      </c>
      <c r="O14" s="9" t="s">
        <v>111</v>
      </c>
      <c r="P14" s="9" t="s">
        <v>112</v>
      </c>
      <c r="Q14" s="9" t="s">
        <v>113</v>
      </c>
      <c r="R14" s="9" t="s">
        <v>114</v>
      </c>
      <c r="T14" s="12" t="s">
        <v>113</v>
      </c>
      <c r="U14" s="12" t="s">
        <v>115</v>
      </c>
    </row>
    <row r="15" spans="1:21">
      <c r="A15" s="13" t="str">
        <f t="shared" ref="A15:A46" si="0">"("&amp;$O15&amp;", "&amp;$P15&amp;"]"</f>
        <v>(-1, 0]</v>
      </c>
      <c r="B15" s="84">
        <v>642768432</v>
      </c>
      <c r="C15" s="84">
        <v>0</v>
      </c>
      <c r="D15" s="28">
        <f t="shared" ref="D15:D46" si="1">IFERROR(B15/SUM($B$15:$B$78),0)</f>
        <v>0.642768432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1.1363652174505048</v>
      </c>
      <c r="I15" s="27">
        <f t="shared" ref="I15:I46" si="4">D15*H15</f>
        <v>0.73041968899999998</v>
      </c>
      <c r="J15" s="27">
        <f t="shared" ref="J15:J46" si="5">IFERROR(I15/SUM($I$15:$I$78),0)</f>
        <v>0.73041968899999987</v>
      </c>
      <c r="K15" s="87">
        <f t="shared" ref="K15:K46" si="6">INT(J15*$B$2)</f>
        <v>730419689</v>
      </c>
      <c r="L15" s="100">
        <f t="shared" ref="L15:L46" si="7">IFERROR(K15/SUM($K$15:$K$79),0)</f>
        <v>0.72425697912208042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0.72425697912208042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>
      <c r="A16" s="13" t="str">
        <f t="shared" si="0"/>
        <v>(0, 1]</v>
      </c>
      <c r="B16" s="89">
        <v>165067367</v>
      </c>
      <c r="C16" s="89">
        <v>6883193835</v>
      </c>
      <c r="D16" s="27">
        <f t="shared" si="1"/>
        <v>0.16506736699999999</v>
      </c>
      <c r="E16" s="90">
        <f t="shared" si="2"/>
        <v>0.41699301079903939</v>
      </c>
      <c r="G16" s="13" t="str">
        <f t="shared" si="3"/>
        <v>(0, 1]</v>
      </c>
      <c r="H16" s="86">
        <v>0.91729489451418955</v>
      </c>
      <c r="I16" s="27">
        <f t="shared" si="4"/>
        <v>0.15141545300000001</v>
      </c>
      <c r="J16" s="27">
        <f t="shared" si="5"/>
        <v>0.15141545299999998</v>
      </c>
      <c r="K16" s="87">
        <f t="shared" si="6"/>
        <v>151415453</v>
      </c>
      <c r="L16" s="100">
        <f t="shared" si="7"/>
        <v>0.15013792787037172</v>
      </c>
      <c r="M16" s="100">
        <f t="shared" si="8"/>
        <v>6.2606466577795311E-2</v>
      </c>
      <c r="N16" s="88"/>
      <c r="O16" s="45">
        <v>0</v>
      </c>
      <c r="P16" s="45">
        <v>1</v>
      </c>
      <c r="Q16" s="100">
        <f t="shared" si="9"/>
        <v>0.15013792787037172</v>
      </c>
      <c r="R16" s="100">
        <v>0.15426599999999999</v>
      </c>
      <c r="T16" s="27"/>
      <c r="U16" s="50">
        <f t="shared" si="10"/>
        <v>0</v>
      </c>
    </row>
    <row r="17" spans="1:21">
      <c r="A17" s="13" t="str">
        <f t="shared" si="0"/>
        <v>(1, 2]</v>
      </c>
      <c r="B17" s="89">
        <v>48607194</v>
      </c>
      <c r="C17" s="89">
        <v>7281533335</v>
      </c>
      <c r="D17" s="27">
        <f t="shared" si="1"/>
        <v>4.8607193999999999E-2</v>
      </c>
      <c r="E17" s="90">
        <f t="shared" si="2"/>
        <v>1.4980361415225902</v>
      </c>
      <c r="F17" s="51"/>
      <c r="G17" s="13" t="str">
        <f t="shared" si="3"/>
        <v>(1, 2]</v>
      </c>
      <c r="H17" s="86">
        <v>0.78064156511482652</v>
      </c>
      <c r="I17" s="27">
        <f t="shared" si="4"/>
        <v>3.7944796000000003E-2</v>
      </c>
      <c r="J17" s="27">
        <f t="shared" si="5"/>
        <v>3.7944795999999996E-2</v>
      </c>
      <c r="K17" s="87">
        <f t="shared" si="6"/>
        <v>37944796</v>
      </c>
      <c r="L17" s="100">
        <f t="shared" si="7"/>
        <v>3.7624647498191416E-2</v>
      </c>
      <c r="M17" s="100">
        <f t="shared" si="8"/>
        <v>5.6363081764338248E-2</v>
      </c>
      <c r="N17" s="88"/>
      <c r="O17" s="45">
        <v>1</v>
      </c>
      <c r="P17" s="45">
        <v>2</v>
      </c>
      <c r="Q17" s="100">
        <f t="shared" si="9"/>
        <v>3.7624647498191416E-2</v>
      </c>
      <c r="R17" s="100">
        <v>4.5428000000000003E-2</v>
      </c>
      <c r="T17" s="27"/>
      <c r="U17" s="50">
        <f t="shared" si="10"/>
        <v>0</v>
      </c>
    </row>
    <row r="18" spans="1:21">
      <c r="A18" s="13" t="str">
        <f t="shared" si="0"/>
        <v>(2, 3]</v>
      </c>
      <c r="B18" s="89">
        <v>26919097</v>
      </c>
      <c r="C18" s="89">
        <v>6802776700</v>
      </c>
      <c r="D18" s="27">
        <f t="shared" si="1"/>
        <v>2.6919096999999999E-2</v>
      </c>
      <c r="E18" s="90">
        <f t="shared" si="2"/>
        <v>2.5271192046300812</v>
      </c>
      <c r="F18" s="51"/>
      <c r="G18" s="13" t="str">
        <f t="shared" si="3"/>
        <v>(2, 3]</v>
      </c>
      <c r="H18" s="86">
        <v>0.78522815977073823</v>
      </c>
      <c r="I18" s="27">
        <f t="shared" si="4"/>
        <v>2.1137632999999999E-2</v>
      </c>
      <c r="J18" s="27">
        <f t="shared" si="5"/>
        <v>2.1137632999999996E-2</v>
      </c>
      <c r="K18" s="87">
        <f t="shared" si="6"/>
        <v>21137633</v>
      </c>
      <c r="L18" s="100">
        <f t="shared" si="7"/>
        <v>2.0959290190178868E-2</v>
      </c>
      <c r="M18" s="100">
        <f t="shared" si="8"/>
        <v>5.2966624755015887E-2</v>
      </c>
      <c r="N18" s="88"/>
      <c r="O18" s="45">
        <v>2</v>
      </c>
      <c r="P18" s="45">
        <v>3</v>
      </c>
      <c r="Q18" s="100">
        <f t="shared" si="9"/>
        <v>2.0959290190178868E-2</v>
      </c>
      <c r="R18" s="100">
        <v>2.0910000000000002E-2</v>
      </c>
      <c r="T18" s="27"/>
      <c r="U18" s="50">
        <f t="shared" si="10"/>
        <v>0</v>
      </c>
    </row>
    <row r="19" spans="1:21">
      <c r="A19" s="13" t="str">
        <f t="shared" si="0"/>
        <v>(3, 4]</v>
      </c>
      <c r="B19" s="89">
        <v>17682966</v>
      </c>
      <c r="C19" s="89">
        <v>6307283715</v>
      </c>
      <c r="D19" s="27">
        <f t="shared" si="1"/>
        <v>1.7682966000000001E-2</v>
      </c>
      <c r="E19" s="90">
        <f t="shared" si="2"/>
        <v>3.5668697858718952</v>
      </c>
      <c r="F19" s="91"/>
      <c r="G19" s="13" t="str">
        <f t="shared" si="3"/>
        <v>(3, 4]</v>
      </c>
      <c r="H19" s="86">
        <v>0.75447840594162763</v>
      </c>
      <c r="I19" s="27">
        <f t="shared" si="4"/>
        <v>1.3341416E-2</v>
      </c>
      <c r="J19" s="27">
        <f t="shared" si="5"/>
        <v>1.3341415999999997E-2</v>
      </c>
      <c r="K19" s="87">
        <f t="shared" si="6"/>
        <v>13341416</v>
      </c>
      <c r="L19" s="100">
        <f t="shared" si="7"/>
        <v>1.3228851569704866E-2</v>
      </c>
      <c r="M19" s="100">
        <f t="shared" si="8"/>
        <v>4.7185590965764281E-2</v>
      </c>
      <c r="N19" s="88"/>
      <c r="O19" s="45">
        <v>3</v>
      </c>
      <c r="P19" s="45">
        <v>4</v>
      </c>
      <c r="Q19" s="100">
        <f t="shared" si="9"/>
        <v>1.3228851569704866E-2</v>
      </c>
      <c r="R19" s="100">
        <v>1.2886E-2</v>
      </c>
      <c r="T19" s="27"/>
      <c r="U19" s="50">
        <f t="shared" si="10"/>
        <v>0</v>
      </c>
    </row>
    <row r="20" spans="1:21">
      <c r="A20" s="13" t="str">
        <f t="shared" si="0"/>
        <v>(4, 5]</v>
      </c>
      <c r="B20" s="89">
        <v>13063433</v>
      </c>
      <c r="C20" s="89">
        <v>5912495700</v>
      </c>
      <c r="D20" s="27">
        <f t="shared" si="1"/>
        <v>1.3063432999999999E-2</v>
      </c>
      <c r="E20" s="90">
        <f t="shared" si="2"/>
        <v>4.5259892250375531</v>
      </c>
      <c r="F20" s="91"/>
      <c r="G20" s="13" t="str">
        <f t="shared" si="3"/>
        <v>(4, 5]</v>
      </c>
      <c r="H20" s="86">
        <v>0.82690001931345314</v>
      </c>
      <c r="I20" s="27">
        <f t="shared" si="4"/>
        <v>1.0802153E-2</v>
      </c>
      <c r="J20" s="27">
        <f t="shared" si="5"/>
        <v>1.0802152999999998E-2</v>
      </c>
      <c r="K20" s="87">
        <f t="shared" si="6"/>
        <v>10802153</v>
      </c>
      <c r="L20" s="100">
        <f t="shared" si="7"/>
        <v>1.0711012884257722E-2</v>
      </c>
      <c r="M20" s="100">
        <f t="shared" si="8"/>
        <v>4.8477928903388853E-2</v>
      </c>
      <c r="N20" s="88"/>
      <c r="O20" s="45">
        <v>4</v>
      </c>
      <c r="P20" s="45">
        <v>5</v>
      </c>
      <c r="Q20" s="100">
        <f t="shared" si="9"/>
        <v>1.0711012884257722E-2</v>
      </c>
      <c r="R20" s="100">
        <v>8.4060000000000003E-3</v>
      </c>
      <c r="T20" s="27"/>
      <c r="U20" s="50">
        <f t="shared" si="10"/>
        <v>0</v>
      </c>
    </row>
    <row r="21" spans="1:21">
      <c r="A21" s="13" t="str">
        <f t="shared" si="0"/>
        <v>(5, 6]</v>
      </c>
      <c r="B21" s="89">
        <v>9983714</v>
      </c>
      <c r="C21" s="89">
        <v>5549114420</v>
      </c>
      <c r="D21" s="27">
        <f t="shared" si="1"/>
        <v>9.9837139999999994E-3</v>
      </c>
      <c r="E21" s="90">
        <f t="shared" si="2"/>
        <v>5.5581664498802752</v>
      </c>
      <c r="F21" s="91"/>
      <c r="G21" s="13" t="str">
        <f t="shared" si="3"/>
        <v>(5, 6]</v>
      </c>
      <c r="H21" s="86">
        <v>0.44337708391887026</v>
      </c>
      <c r="I21" s="27">
        <f t="shared" si="4"/>
        <v>4.4265499999999996E-3</v>
      </c>
      <c r="J21" s="27">
        <f t="shared" si="5"/>
        <v>4.4265499999999987E-3</v>
      </c>
      <c r="K21" s="87">
        <f t="shared" si="6"/>
        <v>4426550</v>
      </c>
      <c r="L21" s="100">
        <f t="shared" si="7"/>
        <v>4.3892022342963497E-3</v>
      </c>
      <c r="M21" s="100">
        <f t="shared" si="8"/>
        <v>2.4395916600405514E-2</v>
      </c>
      <c r="N21" s="88"/>
      <c r="O21" s="45">
        <v>5</v>
      </c>
      <c r="P21" s="45">
        <v>6</v>
      </c>
      <c r="Q21" s="100">
        <f t="shared" si="9"/>
        <v>4.3892022342963497E-3</v>
      </c>
      <c r="R21" s="100">
        <v>6.5170000000000002E-3</v>
      </c>
      <c r="T21" s="27"/>
      <c r="U21" s="50">
        <f t="shared" si="10"/>
        <v>0</v>
      </c>
    </row>
    <row r="22" spans="1:21">
      <c r="A22" s="13" t="str">
        <f t="shared" si="0"/>
        <v>(6, 7]</v>
      </c>
      <c r="B22" s="89">
        <v>7840713</v>
      </c>
      <c r="C22" s="89">
        <v>5105038170</v>
      </c>
      <c r="D22" s="27">
        <f t="shared" si="1"/>
        <v>7.8407129999999992E-3</v>
      </c>
      <c r="E22" s="90">
        <f t="shared" si="2"/>
        <v>6.510936148281413</v>
      </c>
      <c r="F22" s="91"/>
      <c r="G22" s="13" t="str">
        <f t="shared" si="3"/>
        <v>(6, 7]</v>
      </c>
      <c r="H22" s="86">
        <v>0.48315797300577129</v>
      </c>
      <c r="I22" s="27">
        <f t="shared" si="4"/>
        <v>3.7883029999999998E-3</v>
      </c>
      <c r="J22" s="27">
        <f t="shared" si="5"/>
        <v>3.7883029999999989E-3</v>
      </c>
      <c r="K22" s="87">
        <f t="shared" si="6"/>
        <v>3788303</v>
      </c>
      <c r="L22" s="100">
        <f t="shared" si="7"/>
        <v>3.7563402631375599E-3</v>
      </c>
      <c r="M22" s="100">
        <f t="shared" si="8"/>
        <v>2.4457291604507252E-2</v>
      </c>
      <c r="N22" s="88"/>
      <c r="O22" s="45">
        <v>6</v>
      </c>
      <c r="P22" s="45">
        <v>7</v>
      </c>
      <c r="Q22" s="100">
        <f t="shared" si="9"/>
        <v>3.7563402631375599E-3</v>
      </c>
      <c r="R22" s="100">
        <v>3.5239999999999998E-3</v>
      </c>
      <c r="T22" s="27"/>
      <c r="U22" s="50">
        <f t="shared" si="10"/>
        <v>0</v>
      </c>
    </row>
    <row r="23" spans="1:21">
      <c r="A23" s="13" t="str">
        <f t="shared" si="0"/>
        <v>(7, 8]</v>
      </c>
      <c r="B23" s="89">
        <v>7134958</v>
      </c>
      <c r="C23" s="89">
        <v>5377533620</v>
      </c>
      <c r="D23" s="27">
        <f t="shared" si="1"/>
        <v>7.1349580000000003E-3</v>
      </c>
      <c r="E23" s="90">
        <f t="shared" si="2"/>
        <v>7.5368819550164128</v>
      </c>
      <c r="F23" s="91"/>
      <c r="G23" s="13" t="str">
        <f t="shared" si="3"/>
        <v>(7, 8]</v>
      </c>
      <c r="H23" s="86">
        <v>0.46169521950935094</v>
      </c>
      <c r="I23" s="27">
        <f t="shared" si="4"/>
        <v>3.2941759999999998E-3</v>
      </c>
      <c r="J23" s="27">
        <f t="shared" si="5"/>
        <v>3.2941759999999989E-3</v>
      </c>
      <c r="K23" s="87">
        <f t="shared" si="6"/>
        <v>3294176</v>
      </c>
      <c r="L23" s="100">
        <f t="shared" si="7"/>
        <v>3.266382320173818E-3</v>
      </c>
      <c r="M23" s="100">
        <f t="shared" si="8"/>
        <v>2.461833796710269E-2</v>
      </c>
      <c r="N23" s="88"/>
      <c r="O23" s="45">
        <v>7</v>
      </c>
      <c r="P23" s="45">
        <v>8</v>
      </c>
      <c r="Q23" s="100">
        <f t="shared" si="9"/>
        <v>3.266382320173818E-3</v>
      </c>
      <c r="R23" s="100">
        <v>3.9699999999999996E-3</v>
      </c>
      <c r="T23" s="27"/>
      <c r="U23" s="50">
        <f t="shared" si="10"/>
        <v>0</v>
      </c>
    </row>
    <row r="24" spans="1:21">
      <c r="A24" s="13" t="str">
        <f t="shared" si="0"/>
        <v>(8, 9]</v>
      </c>
      <c r="B24" s="89">
        <v>5766826</v>
      </c>
      <c r="C24" s="89">
        <v>4914562050</v>
      </c>
      <c r="D24" s="27">
        <f t="shared" si="1"/>
        <v>5.7668260000000001E-3</v>
      </c>
      <c r="E24" s="90">
        <f t="shared" si="2"/>
        <v>8.5221264695692227</v>
      </c>
      <c r="F24" s="91"/>
      <c r="G24" s="13" t="str">
        <f t="shared" si="3"/>
        <v>(8, 9]</v>
      </c>
      <c r="H24" s="86">
        <v>0.4867344705735876</v>
      </c>
      <c r="I24" s="27">
        <f t="shared" si="4"/>
        <v>2.8069129999999999E-3</v>
      </c>
      <c r="J24" s="27">
        <f t="shared" si="5"/>
        <v>2.8069129999999994E-3</v>
      </c>
      <c r="K24" s="87">
        <f t="shared" si="6"/>
        <v>2806913</v>
      </c>
      <c r="L24" s="100">
        <f t="shared" si="7"/>
        <v>2.7832304641482578E-3</v>
      </c>
      <c r="M24" s="100">
        <f t="shared" si="8"/>
        <v>2.37190420094293E-2</v>
      </c>
      <c r="N24" s="88"/>
      <c r="O24" s="45">
        <v>8</v>
      </c>
      <c r="P24" s="45">
        <v>9</v>
      </c>
      <c r="Q24" s="100">
        <f t="shared" si="9"/>
        <v>2.7832304641482578E-3</v>
      </c>
      <c r="R24" s="100">
        <v>3.2269999999999998E-3</v>
      </c>
      <c r="T24" s="27"/>
      <c r="U24" s="50">
        <f t="shared" si="10"/>
        <v>0</v>
      </c>
    </row>
    <row r="25" spans="1:21">
      <c r="A25" s="13" t="str">
        <f t="shared" si="0"/>
        <v>(9, 10]</v>
      </c>
      <c r="B25" s="89">
        <v>4689306</v>
      </c>
      <c r="C25" s="89">
        <v>4469552495</v>
      </c>
      <c r="D25" s="27">
        <f t="shared" si="1"/>
        <v>4.6893059999999999E-3</v>
      </c>
      <c r="E25" s="90">
        <f t="shared" si="2"/>
        <v>9.5313730752482346</v>
      </c>
      <c r="F25" s="91"/>
      <c r="G25" s="13" t="str">
        <f t="shared" si="3"/>
        <v>(9, 10]</v>
      </c>
      <c r="H25" s="86">
        <v>0.58833290043345432</v>
      </c>
      <c r="I25" s="27">
        <f t="shared" si="4"/>
        <v>2.7588729999999998E-3</v>
      </c>
      <c r="J25" s="27">
        <f t="shared" si="5"/>
        <v>2.7588729999999994E-3</v>
      </c>
      <c r="K25" s="87">
        <f t="shared" si="6"/>
        <v>2758873</v>
      </c>
      <c r="L25" s="100">
        <f t="shared" si="7"/>
        <v>2.7355957880832418E-3</v>
      </c>
      <c r="M25" s="100">
        <f t="shared" si="8"/>
        <v>2.6073984039299086E-2</v>
      </c>
      <c r="N25" s="88"/>
      <c r="O25" s="45">
        <v>9</v>
      </c>
      <c r="P25" s="45">
        <v>10</v>
      </c>
      <c r="Q25" s="100">
        <f t="shared" si="9"/>
        <v>2.7355957880832418E-3</v>
      </c>
      <c r="R25" s="100">
        <v>2.1020000000000001E-3</v>
      </c>
      <c r="T25" s="27"/>
      <c r="U25" s="50">
        <f t="shared" si="10"/>
        <v>0</v>
      </c>
    </row>
    <row r="26" spans="1:21">
      <c r="A26" s="13" t="str">
        <f t="shared" si="0"/>
        <v>(10, 15]</v>
      </c>
      <c r="B26" s="89">
        <v>16458688</v>
      </c>
      <c r="C26" s="89">
        <v>20262859505</v>
      </c>
      <c r="D26" s="27">
        <f t="shared" si="1"/>
        <v>1.6458687999999999E-2</v>
      </c>
      <c r="E26" s="90">
        <f t="shared" si="2"/>
        <v>12.311345536776686</v>
      </c>
      <c r="F26" s="91"/>
      <c r="G26" s="13" t="str">
        <f t="shared" si="3"/>
        <v>(10, 15]</v>
      </c>
      <c r="H26" s="86">
        <v>0.62462913204260273</v>
      </c>
      <c r="I26" s="27">
        <f t="shared" si="4"/>
        <v>1.0280576000000001E-2</v>
      </c>
      <c r="J26" s="27">
        <f t="shared" si="5"/>
        <v>1.0280576E-2</v>
      </c>
      <c r="K26" s="87">
        <f t="shared" si="6"/>
        <v>10280576</v>
      </c>
      <c r="L26" s="100">
        <f t="shared" si="7"/>
        <v>1.0193836542917946E-2</v>
      </c>
      <c r="M26" s="100">
        <f t="shared" si="8"/>
        <v>0.12549984402528394</v>
      </c>
      <c r="N26" s="88"/>
      <c r="O26" s="45">
        <v>10</v>
      </c>
      <c r="P26" s="45">
        <v>15</v>
      </c>
      <c r="Q26" s="100">
        <f t="shared" si="9"/>
        <v>1.0193836542917946E-2</v>
      </c>
      <c r="R26" s="100">
        <v>6.4320000000000002E-3</v>
      </c>
      <c r="T26" s="27"/>
      <c r="U26" s="50">
        <f t="shared" si="10"/>
        <v>0</v>
      </c>
    </row>
    <row r="27" spans="1:21">
      <c r="A27" s="13" t="str">
        <f t="shared" si="0"/>
        <v>(15, 20]</v>
      </c>
      <c r="B27" s="89">
        <v>9533587</v>
      </c>
      <c r="C27" s="89">
        <v>16541096140</v>
      </c>
      <c r="D27" s="27">
        <f t="shared" si="1"/>
        <v>9.5335869999999996E-3</v>
      </c>
      <c r="E27" s="90">
        <f t="shared" si="2"/>
        <v>17.350338482252273</v>
      </c>
      <c r="F27" s="91"/>
      <c r="G27" s="13" t="str">
        <f t="shared" si="3"/>
        <v>(15, 20]</v>
      </c>
      <c r="H27" s="86">
        <v>0.32897691078919195</v>
      </c>
      <c r="I27" s="27">
        <f t="shared" si="4"/>
        <v>3.1363300000000001E-3</v>
      </c>
      <c r="J27" s="27">
        <f t="shared" si="5"/>
        <v>3.1363299999999992E-3</v>
      </c>
      <c r="K27" s="87">
        <f t="shared" si="6"/>
        <v>3136330</v>
      </c>
      <c r="L27" s="100">
        <f t="shared" si="7"/>
        <v>3.10986810122797E-3</v>
      </c>
      <c r="M27" s="100">
        <f t="shared" si="8"/>
        <v>5.3957264191464453E-2</v>
      </c>
      <c r="N27" s="88"/>
      <c r="O27" s="45">
        <v>15</v>
      </c>
      <c r="P27" s="45">
        <v>20</v>
      </c>
      <c r="Q27" s="100">
        <f t="shared" si="9"/>
        <v>3.10986810122797E-3</v>
      </c>
      <c r="R27" s="100">
        <v>2.823E-3</v>
      </c>
      <c r="T27" s="27"/>
      <c r="U27" s="50">
        <f t="shared" si="10"/>
        <v>0</v>
      </c>
    </row>
    <row r="28" spans="1:21">
      <c r="A28" s="13" t="str">
        <f t="shared" si="0"/>
        <v>(20, 25]</v>
      </c>
      <c r="B28" s="89">
        <v>6177309</v>
      </c>
      <c r="C28" s="89">
        <v>13847458525</v>
      </c>
      <c r="D28" s="27">
        <f t="shared" si="1"/>
        <v>6.1773089999999998E-3</v>
      </c>
      <c r="E28" s="90">
        <f t="shared" si="2"/>
        <v>22.416651854391613</v>
      </c>
      <c r="F28" s="91"/>
      <c r="G28" s="13" t="str">
        <f t="shared" si="3"/>
        <v>(20, 25]</v>
      </c>
      <c r="H28" s="86">
        <v>0.40328596157323521</v>
      </c>
      <c r="I28" s="27">
        <f t="shared" si="4"/>
        <v>2.491222E-3</v>
      </c>
      <c r="J28" s="27">
        <f t="shared" si="5"/>
        <v>2.4912219999999995E-3</v>
      </c>
      <c r="K28" s="87">
        <f t="shared" si="6"/>
        <v>2491222</v>
      </c>
      <c r="L28" s="100">
        <f t="shared" si="7"/>
        <v>2.4702030178193452E-3</v>
      </c>
      <c r="M28" s="100">
        <f t="shared" si="8"/>
        <v>5.5373681060123782E-2</v>
      </c>
      <c r="N28" s="88"/>
      <c r="O28" s="45">
        <v>20</v>
      </c>
      <c r="P28" s="45">
        <v>25</v>
      </c>
      <c r="Q28" s="100">
        <f t="shared" si="9"/>
        <v>2.4702030178193452E-3</v>
      </c>
      <c r="R28" s="100">
        <v>1.6130000000000001E-3</v>
      </c>
      <c r="T28" s="27"/>
      <c r="U28" s="50">
        <f t="shared" si="10"/>
        <v>0</v>
      </c>
    </row>
    <row r="29" spans="1:21">
      <c r="A29" s="13" t="str">
        <f t="shared" si="0"/>
        <v>(25, 30]</v>
      </c>
      <c r="B29" s="89">
        <v>4284185</v>
      </c>
      <c r="C29" s="89">
        <v>11720617050</v>
      </c>
      <c r="D29" s="27">
        <f t="shared" si="1"/>
        <v>4.2841850000000002E-3</v>
      </c>
      <c r="E29" s="90">
        <f t="shared" si="2"/>
        <v>27.357868649463086</v>
      </c>
      <c r="F29" s="91"/>
      <c r="G29" s="13" t="str">
        <f t="shared" si="3"/>
        <v>(25, 30]</v>
      </c>
      <c r="H29" s="86">
        <v>0.45654354328769653</v>
      </c>
      <c r="I29" s="27">
        <f t="shared" si="4"/>
        <v>1.9559170000000002E-3</v>
      </c>
      <c r="J29" s="27">
        <f t="shared" si="5"/>
        <v>1.9559169999999997E-3</v>
      </c>
      <c r="K29" s="87">
        <f t="shared" si="6"/>
        <v>1955917</v>
      </c>
      <c r="L29" s="100">
        <f t="shared" si="7"/>
        <v>1.9394145026032043E-3</v>
      </c>
      <c r="M29" s="100">
        <f t="shared" si="8"/>
        <v>5.3058247219082248E-2</v>
      </c>
      <c r="N29" s="88"/>
      <c r="O29" s="45">
        <v>25</v>
      </c>
      <c r="P29" s="45">
        <v>30</v>
      </c>
      <c r="Q29" s="100">
        <f t="shared" si="9"/>
        <v>1.9394145026032043E-3</v>
      </c>
      <c r="R29" s="100">
        <v>1.3159999999999999E-3</v>
      </c>
      <c r="T29" s="27"/>
      <c r="U29" s="50">
        <f t="shared" si="10"/>
        <v>0</v>
      </c>
    </row>
    <row r="30" spans="1:21">
      <c r="A30" s="13" t="str">
        <f t="shared" si="0"/>
        <v>(30, 35]</v>
      </c>
      <c r="B30" s="89">
        <v>3019933</v>
      </c>
      <c r="C30" s="89">
        <v>9787573815</v>
      </c>
      <c r="D30" s="27">
        <f t="shared" si="1"/>
        <v>3.0199329999999998E-3</v>
      </c>
      <c r="E30" s="90">
        <f t="shared" si="2"/>
        <v>32.409903845548889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>
      <c r="A31" s="13" t="str">
        <f t="shared" si="0"/>
        <v>(35, 40]</v>
      </c>
      <c r="B31" s="89">
        <v>2320118</v>
      </c>
      <c r="C31" s="89">
        <v>8680968890</v>
      </c>
      <c r="D31" s="27">
        <f t="shared" si="1"/>
        <v>2.3201179999999999E-3</v>
      </c>
      <c r="E31" s="90">
        <f t="shared" si="2"/>
        <v>37.41606629490397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>
      <c r="A32" s="13" t="str">
        <f t="shared" si="0"/>
        <v>(40, 45]</v>
      </c>
      <c r="B32" s="89">
        <v>1700714</v>
      </c>
      <c r="C32" s="89">
        <v>7213356120</v>
      </c>
      <c r="D32" s="27">
        <f t="shared" si="1"/>
        <v>1.7007140000000001E-3</v>
      </c>
      <c r="E32" s="90">
        <f t="shared" si="2"/>
        <v>42.413692837243651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>
      <c r="A33" s="13" t="str">
        <f t="shared" si="0"/>
        <v>(45, 50]</v>
      </c>
      <c r="B33" s="89">
        <v>1324002</v>
      </c>
      <c r="C33" s="89">
        <v>6284776125</v>
      </c>
      <c r="D33" s="27">
        <f t="shared" si="1"/>
        <v>1.3240019999999999E-3</v>
      </c>
      <c r="E33" s="90">
        <f t="shared" si="2"/>
        <v>47.468025916879277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>
      <c r="A34" s="13" t="str">
        <f t="shared" si="0"/>
        <v>(50, 60]</v>
      </c>
      <c r="B34" s="89">
        <v>1847035</v>
      </c>
      <c r="C34" s="89">
        <v>10084132345</v>
      </c>
      <c r="D34" s="27">
        <f t="shared" si="1"/>
        <v>1.8470349999999999E-3</v>
      </c>
      <c r="E34" s="90">
        <f t="shared" si="2"/>
        <v>54.596325164385078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>
      <c r="A35" s="13" t="str">
        <f t="shared" si="0"/>
        <v>(60, 70]</v>
      </c>
      <c r="B35" s="89">
        <v>1173994</v>
      </c>
      <c r="C35" s="89">
        <v>7594701825</v>
      </c>
      <c r="D35" s="27">
        <f t="shared" si="1"/>
        <v>1.173994E-3</v>
      </c>
      <c r="E35" s="90">
        <f t="shared" si="2"/>
        <v>64.69114684572493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>
      <c r="A36" s="13" t="str">
        <f t="shared" si="0"/>
        <v>(70, 80]</v>
      </c>
      <c r="B36" s="89">
        <v>783561</v>
      </c>
      <c r="C36" s="89">
        <v>5852326655</v>
      </c>
      <c r="D36" s="27">
        <f t="shared" si="1"/>
        <v>7.83561E-4</v>
      </c>
      <c r="E36" s="90">
        <f t="shared" si="2"/>
        <v>74.688845603596917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>
      <c r="A37" s="13" t="str">
        <f t="shared" si="0"/>
        <v>(80, 90]</v>
      </c>
      <c r="B37" s="89">
        <v>514288</v>
      </c>
      <c r="C37" s="89">
        <v>4355235275</v>
      </c>
      <c r="D37" s="27">
        <f t="shared" si="1"/>
        <v>5.1428800000000001E-4</v>
      </c>
      <c r="E37" s="90">
        <f t="shared" si="2"/>
        <v>84.684753970537912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>
      <c r="A38" s="13" t="str">
        <f t="shared" si="0"/>
        <v>(90, 100]</v>
      </c>
      <c r="B38" s="89">
        <v>363270</v>
      </c>
      <c r="C38" s="89">
        <v>3443690050</v>
      </c>
      <c r="D38" s="27">
        <f t="shared" si="1"/>
        <v>3.6327000000000001E-4</v>
      </c>
      <c r="E38" s="90">
        <f t="shared" si="2"/>
        <v>94.796984336719248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>
      <c r="A39" s="13" t="str">
        <f t="shared" si="0"/>
        <v>(100, 120]</v>
      </c>
      <c r="B39" s="89">
        <v>428416</v>
      </c>
      <c r="C39" s="89">
        <v>4661097590</v>
      </c>
      <c r="D39" s="27">
        <f t="shared" si="1"/>
        <v>4.2841599999999999E-4</v>
      </c>
      <c r="E39" s="90">
        <f t="shared" si="2"/>
        <v>108.79840132021212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>
      <c r="A40" s="13" t="str">
        <f t="shared" si="0"/>
        <v>(120, 140]</v>
      </c>
      <c r="B40" s="89">
        <v>228606</v>
      </c>
      <c r="C40" s="89">
        <v>2949643405</v>
      </c>
      <c r="D40" s="27">
        <f t="shared" si="1"/>
        <v>2.2860600000000001E-4</v>
      </c>
      <c r="E40" s="90">
        <f t="shared" si="2"/>
        <v>129.02738357698396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>
      <c r="A41" s="13" t="str">
        <f t="shared" si="0"/>
        <v>(140, 160]</v>
      </c>
      <c r="B41" s="89">
        <v>124806</v>
      </c>
      <c r="C41" s="89">
        <v>1859796675</v>
      </c>
      <c r="D41" s="27">
        <f t="shared" si="1"/>
        <v>1.2480600000000001E-4</v>
      </c>
      <c r="E41" s="90">
        <f t="shared" si="2"/>
        <v>149.01500528820731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>
      <c r="A42" s="13" t="str">
        <f t="shared" si="0"/>
        <v>(160, 180]</v>
      </c>
      <c r="B42" s="89">
        <v>69153</v>
      </c>
      <c r="C42" s="89">
        <v>1168637345</v>
      </c>
      <c r="D42" s="27">
        <f t="shared" si="1"/>
        <v>6.9152999999999993E-5</v>
      </c>
      <c r="E42" s="90">
        <f t="shared" si="2"/>
        <v>168.99300753401877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>
      <c r="A43" s="13" t="str">
        <f t="shared" si="0"/>
        <v>(180, 200]</v>
      </c>
      <c r="B43" s="89">
        <v>44984</v>
      </c>
      <c r="C43" s="89">
        <v>851786160</v>
      </c>
      <c r="D43" s="27">
        <f t="shared" si="1"/>
        <v>4.4984000000000002E-5</v>
      </c>
      <c r="E43" s="90">
        <f t="shared" si="2"/>
        <v>189.35313889382891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>
      <c r="A44" s="13" t="str">
        <f t="shared" si="0"/>
        <v>(200, 250]</v>
      </c>
      <c r="B44" s="89">
        <v>47840</v>
      </c>
      <c r="C44" s="89">
        <v>1054156880</v>
      </c>
      <c r="D44" s="27">
        <f t="shared" si="1"/>
        <v>4.7840000000000003E-5</v>
      </c>
      <c r="E44" s="90">
        <f t="shared" si="2"/>
        <v>220.35051839464882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>
      <c r="A45" s="13" t="str">
        <f t="shared" si="0"/>
        <v>(250, 300]</v>
      </c>
      <c r="B45" s="89">
        <v>18019</v>
      </c>
      <c r="C45" s="89">
        <v>487888510</v>
      </c>
      <c r="D45" s="27">
        <f t="shared" si="1"/>
        <v>1.8019000000000001E-5</v>
      </c>
      <c r="E45" s="90">
        <f t="shared" si="2"/>
        <v>270.76336644652866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>
      <c r="A46" s="13" t="str">
        <f t="shared" si="0"/>
        <v>(300, 350]</v>
      </c>
      <c r="B46" s="89">
        <v>6545</v>
      </c>
      <c r="C46" s="89">
        <v>210151740</v>
      </c>
      <c r="D46" s="27">
        <f t="shared" si="1"/>
        <v>6.545E-6</v>
      </c>
      <c r="E46" s="90">
        <f t="shared" si="2"/>
        <v>321.08745607333844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9">
        <v>3388</v>
      </c>
      <c r="C47" s="89">
        <v>126557180</v>
      </c>
      <c r="D47" s="27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>
      <c r="A48" s="13" t="str">
        <f t="shared" si="11"/>
        <v>(400, 450]</v>
      </c>
      <c r="B48" s="89">
        <v>1445</v>
      </c>
      <c r="C48" s="89">
        <v>60909905</v>
      </c>
      <c r="D48" s="27">
        <f t="shared" si="12"/>
        <v>1.4449999999999999E-6</v>
      </c>
      <c r="E48" s="90">
        <f t="shared" si="13"/>
        <v>421.52183391003462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>
      <c r="A49" s="13" t="str">
        <f t="shared" si="11"/>
        <v>(450, 500]</v>
      </c>
      <c r="B49" s="89">
        <v>859</v>
      </c>
      <c r="C49" s="89">
        <v>40850940</v>
      </c>
      <c r="D49" s="27">
        <f t="shared" si="12"/>
        <v>8.5899999999999995E-7</v>
      </c>
      <c r="E49" s="90">
        <f t="shared" si="13"/>
        <v>475.56391152502908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>
      <c r="A50" s="13" t="str">
        <f t="shared" si="11"/>
        <v>(500, 550]</v>
      </c>
      <c r="B50" s="89">
        <v>461</v>
      </c>
      <c r="C50" s="89">
        <v>24059565</v>
      </c>
      <c r="D50" s="27">
        <f t="shared" si="12"/>
        <v>4.6100000000000001E-7</v>
      </c>
      <c r="E50" s="90">
        <f t="shared" si="13"/>
        <v>521.89945770065071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>
      <c r="A51" s="13" t="str">
        <f t="shared" si="11"/>
        <v>(550, 600]</v>
      </c>
      <c r="B51" s="89">
        <v>321</v>
      </c>
      <c r="C51" s="89">
        <v>18281215</v>
      </c>
      <c r="D51" s="27">
        <f t="shared" si="12"/>
        <v>3.2099999999999998E-7</v>
      </c>
      <c r="E51" s="90">
        <f t="shared" si="13"/>
        <v>569.50825545171347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>
      <c r="A52" s="13" t="str">
        <f t="shared" si="11"/>
        <v>(600, 650]</v>
      </c>
      <c r="B52" s="89">
        <v>135</v>
      </c>
      <c r="C52" s="89">
        <v>8432440</v>
      </c>
      <c r="D52" s="27">
        <f t="shared" si="12"/>
        <v>1.35E-7</v>
      </c>
      <c r="E52" s="90">
        <f t="shared" si="13"/>
        <v>624.62518518518516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>
      <c r="A53" s="13" t="str">
        <f t="shared" si="11"/>
        <v>(650, 700]</v>
      </c>
      <c r="B53" s="89">
        <v>74</v>
      </c>
      <c r="C53" s="89">
        <v>4951330</v>
      </c>
      <c r="D53" s="27">
        <f t="shared" si="12"/>
        <v>7.4000000000000001E-8</v>
      </c>
      <c r="E53" s="90">
        <f t="shared" si="13"/>
        <v>669.09864864864869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>
      <c r="A54" s="13" t="str">
        <f t="shared" si="11"/>
        <v>(700, 750]</v>
      </c>
      <c r="B54" s="89">
        <v>91</v>
      </c>
      <c r="C54" s="89">
        <v>6648350</v>
      </c>
      <c r="D54" s="27">
        <f t="shared" si="12"/>
        <v>9.0999999999999994E-8</v>
      </c>
      <c r="E54" s="90">
        <f t="shared" si="13"/>
        <v>730.58791208791217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>
      <c r="A55" s="13" t="str">
        <f t="shared" si="11"/>
        <v>(750, 800]</v>
      </c>
      <c r="B55" s="89">
        <v>59</v>
      </c>
      <c r="C55" s="89">
        <v>4532570</v>
      </c>
      <c r="D55" s="27">
        <f t="shared" si="12"/>
        <v>5.8999999999999999E-8</v>
      </c>
      <c r="E55" s="90">
        <f t="shared" si="13"/>
        <v>768.23220338983049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>
      <c r="A56" s="13" t="str">
        <f t="shared" si="11"/>
        <v>(800, 850]</v>
      </c>
      <c r="B56" s="89">
        <v>38</v>
      </c>
      <c r="C56" s="89">
        <v>3142735</v>
      </c>
      <c r="D56" s="27">
        <f t="shared" si="12"/>
        <v>3.8000000000000003E-8</v>
      </c>
      <c r="E56" s="90">
        <f t="shared" si="13"/>
        <v>827.03552631578941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>
      <c r="A57" s="13" t="str">
        <f t="shared" si="11"/>
        <v>(850, 900]</v>
      </c>
      <c r="B57" s="89">
        <v>11</v>
      </c>
      <c r="C57" s="89">
        <v>959050</v>
      </c>
      <c r="D57" s="27">
        <f t="shared" si="12"/>
        <v>1.0999999999999999E-8</v>
      </c>
      <c r="E57" s="90">
        <f t="shared" si="13"/>
        <v>871.86363636363637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>
      <c r="A58" s="13" t="str">
        <f t="shared" si="11"/>
        <v>(900, 950]</v>
      </c>
      <c r="B58" s="89">
        <v>16</v>
      </c>
      <c r="C58" s="89">
        <v>1478095</v>
      </c>
      <c r="D58" s="27">
        <f t="shared" si="12"/>
        <v>1.6000000000000001E-8</v>
      </c>
      <c r="E58" s="90">
        <f t="shared" si="13"/>
        <v>923.80937500000005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>
      <c r="A59" s="13" t="str">
        <f t="shared" si="11"/>
        <v>(950, 1000]</v>
      </c>
      <c r="B59" s="89">
        <v>13</v>
      </c>
      <c r="C59" s="89">
        <v>1274470</v>
      </c>
      <c r="D59" s="27">
        <f t="shared" si="12"/>
        <v>1.3000000000000001E-8</v>
      </c>
      <c r="E59" s="90">
        <f t="shared" si="13"/>
        <v>980.36153846153843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>
      <c r="A60" s="13" t="str">
        <f t="shared" si="11"/>
        <v>(1000, 2000]</v>
      </c>
      <c r="B60" s="89">
        <v>30</v>
      </c>
      <c r="C60" s="89">
        <v>3442955</v>
      </c>
      <c r="D60" s="27">
        <f t="shared" si="12"/>
        <v>2.9999999999999997E-8</v>
      </c>
      <c r="E60" s="90">
        <f t="shared" si="13"/>
        <v>1147.6516666666666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>
      <c r="A79" s="13" t="s">
        <v>19</v>
      </c>
      <c r="B79" s="89">
        <v>8151198</v>
      </c>
      <c r="C79" s="89">
        <v>2052645005</v>
      </c>
      <c r="D79" s="27">
        <f>B79/B13</f>
        <v>8.1511980000000001E-3</v>
      </c>
      <c r="E79" s="90">
        <f t="shared" si="13"/>
        <v>2.5182126664080546</v>
      </c>
      <c r="F79" s="91"/>
      <c r="G79" s="13" t="s">
        <v>19</v>
      </c>
      <c r="H79" s="86">
        <v>1.0438968603142751</v>
      </c>
      <c r="I79" s="27">
        <f t="shared" ref="I79" si="22">D79*H79</f>
        <v>8.5090099999999991E-3</v>
      </c>
      <c r="J79" s="27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2.1246708307140264E-2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10</v>
      </c>
      <c r="B82" s="63" t="s">
        <v>19</v>
      </c>
      <c r="C82" s="63"/>
      <c r="D82" s="82"/>
      <c r="E82" s="59"/>
      <c r="F82" s="60"/>
      <c r="G82" s="63" t="s">
        <v>10</v>
      </c>
      <c r="H82" s="63" t="s">
        <v>19</v>
      </c>
      <c r="I82" s="58"/>
      <c r="J82" s="58"/>
      <c r="K82" s="61"/>
      <c r="L82" s="99"/>
      <c r="M82" s="99"/>
      <c r="N82" s="60"/>
      <c r="O82" s="63" t="s">
        <v>10</v>
      </c>
      <c r="P82" s="63" t="s">
        <v>19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101</v>
      </c>
      <c r="B84" s="48"/>
      <c r="C84" s="1"/>
      <c r="D84" s="1"/>
      <c r="E84" s="1"/>
      <c r="G84" s="48" t="s">
        <v>102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20</v>
      </c>
      <c r="B85" s="9" t="s">
        <v>103</v>
      </c>
      <c r="C85" s="9" t="s">
        <v>104</v>
      </c>
      <c r="D85" s="9" t="s">
        <v>95</v>
      </c>
      <c r="E85" s="9" t="s">
        <v>105</v>
      </c>
      <c r="G85" s="9" t="s">
        <v>20</v>
      </c>
      <c r="H85" s="9" t="s">
        <v>106</v>
      </c>
      <c r="I85" s="9" t="s">
        <v>107</v>
      </c>
      <c r="J85" s="9" t="s">
        <v>108</v>
      </c>
      <c r="K85" s="9" t="s">
        <v>109</v>
      </c>
      <c r="L85" s="9" t="s">
        <v>95</v>
      </c>
      <c r="M85" s="9" t="s">
        <v>110</v>
      </c>
      <c r="O85" s="9" t="s">
        <v>111</v>
      </c>
      <c r="P85" s="9" t="s">
        <v>112</v>
      </c>
      <c r="Q85" s="9" t="s">
        <v>113</v>
      </c>
      <c r="R85" s="9" t="s">
        <v>114</v>
      </c>
      <c r="T85" s="12" t="s">
        <v>113</v>
      </c>
      <c r="U85" s="12" t="s">
        <v>115</v>
      </c>
    </row>
    <row r="86" spans="1:21">
      <c r="A86" s="13" t="str">
        <f t="shared" ref="A86:A117" si="26">"("&amp;$O86&amp;", "&amp;$P86&amp;"]"</f>
        <v>(-1, 0]</v>
      </c>
      <c r="B86" s="84">
        <v>55218</v>
      </c>
      <c r="C86" s="84">
        <v>0</v>
      </c>
      <c r="D86" s="27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84581</v>
      </c>
      <c r="C87" s="89">
        <v>4760560</v>
      </c>
      <c r="D87" s="27">
        <f t="shared" si="27"/>
        <v>1.0112446734829028E-2</v>
      </c>
      <c r="E87" s="90">
        <f t="shared" si="28"/>
        <v>0.56284035421666812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64013</v>
      </c>
      <c r="C88" s="89">
        <v>10029540</v>
      </c>
      <c r="D88" s="27">
        <f t="shared" si="27"/>
        <v>7.6533506678404207E-3</v>
      </c>
      <c r="E88" s="90">
        <f t="shared" si="28"/>
        <v>1.566797369284364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55751</v>
      </c>
      <c r="C89" s="89">
        <v>14330930</v>
      </c>
      <c r="D89" s="27">
        <f t="shared" si="27"/>
        <v>6.6655515767542733E-3</v>
      </c>
      <c r="E89" s="90">
        <f t="shared" si="28"/>
        <v>2.5705242955283314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49939</v>
      </c>
      <c r="C90" s="89">
        <v>17889880</v>
      </c>
      <c r="D90" s="27">
        <f t="shared" si="27"/>
        <v>5.9706728164791957E-3</v>
      </c>
      <c r="E90" s="90">
        <f t="shared" si="28"/>
        <v>3.5823464626844754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47937</v>
      </c>
      <c r="C91" s="89">
        <v>21917950</v>
      </c>
      <c r="D91" s="27">
        <f t="shared" si="27"/>
        <v>5.7313150604450074E-3</v>
      </c>
      <c r="E91" s="90">
        <f t="shared" si="28"/>
        <v>4.5722406491853897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46015</v>
      </c>
      <c r="C92" s="89">
        <v>25632270</v>
      </c>
      <c r="D92" s="27">
        <f t="shared" si="27"/>
        <v>5.5015220499066899E-3</v>
      </c>
      <c r="E92" s="90">
        <f t="shared" si="28"/>
        <v>5.5704161686406612</v>
      </c>
      <c r="F92" s="88"/>
      <c r="G92" s="13" t="str">
        <f t="shared" si="29"/>
        <v>(5, 6]</v>
      </c>
      <c r="H92" s="86">
        <v>7.8182871230570683</v>
      </c>
      <c r="I92" s="27">
        <f t="shared" si="30"/>
        <v>4.3012478999999999E-2</v>
      </c>
      <c r="J92" s="27">
        <f t="shared" si="31"/>
        <v>4.3012478999999999E-2</v>
      </c>
      <c r="K92" s="87">
        <f t="shared" si="32"/>
        <v>43012479</v>
      </c>
      <c r="L92" s="100">
        <f t="shared" si="33"/>
        <v>4.3012478999999999E-2</v>
      </c>
      <c r="M92" s="100">
        <f t="shared" si="34"/>
        <v>0.2395974084749169</v>
      </c>
      <c r="N92" s="67"/>
      <c r="O92" s="45">
        <v>5</v>
      </c>
      <c r="P92" s="45">
        <v>6</v>
      </c>
      <c r="Q92" s="100">
        <f t="shared" si="35"/>
        <v>4.3012478999999999E-2</v>
      </c>
      <c r="R92" s="100">
        <v>6.8970000000000004E-3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43596</v>
      </c>
      <c r="C93" s="89">
        <v>28617500</v>
      </c>
      <c r="D93" s="27">
        <f t="shared" si="27"/>
        <v>5.2123080579752701E-3</v>
      </c>
      <c r="E93" s="90">
        <f t="shared" si="28"/>
        <v>6.5642490136709783</v>
      </c>
      <c r="F93" s="88"/>
      <c r="G93" s="13" t="str">
        <f t="shared" si="29"/>
        <v>(6, 7]</v>
      </c>
      <c r="H93" s="86">
        <v>7.0431855891227864</v>
      </c>
      <c r="I93" s="27">
        <f t="shared" si="30"/>
        <v>3.6711252999999999E-2</v>
      </c>
      <c r="J93" s="27">
        <f t="shared" si="31"/>
        <v>3.6711252999999999E-2</v>
      </c>
      <c r="K93" s="87">
        <f t="shared" si="32"/>
        <v>36711253</v>
      </c>
      <c r="L93" s="100">
        <f t="shared" si="33"/>
        <v>3.6711252999999999E-2</v>
      </c>
      <c r="M93" s="100">
        <f t="shared" si="34"/>
        <v>0.24098180629587573</v>
      </c>
      <c r="N93" s="88"/>
      <c r="O93" s="45">
        <v>6</v>
      </c>
      <c r="P93" s="45">
        <v>7</v>
      </c>
      <c r="Q93" s="100">
        <f t="shared" si="35"/>
        <v>3.6711252999999999E-2</v>
      </c>
      <c r="R93" s="100">
        <v>2.069E-2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43437</v>
      </c>
      <c r="C94" s="89">
        <v>32884090</v>
      </c>
      <c r="D94" s="27">
        <f t="shared" si="27"/>
        <v>5.1932981263022255E-3</v>
      </c>
      <c r="E94" s="90">
        <f t="shared" si="28"/>
        <v>7.5705251283468007</v>
      </c>
      <c r="F94" s="88"/>
      <c r="G94" s="13" t="str">
        <f t="shared" si="29"/>
        <v>(7, 8]</v>
      </c>
      <c r="H94" s="86">
        <v>7.5043032485695598</v>
      </c>
      <c r="I94" s="27">
        <f t="shared" si="30"/>
        <v>3.8972083999999997E-2</v>
      </c>
      <c r="J94" s="27">
        <f t="shared" si="31"/>
        <v>3.8972083999999997E-2</v>
      </c>
      <c r="K94" s="87">
        <f t="shared" si="32"/>
        <v>38972084</v>
      </c>
      <c r="L94" s="100">
        <f t="shared" si="33"/>
        <v>3.8972083999999997E-2</v>
      </c>
      <c r="M94" s="100">
        <f t="shared" si="34"/>
        <v>0.2950391412260423</v>
      </c>
      <c r="N94" s="88"/>
      <c r="O94" s="45">
        <v>7</v>
      </c>
      <c r="P94" s="45">
        <v>8</v>
      </c>
      <c r="Q94" s="100">
        <f t="shared" si="35"/>
        <v>3.8972083999999997E-2</v>
      </c>
      <c r="R94" s="100">
        <v>0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42950</v>
      </c>
      <c r="C95" s="89">
        <v>36789480</v>
      </c>
      <c r="D95" s="27">
        <f t="shared" si="27"/>
        <v>5.135072738096106E-3</v>
      </c>
      <c r="E95" s="90">
        <f t="shared" si="28"/>
        <v>8.5656530849825376</v>
      </c>
      <c r="F95" s="88"/>
      <c r="G95" s="13" t="str">
        <f t="shared" si="29"/>
        <v>(8, 9]</v>
      </c>
      <c r="H95" s="86">
        <v>7.2045002840050527</v>
      </c>
      <c r="I95" s="27">
        <f t="shared" si="30"/>
        <v>3.6995633E-2</v>
      </c>
      <c r="J95" s="27">
        <f t="shared" si="31"/>
        <v>3.6995633E-2</v>
      </c>
      <c r="K95" s="87">
        <f t="shared" si="32"/>
        <v>36995633</v>
      </c>
      <c r="L95" s="100">
        <f t="shared" si="33"/>
        <v>3.6995633E-2</v>
      </c>
      <c r="M95" s="100">
        <f t="shared" si="34"/>
        <v>0.31689175793733176</v>
      </c>
      <c r="N95" s="88"/>
      <c r="O95" s="45">
        <v>8</v>
      </c>
      <c r="P95" s="45">
        <v>9</v>
      </c>
      <c r="Q95" s="100">
        <f t="shared" si="35"/>
        <v>3.6995633E-2</v>
      </c>
      <c r="R95" s="100">
        <v>6.8970000000000004E-3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42155</v>
      </c>
      <c r="C96" s="89">
        <v>40319540</v>
      </c>
      <c r="D96" s="27">
        <f t="shared" si="27"/>
        <v>5.0400230797308819E-3</v>
      </c>
      <c r="E96" s="90">
        <f t="shared" si="28"/>
        <v>9.5645925750207574</v>
      </c>
      <c r="F96" s="88"/>
      <c r="G96" s="13" t="str">
        <f t="shared" si="29"/>
        <v>(9, 10]</v>
      </c>
      <c r="H96" s="86">
        <v>7.7813056368174598</v>
      </c>
      <c r="I96" s="27">
        <f t="shared" si="30"/>
        <v>3.9217960000000003E-2</v>
      </c>
      <c r="J96" s="27">
        <f t="shared" si="31"/>
        <v>3.9217960000000003E-2</v>
      </c>
      <c r="K96" s="87">
        <f t="shared" si="32"/>
        <v>39217960</v>
      </c>
      <c r="L96" s="100">
        <f t="shared" si="33"/>
        <v>3.9217960000000003E-2</v>
      </c>
      <c r="M96" s="100">
        <f t="shared" si="34"/>
        <v>0.37510380902346108</v>
      </c>
      <c r="N96" s="88"/>
      <c r="O96" s="45">
        <v>9</v>
      </c>
      <c r="P96" s="45">
        <v>10</v>
      </c>
      <c r="Q96" s="100">
        <f t="shared" si="35"/>
        <v>3.9217960000000003E-2</v>
      </c>
      <c r="R96" s="100">
        <v>0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202809</v>
      </c>
      <c r="C97" s="89">
        <v>254308990</v>
      </c>
      <c r="D97" s="27">
        <f t="shared" si="27"/>
        <v>2.4247705865902986E-2</v>
      </c>
      <c r="E97" s="90">
        <f t="shared" si="28"/>
        <v>12.539334546297255</v>
      </c>
      <c r="F97" s="88"/>
      <c r="G97" s="13" t="str">
        <f t="shared" si="29"/>
        <v>(10, 15]</v>
      </c>
      <c r="H97" s="86">
        <v>6.8625872864118556</v>
      </c>
      <c r="I97" s="27">
        <f t="shared" si="30"/>
        <v>0.166401998</v>
      </c>
      <c r="J97" s="27">
        <f t="shared" si="31"/>
        <v>0.166401998</v>
      </c>
      <c r="K97" s="87">
        <f t="shared" si="32"/>
        <v>166401998</v>
      </c>
      <c r="L97" s="100">
        <f t="shared" si="33"/>
        <v>0.166401998</v>
      </c>
      <c r="M97" s="100">
        <f t="shared" si="34"/>
        <v>2.0865703220942868</v>
      </c>
      <c r="N97" s="88"/>
      <c r="O97" s="45">
        <v>10</v>
      </c>
      <c r="P97" s="45">
        <v>15</v>
      </c>
      <c r="Q97" s="100">
        <f t="shared" si="35"/>
        <v>0.166401998</v>
      </c>
      <c r="R97" s="100">
        <v>6.2068999999999999E-2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194393</v>
      </c>
      <c r="C98" s="89">
        <v>341185810</v>
      </c>
      <c r="D98" s="27">
        <f t="shared" si="27"/>
        <v>2.3241494639737285E-2</v>
      </c>
      <c r="E98" s="90">
        <f t="shared" si="28"/>
        <v>17.551342383727807</v>
      </c>
      <c r="F98" s="88"/>
      <c r="G98" s="13" t="str">
        <f t="shared" si="29"/>
        <v>(15, 20]</v>
      </c>
      <c r="H98" s="86">
        <v>4.8304741472198636</v>
      </c>
      <c r="I98" s="27">
        <f t="shared" si="30"/>
        <v>0.112267439</v>
      </c>
      <c r="J98" s="27">
        <f t="shared" si="31"/>
        <v>0.112267439</v>
      </c>
      <c r="K98" s="87">
        <f t="shared" si="32"/>
        <v>112267439</v>
      </c>
      <c r="L98" s="100">
        <f t="shared" si="33"/>
        <v>0.112267439</v>
      </c>
      <c r="M98" s="100">
        <f t="shared" si="34"/>
        <v>1.9704442604332761</v>
      </c>
      <c r="N98" s="88"/>
      <c r="O98" s="45">
        <v>15</v>
      </c>
      <c r="P98" s="45">
        <v>20</v>
      </c>
      <c r="Q98" s="100">
        <f t="shared" si="35"/>
        <v>0.112267439</v>
      </c>
      <c r="R98" s="100">
        <v>2.7585999999999999E-2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188251</v>
      </c>
      <c r="C99" s="89">
        <v>424612980</v>
      </c>
      <c r="D99" s="27">
        <f t="shared" si="27"/>
        <v>2.2507161304291739E-2</v>
      </c>
      <c r="E99" s="90">
        <f t="shared" si="28"/>
        <v>22.555682572735336</v>
      </c>
      <c r="F99" s="88"/>
      <c r="G99" s="13" t="str">
        <f t="shared" si="29"/>
        <v>(20, 25]</v>
      </c>
      <c r="H99" s="86">
        <v>4.5997311078167442</v>
      </c>
      <c r="I99" s="27">
        <f t="shared" si="30"/>
        <v>0.10352689</v>
      </c>
      <c r="J99" s="27">
        <f t="shared" si="31"/>
        <v>0.10352689</v>
      </c>
      <c r="K99" s="87">
        <f t="shared" si="32"/>
        <v>103526890</v>
      </c>
      <c r="L99" s="100">
        <f t="shared" si="33"/>
        <v>0.10352689</v>
      </c>
      <c r="M99" s="100">
        <f t="shared" si="34"/>
        <v>2.3351196685824882</v>
      </c>
      <c r="N99" s="88"/>
      <c r="O99" s="45">
        <v>20</v>
      </c>
      <c r="P99" s="45">
        <v>25</v>
      </c>
      <c r="Q99" s="100">
        <f t="shared" si="35"/>
        <v>0.10352689</v>
      </c>
      <c r="R99" s="100">
        <v>2.069E-2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184695</v>
      </c>
      <c r="C100" s="89">
        <v>508784530</v>
      </c>
      <c r="D100" s="27">
        <f t="shared" si="27"/>
        <v>2.2082008367000239E-2</v>
      </c>
      <c r="E100" s="90">
        <f t="shared" si="28"/>
        <v>27.547282276185062</v>
      </c>
      <c r="F100" s="88"/>
      <c r="G100" s="13" t="str">
        <f t="shared" si="29"/>
        <v>(25, 30]</v>
      </c>
      <c r="H100" s="86">
        <v>3.491860962938071</v>
      </c>
      <c r="I100" s="27">
        <f t="shared" si="30"/>
        <v>7.7107303000000002E-2</v>
      </c>
      <c r="J100" s="27">
        <f t="shared" si="31"/>
        <v>7.7107303000000002E-2</v>
      </c>
      <c r="K100" s="87">
        <f t="shared" si="32"/>
        <v>77107303</v>
      </c>
      <c r="L100" s="100">
        <f t="shared" si="33"/>
        <v>7.7107303000000002E-2</v>
      </c>
      <c r="M100" s="100">
        <f t="shared" si="34"/>
        <v>2.1240966412963314</v>
      </c>
      <c r="N100" s="88"/>
      <c r="O100" s="45">
        <v>25</v>
      </c>
      <c r="P100" s="45">
        <v>30</v>
      </c>
      <c r="Q100" s="100">
        <f t="shared" si="35"/>
        <v>7.7107303000000002E-2</v>
      </c>
      <c r="R100" s="100">
        <v>8.9654999999999999E-2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180804</v>
      </c>
      <c r="C101" s="89">
        <v>588557320</v>
      </c>
      <c r="D101" s="27">
        <f t="shared" si="27"/>
        <v>2.1616803057944781E-2</v>
      </c>
      <c r="E101" s="90">
        <f t="shared" si="28"/>
        <v>32.552228932988207</v>
      </c>
      <c r="F101" s="88"/>
      <c r="G101" s="13" t="str">
        <f t="shared" si="29"/>
        <v>(30, 35]</v>
      </c>
      <c r="H101" s="86">
        <v>2.9798803193669055</v>
      </c>
      <c r="I101" s="27">
        <f t="shared" si="30"/>
        <v>6.4415485999999994E-2</v>
      </c>
      <c r="J101" s="27">
        <f t="shared" si="31"/>
        <v>6.4415485999999994E-2</v>
      </c>
      <c r="K101" s="87">
        <f t="shared" si="32"/>
        <v>64415486</v>
      </c>
      <c r="L101" s="100">
        <f t="shared" si="33"/>
        <v>6.4415485999999994E-2</v>
      </c>
      <c r="M101" s="100">
        <f t="shared" si="34"/>
        <v>2.0968676471016967</v>
      </c>
      <c r="N101" s="88"/>
      <c r="O101" s="45">
        <v>30</v>
      </c>
      <c r="P101" s="45">
        <v>35</v>
      </c>
      <c r="Q101" s="100">
        <f t="shared" si="35"/>
        <v>6.4415485999999994E-2</v>
      </c>
      <c r="R101" s="100">
        <v>3.4483E-2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177130</v>
      </c>
      <c r="C102" s="89">
        <v>665155830</v>
      </c>
      <c r="D102" s="27">
        <f t="shared" si="27"/>
        <v>2.1177542121046875E-2</v>
      </c>
      <c r="E102" s="90">
        <f t="shared" si="28"/>
        <v>37.55184497261898</v>
      </c>
      <c r="F102" s="88"/>
      <c r="G102" s="13" t="str">
        <f t="shared" si="29"/>
        <v>(35, 40]</v>
      </c>
      <c r="H102" s="86">
        <v>2.7368804967408007</v>
      </c>
      <c r="I102" s="27">
        <f t="shared" si="30"/>
        <v>5.7960402000000001E-2</v>
      </c>
      <c r="J102" s="27">
        <f t="shared" si="31"/>
        <v>5.7960402000000001E-2</v>
      </c>
      <c r="K102" s="87">
        <f t="shared" si="32"/>
        <v>57960402</v>
      </c>
      <c r="L102" s="100">
        <f t="shared" si="33"/>
        <v>5.7960402000000001E-2</v>
      </c>
      <c r="M102" s="100">
        <f t="shared" si="34"/>
        <v>2.1765200304546752</v>
      </c>
      <c r="N102" s="88"/>
      <c r="O102" s="45">
        <v>35</v>
      </c>
      <c r="P102" s="45">
        <v>40</v>
      </c>
      <c r="Q102" s="100">
        <f t="shared" si="35"/>
        <v>5.7960402000000001E-2</v>
      </c>
      <c r="R102" s="100">
        <v>6.2068999999999999E-2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174735</v>
      </c>
      <c r="C103" s="89">
        <v>743586950</v>
      </c>
      <c r="D103" s="27">
        <f t="shared" si="27"/>
        <v>2.0891197552764217E-2</v>
      </c>
      <c r="E103" s="90">
        <f t="shared" si="28"/>
        <v>42.555123472687207</v>
      </c>
      <c r="F103" s="88"/>
      <c r="G103" s="13" t="str">
        <f t="shared" si="29"/>
        <v>(40, 45]</v>
      </c>
      <c r="H103" s="86">
        <v>2.7636175884211465</v>
      </c>
      <c r="I103" s="27">
        <f t="shared" si="30"/>
        <v>5.7735280999999999E-2</v>
      </c>
      <c r="J103" s="27">
        <f t="shared" si="31"/>
        <v>5.7735280999999999E-2</v>
      </c>
      <c r="K103" s="87">
        <f t="shared" si="32"/>
        <v>57735281</v>
      </c>
      <c r="L103" s="100">
        <f t="shared" si="33"/>
        <v>5.7735280999999999E-2</v>
      </c>
      <c r="M103" s="100">
        <f t="shared" si="34"/>
        <v>2.4569320116852915</v>
      </c>
      <c r="N103" s="88"/>
      <c r="O103" s="45">
        <v>40</v>
      </c>
      <c r="P103" s="45">
        <v>45</v>
      </c>
      <c r="Q103" s="100">
        <f t="shared" si="35"/>
        <v>5.7735280999999999E-2</v>
      </c>
      <c r="R103" s="100">
        <v>5.5171999999999999E-2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171139</v>
      </c>
      <c r="C104" s="89">
        <v>813719490</v>
      </c>
      <c r="D104" s="27">
        <f t="shared" si="27"/>
        <v>2.0461262242724786E-2</v>
      </c>
      <c r="E104" s="90">
        <f t="shared" si="28"/>
        <v>47.547285539824351</v>
      </c>
      <c r="F104" s="88"/>
      <c r="G104" s="13" t="str">
        <f t="shared" si="29"/>
        <v>(45, 50]</v>
      </c>
      <c r="H104" s="86">
        <v>2.2584254310327569</v>
      </c>
      <c r="I104" s="27">
        <f t="shared" si="30"/>
        <v>4.6210235000000002E-2</v>
      </c>
      <c r="J104" s="27">
        <f t="shared" si="31"/>
        <v>4.6210235000000002E-2</v>
      </c>
      <c r="K104" s="87">
        <f t="shared" si="32"/>
        <v>46210235</v>
      </c>
      <c r="L104" s="100">
        <f t="shared" si="33"/>
        <v>4.6210235000000002E-2</v>
      </c>
      <c r="M104" s="100">
        <f t="shared" si="34"/>
        <v>2.1971712384073854</v>
      </c>
      <c r="N104" s="88"/>
      <c r="O104" s="45">
        <v>45</v>
      </c>
      <c r="P104" s="45">
        <v>50</v>
      </c>
      <c r="Q104" s="100">
        <f t="shared" si="35"/>
        <v>4.6210235000000002E-2</v>
      </c>
      <c r="R104" s="100">
        <v>4.8275999999999999E-2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334569</v>
      </c>
      <c r="C105" s="89">
        <v>1841082090</v>
      </c>
      <c r="D105" s="27">
        <f t="shared" si="27"/>
        <v>4.0000841697603637E-2</v>
      </c>
      <c r="E105" s="90">
        <f t="shared" si="28"/>
        <v>55.028472153726135</v>
      </c>
      <c r="F105" s="88"/>
      <c r="G105" s="13" t="str">
        <f t="shared" si="29"/>
        <v>(50, 60]</v>
      </c>
      <c r="H105" s="86">
        <v>1.2975561462525278</v>
      </c>
      <c r="I105" s="27">
        <f t="shared" si="30"/>
        <v>5.1903338E-2</v>
      </c>
      <c r="J105" s="27">
        <f t="shared" si="31"/>
        <v>5.1903338E-2</v>
      </c>
      <c r="K105" s="87">
        <f t="shared" si="32"/>
        <v>51903338</v>
      </c>
      <c r="L105" s="100">
        <f t="shared" si="33"/>
        <v>5.1903338E-2</v>
      </c>
      <c r="M105" s="100">
        <f t="shared" si="34"/>
        <v>2.8561613898184355</v>
      </c>
      <c r="N105" s="88"/>
      <c r="O105" s="45">
        <v>50</v>
      </c>
      <c r="P105" s="45">
        <v>60</v>
      </c>
      <c r="Q105" s="100">
        <f t="shared" si="35"/>
        <v>5.1903338E-2</v>
      </c>
      <c r="R105" s="100">
        <v>4.8275999999999999E-2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324502</v>
      </c>
      <c r="C106" s="89">
        <v>2110213430</v>
      </c>
      <c r="D106" s="27">
        <f t="shared" si="27"/>
        <v>3.8797238036266883E-2</v>
      </c>
      <c r="E106" s="90">
        <f t="shared" si="28"/>
        <v>65.029288879575475</v>
      </c>
      <c r="F106" s="88"/>
      <c r="G106" s="13" t="str">
        <f t="shared" si="29"/>
        <v>(60, 70]</v>
      </c>
      <c r="H106" s="86">
        <v>0.56341384352068402</v>
      </c>
      <c r="I106" s="27">
        <f t="shared" si="30"/>
        <v>2.1858901E-2</v>
      </c>
      <c r="J106" s="27">
        <f t="shared" si="31"/>
        <v>2.1858901E-2</v>
      </c>
      <c r="K106" s="87">
        <f t="shared" si="32"/>
        <v>21858901</v>
      </c>
      <c r="L106" s="100">
        <f t="shared" si="33"/>
        <v>2.1858901E-2</v>
      </c>
      <c r="M106" s="100">
        <f t="shared" si="34"/>
        <v>1.4214687877190413</v>
      </c>
      <c r="N106" s="88"/>
      <c r="O106" s="45">
        <v>60</v>
      </c>
      <c r="P106" s="45">
        <v>70</v>
      </c>
      <c r="Q106" s="100">
        <f t="shared" si="35"/>
        <v>2.1858901E-2</v>
      </c>
      <c r="R106" s="100">
        <v>6.8966E-2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313591</v>
      </c>
      <c r="C107" s="89">
        <v>2352848560</v>
      </c>
      <c r="D107" s="27">
        <f t="shared" si="27"/>
        <v>3.7492726309948689E-2</v>
      </c>
      <c r="E107" s="90">
        <f t="shared" si="28"/>
        <v>75.029211935291514</v>
      </c>
      <c r="F107" s="88"/>
      <c r="G107" s="13" t="str">
        <f t="shared" si="29"/>
        <v>(70, 80]</v>
      </c>
      <c r="H107" s="86">
        <v>0.41864090837894263</v>
      </c>
      <c r="I107" s="27">
        <f t="shared" si="30"/>
        <v>1.5695989E-2</v>
      </c>
      <c r="J107" s="27">
        <f t="shared" si="31"/>
        <v>1.5695989E-2</v>
      </c>
      <c r="K107" s="87">
        <f t="shared" si="32"/>
        <v>15695989</v>
      </c>
      <c r="L107" s="100">
        <f t="shared" si="33"/>
        <v>1.5695989E-2</v>
      </c>
      <c r="M107" s="100">
        <f t="shared" si="34"/>
        <v>1.1776576852150042</v>
      </c>
      <c r="N107" s="88"/>
      <c r="O107" s="45">
        <v>70</v>
      </c>
      <c r="P107" s="45">
        <v>80</v>
      </c>
      <c r="Q107" s="100">
        <f t="shared" si="35"/>
        <v>1.5695989E-2</v>
      </c>
      <c r="R107" s="100">
        <v>3.4483E-2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302583</v>
      </c>
      <c r="C108" s="89">
        <v>2572701950</v>
      </c>
      <c r="D108" s="27">
        <f t="shared" si="27"/>
        <v>3.6176617329716741E-2</v>
      </c>
      <c r="E108" s="90">
        <f t="shared" si="28"/>
        <v>85.024669264301025</v>
      </c>
      <c r="F108" s="88"/>
      <c r="G108" s="13" t="str">
        <f t="shared" si="29"/>
        <v>(80, 90]</v>
      </c>
      <c r="H108" s="86">
        <v>0.29826365195113408</v>
      </c>
      <c r="I108" s="27">
        <f t="shared" si="30"/>
        <v>1.079017E-2</v>
      </c>
      <c r="J108" s="27">
        <f t="shared" si="31"/>
        <v>1.079017E-2</v>
      </c>
      <c r="K108" s="87">
        <f t="shared" si="32"/>
        <v>10790170</v>
      </c>
      <c r="L108" s="100">
        <f t="shared" si="33"/>
        <v>1.079017E-2</v>
      </c>
      <c r="M108" s="100">
        <f t="shared" si="34"/>
        <v>0.91743063555558302</v>
      </c>
      <c r="N108" s="88"/>
      <c r="O108" s="45">
        <v>80</v>
      </c>
      <c r="P108" s="45">
        <v>90</v>
      </c>
      <c r="Q108" s="100">
        <f t="shared" si="35"/>
        <v>1.079017E-2</v>
      </c>
      <c r="R108" s="100">
        <v>6.8966E-2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290174</v>
      </c>
      <c r="C109" s="89">
        <v>2757205050</v>
      </c>
      <c r="D109" s="27">
        <f t="shared" si="27"/>
        <v>3.4693005743988349E-2</v>
      </c>
      <c r="E109" s="90">
        <f t="shared" si="28"/>
        <v>95.019024792021341</v>
      </c>
      <c r="F109" s="88"/>
      <c r="G109" s="13" t="str">
        <f t="shared" si="29"/>
        <v>(90, 100]</v>
      </c>
      <c r="H109" s="94">
        <v>0.26312064360643611</v>
      </c>
      <c r="I109" s="52">
        <f t="shared" si="30"/>
        <v>9.1284460000000001E-3</v>
      </c>
      <c r="J109" s="52">
        <f t="shared" si="31"/>
        <v>9.1284460000000001E-3</v>
      </c>
      <c r="K109" s="87">
        <f t="shared" si="32"/>
        <v>9128446</v>
      </c>
      <c r="L109" s="100">
        <f t="shared" si="33"/>
        <v>9.1284460000000001E-3</v>
      </c>
      <c r="M109" s="100">
        <f t="shared" si="34"/>
        <v>0.867376036786628</v>
      </c>
      <c r="N109" s="88"/>
      <c r="O109" s="45">
        <v>90</v>
      </c>
      <c r="P109" s="45">
        <v>100</v>
      </c>
      <c r="Q109" s="100">
        <f t="shared" si="35"/>
        <v>9.1284460000000001E-3</v>
      </c>
      <c r="R109" s="100">
        <v>2.7585999999999999E-2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544944</v>
      </c>
      <c r="C110" s="89">
        <v>5988889530</v>
      </c>
      <c r="D110" s="27">
        <f t="shared" si="27"/>
        <v>6.515313336877869E-2</v>
      </c>
      <c r="E110" s="90">
        <f t="shared" si="28"/>
        <v>109.89917367656126</v>
      </c>
      <c r="F110" s="88"/>
      <c r="G110" s="13" t="str">
        <f t="shared" si="29"/>
        <v>(100, 120]</v>
      </c>
      <c r="H110" s="94">
        <v>0.15484616745745799</v>
      </c>
      <c r="I110" s="52">
        <f t="shared" si="30"/>
        <v>1.0088712999999999E-2</v>
      </c>
      <c r="J110" s="52">
        <f t="shared" si="31"/>
        <v>1.0088712999999999E-2</v>
      </c>
      <c r="K110" s="87">
        <f t="shared" si="32"/>
        <v>10088713</v>
      </c>
      <c r="L110" s="100">
        <f t="shared" si="33"/>
        <v>1.0088712999999999E-2</v>
      </c>
      <c r="M110" s="100">
        <f t="shared" si="34"/>
        <v>1.1087412221599813</v>
      </c>
      <c r="N110" s="88"/>
      <c r="O110" s="45">
        <v>100</v>
      </c>
      <c r="P110" s="45">
        <v>120</v>
      </c>
      <c r="Q110" s="100">
        <f t="shared" si="35"/>
        <v>1.0088712999999999E-2</v>
      </c>
      <c r="R110" s="100">
        <v>6.8966E-2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496474</v>
      </c>
      <c r="C111" s="89">
        <v>6448866850</v>
      </c>
      <c r="D111" s="27">
        <f t="shared" si="27"/>
        <v>5.9358093191467433E-2</v>
      </c>
      <c r="E111" s="90">
        <f t="shared" si="28"/>
        <v>129.89334486800919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447550</v>
      </c>
      <c r="C112" s="89">
        <v>6707843560</v>
      </c>
      <c r="D112" s="27">
        <f t="shared" si="27"/>
        <v>5.3508773083467111E-2</v>
      </c>
      <c r="E112" s="90">
        <f t="shared" si="28"/>
        <v>149.8791991956206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401699</v>
      </c>
      <c r="C113" s="89">
        <v>6824039140</v>
      </c>
      <c r="D113" s="27">
        <f t="shared" si="27"/>
        <v>4.8026858761826954E-2</v>
      </c>
      <c r="E113" s="90">
        <f t="shared" si="28"/>
        <v>169.87941568189115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359175</v>
      </c>
      <c r="C114" s="89">
        <v>6819468580</v>
      </c>
      <c r="D114" s="27">
        <f t="shared" si="27"/>
        <v>4.2942718293496371E-2</v>
      </c>
      <c r="E114" s="90">
        <f t="shared" si="28"/>
        <v>189.86478958724857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728579</v>
      </c>
      <c r="C115" s="89">
        <v>16300420450</v>
      </c>
      <c r="D115" s="27">
        <f t="shared" si="27"/>
        <v>8.7108408857958633E-2</v>
      </c>
      <c r="E115" s="90">
        <f t="shared" si="28"/>
        <v>223.72893605223319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527104</v>
      </c>
      <c r="C116" s="89">
        <v>14424519190</v>
      </c>
      <c r="D116" s="27">
        <f t="shared" si="27"/>
        <v>6.3020195123199299E-2</v>
      </c>
      <c r="E116" s="90">
        <f t="shared" si="28"/>
        <v>273.65603732849684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376240</v>
      </c>
      <c r="C117" s="89">
        <v>12174194450</v>
      </c>
      <c r="D117" s="27">
        <f t="shared" si="27"/>
        <v>4.4982998067084494E-2</v>
      </c>
      <c r="E117" s="90">
        <f t="shared" si="28"/>
        <v>323.5752299064427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7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184753</v>
      </c>
      <c r="C119" s="89">
        <v>7824656320</v>
      </c>
      <c r="D119" s="27">
        <f t="shared" si="38"/>
        <v>2.208894280748475E-2</v>
      </c>
      <c r="E119" s="90">
        <f t="shared" si="39"/>
        <v>423.51985191038847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128657</v>
      </c>
      <c r="C120" s="89">
        <v>6093245310</v>
      </c>
      <c r="D120" s="27">
        <f t="shared" si="38"/>
        <v>1.5382143265779528E-2</v>
      </c>
      <c r="E120" s="90">
        <f t="shared" si="39"/>
        <v>473.60386997986899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88357</v>
      </c>
      <c r="C121" s="89">
        <v>4625117990</v>
      </c>
      <c r="D121" s="27">
        <f t="shared" si="38"/>
        <v>1.0563902722234172E-2</v>
      </c>
      <c r="E121" s="90">
        <f t="shared" si="39"/>
        <v>523.45801577690509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61353</v>
      </c>
      <c r="C122" s="89">
        <v>3518119460</v>
      </c>
      <c r="D122" s="27">
        <f t="shared" si="38"/>
        <v>7.3353228801026869E-3</v>
      </c>
      <c r="E122" s="90">
        <f t="shared" si="39"/>
        <v>573.42256450377329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42665</v>
      </c>
      <c r="C123" s="89">
        <v>2660290870</v>
      </c>
      <c r="D123" s="27">
        <f t="shared" si="38"/>
        <v>5.1009983322670635E-3</v>
      </c>
      <c r="E123" s="90">
        <f t="shared" si="39"/>
        <v>623.53002929801949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29296</v>
      </c>
      <c r="C124" s="89">
        <v>1972914430</v>
      </c>
      <c r="D124" s="27">
        <f t="shared" si="38"/>
        <v>3.502609800588208E-3</v>
      </c>
      <c r="E124" s="90">
        <f t="shared" si="39"/>
        <v>673.44157222829062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20236</v>
      </c>
      <c r="C125" s="89">
        <v>1463960560</v>
      </c>
      <c r="D125" s="27">
        <f t="shared" si="38"/>
        <v>2.4194023731807404E-3</v>
      </c>
      <c r="E125" s="90">
        <f t="shared" si="39"/>
        <v>723.44364498912819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14051</v>
      </c>
      <c r="C126" s="89">
        <v>1086775270</v>
      </c>
      <c r="D126" s="27">
        <f t="shared" si="38"/>
        <v>1.6799279870311616E-3</v>
      </c>
      <c r="E126" s="90">
        <f t="shared" si="39"/>
        <v>773.45048039285462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9888</v>
      </c>
      <c r="C127" s="89">
        <v>814515590</v>
      </c>
      <c r="D127" s="27">
        <f t="shared" si="38"/>
        <v>1.1822025432897392E-3</v>
      </c>
      <c r="E127" s="90">
        <f t="shared" si="39"/>
        <v>823.74149474110027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6851</v>
      </c>
      <c r="C128" s="89">
        <v>598465100</v>
      </c>
      <c r="D128" s="27">
        <f t="shared" si="38"/>
        <v>8.1910089240271066E-4</v>
      </c>
      <c r="E128" s="90">
        <f t="shared" si="39"/>
        <v>873.54415413808204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4931</v>
      </c>
      <c r="C129" s="89">
        <v>455292250</v>
      </c>
      <c r="D129" s="27">
        <f t="shared" si="38"/>
        <v>5.895470005017905E-4</v>
      </c>
      <c r="E129" s="90">
        <f t="shared" si="39"/>
        <v>923.3264043804503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3379</v>
      </c>
      <c r="C130" s="89">
        <v>328959390</v>
      </c>
      <c r="D130" s="27">
        <f t="shared" si="38"/>
        <v>4.0399093788187992E-4</v>
      </c>
      <c r="E130" s="90">
        <f t="shared" si="39"/>
        <v>973.54066291802314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9282</v>
      </c>
      <c r="C131" s="89">
        <v>1088039000</v>
      </c>
      <c r="D131" s="27">
        <f t="shared" si="38"/>
        <v>1.1097495961585112E-3</v>
      </c>
      <c r="E131" s="90">
        <f t="shared" si="39"/>
        <v>1172.2031889678949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96</v>
      </c>
      <c r="C132" s="89">
        <v>21722990</v>
      </c>
      <c r="D132" s="27">
        <f t="shared" si="38"/>
        <v>1.1477694595046011E-5</v>
      </c>
      <c r="E132" s="90">
        <f t="shared" si="39"/>
        <v>2262.8114583333336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2</v>
      </c>
      <c r="C133" s="89">
        <v>673350</v>
      </c>
      <c r="D133" s="27">
        <f t="shared" si="38"/>
        <v>2.3911863739679191E-7</v>
      </c>
      <c r="E133" s="90">
        <f t="shared" si="39"/>
        <v>3366.75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tabSelected="1" workbookViewId="0">
      <selection activeCell="C14" sqref="C14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>
      <c r="B2" s="8" t="s">
        <v>91</v>
      </c>
      <c r="C2" s="97">
        <v>10000000000</v>
      </c>
    </row>
    <row r="4" spans="1:3">
      <c r="B4" s="12" t="s">
        <v>9</v>
      </c>
      <c r="C4" s="12" t="s">
        <v>116</v>
      </c>
    </row>
    <row r="5" spans="1:3">
      <c r="A5" s="20"/>
      <c r="B5" s="14" t="s">
        <v>117</v>
      </c>
      <c r="C5" s="21" t="s">
        <v>121</v>
      </c>
    </row>
    <row r="6" spans="1:3">
      <c r="A6" s="20"/>
      <c r="B6" s="14" t="s">
        <v>118</v>
      </c>
      <c r="C6" s="21" t="s">
        <v>120</v>
      </c>
    </row>
    <row r="7" spans="1:3">
      <c r="A7" s="20"/>
      <c r="B7" s="14" t="s">
        <v>119</v>
      </c>
      <c r="C7" s="21" t="s">
        <v>122</v>
      </c>
    </row>
    <row r="8" spans="1:3">
      <c r="B8" s="14" t="s">
        <v>123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2026-08-18T02:09:36Z</dcterms:modified>
</cp:coreProperties>
</file>