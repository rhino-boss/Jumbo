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50853C0C-EC6D-41B7-AE8A-C639019CBE94}" xr6:coauthVersionLast="47" xr6:coauthVersionMax="47" xr10:uidLastSave="{00000000-0000-0000-0000-000000000000}"/>
  <bookViews>
    <workbookView xWindow="-24480" yWindow="1710" windowWidth="17280" windowHeight="8880" tabRatio="840" activeTab="4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4" l="1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D234" i="3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I79" i="4" s="1"/>
  <c r="J79" i="4" s="1"/>
  <c r="K79" i="4" s="1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86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I79" i="3" s="1"/>
  <c r="J79" i="3" s="1"/>
  <c r="K79" i="3" s="1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86" i="3" s="1"/>
  <c r="G67" i="2"/>
  <c r="C25" i="1"/>
  <c r="A25" i="1"/>
  <c r="C21" i="1"/>
  <c r="A21" i="1"/>
  <c r="A17" i="1"/>
  <c r="A13" i="1"/>
  <c r="E123" i="4" l="1"/>
  <c r="J138" i="4"/>
  <c r="K138" i="4" s="1"/>
  <c r="J98" i="4"/>
  <c r="K98" i="4" s="1"/>
  <c r="E122" i="4"/>
  <c r="J135" i="4"/>
  <c r="K135" i="4" s="1"/>
  <c r="J89" i="4"/>
  <c r="K89" i="4" s="1"/>
  <c r="J128" i="4"/>
  <c r="K128" i="4" s="1"/>
  <c r="J146" i="4"/>
  <c r="K146" i="4" s="1"/>
  <c r="J125" i="4"/>
  <c r="K125" i="4" s="1"/>
  <c r="J104" i="4"/>
  <c r="K104" i="4" s="1"/>
  <c r="J123" i="4"/>
  <c r="K123" i="4" s="1"/>
  <c r="J119" i="4"/>
  <c r="K119" i="4" s="1"/>
  <c r="J96" i="4"/>
  <c r="K96" i="4" s="1"/>
  <c r="J129" i="4"/>
  <c r="K129" i="4" s="1"/>
  <c r="J88" i="4"/>
  <c r="K88" i="4" s="1"/>
  <c r="J126" i="4"/>
  <c r="K126" i="4" s="1"/>
  <c r="J145" i="4"/>
  <c r="K145" i="4" s="1"/>
  <c r="J124" i="4"/>
  <c r="K124" i="4" s="1"/>
  <c r="J103" i="4"/>
  <c r="K103" i="4" s="1"/>
  <c r="J142" i="4"/>
  <c r="K142" i="4" s="1"/>
  <c r="J122" i="4"/>
  <c r="K122" i="4" s="1"/>
  <c r="J102" i="4"/>
  <c r="K102" i="4" s="1"/>
  <c r="J118" i="4"/>
  <c r="K118" i="4" s="1"/>
  <c r="J137" i="4"/>
  <c r="K137" i="4" s="1"/>
  <c r="J136" i="4"/>
  <c r="K136" i="4" s="1"/>
  <c r="J109" i="4"/>
  <c r="K109" i="4" s="1"/>
  <c r="J108" i="4"/>
  <c r="K108" i="4" s="1"/>
  <c r="J106" i="4"/>
  <c r="K106" i="4" s="1"/>
  <c r="J105" i="4"/>
  <c r="K105" i="4" s="1"/>
  <c r="J144" i="4"/>
  <c r="K144" i="4" s="1"/>
  <c r="J143" i="4"/>
  <c r="K143" i="4" s="1"/>
  <c r="J141" i="4"/>
  <c r="K141" i="4" s="1"/>
  <c r="J121" i="4"/>
  <c r="K121" i="4" s="1"/>
  <c r="J101" i="4"/>
  <c r="K101" i="4" s="1"/>
  <c r="J117" i="4"/>
  <c r="K117" i="4" s="1"/>
  <c r="J95" i="4"/>
  <c r="K95" i="4" s="1"/>
  <c r="J97" i="4"/>
  <c r="K97" i="4" s="1"/>
  <c r="J149" i="4"/>
  <c r="K149" i="4" s="1"/>
  <c r="J148" i="4"/>
  <c r="K148" i="4" s="1"/>
  <c r="J86" i="4"/>
  <c r="K86" i="4" s="1"/>
  <c r="J7" i="4" s="1"/>
  <c r="J140" i="4"/>
  <c r="K140" i="4" s="1"/>
  <c r="J120" i="4"/>
  <c r="K120" i="4" s="1"/>
  <c r="J100" i="4"/>
  <c r="K100" i="4" s="1"/>
  <c r="J116" i="4"/>
  <c r="K116" i="4" s="1"/>
  <c r="J139" i="4"/>
  <c r="K139" i="4" s="1"/>
  <c r="J99" i="4"/>
  <c r="K99" i="4" s="1"/>
  <c r="J115" i="4"/>
  <c r="K115" i="4" s="1"/>
  <c r="J113" i="4"/>
  <c r="K113" i="4" s="1"/>
  <c r="J131" i="4"/>
  <c r="K131" i="4" s="1"/>
  <c r="J134" i="4"/>
  <c r="K134" i="4" s="1"/>
  <c r="J133" i="4"/>
  <c r="K133" i="4" s="1"/>
  <c r="J112" i="4"/>
  <c r="K112" i="4" s="1"/>
  <c r="J111" i="4"/>
  <c r="K111" i="4" s="1"/>
  <c r="J110" i="4"/>
  <c r="K110" i="4" s="1"/>
  <c r="J94" i="4"/>
  <c r="K94" i="4" s="1"/>
  <c r="J132" i="4"/>
  <c r="K132" i="4" s="1"/>
  <c r="J91" i="4"/>
  <c r="K91" i="4" s="1"/>
  <c r="J130" i="4"/>
  <c r="K130" i="4" s="1"/>
  <c r="J147" i="4"/>
  <c r="K147" i="4" s="1"/>
  <c r="J127" i="4"/>
  <c r="K127" i="4" s="1"/>
  <c r="J107" i="4"/>
  <c r="K107" i="4" s="1"/>
  <c r="J87" i="4"/>
  <c r="K87" i="4" s="1"/>
  <c r="J114" i="4"/>
  <c r="K114" i="4" s="1"/>
  <c r="J93" i="4"/>
  <c r="K93" i="4" s="1"/>
  <c r="J92" i="4"/>
  <c r="K92" i="4" s="1"/>
  <c r="J90" i="4"/>
  <c r="K90" i="4" s="1"/>
  <c r="E120" i="4"/>
  <c r="E104" i="4"/>
  <c r="E141" i="4"/>
  <c r="E140" i="4"/>
  <c r="E139" i="4"/>
  <c r="E97" i="4"/>
  <c r="E119" i="4"/>
  <c r="E103" i="4"/>
  <c r="E144" i="4"/>
  <c r="E143" i="4"/>
  <c r="E100" i="4"/>
  <c r="E138" i="4"/>
  <c r="E118" i="4"/>
  <c r="E145" i="4"/>
  <c r="E101" i="4"/>
  <c r="E98" i="4"/>
  <c r="E137" i="4"/>
  <c r="E117" i="4"/>
  <c r="E99" i="4"/>
  <c r="E121" i="4"/>
  <c r="E105" i="4"/>
  <c r="E102" i="4"/>
  <c r="E142" i="4"/>
  <c r="E125" i="4"/>
  <c r="E124" i="4"/>
  <c r="E95" i="4"/>
  <c r="E113" i="4"/>
  <c r="E91" i="4"/>
  <c r="E130" i="4"/>
  <c r="E149" i="4"/>
  <c r="E129" i="4"/>
  <c r="E109" i="4"/>
  <c r="E89" i="4"/>
  <c r="E136" i="4"/>
  <c r="E134" i="4"/>
  <c r="E132" i="4"/>
  <c r="E148" i="4"/>
  <c r="E128" i="4"/>
  <c r="E108" i="4"/>
  <c r="E88" i="4"/>
  <c r="E96" i="4"/>
  <c r="E135" i="4"/>
  <c r="E114" i="4"/>
  <c r="E133" i="4"/>
  <c r="E92" i="4"/>
  <c r="E111" i="4"/>
  <c r="E110" i="4"/>
  <c r="E147" i="4"/>
  <c r="E127" i="4"/>
  <c r="E107" i="4"/>
  <c r="E87" i="4"/>
  <c r="E116" i="4"/>
  <c r="E115" i="4"/>
  <c r="E94" i="4"/>
  <c r="E93" i="4"/>
  <c r="E112" i="4"/>
  <c r="E131" i="4"/>
  <c r="E90" i="4"/>
  <c r="E146" i="4"/>
  <c r="E126" i="4"/>
  <c r="E106" i="4"/>
  <c r="J57" i="4"/>
  <c r="K57" i="4" s="1"/>
  <c r="E52" i="4"/>
  <c r="E50" i="4"/>
  <c r="J18" i="4"/>
  <c r="K18" i="4" s="1"/>
  <c r="J76" i="4"/>
  <c r="K76" i="4" s="1"/>
  <c r="J75" i="4"/>
  <c r="K75" i="4" s="1"/>
  <c r="J54" i="4"/>
  <c r="K54" i="4" s="1"/>
  <c r="J59" i="4"/>
  <c r="K59" i="4" s="1"/>
  <c r="J78" i="4"/>
  <c r="K78" i="4" s="1"/>
  <c r="J77" i="4"/>
  <c r="K77" i="4" s="1"/>
  <c r="J56" i="4"/>
  <c r="K56" i="4" s="1"/>
  <c r="J15" i="4"/>
  <c r="K15" i="4" s="1"/>
  <c r="J74" i="4"/>
  <c r="K74" i="4" s="1"/>
  <c r="J19" i="4"/>
  <c r="K19" i="4" s="1"/>
  <c r="J38" i="4"/>
  <c r="K38" i="4" s="1"/>
  <c r="J37" i="4"/>
  <c r="K37" i="4" s="1"/>
  <c r="J16" i="4"/>
  <c r="K16" i="4" s="1"/>
  <c r="J55" i="4"/>
  <c r="K55" i="4" s="1"/>
  <c r="E53" i="4"/>
  <c r="E51" i="4"/>
  <c r="J39" i="4"/>
  <c r="K39" i="4" s="1"/>
  <c r="J58" i="4"/>
  <c r="K58" i="4" s="1"/>
  <c r="J17" i="4"/>
  <c r="K17" i="4" s="1"/>
  <c r="J36" i="4"/>
  <c r="K36" i="4" s="1"/>
  <c r="J35" i="4"/>
  <c r="K35" i="4" s="1"/>
  <c r="J73" i="4"/>
  <c r="K73" i="4" s="1"/>
  <c r="J72" i="4"/>
  <c r="K72" i="4" s="1"/>
  <c r="J71" i="4"/>
  <c r="K71" i="4" s="1"/>
  <c r="J70" i="4"/>
  <c r="K70" i="4" s="1"/>
  <c r="J29" i="4"/>
  <c r="K29" i="4" s="1"/>
  <c r="J68" i="4"/>
  <c r="K68" i="4" s="1"/>
  <c r="J67" i="4"/>
  <c r="K67" i="4" s="1"/>
  <c r="J27" i="4"/>
  <c r="K27" i="4" s="1"/>
  <c r="J49" i="4"/>
  <c r="K49" i="4" s="1"/>
  <c r="J34" i="4"/>
  <c r="K34" i="4" s="1"/>
  <c r="J33" i="4"/>
  <c r="K33" i="4" s="1"/>
  <c r="J31" i="4"/>
  <c r="K31" i="4" s="1"/>
  <c r="J52" i="4"/>
  <c r="K52" i="4" s="1"/>
  <c r="J28" i="4"/>
  <c r="K28" i="4" s="1"/>
  <c r="J66" i="4"/>
  <c r="K66" i="4" s="1"/>
  <c r="J26" i="4"/>
  <c r="K26" i="4" s="1"/>
  <c r="J48" i="4"/>
  <c r="K48" i="4" s="1"/>
  <c r="J69" i="4"/>
  <c r="K69" i="4" s="1"/>
  <c r="J50" i="4"/>
  <c r="K50" i="4" s="1"/>
  <c r="J47" i="4"/>
  <c r="K47" i="4" s="1"/>
  <c r="J53" i="4"/>
  <c r="K53" i="4" s="1"/>
  <c r="J32" i="4"/>
  <c r="K32" i="4" s="1"/>
  <c r="J30" i="4"/>
  <c r="K30" i="4" s="1"/>
  <c r="J51" i="4"/>
  <c r="K51" i="4" s="1"/>
  <c r="J46" i="4"/>
  <c r="K46" i="4" s="1"/>
  <c r="J25" i="4"/>
  <c r="K25" i="4" s="1"/>
  <c r="J64" i="4"/>
  <c r="K64" i="4" s="1"/>
  <c r="J23" i="4"/>
  <c r="K23" i="4" s="1"/>
  <c r="J61" i="4"/>
  <c r="K61" i="4" s="1"/>
  <c r="J60" i="4"/>
  <c r="K60" i="4" s="1"/>
  <c r="J42" i="4"/>
  <c r="K42" i="4" s="1"/>
  <c r="J40" i="4"/>
  <c r="K40" i="4" s="1"/>
  <c r="J65" i="4"/>
  <c r="K65" i="4" s="1"/>
  <c r="J62" i="4"/>
  <c r="K62" i="4" s="1"/>
  <c r="J20" i="4"/>
  <c r="K20" i="4" s="1"/>
  <c r="J24" i="4"/>
  <c r="K24" i="4" s="1"/>
  <c r="J63" i="4"/>
  <c r="K63" i="4" s="1"/>
  <c r="J22" i="4"/>
  <c r="K22" i="4" s="1"/>
  <c r="J41" i="4"/>
  <c r="K41" i="4" s="1"/>
  <c r="J45" i="4"/>
  <c r="K45" i="4" s="1"/>
  <c r="J44" i="4"/>
  <c r="K44" i="4" s="1"/>
  <c r="J43" i="4"/>
  <c r="K43" i="4" s="1"/>
  <c r="J21" i="4"/>
  <c r="K21" i="4" s="1"/>
  <c r="E33" i="4"/>
  <c r="E74" i="4"/>
  <c r="E73" i="4"/>
  <c r="E27" i="4"/>
  <c r="E70" i="4"/>
  <c r="E34" i="4"/>
  <c r="E31" i="4"/>
  <c r="E30" i="4"/>
  <c r="E72" i="4"/>
  <c r="E69" i="4"/>
  <c r="E48" i="4"/>
  <c r="E47" i="4"/>
  <c r="E32" i="4"/>
  <c r="E29" i="4"/>
  <c r="E71" i="4"/>
  <c r="E68" i="4"/>
  <c r="E49" i="4"/>
  <c r="E67" i="4"/>
  <c r="E28" i="4"/>
  <c r="E54" i="4"/>
  <c r="E66" i="4"/>
  <c r="E64" i="4"/>
  <c r="E63" i="4"/>
  <c r="E62" i="4"/>
  <c r="E41" i="4"/>
  <c r="E59" i="4"/>
  <c r="E78" i="4"/>
  <c r="E58" i="4"/>
  <c r="E38" i="4"/>
  <c r="E18" i="4"/>
  <c r="E25" i="4"/>
  <c r="E40" i="4"/>
  <c r="E79" i="4"/>
  <c r="E39" i="4"/>
  <c r="E77" i="4"/>
  <c r="E57" i="4"/>
  <c r="E37" i="4"/>
  <c r="E17" i="4"/>
  <c r="E46" i="4"/>
  <c r="E45" i="4"/>
  <c r="E24" i="4"/>
  <c r="E23" i="4"/>
  <c r="E22" i="4"/>
  <c r="E61" i="4"/>
  <c r="E20" i="4"/>
  <c r="E76" i="4"/>
  <c r="E56" i="4"/>
  <c r="E36" i="4"/>
  <c r="E16" i="4"/>
  <c r="E26" i="4"/>
  <c r="E65" i="4"/>
  <c r="E44" i="4"/>
  <c r="E43" i="4"/>
  <c r="E42" i="4"/>
  <c r="E21" i="4"/>
  <c r="E60" i="4"/>
  <c r="E19" i="4"/>
  <c r="E75" i="4"/>
  <c r="E55" i="4"/>
  <c r="E35" i="4"/>
  <c r="E15" i="4"/>
  <c r="E202" i="3"/>
  <c r="E196" i="3"/>
  <c r="E175" i="3"/>
  <c r="E217" i="3"/>
  <c r="E214" i="3"/>
  <c r="E212" i="3"/>
  <c r="E195" i="3"/>
  <c r="J211" i="3"/>
  <c r="K211" i="3" s="1"/>
  <c r="J171" i="3"/>
  <c r="K171" i="3" s="1"/>
  <c r="E174" i="3"/>
  <c r="E173" i="3"/>
  <c r="E216" i="3"/>
  <c r="E201" i="3"/>
  <c r="E172" i="3"/>
  <c r="E215" i="3"/>
  <c r="E213" i="3"/>
  <c r="J210" i="3"/>
  <c r="K210" i="3" s="1"/>
  <c r="J167" i="3"/>
  <c r="K167" i="3" s="1"/>
  <c r="J205" i="3"/>
  <c r="K205" i="3" s="1"/>
  <c r="J224" i="3"/>
  <c r="K224" i="3" s="1"/>
  <c r="J223" i="3"/>
  <c r="K223" i="3" s="1"/>
  <c r="J182" i="3"/>
  <c r="K182" i="3" s="1"/>
  <c r="J177" i="3"/>
  <c r="K177" i="3" s="1"/>
  <c r="J176" i="3"/>
  <c r="K176" i="3" s="1"/>
  <c r="J191" i="3"/>
  <c r="K191" i="3" s="1"/>
  <c r="J208" i="3"/>
  <c r="K208" i="3" s="1"/>
  <c r="J187" i="3"/>
  <c r="K187" i="3" s="1"/>
  <c r="J225" i="3"/>
  <c r="K225" i="3" s="1"/>
  <c r="J204" i="3"/>
  <c r="K204" i="3" s="1"/>
  <c r="J183" i="3"/>
  <c r="K183" i="3" s="1"/>
  <c r="J217" i="3"/>
  <c r="K217" i="3" s="1"/>
  <c r="J196" i="3"/>
  <c r="K196" i="3" s="1"/>
  <c r="J215" i="3"/>
  <c r="K215" i="3" s="1"/>
  <c r="J195" i="3"/>
  <c r="K195" i="3" s="1"/>
  <c r="J175" i="3"/>
  <c r="K175" i="3" s="1"/>
  <c r="J181" i="3"/>
  <c r="K181" i="3" s="1"/>
  <c r="J170" i="3"/>
  <c r="K170" i="3" s="1"/>
  <c r="J209" i="3"/>
  <c r="K209" i="3" s="1"/>
  <c r="J168" i="3"/>
  <c r="K168" i="3" s="1"/>
  <c r="J186" i="3"/>
  <c r="K186" i="3" s="1"/>
  <c r="J165" i="3"/>
  <c r="K165" i="3" s="1"/>
  <c r="J184" i="3"/>
  <c r="K184" i="3" s="1"/>
  <c r="J203" i="3"/>
  <c r="K203" i="3" s="1"/>
  <c r="J207" i="3"/>
  <c r="K207" i="3" s="1"/>
  <c r="J214" i="3"/>
  <c r="K214" i="3" s="1"/>
  <c r="J194" i="3"/>
  <c r="K194" i="3" s="1"/>
  <c r="J174" i="3"/>
  <c r="K174" i="3" s="1"/>
  <c r="J180" i="3"/>
  <c r="K180" i="3" s="1"/>
  <c r="J169" i="3"/>
  <c r="K169" i="3" s="1"/>
  <c r="J226" i="3"/>
  <c r="K226" i="3" s="1"/>
  <c r="J198" i="3"/>
  <c r="K198" i="3" s="1"/>
  <c r="J219" i="3"/>
  <c r="K219" i="3" s="1"/>
  <c r="J200" i="3"/>
  <c r="K200" i="3" s="1"/>
  <c r="J220" i="3"/>
  <c r="K220" i="3" s="1"/>
  <c r="J221" i="3"/>
  <c r="K221" i="3" s="1"/>
  <c r="J218" i="3"/>
  <c r="K218" i="3" s="1"/>
  <c r="J201" i="3"/>
  <c r="K201" i="3" s="1"/>
  <c r="J222" i="3"/>
  <c r="K222" i="3" s="1"/>
  <c r="J166" i="3"/>
  <c r="K166" i="3" s="1"/>
  <c r="J199" i="3"/>
  <c r="K199" i="3" s="1"/>
  <c r="J202" i="3"/>
  <c r="K202" i="3" s="1"/>
  <c r="J185" i="3"/>
  <c r="K185" i="3" s="1"/>
  <c r="J164" i="3"/>
  <c r="K164" i="3" s="1"/>
  <c r="J163" i="3"/>
  <c r="K163" i="3" s="1"/>
  <c r="J197" i="3"/>
  <c r="K197" i="3" s="1"/>
  <c r="J216" i="3"/>
  <c r="K216" i="3" s="1"/>
  <c r="J213" i="3"/>
  <c r="K213" i="3" s="1"/>
  <c r="J193" i="3"/>
  <c r="K193" i="3" s="1"/>
  <c r="J173" i="3"/>
  <c r="K173" i="3" s="1"/>
  <c r="J179" i="3"/>
  <c r="K179" i="3" s="1"/>
  <c r="J190" i="3"/>
  <c r="K190" i="3" s="1"/>
  <c r="J189" i="3"/>
  <c r="K189" i="3" s="1"/>
  <c r="J188" i="3"/>
  <c r="K188" i="3" s="1"/>
  <c r="J206" i="3"/>
  <c r="K206" i="3" s="1"/>
  <c r="J212" i="3"/>
  <c r="K212" i="3" s="1"/>
  <c r="J192" i="3"/>
  <c r="K192" i="3" s="1"/>
  <c r="J172" i="3"/>
  <c r="K172" i="3" s="1"/>
  <c r="J178" i="3"/>
  <c r="K178" i="3" s="1"/>
  <c r="E192" i="3"/>
  <c r="E182" i="3"/>
  <c r="E181" i="3"/>
  <c r="E222" i="3"/>
  <c r="E180" i="3"/>
  <c r="E221" i="3"/>
  <c r="E179" i="3"/>
  <c r="E194" i="3"/>
  <c r="E193" i="3"/>
  <c r="E220" i="3"/>
  <c r="E178" i="3"/>
  <c r="E219" i="3"/>
  <c r="E177" i="3"/>
  <c r="E218" i="3"/>
  <c r="E176" i="3"/>
  <c r="E200" i="3"/>
  <c r="E199" i="3"/>
  <c r="E198" i="3"/>
  <c r="E197" i="3"/>
  <c r="E171" i="3"/>
  <c r="E170" i="3"/>
  <c r="E188" i="3"/>
  <c r="E207" i="3"/>
  <c r="E187" i="3"/>
  <c r="E167" i="3"/>
  <c r="E191" i="3"/>
  <c r="E189" i="3"/>
  <c r="E168" i="3"/>
  <c r="E226" i="3"/>
  <c r="E206" i="3"/>
  <c r="E186" i="3"/>
  <c r="E166" i="3"/>
  <c r="E210" i="3"/>
  <c r="E208" i="3"/>
  <c r="E225" i="3"/>
  <c r="E205" i="3"/>
  <c r="E185" i="3"/>
  <c r="E165" i="3"/>
  <c r="E190" i="3"/>
  <c r="E169" i="3"/>
  <c r="E224" i="3"/>
  <c r="E184" i="3"/>
  <c r="E164" i="3"/>
  <c r="E211" i="3"/>
  <c r="E209" i="3"/>
  <c r="E204" i="3"/>
  <c r="E223" i="3"/>
  <c r="E203" i="3"/>
  <c r="E183" i="3"/>
  <c r="E163" i="3"/>
  <c r="E140" i="3"/>
  <c r="E135" i="3"/>
  <c r="E119" i="3"/>
  <c r="E138" i="3"/>
  <c r="E118" i="3"/>
  <c r="E103" i="3"/>
  <c r="E102" i="3"/>
  <c r="E136" i="3"/>
  <c r="E139" i="3"/>
  <c r="E137" i="3"/>
  <c r="E101" i="3"/>
  <c r="E100" i="3"/>
  <c r="E98" i="3"/>
  <c r="E145" i="3"/>
  <c r="J144" i="3"/>
  <c r="K144" i="3" s="1"/>
  <c r="J124" i="3"/>
  <c r="K124" i="3" s="1"/>
  <c r="E144" i="3"/>
  <c r="E99" i="3"/>
  <c r="E97" i="3"/>
  <c r="E143" i="3"/>
  <c r="E142" i="3"/>
  <c r="E141" i="3"/>
  <c r="J123" i="3"/>
  <c r="K123" i="3" s="1"/>
  <c r="J142" i="3"/>
  <c r="K142" i="3" s="1"/>
  <c r="J141" i="3"/>
  <c r="K141" i="3" s="1"/>
  <c r="J139" i="3"/>
  <c r="K139" i="3" s="1"/>
  <c r="J118" i="3"/>
  <c r="K118" i="3" s="1"/>
  <c r="J117" i="3"/>
  <c r="K117" i="3" s="1"/>
  <c r="J135" i="3"/>
  <c r="K135" i="3" s="1"/>
  <c r="J134" i="3"/>
  <c r="K134" i="3" s="1"/>
  <c r="J113" i="3"/>
  <c r="K113" i="3" s="1"/>
  <c r="J143" i="3"/>
  <c r="K143" i="3" s="1"/>
  <c r="J122" i="3"/>
  <c r="K122" i="3" s="1"/>
  <c r="J121" i="3"/>
  <c r="K121" i="3" s="1"/>
  <c r="J119" i="3"/>
  <c r="K119" i="3" s="1"/>
  <c r="J138" i="3"/>
  <c r="K138" i="3" s="1"/>
  <c r="J137" i="3"/>
  <c r="K137" i="3" s="1"/>
  <c r="J116" i="3"/>
  <c r="K116" i="3" s="1"/>
  <c r="J115" i="3"/>
  <c r="K115" i="3" s="1"/>
  <c r="J114" i="3"/>
  <c r="K114" i="3" s="1"/>
  <c r="J112" i="3"/>
  <c r="K112" i="3" s="1"/>
  <c r="J109" i="3"/>
  <c r="K109" i="3" s="1"/>
  <c r="J105" i="3"/>
  <c r="K105" i="3" s="1"/>
  <c r="J89" i="3"/>
  <c r="K89" i="3" s="1"/>
  <c r="J95" i="3"/>
  <c r="K95" i="3" s="1"/>
  <c r="J133" i="3"/>
  <c r="K133" i="3" s="1"/>
  <c r="J129" i="3"/>
  <c r="K129" i="3" s="1"/>
  <c r="J101" i="3"/>
  <c r="K101" i="3" s="1"/>
  <c r="J147" i="3"/>
  <c r="K147" i="3" s="1"/>
  <c r="J127" i="3"/>
  <c r="K127" i="3" s="1"/>
  <c r="J107" i="3"/>
  <c r="K107" i="3" s="1"/>
  <c r="J87" i="3"/>
  <c r="K87" i="3" s="1"/>
  <c r="J131" i="3"/>
  <c r="K131" i="3" s="1"/>
  <c r="J120" i="3"/>
  <c r="K120" i="3" s="1"/>
  <c r="J136" i="3"/>
  <c r="K136" i="3" s="1"/>
  <c r="J146" i="3"/>
  <c r="K146" i="3" s="1"/>
  <c r="J126" i="3"/>
  <c r="K126" i="3" s="1"/>
  <c r="J106" i="3"/>
  <c r="K106" i="3" s="1"/>
  <c r="J86" i="3"/>
  <c r="K86" i="3" s="1"/>
  <c r="J132" i="3"/>
  <c r="K132" i="3" s="1"/>
  <c r="J140" i="3"/>
  <c r="K140" i="3" s="1"/>
  <c r="J145" i="3"/>
  <c r="K145" i="3" s="1"/>
  <c r="J125" i="3"/>
  <c r="K125" i="3" s="1"/>
  <c r="J149" i="3"/>
  <c r="K149" i="3" s="1"/>
  <c r="J91" i="3"/>
  <c r="K91" i="3" s="1"/>
  <c r="J111" i="3"/>
  <c r="K111" i="3" s="1"/>
  <c r="E117" i="3"/>
  <c r="J130" i="3"/>
  <c r="K130" i="3" s="1"/>
  <c r="J110" i="3"/>
  <c r="K110" i="3" s="1"/>
  <c r="J90" i="3"/>
  <c r="K90" i="3" s="1"/>
  <c r="J97" i="3"/>
  <c r="K97" i="3" s="1"/>
  <c r="E116" i="3"/>
  <c r="J99" i="3"/>
  <c r="K99" i="3" s="1"/>
  <c r="E115" i="3"/>
  <c r="J148" i="3"/>
  <c r="K148" i="3" s="1"/>
  <c r="J128" i="3"/>
  <c r="K128" i="3" s="1"/>
  <c r="J108" i="3"/>
  <c r="K108" i="3" s="1"/>
  <c r="J88" i="3"/>
  <c r="K88" i="3" s="1"/>
  <c r="J104" i="3"/>
  <c r="K104" i="3" s="1"/>
  <c r="J103" i="3"/>
  <c r="K103" i="3" s="1"/>
  <c r="J102" i="3"/>
  <c r="K102" i="3" s="1"/>
  <c r="J94" i="3"/>
  <c r="K94" i="3" s="1"/>
  <c r="E105" i="3"/>
  <c r="J100" i="3"/>
  <c r="K100" i="3" s="1"/>
  <c r="J98" i="3"/>
  <c r="K98" i="3" s="1"/>
  <c r="J96" i="3"/>
  <c r="K96" i="3" s="1"/>
  <c r="J93" i="3"/>
  <c r="K93" i="3" s="1"/>
  <c r="J92" i="3"/>
  <c r="K92" i="3" s="1"/>
  <c r="E104" i="3"/>
  <c r="E96" i="3"/>
  <c r="E124" i="3"/>
  <c r="E95" i="3"/>
  <c r="E125" i="3"/>
  <c r="E123" i="3"/>
  <c r="E122" i="3"/>
  <c r="E121" i="3"/>
  <c r="E120" i="3"/>
  <c r="E93" i="3"/>
  <c r="E112" i="3"/>
  <c r="E91" i="3"/>
  <c r="E149" i="3"/>
  <c r="E129" i="3"/>
  <c r="E109" i="3"/>
  <c r="E89" i="3"/>
  <c r="E94" i="3"/>
  <c r="E111" i="3"/>
  <c r="E110" i="3"/>
  <c r="E148" i="3"/>
  <c r="E128" i="3"/>
  <c r="E108" i="3"/>
  <c r="E88" i="3"/>
  <c r="E114" i="3"/>
  <c r="E133" i="3"/>
  <c r="E92" i="3"/>
  <c r="E131" i="3"/>
  <c r="E90" i="3"/>
  <c r="E147" i="3"/>
  <c r="E127" i="3"/>
  <c r="E107" i="3"/>
  <c r="E87" i="3"/>
  <c r="E134" i="3"/>
  <c r="E113" i="3"/>
  <c r="E132" i="3"/>
  <c r="E130" i="3"/>
  <c r="E146" i="3"/>
  <c r="E126" i="3"/>
  <c r="E106" i="3"/>
  <c r="J74" i="3"/>
  <c r="K74" i="3" s="1"/>
  <c r="J75" i="3"/>
  <c r="K75" i="3" s="1"/>
  <c r="J55" i="3"/>
  <c r="K55" i="3" s="1"/>
  <c r="J35" i="3"/>
  <c r="K35" i="3" s="1"/>
  <c r="J15" i="3"/>
  <c r="K15" i="3" s="1"/>
  <c r="J72" i="3"/>
  <c r="K72" i="3" s="1"/>
  <c r="J71" i="3"/>
  <c r="K71" i="3" s="1"/>
  <c r="J70" i="3"/>
  <c r="K70" i="3" s="1"/>
  <c r="J68" i="3"/>
  <c r="K68" i="3" s="1"/>
  <c r="J67" i="3"/>
  <c r="K67" i="3" s="1"/>
  <c r="J66" i="3"/>
  <c r="K66" i="3" s="1"/>
  <c r="J65" i="3"/>
  <c r="K65" i="3" s="1"/>
  <c r="J64" i="3"/>
  <c r="K64" i="3" s="1"/>
  <c r="J63" i="3"/>
  <c r="K63" i="3" s="1"/>
  <c r="J62" i="3"/>
  <c r="K62" i="3" s="1"/>
  <c r="J61" i="3"/>
  <c r="K61" i="3" s="1"/>
  <c r="J41" i="3"/>
  <c r="K41" i="3" s="1"/>
  <c r="J21" i="3"/>
  <c r="K21" i="3" s="1"/>
  <c r="J60" i="3"/>
  <c r="K60" i="3" s="1"/>
  <c r="J31" i="3"/>
  <c r="K31" i="3" s="1"/>
  <c r="J52" i="3"/>
  <c r="K52" i="3" s="1"/>
  <c r="J33" i="3"/>
  <c r="K33" i="3" s="1"/>
  <c r="J20" i="3"/>
  <c r="K20" i="3" s="1"/>
  <c r="J48" i="3"/>
  <c r="K48" i="3" s="1"/>
  <c r="J29" i="3"/>
  <c r="K29" i="3" s="1"/>
  <c r="J53" i="3"/>
  <c r="K53" i="3" s="1"/>
  <c r="J34" i="3"/>
  <c r="K34" i="3" s="1"/>
  <c r="J28" i="3"/>
  <c r="K28" i="3" s="1"/>
  <c r="J49" i="3"/>
  <c r="K49" i="3" s="1"/>
  <c r="J30" i="3"/>
  <c r="K30" i="3" s="1"/>
  <c r="J51" i="3"/>
  <c r="K51" i="3" s="1"/>
  <c r="J32" i="3"/>
  <c r="K32" i="3" s="1"/>
  <c r="J54" i="3"/>
  <c r="K54" i="3" s="1"/>
  <c r="J50" i="3"/>
  <c r="K50" i="3" s="1"/>
  <c r="J73" i="3"/>
  <c r="K73" i="3" s="1"/>
  <c r="J69" i="3"/>
  <c r="K69" i="3" s="1"/>
  <c r="J40" i="3"/>
  <c r="K40" i="3" s="1"/>
  <c r="J39" i="3"/>
  <c r="K39" i="3" s="1"/>
  <c r="J78" i="3"/>
  <c r="K78" i="3" s="1"/>
  <c r="J58" i="3"/>
  <c r="K58" i="3" s="1"/>
  <c r="J38" i="3"/>
  <c r="K38" i="3" s="1"/>
  <c r="J26" i="3"/>
  <c r="K26" i="3" s="1"/>
  <c r="J25" i="3"/>
  <c r="K25" i="3" s="1"/>
  <c r="J44" i="3"/>
  <c r="K44" i="3" s="1"/>
  <c r="J43" i="3"/>
  <c r="K43" i="3" s="1"/>
  <c r="J22" i="3"/>
  <c r="K22" i="3" s="1"/>
  <c r="J47" i="3"/>
  <c r="K47" i="3" s="1"/>
  <c r="J77" i="3"/>
  <c r="K77" i="3" s="1"/>
  <c r="J57" i="3"/>
  <c r="K57" i="3" s="1"/>
  <c r="J37" i="3"/>
  <c r="K37" i="3" s="1"/>
  <c r="J46" i="3"/>
  <c r="K46" i="3" s="1"/>
  <c r="J45" i="3"/>
  <c r="K45" i="3" s="1"/>
  <c r="J24" i="3"/>
  <c r="K24" i="3" s="1"/>
  <c r="J23" i="3"/>
  <c r="K23" i="3" s="1"/>
  <c r="J42" i="3"/>
  <c r="K42" i="3" s="1"/>
  <c r="J59" i="3"/>
  <c r="K59" i="3" s="1"/>
  <c r="J76" i="3"/>
  <c r="K76" i="3" s="1"/>
  <c r="J56" i="3"/>
  <c r="K56" i="3" s="1"/>
  <c r="J36" i="3"/>
  <c r="K36" i="3" s="1"/>
  <c r="J16" i="3"/>
  <c r="K16" i="3" s="1"/>
  <c r="J18" i="3"/>
  <c r="K18" i="3" s="1"/>
  <c r="J27" i="3"/>
  <c r="K27" i="3" s="1"/>
  <c r="J19" i="3"/>
  <c r="K19" i="3" s="1"/>
  <c r="J17" i="3"/>
  <c r="K17" i="3" s="1"/>
  <c r="E34" i="3"/>
  <c r="E72" i="3"/>
  <c r="E71" i="3"/>
  <c r="E69" i="3"/>
  <c r="E29" i="3"/>
  <c r="E68" i="3"/>
  <c r="E67" i="3"/>
  <c r="E66" i="3"/>
  <c r="E26" i="3"/>
  <c r="E65" i="3"/>
  <c r="E54" i="3"/>
  <c r="E53" i="3"/>
  <c r="E49" i="3"/>
  <c r="E45" i="3"/>
  <c r="E74" i="3"/>
  <c r="E73" i="3"/>
  <c r="E70" i="3"/>
  <c r="E52" i="3"/>
  <c r="E48" i="3"/>
  <c r="E47" i="3"/>
  <c r="E46" i="3"/>
  <c r="E32" i="3"/>
  <c r="E31" i="3"/>
  <c r="E28" i="3"/>
  <c r="E27" i="3"/>
  <c r="E51" i="3"/>
  <c r="E33" i="3"/>
  <c r="E30" i="3"/>
  <c r="E25" i="3"/>
  <c r="E50" i="3"/>
  <c r="E24" i="3"/>
  <c r="E43" i="3"/>
  <c r="E22" i="3"/>
  <c r="E40" i="3"/>
  <c r="E79" i="3"/>
  <c r="E78" i="3"/>
  <c r="E58" i="3"/>
  <c r="E38" i="3"/>
  <c r="E18" i="3"/>
  <c r="E62" i="3"/>
  <c r="E21" i="3"/>
  <c r="E39" i="3"/>
  <c r="E77" i="3"/>
  <c r="E57" i="3"/>
  <c r="E37" i="3"/>
  <c r="E17" i="3"/>
  <c r="E44" i="3"/>
  <c r="E63" i="3"/>
  <c r="E42" i="3"/>
  <c r="E61" i="3"/>
  <c r="E60" i="3"/>
  <c r="E59" i="3"/>
  <c r="E76" i="3"/>
  <c r="E56" i="3"/>
  <c r="E36" i="3"/>
  <c r="E16" i="3"/>
  <c r="E64" i="3"/>
  <c r="E23" i="3"/>
  <c r="E41" i="3"/>
  <c r="E20" i="3"/>
  <c r="E19" i="3"/>
  <c r="E75" i="3"/>
  <c r="E55" i="3"/>
  <c r="E35" i="3"/>
  <c r="E15" i="3"/>
  <c r="E245" i="3"/>
  <c r="E244" i="3"/>
  <c r="E284" i="3"/>
  <c r="E283" i="3"/>
  <c r="E273" i="3"/>
  <c r="E272" i="3"/>
  <c r="J284" i="3"/>
  <c r="K284" i="3" s="1"/>
  <c r="J244" i="3"/>
  <c r="K244" i="3" s="1"/>
  <c r="E267" i="3"/>
  <c r="E289" i="3"/>
  <c r="E243" i="3"/>
  <c r="E288" i="3"/>
  <c r="E287" i="3"/>
  <c r="E247" i="3"/>
  <c r="E286" i="3"/>
  <c r="E285" i="3"/>
  <c r="E266" i="3"/>
  <c r="E246" i="3"/>
  <c r="J264" i="3"/>
  <c r="K264" i="3" s="1"/>
  <c r="J283" i="3"/>
  <c r="K283" i="3" s="1"/>
  <c r="J262" i="3"/>
  <c r="K262" i="3" s="1"/>
  <c r="J261" i="3"/>
  <c r="K261" i="3" s="1"/>
  <c r="J260" i="3"/>
  <c r="K260" i="3" s="1"/>
  <c r="J239" i="3"/>
  <c r="K239" i="3" s="1"/>
  <c r="J297" i="3"/>
  <c r="K297" i="3" s="1"/>
  <c r="J276" i="3"/>
  <c r="K276" i="3" s="1"/>
  <c r="J295" i="3"/>
  <c r="K295" i="3" s="1"/>
  <c r="J275" i="3"/>
  <c r="K275" i="3" s="1"/>
  <c r="J274" i="3"/>
  <c r="K274" i="3" s="1"/>
  <c r="J253" i="3"/>
  <c r="K253" i="3" s="1"/>
  <c r="J249" i="3"/>
  <c r="K249" i="3" s="1"/>
  <c r="J288" i="3"/>
  <c r="K288" i="3" s="1"/>
  <c r="J248" i="3"/>
  <c r="K248" i="3" s="1"/>
  <c r="J257" i="3"/>
  <c r="K257" i="3" s="1"/>
  <c r="J236" i="3"/>
  <c r="K236" i="3" s="1"/>
  <c r="J255" i="3"/>
  <c r="K255" i="3" s="1"/>
  <c r="J294" i="3"/>
  <c r="K294" i="3" s="1"/>
  <c r="J277" i="3"/>
  <c r="K277" i="3" s="1"/>
  <c r="J269" i="3"/>
  <c r="K269" i="3" s="1"/>
  <c r="J268" i="3"/>
  <c r="K268" i="3" s="1"/>
  <c r="J287" i="3"/>
  <c r="K287" i="3" s="1"/>
  <c r="J267" i="3"/>
  <c r="K267" i="3" s="1"/>
  <c r="J247" i="3"/>
  <c r="K247" i="3" s="1"/>
  <c r="J252" i="3"/>
  <c r="K252" i="3" s="1"/>
  <c r="J263" i="3"/>
  <c r="K263" i="3" s="1"/>
  <c r="J242" i="3"/>
  <c r="K242" i="3" s="1"/>
  <c r="J281" i="3"/>
  <c r="K281" i="3" s="1"/>
  <c r="J240" i="3"/>
  <c r="K240" i="3" s="1"/>
  <c r="J279" i="3"/>
  <c r="K279" i="3" s="1"/>
  <c r="J238" i="3"/>
  <c r="K238" i="3" s="1"/>
  <c r="J293" i="3"/>
  <c r="K293" i="3" s="1"/>
  <c r="J270" i="3"/>
  <c r="K270" i="3" s="1"/>
  <c r="J271" i="3"/>
  <c r="K271" i="3" s="1"/>
  <c r="J272" i="3"/>
  <c r="K272" i="3" s="1"/>
  <c r="J273" i="3"/>
  <c r="K273" i="3" s="1"/>
  <c r="J237" i="3"/>
  <c r="K237" i="3" s="1"/>
  <c r="J290" i="3"/>
  <c r="K290" i="3" s="1"/>
  <c r="J291" i="3"/>
  <c r="K291" i="3" s="1"/>
  <c r="J292" i="3"/>
  <c r="K292" i="3" s="1"/>
  <c r="J296" i="3"/>
  <c r="K296" i="3" s="1"/>
  <c r="J234" i="3"/>
  <c r="K234" i="3" s="1"/>
  <c r="J289" i="3"/>
  <c r="K289" i="3" s="1"/>
  <c r="J286" i="3"/>
  <c r="K286" i="3" s="1"/>
  <c r="J266" i="3"/>
  <c r="K266" i="3" s="1"/>
  <c r="J246" i="3"/>
  <c r="K246" i="3" s="1"/>
  <c r="J251" i="3"/>
  <c r="K251" i="3" s="1"/>
  <c r="J243" i="3"/>
  <c r="K243" i="3" s="1"/>
  <c r="J282" i="3"/>
  <c r="K282" i="3" s="1"/>
  <c r="J241" i="3"/>
  <c r="K241" i="3" s="1"/>
  <c r="J280" i="3"/>
  <c r="K280" i="3" s="1"/>
  <c r="J259" i="3"/>
  <c r="K259" i="3" s="1"/>
  <c r="J258" i="3"/>
  <c r="K258" i="3" s="1"/>
  <c r="J256" i="3"/>
  <c r="K256" i="3" s="1"/>
  <c r="J235" i="3"/>
  <c r="K235" i="3" s="1"/>
  <c r="J254" i="3"/>
  <c r="K254" i="3" s="1"/>
  <c r="J278" i="3"/>
  <c r="K278" i="3" s="1"/>
  <c r="J285" i="3"/>
  <c r="K285" i="3" s="1"/>
  <c r="J265" i="3"/>
  <c r="K265" i="3" s="1"/>
  <c r="J245" i="3"/>
  <c r="K245" i="3" s="1"/>
  <c r="J250" i="3"/>
  <c r="K250" i="3" s="1"/>
  <c r="E253" i="3"/>
  <c r="E252" i="3"/>
  <c r="E265" i="3"/>
  <c r="E293" i="3"/>
  <c r="E292" i="3"/>
  <c r="E250" i="3"/>
  <c r="E291" i="3"/>
  <c r="E249" i="3"/>
  <c r="E264" i="3"/>
  <c r="E263" i="3"/>
  <c r="E251" i="3"/>
  <c r="E290" i="3"/>
  <c r="E248" i="3"/>
  <c r="E271" i="3"/>
  <c r="E270" i="3"/>
  <c r="E269" i="3"/>
  <c r="E268" i="3"/>
  <c r="E282" i="3"/>
  <c r="E297" i="3"/>
  <c r="E277" i="3"/>
  <c r="E257" i="3"/>
  <c r="E237" i="3"/>
  <c r="E262" i="3"/>
  <c r="E281" i="3"/>
  <c r="E241" i="3"/>
  <c r="E240" i="3"/>
  <c r="E259" i="3"/>
  <c r="E278" i="3"/>
  <c r="E296" i="3"/>
  <c r="E276" i="3"/>
  <c r="E256" i="3"/>
  <c r="E236" i="3"/>
  <c r="E260" i="3"/>
  <c r="E239" i="3"/>
  <c r="E258" i="3"/>
  <c r="E295" i="3"/>
  <c r="E275" i="3"/>
  <c r="E255" i="3"/>
  <c r="E235" i="3"/>
  <c r="E242" i="3"/>
  <c r="E261" i="3"/>
  <c r="E280" i="3"/>
  <c r="E279" i="3"/>
  <c r="E238" i="3"/>
  <c r="E294" i="3"/>
  <c r="E274" i="3"/>
  <c r="E254" i="3"/>
  <c r="E234" i="3"/>
  <c r="E156" i="3"/>
  <c r="M156" i="3" s="1"/>
  <c r="C8" i="3" s="1"/>
  <c r="I7" i="4" l="1"/>
  <c r="L142" i="4"/>
  <c r="U142" i="4" s="1"/>
  <c r="L86" i="4"/>
  <c r="U86" i="4" s="1"/>
  <c r="L127" i="4"/>
  <c r="U127" i="4" s="1"/>
  <c r="L103" i="4"/>
  <c r="U103" i="4" s="1"/>
  <c r="L130" i="4"/>
  <c r="U130" i="4" s="1"/>
  <c r="L97" i="4"/>
  <c r="U97" i="4" s="1"/>
  <c r="L132" i="4"/>
  <c r="U132" i="4" s="1"/>
  <c r="L117" i="4"/>
  <c r="U117" i="4" s="1"/>
  <c r="L101" i="4"/>
  <c r="U101" i="4" s="1"/>
  <c r="L111" i="4"/>
  <c r="U111" i="4" s="1"/>
  <c r="L119" i="4"/>
  <c r="U119" i="4" s="1"/>
  <c r="L133" i="4"/>
  <c r="U133" i="4" s="1"/>
  <c r="L144" i="4"/>
  <c r="U144" i="4" s="1"/>
  <c r="L105" i="4"/>
  <c r="U105" i="4" s="1"/>
  <c r="L113" i="4"/>
  <c r="U113" i="4" s="1"/>
  <c r="L115" i="4"/>
  <c r="U115" i="4" s="1"/>
  <c r="L90" i="4"/>
  <c r="U90" i="4" s="1"/>
  <c r="L99" i="4"/>
  <c r="U99" i="4" s="1"/>
  <c r="L135" i="4"/>
  <c r="U135" i="4" s="1"/>
  <c r="L93" i="4"/>
  <c r="U93" i="4" s="1"/>
  <c r="L114" i="4"/>
  <c r="U114" i="4" s="1"/>
  <c r="L100" i="4"/>
  <c r="U100" i="4" s="1"/>
  <c r="L118" i="4"/>
  <c r="U118" i="4" s="1"/>
  <c r="L98" i="4"/>
  <c r="U98" i="4" s="1"/>
  <c r="L148" i="4"/>
  <c r="U148" i="4" s="1"/>
  <c r="L124" i="4"/>
  <c r="U124" i="4" s="1"/>
  <c r="L145" i="4"/>
  <c r="U145" i="4" s="1"/>
  <c r="L95" i="4"/>
  <c r="U95" i="4" s="1"/>
  <c r="L88" i="4"/>
  <c r="U88" i="4" s="1"/>
  <c r="L129" i="4"/>
  <c r="U129" i="4" s="1"/>
  <c r="L96" i="4"/>
  <c r="U96" i="4" s="1"/>
  <c r="L112" i="4"/>
  <c r="U112" i="4" s="1"/>
  <c r="L123" i="4"/>
  <c r="U123" i="4" s="1"/>
  <c r="L104" i="4"/>
  <c r="U104" i="4" s="1"/>
  <c r="L131" i="4"/>
  <c r="U131" i="4" s="1"/>
  <c r="L146" i="4"/>
  <c r="U146" i="4" s="1"/>
  <c r="L128" i="4"/>
  <c r="U128" i="4" s="1"/>
  <c r="L89" i="4"/>
  <c r="U89" i="4" s="1"/>
  <c r="L136" i="4"/>
  <c r="U136" i="4" s="1"/>
  <c r="L137" i="4"/>
  <c r="U137" i="4" s="1"/>
  <c r="L87" i="4"/>
  <c r="U87" i="4" s="1"/>
  <c r="L120" i="4"/>
  <c r="U120" i="4" s="1"/>
  <c r="L102" i="4"/>
  <c r="U102" i="4" s="1"/>
  <c r="L138" i="4"/>
  <c r="U138" i="4" s="1"/>
  <c r="L147" i="4"/>
  <c r="U147" i="4" s="1"/>
  <c r="L149" i="4"/>
  <c r="U149" i="4" s="1"/>
  <c r="L91" i="4"/>
  <c r="U91" i="4" s="1"/>
  <c r="L126" i="4"/>
  <c r="U126" i="4" s="1"/>
  <c r="L94" i="4"/>
  <c r="U94" i="4" s="1"/>
  <c r="L110" i="4"/>
  <c r="U110" i="4" s="1"/>
  <c r="L121" i="4"/>
  <c r="U121" i="4" s="1"/>
  <c r="L141" i="4"/>
  <c r="U141" i="4" s="1"/>
  <c r="L143" i="4"/>
  <c r="U143" i="4" s="1"/>
  <c r="L134" i="4"/>
  <c r="U134" i="4" s="1"/>
  <c r="L125" i="4"/>
  <c r="U125" i="4" s="1"/>
  <c r="L106" i="4"/>
  <c r="U106" i="4" s="1"/>
  <c r="L108" i="4"/>
  <c r="U108" i="4" s="1"/>
  <c r="L109" i="4"/>
  <c r="U109" i="4" s="1"/>
  <c r="L92" i="4"/>
  <c r="U92" i="4" s="1"/>
  <c r="L139" i="4"/>
  <c r="U139" i="4" s="1"/>
  <c r="L116" i="4"/>
  <c r="U116" i="4" s="1"/>
  <c r="L107" i="4"/>
  <c r="U107" i="4" s="1"/>
  <c r="L140" i="4"/>
  <c r="U140" i="4" s="1"/>
  <c r="L122" i="4"/>
  <c r="U122" i="4" s="1"/>
  <c r="L66" i="4"/>
  <c r="U66" i="4" s="1"/>
  <c r="L20" i="4"/>
  <c r="U20" i="4" s="1"/>
  <c r="L28" i="4"/>
  <c r="U28" i="4" s="1"/>
  <c r="L52" i="4"/>
  <c r="U52" i="4" s="1"/>
  <c r="L40" i="4"/>
  <c r="U40" i="4" s="1"/>
  <c r="L33" i="4"/>
  <c r="U33" i="4" s="1"/>
  <c r="L61" i="4"/>
  <c r="U61" i="4" s="1"/>
  <c r="L23" i="4"/>
  <c r="U23" i="4" s="1"/>
  <c r="L64" i="4"/>
  <c r="U64" i="4" s="1"/>
  <c r="L56" i="4"/>
  <c r="U56" i="4" s="1"/>
  <c r="L29" i="4"/>
  <c r="U29" i="4" s="1"/>
  <c r="L30" i="4"/>
  <c r="U30" i="4" s="1"/>
  <c r="L43" i="4"/>
  <c r="U43" i="4" s="1"/>
  <c r="L73" i="4"/>
  <c r="U73" i="4" s="1"/>
  <c r="L47" i="4"/>
  <c r="U47" i="4" s="1"/>
  <c r="L41" i="4"/>
  <c r="U41" i="4" s="1"/>
  <c r="L50" i="4"/>
  <c r="U50" i="4" s="1"/>
  <c r="L36" i="4"/>
  <c r="U36" i="4" s="1"/>
  <c r="L18" i="4"/>
  <c r="U18" i="4" s="1"/>
  <c r="L62" i="4"/>
  <c r="U62" i="4" s="1"/>
  <c r="L31" i="4"/>
  <c r="U31" i="4" s="1"/>
  <c r="L37" i="4"/>
  <c r="U37" i="4" s="1"/>
  <c r="L34" i="4"/>
  <c r="U34" i="4" s="1"/>
  <c r="L49" i="4"/>
  <c r="U49" i="4" s="1"/>
  <c r="L27" i="4"/>
  <c r="U27" i="4" s="1"/>
  <c r="L67" i="4"/>
  <c r="U67" i="4" s="1"/>
  <c r="L25" i="4"/>
  <c r="U25" i="4" s="1"/>
  <c r="L46" i="4"/>
  <c r="U46" i="4" s="1"/>
  <c r="L70" i="4"/>
  <c r="U70" i="4" s="1"/>
  <c r="L71" i="4"/>
  <c r="U71" i="4" s="1"/>
  <c r="L54" i="4"/>
  <c r="U54" i="4" s="1"/>
  <c r="L53" i="4"/>
  <c r="U53" i="4" s="1"/>
  <c r="L35" i="4"/>
  <c r="U35" i="4" s="1"/>
  <c r="L22" i="4"/>
  <c r="U22" i="4" s="1"/>
  <c r="L69" i="4"/>
  <c r="U69" i="4" s="1"/>
  <c r="L17" i="4"/>
  <c r="U17" i="4" s="1"/>
  <c r="L65" i="4"/>
  <c r="U65" i="4" s="1"/>
  <c r="L16" i="4"/>
  <c r="U16" i="4" s="1"/>
  <c r="L38" i="4"/>
  <c r="U38" i="4" s="1"/>
  <c r="L19" i="4"/>
  <c r="U19" i="4" s="1"/>
  <c r="L15" i="4"/>
  <c r="U15" i="4" s="1"/>
  <c r="L79" i="4"/>
  <c r="M79" i="4" s="1"/>
  <c r="L78" i="4"/>
  <c r="U78" i="4" s="1"/>
  <c r="L59" i="4"/>
  <c r="U59" i="4" s="1"/>
  <c r="L72" i="4"/>
  <c r="U72" i="4" s="1"/>
  <c r="L75" i="4"/>
  <c r="U75" i="4" s="1"/>
  <c r="L76" i="4"/>
  <c r="U76" i="4" s="1"/>
  <c r="L63" i="4"/>
  <c r="U63" i="4" s="1"/>
  <c r="L48" i="4"/>
  <c r="U48" i="4" s="1"/>
  <c r="L58" i="4"/>
  <c r="U58" i="4" s="1"/>
  <c r="L55" i="4"/>
  <c r="U55" i="4" s="1"/>
  <c r="L42" i="4"/>
  <c r="U42" i="4" s="1"/>
  <c r="L60" i="4"/>
  <c r="U60" i="4" s="1"/>
  <c r="L74" i="4"/>
  <c r="U74" i="4" s="1"/>
  <c r="L68" i="4"/>
  <c r="U68" i="4" s="1"/>
  <c r="L77" i="4"/>
  <c r="U77" i="4" s="1"/>
  <c r="L51" i="4"/>
  <c r="U51" i="4" s="1"/>
  <c r="L21" i="4"/>
  <c r="U21" i="4" s="1"/>
  <c r="L32" i="4"/>
  <c r="U32" i="4" s="1"/>
  <c r="L44" i="4"/>
  <c r="U44" i="4" s="1"/>
  <c r="L45" i="4"/>
  <c r="U45" i="4" s="1"/>
  <c r="L24" i="4"/>
  <c r="U24" i="4" s="1"/>
  <c r="L26" i="4"/>
  <c r="U26" i="4" s="1"/>
  <c r="L39" i="4"/>
  <c r="U39" i="4" s="1"/>
  <c r="L57" i="4"/>
  <c r="U57" i="4" s="1"/>
  <c r="J8" i="3"/>
  <c r="I7" i="3"/>
  <c r="L186" i="3"/>
  <c r="U186" i="3" s="1"/>
  <c r="J7" i="3"/>
  <c r="M186" i="3"/>
  <c r="Q186" i="3"/>
  <c r="L205" i="3"/>
  <c r="U205" i="3" s="1"/>
  <c r="L178" i="3"/>
  <c r="U178" i="3" s="1"/>
  <c r="L210" i="3"/>
  <c r="U210" i="3" s="1"/>
  <c r="L181" i="3"/>
  <c r="U181" i="3" s="1"/>
  <c r="L175" i="3"/>
  <c r="U175" i="3" s="1"/>
  <c r="L220" i="3"/>
  <c r="U220" i="3" s="1"/>
  <c r="L188" i="3"/>
  <c r="U188" i="3" s="1"/>
  <c r="L196" i="3"/>
  <c r="U196" i="3" s="1"/>
  <c r="L204" i="3"/>
  <c r="U204" i="3" s="1"/>
  <c r="L193" i="3"/>
  <c r="U193" i="3" s="1"/>
  <c r="L197" i="3"/>
  <c r="U197" i="3" s="1"/>
  <c r="L214" i="3"/>
  <c r="U214" i="3" s="1"/>
  <c r="L191" i="3"/>
  <c r="U191" i="3" s="1"/>
  <c r="L167" i="3"/>
  <c r="U167" i="3" s="1"/>
  <c r="L201" i="3"/>
  <c r="U201" i="3" s="1"/>
  <c r="L212" i="3"/>
  <c r="U212" i="3" s="1"/>
  <c r="L190" i="3"/>
  <c r="U190" i="3" s="1"/>
  <c r="L226" i="3"/>
  <c r="U226" i="3" s="1"/>
  <c r="L169" i="3"/>
  <c r="U169" i="3" s="1"/>
  <c r="L225" i="3"/>
  <c r="U225" i="3" s="1"/>
  <c r="L213" i="3"/>
  <c r="U213" i="3" s="1"/>
  <c r="L208" i="3"/>
  <c r="U208" i="3" s="1"/>
  <c r="L163" i="3"/>
  <c r="U163" i="3" s="1"/>
  <c r="L207" i="3"/>
  <c r="U207" i="3" s="1"/>
  <c r="L176" i="3"/>
  <c r="U176" i="3" s="1"/>
  <c r="L168" i="3"/>
  <c r="U168" i="3" s="1"/>
  <c r="L195" i="3"/>
  <c r="U195" i="3" s="1"/>
  <c r="L200" i="3"/>
  <c r="U200" i="3" s="1"/>
  <c r="L189" i="3"/>
  <c r="U189" i="3" s="1"/>
  <c r="L198" i="3"/>
  <c r="U198" i="3" s="1"/>
  <c r="L183" i="3"/>
  <c r="U183" i="3" s="1"/>
  <c r="L173" i="3"/>
  <c r="U173" i="3" s="1"/>
  <c r="L211" i="3"/>
  <c r="U211" i="3" s="1"/>
  <c r="L216" i="3"/>
  <c r="U216" i="3" s="1"/>
  <c r="L164" i="3"/>
  <c r="U164" i="3" s="1"/>
  <c r="L203" i="3"/>
  <c r="U203" i="3" s="1"/>
  <c r="L177" i="3"/>
  <c r="U177" i="3" s="1"/>
  <c r="L199" i="3"/>
  <c r="U199" i="3" s="1"/>
  <c r="L222" i="3"/>
  <c r="U222" i="3" s="1"/>
  <c r="L170" i="3"/>
  <c r="U170" i="3" s="1"/>
  <c r="L218" i="3"/>
  <c r="U218" i="3" s="1"/>
  <c r="L206" i="3"/>
  <c r="U206" i="3" s="1"/>
  <c r="L215" i="3"/>
  <c r="U215" i="3" s="1"/>
  <c r="L219" i="3"/>
  <c r="U219" i="3" s="1"/>
  <c r="L179" i="3"/>
  <c r="U179" i="3" s="1"/>
  <c r="L171" i="3"/>
  <c r="U171" i="3" s="1"/>
  <c r="L187" i="3"/>
  <c r="U187" i="3" s="1"/>
  <c r="L185" i="3"/>
  <c r="U185" i="3" s="1"/>
  <c r="L184" i="3"/>
  <c r="U184" i="3" s="1"/>
  <c r="L182" i="3"/>
  <c r="U182" i="3" s="1"/>
  <c r="L224" i="3"/>
  <c r="U224" i="3" s="1"/>
  <c r="L166" i="3"/>
  <c r="U166" i="3" s="1"/>
  <c r="L209" i="3"/>
  <c r="U209" i="3" s="1"/>
  <c r="L172" i="3"/>
  <c r="U172" i="3" s="1"/>
  <c r="L192" i="3"/>
  <c r="U192" i="3" s="1"/>
  <c r="L221" i="3"/>
  <c r="U221" i="3" s="1"/>
  <c r="L217" i="3"/>
  <c r="U217" i="3" s="1"/>
  <c r="L180" i="3"/>
  <c r="U180" i="3" s="1"/>
  <c r="L174" i="3"/>
  <c r="U174" i="3" s="1"/>
  <c r="L194" i="3"/>
  <c r="U194" i="3" s="1"/>
  <c r="L202" i="3"/>
  <c r="U202" i="3" s="1"/>
  <c r="L165" i="3"/>
  <c r="U165" i="3" s="1"/>
  <c r="L223" i="3"/>
  <c r="U223" i="3" s="1"/>
  <c r="L127" i="3"/>
  <c r="U127" i="3" s="1"/>
  <c r="L90" i="3"/>
  <c r="U90" i="3" s="1"/>
  <c r="L134" i="3"/>
  <c r="U134" i="3" s="1"/>
  <c r="L130" i="3"/>
  <c r="U130" i="3" s="1"/>
  <c r="L93" i="3"/>
  <c r="U93" i="3" s="1"/>
  <c r="L133" i="3"/>
  <c r="U133" i="3" s="1"/>
  <c r="L95" i="3"/>
  <c r="U95" i="3" s="1"/>
  <c r="L142" i="3"/>
  <c r="U142" i="3" s="1"/>
  <c r="L105" i="3"/>
  <c r="U105" i="3" s="1"/>
  <c r="L145" i="3"/>
  <c r="U145" i="3" s="1"/>
  <c r="L116" i="3"/>
  <c r="U116" i="3" s="1"/>
  <c r="L126" i="3"/>
  <c r="U126" i="3" s="1"/>
  <c r="L124" i="3"/>
  <c r="U124" i="3" s="1"/>
  <c r="L148" i="3"/>
  <c r="U148" i="3" s="1"/>
  <c r="L120" i="3"/>
  <c r="U120" i="3" s="1"/>
  <c r="L121" i="3"/>
  <c r="U121" i="3" s="1"/>
  <c r="L147" i="3"/>
  <c r="U147" i="3" s="1"/>
  <c r="L101" i="3"/>
  <c r="U101" i="3" s="1"/>
  <c r="L118" i="3"/>
  <c r="U118" i="3" s="1"/>
  <c r="L96" i="3"/>
  <c r="U96" i="3" s="1"/>
  <c r="L91" i="3"/>
  <c r="U91" i="3" s="1"/>
  <c r="L89" i="3"/>
  <c r="U89" i="3" s="1"/>
  <c r="L112" i="3"/>
  <c r="U112" i="3" s="1"/>
  <c r="L114" i="3"/>
  <c r="U114" i="3" s="1"/>
  <c r="L104" i="3"/>
  <c r="U104" i="3" s="1"/>
  <c r="L88" i="3"/>
  <c r="U88" i="3" s="1"/>
  <c r="L137" i="3"/>
  <c r="U137" i="3" s="1"/>
  <c r="L128" i="3"/>
  <c r="U128" i="3" s="1"/>
  <c r="L144" i="3"/>
  <c r="U144" i="3" s="1"/>
  <c r="L99" i="3"/>
  <c r="U99" i="3" s="1"/>
  <c r="L131" i="3"/>
  <c r="U131" i="3" s="1"/>
  <c r="L122" i="3"/>
  <c r="U122" i="3" s="1"/>
  <c r="L135" i="3"/>
  <c r="U135" i="3" s="1"/>
  <c r="L92" i="3"/>
  <c r="U92" i="3" s="1"/>
  <c r="L129" i="3"/>
  <c r="U129" i="3" s="1"/>
  <c r="L111" i="3"/>
  <c r="U111" i="3" s="1"/>
  <c r="L98" i="3"/>
  <c r="U98" i="3" s="1"/>
  <c r="L149" i="3"/>
  <c r="U149" i="3" s="1"/>
  <c r="L125" i="3"/>
  <c r="U125" i="3" s="1"/>
  <c r="L109" i="3"/>
  <c r="U109" i="3" s="1"/>
  <c r="L102" i="3"/>
  <c r="U102" i="3" s="1"/>
  <c r="L103" i="3"/>
  <c r="U103" i="3" s="1"/>
  <c r="L86" i="3"/>
  <c r="U86" i="3" s="1"/>
  <c r="L138" i="3"/>
  <c r="U138" i="3" s="1"/>
  <c r="L136" i="3"/>
  <c r="U136" i="3" s="1"/>
  <c r="L87" i="3"/>
  <c r="U87" i="3" s="1"/>
  <c r="L143" i="3"/>
  <c r="U143" i="3" s="1"/>
  <c r="L110" i="3"/>
  <c r="U110" i="3" s="1"/>
  <c r="L117" i="3"/>
  <c r="U117" i="3" s="1"/>
  <c r="L139" i="3"/>
  <c r="U139" i="3" s="1"/>
  <c r="L141" i="3"/>
  <c r="U141" i="3" s="1"/>
  <c r="L100" i="3"/>
  <c r="U100" i="3" s="1"/>
  <c r="L123" i="3"/>
  <c r="U123" i="3" s="1"/>
  <c r="L94" i="3"/>
  <c r="U94" i="3" s="1"/>
  <c r="L140" i="3"/>
  <c r="U140" i="3" s="1"/>
  <c r="L132" i="3"/>
  <c r="U132" i="3" s="1"/>
  <c r="L115" i="3"/>
  <c r="U115" i="3" s="1"/>
  <c r="L106" i="3"/>
  <c r="U106" i="3" s="1"/>
  <c r="L108" i="3"/>
  <c r="U108" i="3" s="1"/>
  <c r="L146" i="3"/>
  <c r="U146" i="3" s="1"/>
  <c r="L119" i="3"/>
  <c r="U119" i="3" s="1"/>
  <c r="L97" i="3"/>
  <c r="U97" i="3" s="1"/>
  <c r="L107" i="3"/>
  <c r="U107" i="3" s="1"/>
  <c r="L113" i="3"/>
  <c r="U113" i="3" s="1"/>
  <c r="L31" i="3"/>
  <c r="U31" i="3" s="1"/>
  <c r="L58" i="3"/>
  <c r="U58" i="3" s="1"/>
  <c r="L39" i="3"/>
  <c r="U39" i="3" s="1"/>
  <c r="L40" i="3"/>
  <c r="U40" i="3" s="1"/>
  <c r="L69" i="3"/>
  <c r="U69" i="3" s="1"/>
  <c r="L50" i="3"/>
  <c r="U50" i="3" s="1"/>
  <c r="L54" i="3"/>
  <c r="U54" i="3" s="1"/>
  <c r="L32" i="3"/>
  <c r="U32" i="3" s="1"/>
  <c r="L67" i="3"/>
  <c r="U67" i="3" s="1"/>
  <c r="L70" i="3"/>
  <c r="U70" i="3" s="1"/>
  <c r="L43" i="3"/>
  <c r="U43" i="3" s="1"/>
  <c r="L29" i="3"/>
  <c r="U29" i="3" s="1"/>
  <c r="L15" i="3"/>
  <c r="U15" i="3" s="1"/>
  <c r="L79" i="3"/>
  <c r="M79" i="3" s="1"/>
  <c r="L78" i="3"/>
  <c r="U78" i="3" s="1"/>
  <c r="L56" i="3"/>
  <c r="U56" i="3" s="1"/>
  <c r="L61" i="3"/>
  <c r="U61" i="3" s="1"/>
  <c r="L42" i="3"/>
  <c r="U42" i="3" s="1"/>
  <c r="L23" i="3"/>
  <c r="U23" i="3" s="1"/>
  <c r="L64" i="3"/>
  <c r="U64" i="3" s="1"/>
  <c r="L51" i="3"/>
  <c r="U51" i="3" s="1"/>
  <c r="L28" i="3"/>
  <c r="U28" i="3" s="1"/>
  <c r="L71" i="3"/>
  <c r="U71" i="3" s="1"/>
  <c r="L53" i="3"/>
  <c r="U53" i="3" s="1"/>
  <c r="L17" i="3"/>
  <c r="U17" i="3" s="1"/>
  <c r="L44" i="3"/>
  <c r="U44" i="3" s="1"/>
  <c r="L48" i="3"/>
  <c r="U48" i="3" s="1"/>
  <c r="L35" i="3"/>
  <c r="U35" i="3" s="1"/>
  <c r="L76" i="3"/>
  <c r="U76" i="3" s="1"/>
  <c r="L24" i="3"/>
  <c r="U24" i="3" s="1"/>
  <c r="L45" i="3"/>
  <c r="U45" i="3" s="1"/>
  <c r="L46" i="3"/>
  <c r="U46" i="3" s="1"/>
  <c r="L37" i="3"/>
  <c r="U37" i="3" s="1"/>
  <c r="L57" i="3"/>
  <c r="U57" i="3" s="1"/>
  <c r="L22" i="3"/>
  <c r="U22" i="3" s="1"/>
  <c r="L19" i="3"/>
  <c r="U19" i="3" s="1"/>
  <c r="L25" i="3"/>
  <c r="U25" i="3" s="1"/>
  <c r="L20" i="3"/>
  <c r="U20" i="3" s="1"/>
  <c r="L55" i="3"/>
  <c r="U55" i="3" s="1"/>
  <c r="L16" i="3"/>
  <c r="U16" i="3" s="1"/>
  <c r="L36" i="3"/>
  <c r="U36" i="3" s="1"/>
  <c r="L21" i="3"/>
  <c r="U21" i="3" s="1"/>
  <c r="L41" i="3"/>
  <c r="U41" i="3" s="1"/>
  <c r="L59" i="3"/>
  <c r="U59" i="3" s="1"/>
  <c r="L62" i="3"/>
  <c r="U62" i="3" s="1"/>
  <c r="L65" i="3"/>
  <c r="U65" i="3" s="1"/>
  <c r="L30" i="3"/>
  <c r="U30" i="3" s="1"/>
  <c r="L49" i="3"/>
  <c r="U49" i="3" s="1"/>
  <c r="L77" i="3"/>
  <c r="U77" i="3" s="1"/>
  <c r="L34" i="3"/>
  <c r="U34" i="3" s="1"/>
  <c r="L27" i="3"/>
  <c r="U27" i="3" s="1"/>
  <c r="L26" i="3"/>
  <c r="U26" i="3" s="1"/>
  <c r="L33" i="3"/>
  <c r="U33" i="3" s="1"/>
  <c r="L75" i="3"/>
  <c r="U75" i="3" s="1"/>
  <c r="L60" i="3"/>
  <c r="U60" i="3" s="1"/>
  <c r="L73" i="3"/>
  <c r="U73" i="3" s="1"/>
  <c r="L63" i="3"/>
  <c r="U63" i="3" s="1"/>
  <c r="L66" i="3"/>
  <c r="U66" i="3" s="1"/>
  <c r="L68" i="3"/>
  <c r="U68" i="3" s="1"/>
  <c r="L47" i="3"/>
  <c r="U47" i="3" s="1"/>
  <c r="L72" i="3"/>
  <c r="U72" i="3" s="1"/>
  <c r="L18" i="3"/>
  <c r="U18" i="3" s="1"/>
  <c r="L38" i="3"/>
  <c r="U38" i="3" s="1"/>
  <c r="L52" i="3"/>
  <c r="U52" i="3" s="1"/>
  <c r="L74" i="3"/>
  <c r="U74" i="3" s="1"/>
  <c r="L283" i="3"/>
  <c r="U283" i="3" s="1"/>
  <c r="L250" i="3"/>
  <c r="U250" i="3" s="1"/>
  <c r="L296" i="3"/>
  <c r="U296" i="3" s="1"/>
  <c r="L292" i="3"/>
  <c r="U292" i="3" s="1"/>
  <c r="L291" i="3"/>
  <c r="U291" i="3" s="1"/>
  <c r="L290" i="3"/>
  <c r="U290" i="3" s="1"/>
  <c r="L237" i="3"/>
  <c r="U237" i="3" s="1"/>
  <c r="L273" i="3"/>
  <c r="U273" i="3" s="1"/>
  <c r="L235" i="3"/>
  <c r="U235" i="3" s="1"/>
  <c r="L248" i="3"/>
  <c r="U248" i="3" s="1"/>
  <c r="L258" i="3"/>
  <c r="U258" i="3" s="1"/>
  <c r="L249" i="3"/>
  <c r="U249" i="3" s="1"/>
  <c r="L238" i="3"/>
  <c r="U238" i="3" s="1"/>
  <c r="L240" i="3"/>
  <c r="U240" i="3" s="1"/>
  <c r="L284" i="3"/>
  <c r="U284" i="3" s="1"/>
  <c r="L251" i="3"/>
  <c r="U251" i="3" s="1"/>
  <c r="L263" i="3"/>
  <c r="U263" i="3" s="1"/>
  <c r="L266" i="3"/>
  <c r="U266" i="3" s="1"/>
  <c r="L252" i="3"/>
  <c r="U252" i="3" s="1"/>
  <c r="L239" i="3"/>
  <c r="U239" i="3" s="1"/>
  <c r="L245" i="3"/>
  <c r="U245" i="3" s="1"/>
  <c r="L294" i="3"/>
  <c r="U294" i="3" s="1"/>
  <c r="L272" i="3"/>
  <c r="U272" i="3" s="1"/>
  <c r="L256" i="3"/>
  <c r="U256" i="3" s="1"/>
  <c r="L288" i="3"/>
  <c r="U288" i="3" s="1"/>
  <c r="L280" i="3"/>
  <c r="U280" i="3" s="1"/>
  <c r="L241" i="3"/>
  <c r="U241" i="3" s="1"/>
  <c r="L244" i="3"/>
  <c r="U244" i="3" s="1"/>
  <c r="L281" i="3"/>
  <c r="U281" i="3" s="1"/>
  <c r="L242" i="3"/>
  <c r="U242" i="3" s="1"/>
  <c r="L246" i="3"/>
  <c r="U246" i="3" s="1"/>
  <c r="L286" i="3"/>
  <c r="U286" i="3" s="1"/>
  <c r="L247" i="3"/>
  <c r="U247" i="3" s="1"/>
  <c r="L260" i="3"/>
  <c r="U260" i="3" s="1"/>
  <c r="L268" i="3"/>
  <c r="U268" i="3" s="1"/>
  <c r="L269" i="3"/>
  <c r="U269" i="3" s="1"/>
  <c r="L265" i="3"/>
  <c r="U265" i="3" s="1"/>
  <c r="L255" i="3"/>
  <c r="U255" i="3" s="1"/>
  <c r="L254" i="3"/>
  <c r="U254" i="3" s="1"/>
  <c r="L257" i="3"/>
  <c r="U257" i="3" s="1"/>
  <c r="L271" i="3"/>
  <c r="U271" i="3" s="1"/>
  <c r="L293" i="3"/>
  <c r="U293" i="3" s="1"/>
  <c r="L274" i="3"/>
  <c r="U274" i="3" s="1"/>
  <c r="L275" i="3"/>
  <c r="U275" i="3" s="1"/>
  <c r="L295" i="3"/>
  <c r="U295" i="3" s="1"/>
  <c r="L276" i="3"/>
  <c r="U276" i="3" s="1"/>
  <c r="L297" i="3"/>
  <c r="U297" i="3" s="1"/>
  <c r="L289" i="3"/>
  <c r="U289" i="3" s="1"/>
  <c r="L267" i="3"/>
  <c r="U267" i="3" s="1"/>
  <c r="L261" i="3"/>
  <c r="U261" i="3" s="1"/>
  <c r="L264" i="3"/>
  <c r="U264" i="3" s="1"/>
  <c r="L277" i="3"/>
  <c r="U277" i="3" s="1"/>
  <c r="L285" i="3"/>
  <c r="U285" i="3" s="1"/>
  <c r="L278" i="3"/>
  <c r="U278" i="3" s="1"/>
  <c r="L236" i="3"/>
  <c r="U236" i="3" s="1"/>
  <c r="L270" i="3"/>
  <c r="U270" i="3" s="1"/>
  <c r="L259" i="3"/>
  <c r="U259" i="3" s="1"/>
  <c r="L253" i="3"/>
  <c r="U253" i="3" s="1"/>
  <c r="L279" i="3"/>
  <c r="U279" i="3" s="1"/>
  <c r="L282" i="3"/>
  <c r="U282" i="3" s="1"/>
  <c r="L243" i="3"/>
  <c r="U243" i="3" s="1"/>
  <c r="L234" i="3"/>
  <c r="U234" i="3" s="1"/>
  <c r="L287" i="3"/>
  <c r="U287" i="3" s="1"/>
  <c r="L262" i="3"/>
  <c r="U262" i="3" s="1"/>
  <c r="J9" i="3"/>
  <c r="F55" i="2"/>
  <c r="G22" i="2"/>
  <c r="E15" i="2"/>
  <c r="C63" i="2"/>
  <c r="F20" i="2"/>
  <c r="E10" i="2"/>
  <c r="D29" i="2"/>
  <c r="B21" i="2"/>
  <c r="B50" i="2"/>
  <c r="E21" i="2"/>
  <c r="E13" i="2"/>
  <c r="E54" i="2"/>
  <c r="D65" i="2"/>
  <c r="B21" i="1"/>
  <c r="E18" i="2"/>
  <c r="G4" i="2"/>
  <c r="B15" i="2"/>
  <c r="D27" i="2"/>
  <c r="F53" i="2"/>
  <c r="D49" i="2"/>
  <c r="C3" i="2"/>
  <c r="B30" i="2"/>
  <c r="D38" i="2"/>
  <c r="D3" i="2"/>
  <c r="C50" i="2"/>
  <c r="G12" i="2"/>
  <c r="B9" i="2"/>
  <c r="F58" i="2"/>
  <c r="G17" i="2"/>
  <c r="C23" i="2"/>
  <c r="G54" i="2"/>
  <c r="B34" i="2"/>
  <c r="C39" i="2"/>
  <c r="D28" i="2"/>
  <c r="E51" i="2"/>
  <c r="C47" i="2"/>
  <c r="E57" i="2"/>
  <c r="D46" i="2"/>
  <c r="F48" i="2"/>
  <c r="C12" i="2"/>
  <c r="F26" i="2"/>
  <c r="E66" i="2"/>
  <c r="D12" i="2"/>
  <c r="F29" i="2"/>
  <c r="C37" i="2"/>
  <c r="E26" i="2"/>
  <c r="F41" i="2"/>
  <c r="F13" i="2"/>
  <c r="B55" i="2"/>
  <c r="D51" i="2"/>
  <c r="E23" i="2"/>
  <c r="E65" i="2"/>
  <c r="D17" i="2"/>
  <c r="F34" i="2"/>
  <c r="F40" i="2"/>
  <c r="D14" i="2"/>
  <c r="E44" i="2"/>
  <c r="F51" i="2"/>
  <c r="B25" i="2"/>
  <c r="E20" i="2"/>
  <c r="F22" i="2"/>
  <c r="B5" i="2"/>
  <c r="B16" i="2"/>
  <c r="C58" i="2"/>
  <c r="B59" i="2"/>
  <c r="D7" i="2"/>
  <c r="E29" i="2"/>
  <c r="D43" i="2"/>
  <c r="C20" i="2"/>
  <c r="E64" i="2"/>
  <c r="B28" i="2"/>
  <c r="D19" i="2"/>
  <c r="D18" i="2"/>
  <c r="F49" i="2"/>
  <c r="C53" i="2"/>
  <c r="F45" i="2"/>
  <c r="C44" i="2"/>
  <c r="G48" i="2"/>
  <c r="C55" i="2"/>
  <c r="F64" i="2"/>
  <c r="B64" i="2"/>
  <c r="F4" i="2"/>
  <c r="B33" i="2"/>
  <c r="G45" i="2"/>
  <c r="C57" i="2"/>
  <c r="D30" i="2"/>
  <c r="C7" i="2"/>
  <c r="C15" i="2"/>
  <c r="G29" i="2"/>
  <c r="D42" i="2"/>
  <c r="B62" i="2"/>
  <c r="B17" i="2"/>
  <c r="D34" i="2"/>
  <c r="D47" i="2"/>
  <c r="F47" i="2"/>
  <c r="F59" i="2"/>
  <c r="C22" i="2"/>
  <c r="G43" i="2"/>
  <c r="C19" i="2"/>
  <c r="C18" i="2"/>
  <c r="G55" i="2"/>
  <c r="C61" i="2"/>
  <c r="B54" i="2"/>
  <c r="G57" i="2"/>
  <c r="D56" i="2"/>
  <c r="D9" i="2"/>
  <c r="E55" i="2"/>
  <c r="F62" i="2"/>
  <c r="D6" i="2"/>
  <c r="G58" i="2"/>
  <c r="G42" i="2"/>
  <c r="D62" i="2"/>
  <c r="E19" i="2"/>
  <c r="E27" i="2"/>
  <c r="G44" i="2"/>
  <c r="C48" i="2"/>
  <c r="G64" i="2"/>
  <c r="F25" i="2"/>
  <c r="F18" i="2"/>
  <c r="F5" i="2"/>
  <c r="F52" i="2"/>
  <c r="E3" i="2"/>
  <c r="C62" i="2"/>
  <c r="C34" i="2"/>
  <c r="B46" i="2"/>
  <c r="F60" i="2"/>
  <c r="D59" i="2"/>
  <c r="C6" i="2"/>
  <c r="F7" i="2"/>
  <c r="D24" i="2"/>
  <c r="C32" i="2"/>
  <c r="C59" i="2"/>
  <c r="E52" i="2"/>
  <c r="D8" i="2"/>
  <c r="C25" i="2"/>
  <c r="C11" i="2"/>
  <c r="E36" i="2"/>
  <c r="D31" i="2"/>
  <c r="B65" i="2"/>
  <c r="C46" i="2"/>
  <c r="B7" i="2"/>
  <c r="C42" i="2"/>
  <c r="G38" i="2"/>
  <c r="G16" i="2"/>
  <c r="B27" i="2"/>
  <c r="C27" i="2"/>
  <c r="D40" i="2"/>
  <c r="C13" i="2"/>
  <c r="C8" i="2"/>
  <c r="G6" i="2"/>
  <c r="E14" i="2"/>
  <c r="E31" i="2"/>
  <c r="B36" i="2"/>
  <c r="E53" i="2"/>
  <c r="C54" i="2"/>
  <c r="B35" i="2"/>
  <c r="F15" i="2"/>
  <c r="F6" i="2"/>
  <c r="B19" i="2"/>
  <c r="G32" i="2"/>
  <c r="F50" i="2"/>
  <c r="F8" i="2"/>
  <c r="D36" i="2"/>
  <c r="D44" i="2"/>
  <c r="B37" i="2"/>
  <c r="C40" i="2"/>
  <c r="C24" i="2"/>
  <c r="F9" i="2"/>
  <c r="G19" i="2"/>
  <c r="B41" i="2"/>
  <c r="D13" i="2"/>
  <c r="B60" i="2"/>
  <c r="B22" i="2"/>
  <c r="E50" i="2"/>
  <c r="C38" i="2"/>
  <c r="E45" i="2"/>
  <c r="F56" i="2"/>
  <c r="E24" i="2"/>
  <c r="C49" i="2"/>
  <c r="F42" i="2"/>
  <c r="F35" i="2"/>
  <c r="C9" i="2"/>
  <c r="F10" i="2"/>
  <c r="B12" i="2"/>
  <c r="G40" i="2"/>
  <c r="E30" i="2"/>
  <c r="D57" i="2"/>
  <c r="F44" i="2"/>
  <c r="D60" i="2"/>
  <c r="D26" i="2"/>
  <c r="C30" i="2"/>
  <c r="E22" i="2"/>
  <c r="E7" i="2"/>
  <c r="E60" i="2"/>
  <c r="D21" i="2"/>
  <c r="E11" i="2"/>
  <c r="B52" i="2"/>
  <c r="G52" i="2"/>
  <c r="G23" i="2"/>
  <c r="F21" i="2"/>
  <c r="E46" i="2"/>
  <c r="F23" i="2"/>
  <c r="E47" i="2"/>
  <c r="B4" i="2"/>
  <c r="E16" i="2"/>
  <c r="E5" i="2"/>
  <c r="G41" i="2"/>
  <c r="B20" i="2"/>
  <c r="D5" i="2"/>
  <c r="D50" i="2"/>
  <c r="G61" i="2"/>
  <c r="G39" i="2"/>
  <c r="E40" i="2"/>
  <c r="D63" i="2"/>
  <c r="E42" i="2"/>
  <c r="G26" i="2"/>
  <c r="G7" i="2"/>
  <c r="B40" i="2"/>
  <c r="F30" i="2"/>
  <c r="C33" i="2"/>
  <c r="F33" i="2"/>
  <c r="B24" i="2"/>
  <c r="G14" i="2"/>
  <c r="D48" i="2"/>
  <c r="B49" i="2"/>
  <c r="C10" i="2"/>
  <c r="C28" i="2"/>
  <c r="B47" i="2"/>
  <c r="C4" i="2"/>
  <c r="D37" i="2"/>
  <c r="B45" i="2"/>
  <c r="F37" i="2"/>
  <c r="B51" i="2"/>
  <c r="B56" i="2"/>
  <c r="E38" i="2"/>
  <c r="B14" i="2"/>
  <c r="G66" i="2"/>
  <c r="F31" i="2"/>
  <c r="G30" i="2"/>
  <c r="G47" i="2"/>
  <c r="E9" i="2"/>
  <c r="E33" i="2"/>
  <c r="F24" i="2"/>
  <c r="D55" i="2"/>
  <c r="G50" i="2"/>
  <c r="D54" i="2"/>
  <c r="G13" i="2"/>
  <c r="G65" i="2"/>
  <c r="G18" i="2"/>
  <c r="F32" i="2"/>
  <c r="F61" i="2"/>
  <c r="F36" i="2"/>
  <c r="E49" i="2"/>
  <c r="E48" i="2"/>
  <c r="B48" i="2"/>
  <c r="E4" i="2"/>
  <c r="F16" i="2"/>
  <c r="E61" i="2"/>
  <c r="D58" i="2"/>
  <c r="C65" i="2"/>
  <c r="G35" i="2"/>
  <c r="E39" i="2"/>
  <c r="G24" i="2"/>
  <c r="E8" i="2"/>
  <c r="C52" i="2"/>
  <c r="B13" i="2"/>
  <c r="F17" i="2"/>
  <c r="G20" i="2"/>
  <c r="D22" i="2"/>
  <c r="G3" i="2"/>
  <c r="F63" i="2"/>
  <c r="D11" i="2"/>
  <c r="C41" i="2"/>
  <c r="G10" i="2"/>
  <c r="B43" i="2"/>
  <c r="E58" i="2"/>
  <c r="C16" i="2"/>
  <c r="G5" i="2"/>
  <c r="D15" i="2"/>
  <c r="C66" i="2"/>
  <c r="B57" i="2"/>
  <c r="G21" i="2"/>
  <c r="E41" i="2"/>
  <c r="B18" i="2"/>
  <c r="B32" i="2"/>
  <c r="B31" i="2"/>
  <c r="C21" i="2"/>
  <c r="B63" i="2"/>
  <c r="G62" i="2"/>
  <c r="B42" i="2"/>
  <c r="C5" i="2"/>
  <c r="F19" i="2"/>
  <c r="G49" i="2"/>
  <c r="B3" i="2"/>
  <c r="E12" i="2"/>
  <c r="B10" i="2"/>
  <c r="G53" i="2"/>
  <c r="D39" i="2"/>
  <c r="D23" i="2"/>
  <c r="E34" i="2"/>
  <c r="G25" i="2"/>
  <c r="G9" i="2"/>
  <c r="D25" i="2"/>
  <c r="G34" i="2"/>
  <c r="F28" i="2"/>
  <c r="D20" i="2"/>
  <c r="G37" i="2"/>
  <c r="B58" i="2"/>
  <c r="B26" i="2"/>
  <c r="C26" i="2"/>
  <c r="C51" i="2"/>
  <c r="F46" i="2"/>
  <c r="C56" i="2"/>
  <c r="D10" i="2"/>
  <c r="E62" i="2"/>
  <c r="D33" i="2"/>
  <c r="E59" i="2"/>
  <c r="D41" i="2"/>
  <c r="E6" i="2"/>
  <c r="C43" i="2"/>
  <c r="D35" i="2"/>
  <c r="F3" i="2"/>
  <c r="G46" i="2"/>
  <c r="F12" i="2"/>
  <c r="G33" i="2"/>
  <c r="G36" i="2"/>
  <c r="D64" i="2"/>
  <c r="E56" i="2"/>
  <c r="B66" i="2"/>
  <c r="F39" i="2"/>
  <c r="E25" i="2"/>
  <c r="C29" i="2"/>
  <c r="F14" i="2"/>
  <c r="F27" i="2"/>
  <c r="B11" i="2"/>
  <c r="C64" i="2"/>
  <c r="G51" i="2"/>
  <c r="C17" i="2"/>
  <c r="E28" i="2"/>
  <c r="D52" i="2"/>
  <c r="C35" i="2"/>
  <c r="G15" i="2"/>
  <c r="E43" i="2"/>
  <c r="C45" i="2"/>
  <c r="G11" i="2"/>
  <c r="C36" i="2"/>
  <c r="B61" i="2"/>
  <c r="D45" i="2"/>
  <c r="F57" i="2"/>
  <c r="C14" i="2"/>
  <c r="G59" i="2"/>
  <c r="B39" i="2"/>
  <c r="B44" i="2"/>
  <c r="E37" i="2"/>
  <c r="G31" i="2"/>
  <c r="G63" i="2"/>
  <c r="D53" i="2"/>
  <c r="B6" i="2"/>
  <c r="G27" i="2"/>
  <c r="D66" i="2"/>
  <c r="D16" i="2"/>
  <c r="F43" i="2"/>
  <c r="G8" i="2"/>
  <c r="D4" i="2"/>
  <c r="E17" i="2"/>
  <c r="F54" i="2"/>
  <c r="E63" i="2"/>
  <c r="G56" i="2"/>
  <c r="B29" i="2"/>
  <c r="B23" i="2"/>
  <c r="B38" i="2"/>
  <c r="C60" i="2"/>
  <c r="E32" i="2"/>
  <c r="D32" i="2"/>
  <c r="F66" i="2"/>
  <c r="F65" i="2"/>
  <c r="C31" i="2"/>
  <c r="D61" i="2"/>
  <c r="B8" i="2"/>
  <c r="F38" i="2"/>
  <c r="G28" i="2"/>
  <c r="B53" i="2"/>
  <c r="G60" i="2"/>
  <c r="F11" i="2"/>
  <c r="E35" i="2"/>
  <c r="Q142" i="4" l="1"/>
  <c r="M142" i="4"/>
  <c r="M136" i="4"/>
  <c r="Q136" i="4"/>
  <c r="M89" i="4"/>
  <c r="Q89" i="4"/>
  <c r="M128" i="4"/>
  <c r="Q128" i="4"/>
  <c r="M125" i="4"/>
  <c r="Q125" i="4"/>
  <c r="M105" i="4"/>
  <c r="Q105" i="4"/>
  <c r="M143" i="4"/>
  <c r="Q143" i="4"/>
  <c r="M141" i="4"/>
  <c r="Q141" i="4"/>
  <c r="M121" i="4"/>
  <c r="Q121" i="4"/>
  <c r="M129" i="4"/>
  <c r="Q129" i="4"/>
  <c r="M95" i="4"/>
  <c r="Q95" i="4"/>
  <c r="M91" i="4"/>
  <c r="Q91" i="4"/>
  <c r="M147" i="4"/>
  <c r="Q147" i="4"/>
  <c r="M122" i="4"/>
  <c r="Q122" i="4"/>
  <c r="M138" i="4"/>
  <c r="Q138" i="4"/>
  <c r="M98" i="4"/>
  <c r="Q98" i="4"/>
  <c r="M103" i="4"/>
  <c r="Q103" i="4"/>
  <c r="M135" i="4"/>
  <c r="Q135" i="4"/>
  <c r="M146" i="4"/>
  <c r="Q146" i="4"/>
  <c r="M131" i="4"/>
  <c r="Q131" i="4"/>
  <c r="M123" i="4"/>
  <c r="Q123" i="4"/>
  <c r="M119" i="4"/>
  <c r="Q119" i="4"/>
  <c r="M111" i="4"/>
  <c r="Q111" i="4"/>
  <c r="M126" i="4"/>
  <c r="Q126" i="4"/>
  <c r="M97" i="4"/>
  <c r="Q97" i="4"/>
  <c r="M130" i="4"/>
  <c r="Q130" i="4"/>
  <c r="M140" i="4"/>
  <c r="Q140" i="4"/>
  <c r="M102" i="4"/>
  <c r="Q102" i="4"/>
  <c r="M118" i="4"/>
  <c r="Q118" i="4"/>
  <c r="M127" i="4"/>
  <c r="Q127" i="4"/>
  <c r="M109" i="4"/>
  <c r="Q109" i="4"/>
  <c r="M108" i="4"/>
  <c r="Q108" i="4"/>
  <c r="M113" i="4"/>
  <c r="Q113" i="4"/>
  <c r="M133" i="4"/>
  <c r="Q133" i="4"/>
  <c r="M94" i="4"/>
  <c r="Q94" i="4"/>
  <c r="M132" i="4"/>
  <c r="Q132" i="4"/>
  <c r="M148" i="4"/>
  <c r="Q148" i="4"/>
  <c r="M107" i="4"/>
  <c r="Q107" i="4"/>
  <c r="M120" i="4"/>
  <c r="Q120" i="4"/>
  <c r="M100" i="4"/>
  <c r="Q100" i="4"/>
  <c r="M86" i="4"/>
  <c r="Q86" i="4"/>
  <c r="M99" i="4"/>
  <c r="Q99" i="4"/>
  <c r="M115" i="4"/>
  <c r="Q115" i="4"/>
  <c r="M134" i="4"/>
  <c r="Q134" i="4"/>
  <c r="M144" i="4"/>
  <c r="Q144" i="4"/>
  <c r="M96" i="4"/>
  <c r="Q96" i="4"/>
  <c r="M110" i="4"/>
  <c r="Q110" i="4"/>
  <c r="M101" i="4"/>
  <c r="Q101" i="4"/>
  <c r="M117" i="4"/>
  <c r="Q117" i="4"/>
  <c r="M124" i="4"/>
  <c r="Q124" i="4"/>
  <c r="M116" i="4"/>
  <c r="Q116" i="4"/>
  <c r="M87" i="4"/>
  <c r="Q87" i="4"/>
  <c r="M114" i="4"/>
  <c r="Q114" i="4"/>
  <c r="M92" i="4"/>
  <c r="Q92" i="4"/>
  <c r="M90" i="4"/>
  <c r="Q90" i="4"/>
  <c r="M106" i="4"/>
  <c r="Q106" i="4"/>
  <c r="M104" i="4"/>
  <c r="Q104" i="4"/>
  <c r="M112" i="4"/>
  <c r="Q112" i="4"/>
  <c r="M88" i="4"/>
  <c r="Q88" i="4"/>
  <c r="M145" i="4"/>
  <c r="Q145" i="4"/>
  <c r="M149" i="4"/>
  <c r="Q149" i="4"/>
  <c r="M139" i="4"/>
  <c r="Q139" i="4"/>
  <c r="M137" i="4"/>
  <c r="Q137" i="4"/>
  <c r="M93" i="4"/>
  <c r="Q93" i="4"/>
  <c r="M31" i="3"/>
  <c r="M44" i="4"/>
  <c r="Q44" i="4"/>
  <c r="M36" i="4"/>
  <c r="Q36" i="4"/>
  <c r="M50" i="4"/>
  <c r="Q50" i="4"/>
  <c r="M69" i="4"/>
  <c r="Q69" i="4"/>
  <c r="M22" i="4"/>
  <c r="Q22" i="4"/>
  <c r="M60" i="4"/>
  <c r="Q60" i="4"/>
  <c r="M42" i="4"/>
  <c r="Q42" i="4"/>
  <c r="M23" i="4"/>
  <c r="Q23" i="4"/>
  <c r="M25" i="4"/>
  <c r="Q25" i="4"/>
  <c r="M75" i="4"/>
  <c r="Q75" i="4"/>
  <c r="M67" i="4"/>
  <c r="Q67" i="4"/>
  <c r="M33" i="4"/>
  <c r="Q33" i="4"/>
  <c r="M21" i="4"/>
  <c r="Q21" i="4"/>
  <c r="M17" i="4"/>
  <c r="Q17" i="4"/>
  <c r="M74" i="4"/>
  <c r="Q74" i="4"/>
  <c r="M53" i="4"/>
  <c r="Q53" i="4"/>
  <c r="M56" i="4"/>
  <c r="Q56" i="4"/>
  <c r="M61" i="4"/>
  <c r="Q61" i="4"/>
  <c r="M57" i="4"/>
  <c r="Q57" i="4"/>
  <c r="M72" i="4"/>
  <c r="Q72" i="4"/>
  <c r="M27" i="4"/>
  <c r="Q27" i="4"/>
  <c r="M40" i="4"/>
  <c r="Q40" i="4"/>
  <c r="M62" i="4"/>
  <c r="Q62" i="4"/>
  <c r="M38" i="4"/>
  <c r="Q38" i="4"/>
  <c r="M16" i="4"/>
  <c r="Q16" i="4"/>
  <c r="M68" i="4"/>
  <c r="Q68" i="4"/>
  <c r="M73" i="4"/>
  <c r="Q73" i="4"/>
  <c r="M43" i="4"/>
  <c r="Q43" i="4"/>
  <c r="M29" i="4"/>
  <c r="Q29" i="4"/>
  <c r="M64" i="4"/>
  <c r="Q64" i="4"/>
  <c r="M39" i="4"/>
  <c r="Q39" i="4"/>
  <c r="M49" i="4"/>
  <c r="Q49" i="4"/>
  <c r="M26" i="4"/>
  <c r="Q26" i="4"/>
  <c r="M78" i="4"/>
  <c r="Q78" i="4"/>
  <c r="M34" i="4"/>
  <c r="Q34" i="4"/>
  <c r="M28" i="4"/>
  <c r="Q28" i="4"/>
  <c r="M32" i="4"/>
  <c r="Q32" i="4"/>
  <c r="M65" i="4"/>
  <c r="Q65" i="4"/>
  <c r="M41" i="4"/>
  <c r="Q41" i="4"/>
  <c r="M47" i="4"/>
  <c r="Q47" i="4"/>
  <c r="M30" i="4"/>
  <c r="Q30" i="4"/>
  <c r="M54" i="4"/>
  <c r="Q54" i="4"/>
  <c r="M58" i="4"/>
  <c r="Q58" i="4"/>
  <c r="M70" i="4"/>
  <c r="Q70" i="4"/>
  <c r="M63" i="4"/>
  <c r="Q63" i="4"/>
  <c r="M76" i="4"/>
  <c r="Q76" i="4"/>
  <c r="M52" i="4"/>
  <c r="Q52" i="4"/>
  <c r="M24" i="4"/>
  <c r="Q24" i="4"/>
  <c r="M37" i="4"/>
  <c r="Q37" i="4"/>
  <c r="M20" i="4"/>
  <c r="Q20" i="4"/>
  <c r="M19" i="4"/>
  <c r="Q19" i="4"/>
  <c r="M18" i="4"/>
  <c r="Q18" i="4"/>
  <c r="M51" i="4"/>
  <c r="Q51" i="4"/>
  <c r="M77" i="4"/>
  <c r="Q77" i="4"/>
  <c r="M35" i="4"/>
  <c r="Q35" i="4"/>
  <c r="M55" i="4"/>
  <c r="Q55" i="4"/>
  <c r="M71" i="4"/>
  <c r="Q71" i="4"/>
  <c r="M48" i="4"/>
  <c r="Q48" i="4"/>
  <c r="M46" i="4"/>
  <c r="Q46" i="4"/>
  <c r="M59" i="4"/>
  <c r="Q59" i="4"/>
  <c r="M45" i="4"/>
  <c r="Q45" i="4"/>
  <c r="M15" i="4"/>
  <c r="Q15" i="4"/>
  <c r="M31" i="4"/>
  <c r="Q31" i="4"/>
  <c r="M66" i="4"/>
  <c r="Q66" i="4"/>
  <c r="M226" i="3"/>
  <c r="Q226" i="3"/>
  <c r="M217" i="3"/>
  <c r="Q217" i="3"/>
  <c r="M221" i="3"/>
  <c r="Q221" i="3"/>
  <c r="M201" i="3"/>
  <c r="Q201" i="3"/>
  <c r="M167" i="3"/>
  <c r="Q167" i="3"/>
  <c r="M209" i="3"/>
  <c r="Q209" i="3"/>
  <c r="M211" i="3"/>
  <c r="Q211" i="3"/>
  <c r="M173" i="3"/>
  <c r="Q173" i="3"/>
  <c r="M224" i="3"/>
  <c r="Q224" i="3"/>
  <c r="M197" i="3"/>
  <c r="Q197" i="3"/>
  <c r="M193" i="3"/>
  <c r="Q193" i="3"/>
  <c r="M184" i="3"/>
  <c r="Q184" i="3"/>
  <c r="M200" i="3"/>
  <c r="Q200" i="3"/>
  <c r="M195" i="3"/>
  <c r="Q195" i="3"/>
  <c r="M171" i="3"/>
  <c r="Q171" i="3"/>
  <c r="M175" i="3"/>
  <c r="Q175" i="3"/>
  <c r="M219" i="3"/>
  <c r="Q219" i="3"/>
  <c r="M223" i="3"/>
  <c r="Q223" i="3"/>
  <c r="M210" i="3"/>
  <c r="Q210" i="3"/>
  <c r="M165" i="3"/>
  <c r="Q165" i="3"/>
  <c r="M208" i="3"/>
  <c r="Q208" i="3"/>
  <c r="M202" i="3"/>
  <c r="Q202" i="3"/>
  <c r="M218" i="3"/>
  <c r="Q218" i="3"/>
  <c r="M213" i="3"/>
  <c r="Q213" i="3"/>
  <c r="M205" i="3"/>
  <c r="Q205" i="3"/>
  <c r="M180" i="3"/>
  <c r="Q180" i="3"/>
  <c r="M177" i="3"/>
  <c r="Q177" i="3"/>
  <c r="M203" i="3"/>
  <c r="Q203" i="3"/>
  <c r="M164" i="3"/>
  <c r="Q164" i="3"/>
  <c r="M172" i="3"/>
  <c r="Q172" i="3"/>
  <c r="M191" i="3"/>
  <c r="Q191" i="3"/>
  <c r="M204" i="3"/>
  <c r="Q204" i="3"/>
  <c r="M196" i="3"/>
  <c r="Q196" i="3"/>
  <c r="M187" i="3"/>
  <c r="Q187" i="3"/>
  <c r="M168" i="3"/>
  <c r="Q168" i="3"/>
  <c r="M179" i="3"/>
  <c r="Q179" i="3"/>
  <c r="M181" i="3"/>
  <c r="Q181" i="3"/>
  <c r="M215" i="3"/>
  <c r="Q215" i="3"/>
  <c r="M206" i="3"/>
  <c r="Q206" i="3"/>
  <c r="M194" i="3"/>
  <c r="Q194" i="3"/>
  <c r="M170" i="3"/>
  <c r="Q170" i="3"/>
  <c r="M225" i="3"/>
  <c r="Q225" i="3"/>
  <c r="M199" i="3"/>
  <c r="Q199" i="3"/>
  <c r="M190" i="3"/>
  <c r="Q190" i="3"/>
  <c r="M212" i="3"/>
  <c r="Q212" i="3"/>
  <c r="M192" i="3"/>
  <c r="Q192" i="3"/>
  <c r="M216" i="3"/>
  <c r="Q216" i="3"/>
  <c r="M166" i="3"/>
  <c r="Q166" i="3"/>
  <c r="M214" i="3"/>
  <c r="Q214" i="3"/>
  <c r="M183" i="3"/>
  <c r="Q183" i="3"/>
  <c r="M182" i="3"/>
  <c r="Q182" i="3"/>
  <c r="M198" i="3"/>
  <c r="Q198" i="3"/>
  <c r="M189" i="3"/>
  <c r="Q189" i="3"/>
  <c r="M185" i="3"/>
  <c r="Q185" i="3"/>
  <c r="M188" i="3"/>
  <c r="Q188" i="3"/>
  <c r="M220" i="3"/>
  <c r="Q220" i="3"/>
  <c r="M176" i="3"/>
  <c r="Q176" i="3"/>
  <c r="M207" i="3"/>
  <c r="Q207" i="3"/>
  <c r="M163" i="3"/>
  <c r="Q163" i="3"/>
  <c r="M178" i="3"/>
  <c r="Q178" i="3"/>
  <c r="M174" i="3"/>
  <c r="Q174" i="3"/>
  <c r="M222" i="3"/>
  <c r="Q222" i="3"/>
  <c r="M169" i="3"/>
  <c r="Q169" i="3"/>
  <c r="M109" i="3"/>
  <c r="Q109" i="3"/>
  <c r="M106" i="3"/>
  <c r="Q106" i="3"/>
  <c r="M98" i="3"/>
  <c r="Q98" i="3"/>
  <c r="M120" i="3"/>
  <c r="Q120" i="3"/>
  <c r="M148" i="3"/>
  <c r="Q148" i="3"/>
  <c r="M135" i="3"/>
  <c r="Q135" i="3"/>
  <c r="M100" i="3"/>
  <c r="Q100" i="3"/>
  <c r="M139" i="3"/>
  <c r="Q139" i="3"/>
  <c r="M105" i="3"/>
  <c r="Q105" i="3"/>
  <c r="M95" i="3"/>
  <c r="Q95" i="3"/>
  <c r="M113" i="3"/>
  <c r="Q113" i="3"/>
  <c r="M138" i="3"/>
  <c r="Q138" i="3"/>
  <c r="M114" i="3"/>
  <c r="Q114" i="3"/>
  <c r="M130" i="3"/>
  <c r="Q130" i="3"/>
  <c r="M146" i="3"/>
  <c r="Q146" i="3"/>
  <c r="M108" i="3"/>
  <c r="Q108" i="3"/>
  <c r="M149" i="3"/>
  <c r="Q149" i="3"/>
  <c r="M115" i="3"/>
  <c r="Q115" i="3"/>
  <c r="M132" i="3"/>
  <c r="Q132" i="3"/>
  <c r="M126" i="3"/>
  <c r="Q126" i="3"/>
  <c r="M131" i="3"/>
  <c r="Q131" i="3"/>
  <c r="M145" i="3"/>
  <c r="Q145" i="3"/>
  <c r="M144" i="3"/>
  <c r="Q144" i="3"/>
  <c r="M110" i="3"/>
  <c r="Q110" i="3"/>
  <c r="M143" i="3"/>
  <c r="Q143" i="3"/>
  <c r="M87" i="3"/>
  <c r="Q87" i="3"/>
  <c r="M136" i="3"/>
  <c r="Q136" i="3"/>
  <c r="M107" i="3"/>
  <c r="Q107" i="3"/>
  <c r="M86" i="3"/>
  <c r="Q86" i="3"/>
  <c r="M112" i="3"/>
  <c r="Q112" i="3"/>
  <c r="M134" i="3"/>
  <c r="Q134" i="3"/>
  <c r="M96" i="3"/>
  <c r="Q96" i="3"/>
  <c r="M118" i="3"/>
  <c r="Q118" i="3"/>
  <c r="M101" i="3"/>
  <c r="Q101" i="3"/>
  <c r="M147" i="3"/>
  <c r="Q147" i="3"/>
  <c r="M111" i="3"/>
  <c r="Q111" i="3"/>
  <c r="M129" i="3"/>
  <c r="Q129" i="3"/>
  <c r="M92" i="3"/>
  <c r="Q92" i="3"/>
  <c r="M123" i="3"/>
  <c r="Q123" i="3"/>
  <c r="M116" i="3"/>
  <c r="Q116" i="3"/>
  <c r="M117" i="3"/>
  <c r="Q117" i="3"/>
  <c r="M128" i="3"/>
  <c r="Q128" i="3"/>
  <c r="M133" i="3"/>
  <c r="Q133" i="3"/>
  <c r="M104" i="3"/>
  <c r="Q104" i="3"/>
  <c r="M97" i="3"/>
  <c r="Q97" i="3"/>
  <c r="M103" i="3"/>
  <c r="Q103" i="3"/>
  <c r="M89" i="3"/>
  <c r="Q89" i="3"/>
  <c r="M90" i="3"/>
  <c r="Q90" i="3"/>
  <c r="M125" i="3"/>
  <c r="Q125" i="3"/>
  <c r="M121" i="3"/>
  <c r="Q121" i="3"/>
  <c r="M140" i="3"/>
  <c r="Q140" i="3"/>
  <c r="M94" i="3"/>
  <c r="Q94" i="3"/>
  <c r="M124" i="3"/>
  <c r="Q124" i="3"/>
  <c r="M122" i="3"/>
  <c r="Q122" i="3"/>
  <c r="M141" i="3"/>
  <c r="Q141" i="3"/>
  <c r="M99" i="3"/>
  <c r="Q99" i="3"/>
  <c r="M142" i="3"/>
  <c r="Q142" i="3"/>
  <c r="M137" i="3"/>
  <c r="Q137" i="3"/>
  <c r="M88" i="3"/>
  <c r="Q88" i="3"/>
  <c r="M93" i="3"/>
  <c r="Q93" i="3"/>
  <c r="M119" i="3"/>
  <c r="Q119" i="3"/>
  <c r="M102" i="3"/>
  <c r="Q102" i="3"/>
  <c r="M91" i="3"/>
  <c r="Q91" i="3"/>
  <c r="M127" i="3"/>
  <c r="Q127" i="3"/>
  <c r="Q31" i="3"/>
  <c r="M23" i="3"/>
  <c r="Q23" i="3"/>
  <c r="M25" i="3"/>
  <c r="Q25" i="3"/>
  <c r="M22" i="3"/>
  <c r="Q22" i="3"/>
  <c r="M37" i="3"/>
  <c r="Q37" i="3"/>
  <c r="M46" i="3"/>
  <c r="Q46" i="3"/>
  <c r="M43" i="3"/>
  <c r="Q43" i="3"/>
  <c r="M67" i="3"/>
  <c r="Q67" i="3"/>
  <c r="M32" i="3"/>
  <c r="Q32" i="3"/>
  <c r="M54" i="3"/>
  <c r="Q54" i="3"/>
  <c r="M52" i="3"/>
  <c r="Q52" i="3"/>
  <c r="M59" i="3"/>
  <c r="Q59" i="3"/>
  <c r="M53" i="3"/>
  <c r="Q53" i="3"/>
  <c r="M40" i="3"/>
  <c r="Q40" i="3"/>
  <c r="M68" i="3"/>
  <c r="Q68" i="3"/>
  <c r="M20" i="3"/>
  <c r="Q20" i="3"/>
  <c r="M61" i="3"/>
  <c r="Q61" i="3"/>
  <c r="M33" i="3"/>
  <c r="Q33" i="3"/>
  <c r="M27" i="3"/>
  <c r="Q27" i="3"/>
  <c r="M76" i="3"/>
  <c r="Q76" i="3"/>
  <c r="M30" i="3"/>
  <c r="Q30" i="3"/>
  <c r="M50" i="3"/>
  <c r="Q50" i="3"/>
  <c r="M74" i="3"/>
  <c r="Q74" i="3"/>
  <c r="M38" i="3"/>
  <c r="Q38" i="3"/>
  <c r="M41" i="3"/>
  <c r="Q41" i="3"/>
  <c r="M71" i="3"/>
  <c r="Q71" i="3"/>
  <c r="M39" i="3"/>
  <c r="Q39" i="3"/>
  <c r="M55" i="3"/>
  <c r="Q55" i="3"/>
  <c r="M66" i="3"/>
  <c r="Q66" i="3"/>
  <c r="M19" i="3"/>
  <c r="Q19" i="3"/>
  <c r="M57" i="3"/>
  <c r="Q57" i="3"/>
  <c r="M15" i="3"/>
  <c r="Q15" i="3"/>
  <c r="M45" i="3"/>
  <c r="Q45" i="3"/>
  <c r="M34" i="3"/>
  <c r="Q34" i="3"/>
  <c r="M49" i="3"/>
  <c r="Q49" i="3"/>
  <c r="M65" i="3"/>
  <c r="Q65" i="3"/>
  <c r="M62" i="3"/>
  <c r="Q62" i="3"/>
  <c r="M18" i="3"/>
  <c r="Q18" i="3"/>
  <c r="M21" i="3"/>
  <c r="Q21" i="3"/>
  <c r="M28" i="3"/>
  <c r="Q28" i="3"/>
  <c r="M58" i="3"/>
  <c r="Q58" i="3"/>
  <c r="M63" i="3"/>
  <c r="Q63" i="3"/>
  <c r="M73" i="3"/>
  <c r="Q73" i="3"/>
  <c r="M78" i="3"/>
  <c r="Q78" i="3"/>
  <c r="M75" i="3"/>
  <c r="Q75" i="3"/>
  <c r="M29" i="3"/>
  <c r="Q29" i="3"/>
  <c r="M70" i="3"/>
  <c r="Q70" i="3"/>
  <c r="M35" i="3"/>
  <c r="Q35" i="3"/>
  <c r="M48" i="3"/>
  <c r="Q48" i="3"/>
  <c r="M17" i="3"/>
  <c r="Q17" i="3"/>
  <c r="M72" i="3"/>
  <c r="Q72" i="3"/>
  <c r="M36" i="3"/>
  <c r="Q36" i="3"/>
  <c r="M51" i="3"/>
  <c r="Q51" i="3"/>
  <c r="M42" i="3"/>
  <c r="Q42" i="3"/>
  <c r="M56" i="3"/>
  <c r="Q56" i="3"/>
  <c r="M60" i="3"/>
  <c r="Q60" i="3"/>
  <c r="M26" i="3"/>
  <c r="Q26" i="3"/>
  <c r="M24" i="3"/>
  <c r="Q24" i="3"/>
  <c r="M77" i="3"/>
  <c r="Q77" i="3"/>
  <c r="M44" i="3"/>
  <c r="Q44" i="3"/>
  <c r="M69" i="3"/>
  <c r="Q69" i="3"/>
  <c r="M47" i="3"/>
  <c r="Q47" i="3"/>
  <c r="M16" i="3"/>
  <c r="Q16" i="3"/>
  <c r="M64" i="3"/>
  <c r="Q64" i="3"/>
  <c r="Q283" i="3"/>
  <c r="M283" i="3"/>
  <c r="M279" i="3"/>
  <c r="Q279" i="3"/>
  <c r="M266" i="3"/>
  <c r="Q266" i="3"/>
  <c r="M265" i="3"/>
  <c r="Q265" i="3"/>
  <c r="M270" i="3"/>
  <c r="Q270" i="3"/>
  <c r="M284" i="3"/>
  <c r="Q284" i="3"/>
  <c r="M278" i="3"/>
  <c r="Q278" i="3"/>
  <c r="M247" i="3"/>
  <c r="Q247" i="3"/>
  <c r="M249" i="3"/>
  <c r="Q249" i="3"/>
  <c r="M264" i="3"/>
  <c r="Q264" i="3"/>
  <c r="M248" i="3"/>
  <c r="Q248" i="3"/>
  <c r="M281" i="3"/>
  <c r="Q281" i="3"/>
  <c r="M289" i="3"/>
  <c r="Q289" i="3"/>
  <c r="M241" i="3"/>
  <c r="Q241" i="3"/>
  <c r="M290" i="3"/>
  <c r="Q290" i="3"/>
  <c r="M288" i="3"/>
  <c r="Q288" i="3"/>
  <c r="M292" i="3"/>
  <c r="Q292" i="3"/>
  <c r="M287" i="3"/>
  <c r="Q287" i="3"/>
  <c r="M274" i="3"/>
  <c r="Q274" i="3"/>
  <c r="M234" i="3"/>
  <c r="Q234" i="3"/>
  <c r="M293" i="3"/>
  <c r="Q293" i="3"/>
  <c r="M294" i="3"/>
  <c r="Q294" i="3"/>
  <c r="M250" i="3"/>
  <c r="Q250" i="3"/>
  <c r="M252" i="3"/>
  <c r="Q252" i="3"/>
  <c r="M255" i="3"/>
  <c r="Q255" i="3"/>
  <c r="M263" i="3"/>
  <c r="Q263" i="3"/>
  <c r="M269" i="3"/>
  <c r="Q269" i="3"/>
  <c r="M268" i="3"/>
  <c r="Q268" i="3"/>
  <c r="M240" i="3"/>
  <c r="Q240" i="3"/>
  <c r="M238" i="3"/>
  <c r="Q238" i="3"/>
  <c r="M277" i="3"/>
  <c r="Q277" i="3"/>
  <c r="M258" i="3"/>
  <c r="Q258" i="3"/>
  <c r="M242" i="3"/>
  <c r="Q242" i="3"/>
  <c r="M235" i="3"/>
  <c r="Q235" i="3"/>
  <c r="M244" i="3"/>
  <c r="Q244" i="3"/>
  <c r="M237" i="3"/>
  <c r="Q237" i="3"/>
  <c r="M276" i="3"/>
  <c r="Q276" i="3"/>
  <c r="M291" i="3"/>
  <c r="Q291" i="3"/>
  <c r="M275" i="3"/>
  <c r="Q275" i="3"/>
  <c r="M272" i="3"/>
  <c r="Q272" i="3"/>
  <c r="M243" i="3"/>
  <c r="Q243" i="3"/>
  <c r="M271" i="3"/>
  <c r="Q271" i="3"/>
  <c r="M245" i="3"/>
  <c r="Q245" i="3"/>
  <c r="M254" i="3"/>
  <c r="Q254" i="3"/>
  <c r="M253" i="3"/>
  <c r="Q253" i="3"/>
  <c r="M259" i="3"/>
  <c r="Q259" i="3"/>
  <c r="M251" i="3"/>
  <c r="Q251" i="3"/>
  <c r="M236" i="3"/>
  <c r="Q236" i="3"/>
  <c r="M260" i="3"/>
  <c r="Q260" i="3"/>
  <c r="M285" i="3"/>
  <c r="Q285" i="3"/>
  <c r="M286" i="3"/>
  <c r="Q286" i="3"/>
  <c r="M246" i="3"/>
  <c r="Q246" i="3"/>
  <c r="M261" i="3"/>
  <c r="Q261" i="3"/>
  <c r="M267" i="3"/>
  <c r="Q267" i="3"/>
  <c r="M273" i="3"/>
  <c r="Q273" i="3"/>
  <c r="M297" i="3"/>
  <c r="Q297" i="3"/>
  <c r="M280" i="3"/>
  <c r="Q280" i="3"/>
  <c r="M295" i="3"/>
  <c r="Q295" i="3"/>
  <c r="M262" i="3"/>
  <c r="Q262" i="3"/>
  <c r="M256" i="3"/>
  <c r="Q256" i="3"/>
  <c r="M296" i="3"/>
  <c r="Q296" i="3"/>
  <c r="M282" i="3"/>
  <c r="Q282" i="3"/>
  <c r="M257" i="3"/>
  <c r="Q257" i="3"/>
  <c r="M239" i="3"/>
  <c r="Q239" i="3"/>
  <c r="B67" i="2"/>
  <c r="D67" i="2"/>
  <c r="F7" i="3"/>
  <c r="D8" i="3" l="1"/>
  <c r="D7" i="3"/>
  <c r="F7" i="4"/>
  <c r="D7" i="4" s="1"/>
  <c r="G7" i="3"/>
  <c r="D17" i="1" s="1"/>
  <c r="C17" i="1" s="1"/>
  <c r="D9" i="3"/>
  <c r="G7" i="4" l="1"/>
  <c r="C7" i="4"/>
  <c r="C7" i="3"/>
  <c r="E7" i="3" s="1"/>
  <c r="H9" i="3"/>
  <c r="B26" i="1"/>
  <c r="C13" i="1" s="1"/>
  <c r="E9" i="3"/>
  <c r="B22" i="1"/>
  <c r="C12" i="1" s="1"/>
  <c r="H8" i="3"/>
  <c r="E8" i="3"/>
  <c r="B18" i="1"/>
  <c r="H7" i="3"/>
  <c r="H7" i="4" l="1"/>
  <c r="E7" i="4"/>
  <c r="B17" i="1"/>
  <c r="C11" i="1" s="1"/>
</calcChain>
</file>

<file path=xl/sharedStrings.xml><?xml version="1.0" encoding="utf-8"?>
<sst xmlns="http://schemas.openxmlformats.org/spreadsheetml/2006/main" count="329" uniqueCount="124">
  <si>
    <t>Model:</t>
  </si>
  <si>
    <t>H016192</t>
  </si>
  <si>
    <t>Version: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</si>
  <si>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</si>
  <si>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</si>
  <si>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</si>
  <si>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</si>
  <si>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</si>
  <si>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</si>
  <si>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</si>
  <si>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</si>
  <si>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</si>
  <si>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</si>
  <si>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</si>
  <si>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</si>
  <si>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</si>
  <si>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</si>
  <si>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</si>
  <si>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</si>
  <si>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</si>
  <si>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</si>
  <si>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</si>
  <si>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</si>
  <si>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</si>
  <si>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</si>
  <si>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</si>
  <si>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</si>
  <si>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</si>
  <si>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</si>
  <si>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</si>
  <si>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</si>
  <si>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</si>
  <si>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</si>
  <si>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</si>
  <si>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</si>
  <si>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</si>
  <si>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</si>
  <si>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</si>
  <si>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</si>
  <si>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</si>
  <si>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</si>
  <si>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</si>
  <si>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</si>
  <si>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</si>
  <si>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</si>
  <si>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</si>
  <si>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</si>
  <si>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</si>
  <si>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</si>
  <si>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</si>
  <si>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</si>
  <si>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</si>
  <si>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</si>
  <si>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</si>
  <si>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</si>
  <si>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</si>
  <si>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</si>
  <si>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</si>
  <si>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</si>
  <si>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</si>
  <si>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</si>
  <si>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</si>
  <si>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</si>
  <si>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</si>
  <si>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</si>
  <si>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</si>
  <si>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</si>
  <si>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</si>
  <si>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</si>
  <si>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</si>
  <si>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</si>
  <si>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</si>
  <si>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</si>
  <si>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</si>
  <si>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</si>
  <si>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</si>
  <si>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</si>
  <si>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</si>
  <si>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</si>
  <si>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</si>
  <si>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</si>
  <si>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</si>
  <si>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</si>
  <si>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</si>
  <si>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</si>
  <si>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</si>
  <si>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</si>
  <si>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</si>
  <si>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</si>
  <si>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</si>
  <si>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</si>
  <si>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</si>
  <si>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</si>
  <si>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</si>
  <si>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</si>
  <si>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</si>
  <si>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</si>
  <si>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</si>
  <si>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</si>
  <si>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Super Buy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</si>
  <si>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</si>
  <si>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</si>
  <si>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</si>
  <si>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</si>
  <si>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</si>
  <si>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</si>
  <si>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</si>
  <si>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</si>
  <si>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</si>
  <si>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</si>
  <si>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</si>
  <si>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</si>
  <si>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</si>
  <si>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</si>
  <si>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</si>
  <si>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</si>
  <si>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</si>
  <si>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NB</t>
  </si>
  <si>
    <t>BF</t>
  </si>
  <si>
    <t>1,923,515,158</t>
  </si>
  <si>
    <t>1,920,848,730</t>
  </si>
  <si>
    <t>3,103,313,635</t>
  </si>
  <si>
    <t>SF</t>
    <phoneticPr fontId="20" type="noConversion"/>
  </si>
  <si>
    <t>6.0.0.0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</si>
</sst>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"/>
    <numFmt numFmtId="181" formatCode="0.0000%"/>
    <numFmt numFmtId="182" formatCode="0_);[Red]\(0\)"/>
  </numFmts>
  <fonts count="2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0" fontId="24" fillId="0" borderId="0" xfId="0" applyNumberFormat="1" applyFont="1"/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0" fontId="24" fillId="0" borderId="0" xfId="1" applyNumberFormat="1" applyFont="1" applyAlignment="1"/>
    <xf numFmtId="180" fontId="24" fillId="0" borderId="0" xfId="0" applyNumberFormat="1" applyFont="1"/>
    <xf numFmtId="181" fontId="23" fillId="37" borderId="11" xfId="1" applyNumberFormat="1" applyFont="1" applyFill="1" applyBorder="1" applyAlignment="1">
      <alignment vertical="center"/>
    </xf>
    <xf numFmtId="181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1" fontId="19" fillId="0" borderId="0" xfId="0" applyNumberFormat="1" applyFont="1" applyAlignment="1">
      <alignment vertical="center"/>
    </xf>
    <xf numFmtId="181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I19" sqref="I1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4" width="8.88671875" style="1" customWidth="1"/>
    <col min="15" max="16384" width="8.88671875" style="1"/>
  </cols>
  <sheetData>
    <row r="2" spans="1:10" x14ac:dyDescent="0.3">
      <c r="A2" s="3" t="s">
        <v>0</v>
      </c>
      <c r="B2" s="65" t="s">
        <v>1</v>
      </c>
    </row>
    <row r="3" spans="1:10" x14ac:dyDescent="0.3">
      <c r="A3" s="3" t="s">
        <v>2</v>
      </c>
      <c r="B3" s="66" t="s">
        <v>123</v>
      </c>
      <c r="C3" s="66"/>
    </row>
    <row r="5" spans="1:10" x14ac:dyDescent="0.3">
      <c r="A5" s="3"/>
      <c r="B5" s="6"/>
      <c r="C5" s="6"/>
    </row>
    <row r="6" spans="1:10" x14ac:dyDescent="0.3">
      <c r="A6" s="9" t="s">
        <v>3</v>
      </c>
      <c r="B6" s="9" t="s">
        <v>4</v>
      </c>
      <c r="E6" s="69"/>
      <c r="F6" s="69"/>
      <c r="G6" s="70"/>
      <c r="H6" s="70"/>
      <c r="I6" s="70"/>
      <c r="J6" s="69"/>
    </row>
    <row r="7" spans="1:10" x14ac:dyDescent="0.3">
      <c r="A7" s="22">
        <v>100</v>
      </c>
      <c r="B7" s="22">
        <v>1024</v>
      </c>
      <c r="H7" s="23"/>
      <c r="I7" s="71"/>
      <c r="J7" s="72"/>
    </row>
    <row r="8" spans="1:10" x14ac:dyDescent="0.3">
      <c r="H8" s="23"/>
      <c r="I8" s="71"/>
      <c r="J8" s="72"/>
    </row>
    <row r="9" spans="1:10" x14ac:dyDescent="0.3">
      <c r="H9" s="23"/>
      <c r="I9" s="71"/>
      <c r="J9" s="72"/>
    </row>
    <row r="10" spans="1:10" x14ac:dyDescent="0.3">
      <c r="A10" s="9" t="s">
        <v>5</v>
      </c>
      <c r="B10" s="9" t="s">
        <v>6</v>
      </c>
      <c r="C10" s="16" t="s">
        <v>7</v>
      </c>
      <c r="D10" s="16" t="s">
        <v>8</v>
      </c>
      <c r="E10" s="23"/>
      <c r="F10" s="71"/>
      <c r="G10" s="72"/>
    </row>
    <row r="11" spans="1:10" x14ac:dyDescent="0.3">
      <c r="A11" s="24">
        <f t="shared" ref="A11:A12" si="0">B11*$A$7</f>
        <v>100</v>
      </c>
      <c r="B11" s="22">
        <v>1</v>
      </c>
      <c r="C11" s="68">
        <f>B17+B18</f>
        <v>0.91999992311898837</v>
      </c>
      <c r="D11" s="68" t="s">
        <v>9</v>
      </c>
      <c r="E11" s="23"/>
      <c r="F11" s="71"/>
      <c r="G11" s="72"/>
    </row>
    <row r="12" spans="1:10" x14ac:dyDescent="0.3">
      <c r="A12" s="24">
        <f t="shared" si="0"/>
        <v>4050</v>
      </c>
      <c r="B12" s="22">
        <v>40.5</v>
      </c>
      <c r="C12" s="68">
        <f>B21+B22</f>
        <v>0.9250000041578762</v>
      </c>
      <c r="D12" s="68" t="s">
        <v>10</v>
      </c>
      <c r="E12" s="23"/>
      <c r="F12" s="71"/>
      <c r="G12" s="72"/>
    </row>
    <row r="13" spans="1:10" x14ac:dyDescent="0.3">
      <c r="A13" s="24">
        <f>B13*A7</f>
        <v>25000</v>
      </c>
      <c r="B13" s="22">
        <v>250</v>
      </c>
      <c r="C13" s="68">
        <f>B25+B26</f>
        <v>0.924999999772536</v>
      </c>
      <c r="D13" s="68" t="s">
        <v>11</v>
      </c>
      <c r="H13" s="23"/>
      <c r="I13" s="71"/>
      <c r="J13" s="72"/>
    </row>
    <row r="14" spans="1:10" x14ac:dyDescent="0.3">
      <c r="H14" s="23"/>
      <c r="I14" s="71"/>
      <c r="J14" s="72"/>
    </row>
    <row r="15" spans="1:10" x14ac:dyDescent="0.3">
      <c r="A15" s="5" t="s">
        <v>12</v>
      </c>
      <c r="B15" s="7"/>
      <c r="C15" s="17"/>
      <c r="D15" s="73"/>
      <c r="E15" s="23"/>
      <c r="H15" s="23"/>
      <c r="I15" s="71"/>
      <c r="J15" s="72"/>
    </row>
    <row r="16" spans="1:10" x14ac:dyDescent="0.3">
      <c r="A16" s="16" t="s">
        <v>8</v>
      </c>
      <c r="B16" s="9" t="s">
        <v>13</v>
      </c>
      <c r="C16" s="9" t="s">
        <v>14</v>
      </c>
      <c r="D16" s="9" t="s">
        <v>15</v>
      </c>
      <c r="E16" s="9" t="s">
        <v>16</v>
      </c>
      <c r="H16" s="23"/>
      <c r="I16" s="71"/>
      <c r="J16" s="72"/>
    </row>
    <row r="17" spans="1:10" x14ac:dyDescent="0.3">
      <c r="A17" s="101" t="str">
        <f>D11</f>
        <v>Normal Bet</v>
      </c>
      <c r="B17" s="18">
        <f>Detail!C7</f>
        <v>0.64999992230188786</v>
      </c>
      <c r="C17" s="105">
        <f>1/D17</f>
        <v>7.6923077075739645E-3</v>
      </c>
      <c r="D17" s="107">
        <f>Detail!G7</f>
        <v>129.999999742</v>
      </c>
      <c r="E17" s="15" t="s">
        <v>17</v>
      </c>
      <c r="H17" s="23"/>
      <c r="I17" s="71"/>
      <c r="J17" s="72"/>
    </row>
    <row r="18" spans="1:10" ht="15.6" customHeight="1" x14ac:dyDescent="0.3">
      <c r="A18" s="102"/>
      <c r="B18" s="18">
        <f>Detail!D7</f>
        <v>0.27000000081710046</v>
      </c>
      <c r="C18" s="102"/>
      <c r="D18" s="102"/>
      <c r="E18" s="15" t="s">
        <v>18</v>
      </c>
      <c r="H18" s="23"/>
      <c r="I18" s="71"/>
      <c r="J18" s="72"/>
    </row>
    <row r="19" spans="1:10" ht="15.6" customHeight="1" x14ac:dyDescent="0.3">
      <c r="A19" s="19"/>
      <c r="B19" s="7"/>
      <c r="C19" s="17"/>
      <c r="D19" s="73"/>
      <c r="E19" s="23"/>
      <c r="H19" s="23"/>
      <c r="I19" s="71"/>
      <c r="J19" s="72"/>
    </row>
    <row r="20" spans="1:10" x14ac:dyDescent="0.3">
      <c r="A20" s="16" t="s">
        <v>8</v>
      </c>
      <c r="B20" s="9" t="s">
        <v>13</v>
      </c>
      <c r="C20" s="9" t="s">
        <v>14</v>
      </c>
      <c r="D20" s="9" t="s">
        <v>15</v>
      </c>
      <c r="E20" s="9" t="s">
        <v>16</v>
      </c>
      <c r="H20" s="23"/>
      <c r="I20" s="71"/>
      <c r="J20" s="72"/>
    </row>
    <row r="21" spans="1:10" x14ac:dyDescent="0.3">
      <c r="A21" s="103" t="str">
        <f>D12</f>
        <v>Buy Feature</v>
      </c>
      <c r="B21" s="18">
        <f>Detail!C8</f>
        <v>0</v>
      </c>
      <c r="C21" s="105">
        <f>1/D21</f>
        <v>1</v>
      </c>
      <c r="D21" s="106">
        <v>1</v>
      </c>
      <c r="E21" s="15" t="s">
        <v>17</v>
      </c>
      <c r="H21" s="23"/>
      <c r="I21" s="71"/>
      <c r="J21" s="72"/>
    </row>
    <row r="22" spans="1:10" x14ac:dyDescent="0.3">
      <c r="A22" s="104"/>
      <c r="B22" s="18">
        <f>Detail!D8</f>
        <v>0.9250000041578762</v>
      </c>
      <c r="C22" s="102"/>
      <c r="D22" s="102"/>
      <c r="E22" s="15" t="s">
        <v>18</v>
      </c>
      <c r="H22" s="23"/>
      <c r="I22" s="71"/>
      <c r="J22" s="72"/>
    </row>
    <row r="23" spans="1:10" ht="15.6" customHeight="1" x14ac:dyDescent="0.3">
      <c r="H23" s="23"/>
      <c r="I23" s="71"/>
      <c r="J23" s="72"/>
    </row>
    <row r="24" spans="1:10" x14ac:dyDescent="0.3">
      <c r="A24" s="16" t="s">
        <v>8</v>
      </c>
      <c r="B24" s="9" t="s">
        <v>13</v>
      </c>
      <c r="C24" s="9" t="s">
        <v>14</v>
      </c>
      <c r="D24" s="9" t="s">
        <v>15</v>
      </c>
      <c r="E24" s="9" t="s">
        <v>16</v>
      </c>
      <c r="F24" s="4"/>
      <c r="G24" s="4"/>
      <c r="H24" s="4"/>
      <c r="I24" s="4"/>
    </row>
    <row r="25" spans="1:10" x14ac:dyDescent="0.3">
      <c r="A25" s="103" t="str">
        <f>D13</f>
        <v>Super Feature</v>
      </c>
      <c r="B25" s="18">
        <f>Detail!C9</f>
        <v>0</v>
      </c>
      <c r="C25" s="105">
        <f>IFERROR(1/D25,0)</f>
        <v>1</v>
      </c>
      <c r="D25" s="106">
        <v>1</v>
      </c>
      <c r="E25" s="15" t="s">
        <v>17</v>
      </c>
      <c r="F25" s="4"/>
      <c r="G25" s="4"/>
      <c r="H25" s="4"/>
      <c r="I25" s="4"/>
    </row>
    <row r="26" spans="1:10" x14ac:dyDescent="0.3">
      <c r="A26" s="104"/>
      <c r="B26" s="18">
        <f>Detail!D9</f>
        <v>0.924999999772536</v>
      </c>
      <c r="C26" s="102"/>
      <c r="D26" s="102"/>
      <c r="E26" s="15" t="s">
        <v>18</v>
      </c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zoomScale="85" zoomScaleNormal="85" workbookViewId="0">
      <selection activeCell="L23" sqref="L23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7" x14ac:dyDescent="0.3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</row>
    <row r="3" spans="1:7" x14ac:dyDescent="0.3">
      <c r="A3" s="13" t="s">
        <v>26</v>
      </c>
      <c r="B3" s="10">
        <f>Detail_Newbie!K15</f>
        <v>748486677</v>
      </c>
      <c r="C3" s="10">
        <f>Detail_Newbie!K86</f>
        <v>0</v>
      </c>
      <c r="D3" s="10">
        <f>Detail!K15</f>
        <v>780402702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 x14ac:dyDescent="0.3">
      <c r="A4" s="13" t="s">
        <v>27</v>
      </c>
      <c r="B4" s="10">
        <f>Detail_Newbie!K16</f>
        <v>141267749</v>
      </c>
      <c r="C4" s="10">
        <f>Detail_Newbie!K87</f>
        <v>0</v>
      </c>
      <c r="D4" s="10">
        <f>Detail!K16</f>
        <v>122279926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 x14ac:dyDescent="0.3">
      <c r="A5" s="13" t="s">
        <v>28</v>
      </c>
      <c r="B5" s="10">
        <f>Detail_Newbie!K17</f>
        <v>35401776</v>
      </c>
      <c r="C5" s="10">
        <f>Detail_Newbie!K88</f>
        <v>0</v>
      </c>
      <c r="D5" s="10">
        <f>Detail!K17</f>
        <v>30643418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 x14ac:dyDescent="0.3">
      <c r="A6" s="13" t="s">
        <v>29</v>
      </c>
      <c r="B6" s="10">
        <f>Detail_Newbie!K18</f>
        <v>19721011</v>
      </c>
      <c r="C6" s="10">
        <f>Detail_Newbie!K89</f>
        <v>0</v>
      </c>
      <c r="D6" s="10">
        <f>Detail!K18</f>
        <v>17070307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 x14ac:dyDescent="0.3">
      <c r="A7" s="13" t="s">
        <v>30</v>
      </c>
      <c r="B7" s="10">
        <f>Detail_Newbie!K19</f>
        <v>12447288</v>
      </c>
      <c r="C7" s="10">
        <f>Detail_Newbie!K90</f>
        <v>0</v>
      </c>
      <c r="D7" s="10">
        <f>Detail!K19</f>
        <v>10774247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 x14ac:dyDescent="0.3">
      <c r="A8" s="13" t="s">
        <v>31</v>
      </c>
      <c r="B8" s="10">
        <f>Detail_Newbie!K20</f>
        <v>10078204</v>
      </c>
      <c r="C8" s="10">
        <f>Detail_Newbie!K91</f>
        <v>0</v>
      </c>
      <c r="D8" s="10">
        <f>Detail!K20</f>
        <v>8723591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 x14ac:dyDescent="0.3">
      <c r="A9" s="13" t="s">
        <v>32</v>
      </c>
      <c r="B9" s="10">
        <f>Detail_Newbie!K21</f>
        <v>4129887</v>
      </c>
      <c r="C9" s="10">
        <f>Detail_Newbie!K92</f>
        <v>29658640</v>
      </c>
      <c r="D9" s="10">
        <f>Detail!K21</f>
        <v>3574788</v>
      </c>
      <c r="E9" s="10">
        <f>Detail!K92</f>
        <v>36033720</v>
      </c>
      <c r="F9" s="10">
        <f>Detail!K169</f>
        <v>34466068</v>
      </c>
      <c r="G9" s="10">
        <f>Detail!K240</f>
        <v>0</v>
      </c>
    </row>
    <row r="10" spans="1:7" x14ac:dyDescent="0.3">
      <c r="A10" s="13" t="s">
        <v>33</v>
      </c>
      <c r="B10" s="10">
        <f>Detail_Newbie!K22</f>
        <v>3534415</v>
      </c>
      <c r="C10" s="10">
        <f>Detail_Newbie!K93</f>
        <v>25684884</v>
      </c>
      <c r="D10" s="10">
        <f>Detail!K22</f>
        <v>3059354</v>
      </c>
      <c r="E10" s="10">
        <f>Detail!K93</f>
        <v>30949887</v>
      </c>
      <c r="F10" s="10">
        <f>Detail!K170</f>
        <v>29646766</v>
      </c>
      <c r="G10" s="10">
        <f>Detail!K241</f>
        <v>0</v>
      </c>
    </row>
    <row r="11" spans="1:7" x14ac:dyDescent="0.3">
      <c r="A11" s="13" t="s">
        <v>34</v>
      </c>
      <c r="B11" s="10">
        <f>Detail_Newbie!K23</f>
        <v>3073404</v>
      </c>
      <c r="C11" s="10">
        <f>Detail_Newbie!K94</f>
        <v>27672032</v>
      </c>
      <c r="D11" s="10">
        <f>Detail!K23</f>
        <v>2660308</v>
      </c>
      <c r="E11" s="10">
        <f>Detail!K94</f>
        <v>33066758</v>
      </c>
      <c r="F11" s="10">
        <f>Detail!K171</f>
        <v>31721524</v>
      </c>
      <c r="G11" s="10">
        <f>Detail!K242</f>
        <v>0</v>
      </c>
    </row>
    <row r="12" spans="1:7" x14ac:dyDescent="0.3">
      <c r="A12" s="13" t="s">
        <v>35</v>
      </c>
      <c r="B12" s="10">
        <f>Detail_Newbie!K24</f>
        <v>2618797</v>
      </c>
      <c r="C12" s="10">
        <f>Detail_Newbie!K95</f>
        <v>26657952</v>
      </c>
      <c r="D12" s="10">
        <f>Detail!K24</f>
        <v>2266803</v>
      </c>
      <c r="E12" s="10">
        <f>Detail!K95</f>
        <v>31588323</v>
      </c>
      <c r="F12" s="10">
        <f>Detail!K172</f>
        <v>30348403</v>
      </c>
      <c r="G12" s="10">
        <f>Detail!K243</f>
        <v>0</v>
      </c>
    </row>
    <row r="13" spans="1:7" x14ac:dyDescent="0.3">
      <c r="A13" s="13" t="s">
        <v>36</v>
      </c>
      <c r="B13" s="10">
        <f>Detail_Newbie!K25</f>
        <v>2573976</v>
      </c>
      <c r="C13" s="10">
        <f>Detail_Newbie!K96</f>
        <v>28676698</v>
      </c>
      <c r="D13" s="10">
        <f>Detail!K25</f>
        <v>2228007</v>
      </c>
      <c r="E13" s="10">
        <f>Detail!K96</f>
        <v>33699075</v>
      </c>
      <c r="F13" s="10">
        <f>Detail!K173</f>
        <v>32424120</v>
      </c>
      <c r="G13" s="10">
        <f>Detail!K244</f>
        <v>0</v>
      </c>
    </row>
    <row r="14" spans="1:7" x14ac:dyDescent="0.3">
      <c r="A14" s="13" t="s">
        <v>37</v>
      </c>
      <c r="B14" s="10">
        <f>Detail_Newbie!K26</f>
        <v>9591583</v>
      </c>
      <c r="C14" s="10">
        <f>Detail_Newbie!K97</f>
        <v>127136116</v>
      </c>
      <c r="D14" s="10">
        <f>Detail!K26</f>
        <v>8302376</v>
      </c>
      <c r="E14" s="10">
        <f>Detail!K97</f>
        <v>145707682</v>
      </c>
      <c r="F14" s="10">
        <f>Detail!K174</f>
        <v>140819157</v>
      </c>
      <c r="G14" s="10">
        <f>Detail!K245</f>
        <v>0</v>
      </c>
    </row>
    <row r="15" spans="1:7" x14ac:dyDescent="0.3">
      <c r="A15" s="13" t="s">
        <v>38</v>
      </c>
      <c r="B15" s="10">
        <f>Detail_Newbie!K27</f>
        <v>2926136</v>
      </c>
      <c r="C15" s="10">
        <f>Detail_Newbie!K98</f>
        <v>92313082</v>
      </c>
      <c r="D15" s="10">
        <f>Detail!K27</f>
        <v>2532834</v>
      </c>
      <c r="E15" s="10">
        <f>Detail!K98</f>
        <v>101489001</v>
      </c>
      <c r="F15" s="10">
        <f>Detail!K175</f>
        <v>98810593</v>
      </c>
      <c r="G15" s="10">
        <f>Detail!K246</f>
        <v>0</v>
      </c>
    </row>
    <row r="16" spans="1:7" x14ac:dyDescent="0.3">
      <c r="A16" s="13" t="s">
        <v>39</v>
      </c>
      <c r="B16" s="10">
        <f>Detail_Newbie!K28</f>
        <v>2324263</v>
      </c>
      <c r="C16" s="10">
        <f>Detail_Newbie!K99</f>
        <v>91619370</v>
      </c>
      <c r="D16" s="10">
        <f>Detail!K28</f>
        <v>2011857</v>
      </c>
      <c r="E16" s="10">
        <f>Detail!K99</f>
        <v>96610630</v>
      </c>
      <c r="F16" s="10">
        <f>Detail!K176</f>
        <v>94759340</v>
      </c>
      <c r="G16" s="10">
        <f>Detail!K247</f>
        <v>0</v>
      </c>
    </row>
    <row r="17" spans="1:7" x14ac:dyDescent="0.3">
      <c r="A17" s="13" t="s">
        <v>40</v>
      </c>
      <c r="B17" s="10">
        <f>Detail_Newbie!K29</f>
        <v>1824834</v>
      </c>
      <c r="C17" s="10">
        <f>Detail_Newbie!K100</f>
        <v>73430412</v>
      </c>
      <c r="D17" s="10">
        <f>Detail!K29</f>
        <v>1579557</v>
      </c>
      <c r="E17" s="10">
        <f>Detail!K100</f>
        <v>74274231</v>
      </c>
      <c r="F17" s="10">
        <f>Detail!K177</f>
        <v>73390960</v>
      </c>
      <c r="G17" s="10">
        <f>Detail!K248</f>
        <v>0</v>
      </c>
    </row>
    <row r="18" spans="1:7" x14ac:dyDescent="0.3">
      <c r="A18" s="13" t="s">
        <v>41</v>
      </c>
      <c r="B18" s="10">
        <f>Detail_Newbie!K30</f>
        <v>0</v>
      </c>
      <c r="C18" s="10">
        <f>Detail_Newbie!K101</f>
        <v>66020613</v>
      </c>
      <c r="D18" s="10">
        <f>Detail!K30</f>
        <v>498807</v>
      </c>
      <c r="E18" s="10">
        <f>Detail!K101</f>
        <v>64053781</v>
      </c>
      <c r="F18" s="10">
        <f>Detail!K178</f>
        <v>63761629</v>
      </c>
      <c r="G18" s="10">
        <f>Detail!K249</f>
        <v>0</v>
      </c>
    </row>
    <row r="19" spans="1:7" x14ac:dyDescent="0.3">
      <c r="A19" s="13" t="s">
        <v>42</v>
      </c>
      <c r="B19" s="10">
        <f>Detail_Newbie!K31</f>
        <v>0</v>
      </c>
      <c r="C19" s="10">
        <f>Detail_Newbie!K102</f>
        <v>63934012</v>
      </c>
      <c r="D19" s="10">
        <f>Detail!K31</f>
        <v>393503</v>
      </c>
      <c r="E19" s="10">
        <f>Detail!K102</f>
        <v>59494442</v>
      </c>
      <c r="F19" s="10">
        <f>Detail!K179</f>
        <v>59663005</v>
      </c>
      <c r="G19" s="10">
        <f>Detail!K250</f>
        <v>0</v>
      </c>
    </row>
    <row r="20" spans="1:7" x14ac:dyDescent="0.3">
      <c r="A20" s="13" t="s">
        <v>43</v>
      </c>
      <c r="B20" s="10">
        <f>Detail_Newbie!K32</f>
        <v>0</v>
      </c>
      <c r="C20" s="10">
        <f>Detail_Newbie!K103</f>
        <v>68535549</v>
      </c>
      <c r="D20" s="10">
        <f>Detail!K32</f>
        <v>338081</v>
      </c>
      <c r="E20" s="10">
        <f>Detail!K103</f>
        <v>61178369</v>
      </c>
      <c r="F20" s="10">
        <f>Detail!K180</f>
        <v>61806249</v>
      </c>
      <c r="G20" s="10">
        <f>Detail!K251</f>
        <v>0</v>
      </c>
    </row>
    <row r="21" spans="1:7" x14ac:dyDescent="0.3">
      <c r="A21" s="13" t="s">
        <v>44</v>
      </c>
      <c r="B21" s="10">
        <f>Detail_Newbie!K33</f>
        <v>0</v>
      </c>
      <c r="C21" s="10">
        <f>Detail_Newbie!K104</f>
        <v>59025765</v>
      </c>
      <c r="D21" s="10">
        <f>Detail!K33</f>
        <v>288199</v>
      </c>
      <c r="E21" s="10">
        <f>Detail!K104</f>
        <v>50544170</v>
      </c>
      <c r="F21" s="10">
        <f>Detail!K181</f>
        <v>51440935</v>
      </c>
      <c r="G21" s="10">
        <f>Detail!K252</f>
        <v>0</v>
      </c>
    </row>
    <row r="22" spans="1:7" x14ac:dyDescent="0.3">
      <c r="A22" s="13" t="s">
        <v>45</v>
      </c>
      <c r="B22" s="10">
        <f>Detail_Newbie!K34</f>
        <v>0</v>
      </c>
      <c r="C22" s="10">
        <f>Detail_Newbie!K105</f>
        <v>74005542</v>
      </c>
      <c r="D22" s="10">
        <f>Detail!K34</f>
        <v>277116</v>
      </c>
      <c r="E22" s="10">
        <f>Detail!K105</f>
        <v>59533435</v>
      </c>
      <c r="F22" s="10">
        <f>Detail!K182</f>
        <v>61265003</v>
      </c>
      <c r="G22" s="10">
        <f>Detail!K253</f>
        <v>81715549</v>
      </c>
    </row>
    <row r="23" spans="1:7" x14ac:dyDescent="0.3">
      <c r="A23" s="13" t="s">
        <v>46</v>
      </c>
      <c r="B23" s="10">
        <f>Detail_Newbie!K35</f>
        <v>0</v>
      </c>
      <c r="C23" s="10">
        <f>Detail_Newbie!K106</f>
        <v>36098276</v>
      </c>
      <c r="D23" s="10">
        <f>Detail!K35</f>
        <v>94219</v>
      </c>
      <c r="E23" s="10">
        <f>Detail!K106</f>
        <v>26716973</v>
      </c>
      <c r="F23" s="10">
        <f>Detail!K183</f>
        <v>27903527</v>
      </c>
      <c r="G23" s="10">
        <f>Detail!K254</f>
        <v>81715549</v>
      </c>
    </row>
    <row r="24" spans="1:7" x14ac:dyDescent="0.3">
      <c r="A24" s="13" t="s">
        <v>47</v>
      </c>
      <c r="B24" s="10">
        <f>Detail_Newbie!K36</f>
        <v>0</v>
      </c>
      <c r="C24" s="10">
        <f>Detail_Newbie!K107</f>
        <v>30018008</v>
      </c>
      <c r="D24" s="10">
        <f>Detail!K36</f>
        <v>0</v>
      </c>
      <c r="E24" s="10">
        <f>Detail!K107</f>
        <v>20443122</v>
      </c>
      <c r="F24" s="10">
        <f>Detail!K184</f>
        <v>21668600</v>
      </c>
      <c r="G24" s="10">
        <f>Detail!K255</f>
        <v>81715549</v>
      </c>
    </row>
    <row r="25" spans="1:7" x14ac:dyDescent="0.3">
      <c r="A25" s="13" t="s">
        <v>48</v>
      </c>
      <c r="B25" s="10">
        <f>Detail_Newbie!K37</f>
        <v>0</v>
      </c>
      <c r="C25" s="10">
        <f>Detail_Newbie!K108</f>
        <v>23895979</v>
      </c>
      <c r="D25" s="10">
        <f>Detail!K37</f>
        <v>0</v>
      </c>
      <c r="E25" s="10">
        <f>Detail!K108</f>
        <v>14975271</v>
      </c>
      <c r="F25" s="10">
        <f>Detail!K185</f>
        <v>16108920</v>
      </c>
      <c r="G25" s="10">
        <f>Detail!K256</f>
        <v>77477002</v>
      </c>
    </row>
    <row r="26" spans="1:7" x14ac:dyDescent="0.3">
      <c r="A26" s="13" t="s">
        <v>49</v>
      </c>
      <c r="B26" s="10">
        <f>Detail_Newbie!K38</f>
        <v>0</v>
      </c>
      <c r="C26" s="10">
        <f>Detail_Newbie!K109</f>
        <v>23411702</v>
      </c>
      <c r="D26" s="10">
        <f>Detail!K38</f>
        <v>0</v>
      </c>
      <c r="E26" s="10">
        <f>Detail!K109</f>
        <v>13499580</v>
      </c>
      <c r="F26" s="10">
        <f>Detail!K186</f>
        <v>14737675</v>
      </c>
      <c r="G26" s="10">
        <f>Detail!K257</f>
        <v>70372472</v>
      </c>
    </row>
    <row r="27" spans="1:7" x14ac:dyDescent="0.3">
      <c r="A27" s="13" t="s">
        <v>50</v>
      </c>
      <c r="B27" s="10">
        <f>Detail_Newbie!K39</f>
        <v>0</v>
      </c>
      <c r="C27" s="10">
        <f>Detail_Newbie!K110</f>
        <v>32205368</v>
      </c>
      <c r="D27" s="10">
        <f>Detail!K39</f>
        <v>0</v>
      </c>
      <c r="E27" s="10">
        <f>Detail!K110</f>
        <v>16397920</v>
      </c>
      <c r="F27" s="10">
        <f>Detail!K187</f>
        <v>18301203</v>
      </c>
      <c r="G27" s="10">
        <f>Detail!K258</f>
        <v>67953474</v>
      </c>
    </row>
    <row r="28" spans="1:7" x14ac:dyDescent="0.3">
      <c r="A28" s="13" t="s">
        <v>51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9836697</v>
      </c>
      <c r="F28" s="10">
        <f>Detail!K188</f>
        <v>11307470</v>
      </c>
      <c r="G28" s="10">
        <f>Detail!K259</f>
        <v>64805472</v>
      </c>
    </row>
    <row r="29" spans="1:7" x14ac:dyDescent="0.3">
      <c r="A29" s="13" t="s">
        <v>52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7191857</v>
      </c>
      <c r="F29" s="10">
        <f>Detail!K189</f>
        <v>8514635</v>
      </c>
      <c r="G29" s="10">
        <f>Detail!K260</f>
        <v>55471071</v>
      </c>
    </row>
    <row r="30" spans="1:7" x14ac:dyDescent="0.3">
      <c r="A30" s="13" t="s">
        <v>53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2921029</v>
      </c>
      <c r="F30" s="10">
        <f>Detail!K190</f>
        <v>3562007</v>
      </c>
      <c r="G30" s="10">
        <f>Detail!K261</f>
        <v>42248489</v>
      </c>
    </row>
    <row r="31" spans="1:7" x14ac:dyDescent="0.3">
      <c r="A31" s="13" t="s">
        <v>54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1708452</v>
      </c>
      <c r="F31" s="10">
        <f>Detail!K191</f>
        <v>2145780</v>
      </c>
      <c r="G31" s="10">
        <f>Detail!K262</f>
        <v>31161746</v>
      </c>
    </row>
    <row r="32" spans="1:7" x14ac:dyDescent="0.3">
      <c r="A32" s="13" t="s">
        <v>55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4907904</v>
      </c>
      <c r="F32" s="10">
        <f>Detail!K192</f>
        <v>6481274</v>
      </c>
      <c r="G32" s="10">
        <f>Detail!K263</f>
        <v>31161746</v>
      </c>
    </row>
    <row r="33" spans="1:7" x14ac:dyDescent="0.3">
      <c r="A33" s="13" t="s">
        <v>56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511648</v>
      </c>
      <c r="F33" s="10">
        <f>Detail!K193</f>
        <v>727381</v>
      </c>
      <c r="G33" s="10">
        <f>Detail!K264</f>
        <v>31161746</v>
      </c>
    </row>
    <row r="34" spans="1:7" x14ac:dyDescent="0.3">
      <c r="A34" s="13" t="s">
        <v>57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216976</v>
      </c>
      <c r="F34" s="10">
        <f>Detail!K194</f>
        <v>231508</v>
      </c>
      <c r="G34" s="10">
        <f>Detail!K265</f>
        <v>31161746</v>
      </c>
    </row>
    <row r="35" spans="1:7" x14ac:dyDescent="0.3">
      <c r="A35" s="13" t="s">
        <v>58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900537</v>
      </c>
      <c r="F35" s="10">
        <f>Detail!K195</f>
        <v>1484172</v>
      </c>
      <c r="G35" s="10">
        <f>Detail!K266</f>
        <v>46742619</v>
      </c>
    </row>
    <row r="36" spans="1:7" x14ac:dyDescent="0.3">
      <c r="A36" s="13" t="s">
        <v>59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165711</v>
      </c>
      <c r="F36" s="10">
        <f>Detail!K196</f>
        <v>176909</v>
      </c>
      <c r="G36" s="10">
        <f>Detail!K267</f>
        <v>31161746</v>
      </c>
    </row>
    <row r="37" spans="1:7" x14ac:dyDescent="0.3">
      <c r="A37" s="13" t="s">
        <v>60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396284</v>
      </c>
      <c r="F37" s="10">
        <f>Detail!K197</f>
        <v>757099</v>
      </c>
      <c r="G37" s="10">
        <f>Detail!K268</f>
        <v>46141259</v>
      </c>
    </row>
    <row r="38" spans="1:7" x14ac:dyDescent="0.3">
      <c r="A38" s="13" t="s">
        <v>61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134115</v>
      </c>
      <c r="F38" s="10">
        <f>Detail!K198</f>
        <v>143105</v>
      </c>
      <c r="G38" s="10">
        <f>Detail!K269</f>
        <v>26150639</v>
      </c>
    </row>
    <row r="39" spans="1:7" x14ac:dyDescent="0.3">
      <c r="A39" s="13" t="s">
        <v>62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122417</v>
      </c>
      <c r="F39" s="10">
        <f>Detail!K199</f>
        <v>130638</v>
      </c>
      <c r="G39" s="10">
        <f>Detail!K270</f>
        <v>21950994</v>
      </c>
    </row>
    <row r="40" spans="1:7" x14ac:dyDescent="0.3">
      <c r="A40" s="13" t="s">
        <v>63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112580</v>
      </c>
      <c r="F40" s="10">
        <f>Detail!K200</f>
        <v>120165</v>
      </c>
      <c r="G40" s="10">
        <f>Detail!K271</f>
        <v>18230792</v>
      </c>
    </row>
    <row r="41" spans="1:7" x14ac:dyDescent="0.3">
      <c r="A41" s="13" t="s">
        <v>64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104290</v>
      </c>
      <c r="F41" s="10">
        <f>Detail!K201</f>
        <v>111230</v>
      </c>
      <c r="G41" s="10">
        <f>Detail!K272</f>
        <v>15007183</v>
      </c>
    </row>
    <row r="42" spans="1:7" x14ac:dyDescent="0.3">
      <c r="A42" s="13" t="s">
        <v>65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96998</v>
      </c>
      <c r="F42" s="10">
        <f>Detail!K202</f>
        <v>103571</v>
      </c>
      <c r="G42" s="10">
        <f>Detail!K273</f>
        <v>12259089</v>
      </c>
    </row>
    <row r="43" spans="1:7" x14ac:dyDescent="0.3">
      <c r="A43" s="13" t="s">
        <v>66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270242</v>
      </c>
      <c r="F43" s="10">
        <f>Detail!K203</f>
        <v>804040</v>
      </c>
      <c r="G43" s="10">
        <f>Detail!K274</f>
        <v>9947934</v>
      </c>
    </row>
    <row r="44" spans="1:7" x14ac:dyDescent="0.3">
      <c r="A44" s="13" t="s">
        <v>67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85260</v>
      </c>
      <c r="F44" s="10">
        <f>Detail!K204</f>
        <v>90987</v>
      </c>
      <c r="G44" s="10">
        <f>Detail!K275</f>
        <v>8025197</v>
      </c>
    </row>
    <row r="45" spans="1:7" x14ac:dyDescent="0.3">
      <c r="A45" s="13" t="s">
        <v>68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0</v>
      </c>
      <c r="F45" s="10">
        <f>Detail!K205</f>
        <v>0</v>
      </c>
      <c r="G45" s="10">
        <f>Detail!K276</f>
        <v>6441114</v>
      </c>
    </row>
    <row r="46" spans="1:7" x14ac:dyDescent="0.3">
      <c r="A46" s="13" t="s">
        <v>69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5146068</v>
      </c>
    </row>
    <row r="47" spans="1:7" x14ac:dyDescent="0.3">
      <c r="A47" s="13" t="s">
        <v>70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4094612</v>
      </c>
    </row>
    <row r="48" spans="1:7" x14ac:dyDescent="0.3">
      <c r="A48" s="13" t="s">
        <v>71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60633</v>
      </c>
      <c r="F48" s="10">
        <f>Detail!K208</f>
        <v>64352</v>
      </c>
      <c r="G48" s="10">
        <f>Detail!K279</f>
        <v>575751</v>
      </c>
    </row>
    <row r="49" spans="1:7" x14ac:dyDescent="0.3">
      <c r="A49" s="13" t="s">
        <v>72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3378</v>
      </c>
    </row>
    <row r="50" spans="1:7" x14ac:dyDescent="0.3">
      <c r="A50" s="13" t="s">
        <v>73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14</v>
      </c>
    </row>
    <row r="51" spans="1:7" x14ac:dyDescent="0.3">
      <c r="A51" s="13" t="s">
        <v>74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 x14ac:dyDescent="0.3">
      <c r="A52" s="13" t="s">
        <v>75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 x14ac:dyDescent="0.3">
      <c r="A53" s="13" t="s">
        <v>76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 x14ac:dyDescent="0.3">
      <c r="A54" s="13" t="s">
        <v>77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 x14ac:dyDescent="0.3">
      <c r="A55" s="13" t="s">
        <v>78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 x14ac:dyDescent="0.3">
      <c r="A56" s="13" t="s">
        <v>79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 x14ac:dyDescent="0.3">
      <c r="A57" s="13" t="s">
        <v>80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 x14ac:dyDescent="0.3">
      <c r="A58" s="13" t="s">
        <v>81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 x14ac:dyDescent="0.3">
      <c r="A59" s="13" t="s">
        <v>82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 x14ac:dyDescent="0.3">
      <c r="A60" s="13" t="s">
        <v>83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 x14ac:dyDescent="0.3">
      <c r="A61" s="13" t="s">
        <v>84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 x14ac:dyDescent="0.3">
      <c r="A62" s="13" t="s">
        <v>85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 x14ac:dyDescent="0.3">
      <c r="A63" s="13" t="s">
        <v>86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 x14ac:dyDescent="0.3">
      <c r="A64" s="13" t="s">
        <v>87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 x14ac:dyDescent="0.3">
      <c r="A65" s="13" t="s">
        <v>88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 x14ac:dyDescent="0.3">
      <c r="A66" s="13" t="s">
        <v>89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 x14ac:dyDescent="0.3">
      <c r="A67" s="13" t="s">
        <v>18</v>
      </c>
      <c r="B67" s="10">
        <f>Detail_Newbie!K79</f>
        <v>7751938</v>
      </c>
      <c r="C67" s="26">
        <v>0</v>
      </c>
      <c r="D67" s="25">
        <f>Detail!K79</f>
        <v>7751938</v>
      </c>
      <c r="E67" s="26">
        <v>0</v>
      </c>
      <c r="F67" s="11">
        <v>0</v>
      </c>
      <c r="G67" s="11">
        <f>0</f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7"/>
  <sheetViews>
    <sheetView topLeftCell="H236" workbookViewId="0">
      <selection activeCell="W254" sqref="W254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0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0" customWidth="1"/>
    <col min="15" max="15" width="17.88671875" style="30" bestFit="1" customWidth="1"/>
    <col min="16" max="16" width="14.6640625" style="30" bestFit="1" customWidth="1"/>
    <col min="17" max="18" width="13.21875" style="4" bestFit="1" customWidth="1"/>
    <col min="20" max="20" width="9.6640625" style="4" customWidth="1"/>
    <col min="21" max="24" width="8.88671875" style="4" customWidth="1"/>
    <col min="25" max="26" width="10.21875" style="4" bestFit="1" customWidth="1"/>
    <col min="27" max="28" width="8.88671875" style="4" customWidth="1"/>
    <col min="29" max="16384" width="8.88671875" style="4"/>
  </cols>
  <sheetData>
    <row r="1" spans="1:26" x14ac:dyDescent="0.3">
      <c r="A1" s="29"/>
      <c r="B1" s="1"/>
      <c r="E1" s="1"/>
      <c r="G1" s="35"/>
      <c r="H1" s="29"/>
      <c r="I1" s="29"/>
      <c r="J1" s="29"/>
      <c r="K1" s="29"/>
      <c r="L1" s="29"/>
      <c r="M1" s="29"/>
      <c r="Q1" s="29"/>
      <c r="R1" s="29"/>
    </row>
    <row r="2" spans="1:26" x14ac:dyDescent="0.3">
      <c r="A2" s="45" t="s">
        <v>90</v>
      </c>
      <c r="B2" s="74">
        <v>1000000000</v>
      </c>
      <c r="C2" s="1"/>
      <c r="F2" s="36"/>
      <c r="G2" s="36"/>
      <c r="K2" s="29"/>
      <c r="L2" s="29"/>
      <c r="M2" s="29"/>
      <c r="Q2" s="29"/>
      <c r="R2" s="29"/>
    </row>
    <row r="3" spans="1:26" x14ac:dyDescent="0.3">
      <c r="A3" s="45" t="s">
        <v>5</v>
      </c>
      <c r="B3" s="74">
        <f>Overview!A7</f>
        <v>100</v>
      </c>
      <c r="C3" s="1"/>
      <c r="F3" s="36"/>
      <c r="G3" s="37"/>
    </row>
    <row r="4" spans="1:26" x14ac:dyDescent="0.3">
      <c r="F4" s="36"/>
      <c r="G4" s="36"/>
      <c r="I4" s="1"/>
      <c r="K4" s="38"/>
      <c r="L4" s="39"/>
      <c r="M4" s="75"/>
      <c r="N4" s="76"/>
      <c r="O4" s="76"/>
      <c r="P4" s="76"/>
      <c r="Q4" s="39"/>
      <c r="R4" s="39"/>
    </row>
    <row r="5" spans="1:26" x14ac:dyDescent="0.3">
      <c r="A5" s="29"/>
      <c r="B5" s="29"/>
      <c r="C5" s="1" t="s">
        <v>91</v>
      </c>
      <c r="F5" s="4"/>
      <c r="G5" s="30"/>
      <c r="I5" s="36"/>
      <c r="K5" s="40"/>
      <c r="L5" s="39"/>
      <c r="M5" s="75"/>
      <c r="N5" s="76"/>
      <c r="O5" s="76"/>
      <c r="P5" s="76"/>
      <c r="Q5" s="39"/>
      <c r="R5" s="39"/>
    </row>
    <row r="6" spans="1:26" x14ac:dyDescent="0.3">
      <c r="A6" s="41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2" t="s">
        <v>97</v>
      </c>
      <c r="J6" s="43" t="s">
        <v>98</v>
      </c>
      <c r="K6" s="37"/>
      <c r="L6" s="37"/>
      <c r="M6" s="44"/>
      <c r="Q6" s="37"/>
      <c r="R6" s="37"/>
    </row>
    <row r="7" spans="1:26" x14ac:dyDescent="0.3">
      <c r="A7" s="45" t="s">
        <v>9</v>
      </c>
      <c r="B7" s="45">
        <f>Overview!B11</f>
        <v>1</v>
      </c>
      <c r="C7" s="77">
        <f>SUM(M15:M79)</f>
        <v>0.64999992230188786</v>
      </c>
      <c r="D7" s="77">
        <f>SUM(M86:M149)*F7</f>
        <v>0.27000000081710046</v>
      </c>
      <c r="E7" s="78">
        <f>SUM(C7:D7)</f>
        <v>0.91999992311898837</v>
      </c>
      <c r="F7" s="31">
        <f>L79</f>
        <v>7.6923077075739645E-3</v>
      </c>
      <c r="G7" s="32">
        <f>1/F7</f>
        <v>129.999999742</v>
      </c>
      <c r="H7" s="33">
        <f>D7*G7</f>
        <v>35.10000003656306</v>
      </c>
      <c r="I7" s="79">
        <f>IFERROR(LOOKUP(2,1/(K15:K78&lt;&gt;0),P15:P78),0)</f>
        <v>70</v>
      </c>
      <c r="J7" s="79">
        <f>IFERROR(LOOKUP(2,1/(K86:K149&lt;&gt;0),P86:P149),0)</f>
        <v>2000</v>
      </c>
      <c r="K7" s="36"/>
      <c r="L7" s="37"/>
      <c r="M7" s="44"/>
      <c r="Q7" s="37"/>
      <c r="R7" s="37"/>
    </row>
    <row r="8" spans="1:26" x14ac:dyDescent="0.3">
      <c r="A8" s="45" t="s">
        <v>10</v>
      </c>
      <c r="B8" s="45">
        <f>Overview!B12</f>
        <v>40.5</v>
      </c>
      <c r="C8" s="77">
        <f>M156/B8</f>
        <v>0</v>
      </c>
      <c r="D8" s="77">
        <f>SUM(M163:M226)/B8</f>
        <v>0.9250000041578762</v>
      </c>
      <c r="E8" s="78">
        <f>SUM(C8:D8)</f>
        <v>0.9250000041578762</v>
      </c>
      <c r="F8" s="34">
        <f>D156</f>
        <v>1</v>
      </c>
      <c r="G8" s="32">
        <f>1/F8</f>
        <v>1</v>
      </c>
      <c r="H8" s="33">
        <f>D8*G8*B8</f>
        <v>37.462500168393987</v>
      </c>
      <c r="I8" s="80"/>
      <c r="J8" s="80">
        <f>IFERROR(LOOKUP(2,1/(K163:K226&lt;&gt;0),P163:P226),0)</f>
        <v>2000</v>
      </c>
      <c r="K8" s="46"/>
      <c r="L8" s="37"/>
      <c r="M8" s="44"/>
      <c r="Q8" s="37"/>
      <c r="R8" s="37"/>
    </row>
    <row r="9" spans="1:26" x14ac:dyDescent="0.3">
      <c r="A9" s="45" t="s">
        <v>99</v>
      </c>
      <c r="B9" s="45">
        <v>250</v>
      </c>
      <c r="C9" s="77">
        <f>0</f>
        <v>0</v>
      </c>
      <c r="D9" s="77">
        <f>IFERROR(SUM(M234:M297)/B9,0)</f>
        <v>0.924999999772536</v>
      </c>
      <c r="E9" s="78">
        <f>SUM(C9:D9)</f>
        <v>0.924999999772536</v>
      </c>
      <c r="F9" s="34">
        <f>1</f>
        <v>1</v>
      </c>
      <c r="G9" s="32">
        <f>IFERROR(1/F9,0)</f>
        <v>1</v>
      </c>
      <c r="H9" s="33">
        <f>D9*G9*B9</f>
        <v>231.24999994313399</v>
      </c>
      <c r="I9" s="80"/>
      <c r="J9" s="80">
        <f>IFERROR(LOOKUP(2,1/(K234:K297&lt;&gt;0),P234:P297),0)</f>
        <v>4000</v>
      </c>
      <c r="K9" s="47"/>
      <c r="L9" s="98"/>
      <c r="M9" s="98"/>
      <c r="Q9" s="98"/>
      <c r="R9" s="98"/>
    </row>
    <row r="10" spans="1:26" x14ac:dyDescent="0.3">
      <c r="A10" s="29"/>
      <c r="B10" s="1"/>
      <c r="C10" s="1"/>
      <c r="D10" s="81"/>
      <c r="E10" s="1"/>
      <c r="G10" s="35"/>
      <c r="H10" s="29"/>
      <c r="I10" s="29"/>
      <c r="J10" s="29"/>
      <c r="K10" s="47"/>
      <c r="L10" s="98"/>
      <c r="M10" s="98"/>
      <c r="Q10" s="98"/>
      <c r="R10" s="98"/>
    </row>
    <row r="11" spans="1:26" s="62" customFormat="1" ht="15.6" customHeight="1" x14ac:dyDescent="0.3">
      <c r="A11" s="63" t="s">
        <v>9</v>
      </c>
      <c r="B11" s="63" t="s">
        <v>17</v>
      </c>
      <c r="C11" s="63"/>
      <c r="D11" s="82"/>
      <c r="E11" s="59"/>
      <c r="F11" s="60"/>
      <c r="G11" s="63" t="s">
        <v>9</v>
      </c>
      <c r="H11" s="63" t="s">
        <v>17</v>
      </c>
      <c r="I11" s="58"/>
      <c r="J11" s="58"/>
      <c r="K11" s="61"/>
      <c r="L11" s="99"/>
      <c r="M11" s="99"/>
      <c r="N11" s="60"/>
      <c r="O11" s="63" t="s">
        <v>9</v>
      </c>
      <c r="P11" s="63" t="s">
        <v>17</v>
      </c>
      <c r="Q11" s="99"/>
      <c r="R11" s="99"/>
    </row>
    <row r="12" spans="1:26" x14ac:dyDescent="0.3">
      <c r="A12" s="29"/>
      <c r="B12" s="1"/>
      <c r="C12" s="1"/>
      <c r="D12" s="81"/>
      <c r="E12" s="1"/>
      <c r="G12" s="35"/>
      <c r="H12" s="29"/>
      <c r="I12" s="29"/>
      <c r="J12" s="29"/>
      <c r="K12" s="47"/>
      <c r="L12" s="98"/>
      <c r="M12" s="98"/>
      <c r="Q12" s="98"/>
      <c r="R12" s="98"/>
    </row>
    <row r="13" spans="1:26" x14ac:dyDescent="0.3">
      <c r="A13" s="48" t="s">
        <v>100</v>
      </c>
      <c r="B13" s="83">
        <v>100000000</v>
      </c>
      <c r="C13" s="1"/>
      <c r="D13" s="1"/>
      <c r="E13" s="1"/>
      <c r="G13" s="48" t="s">
        <v>101</v>
      </c>
      <c r="H13" s="29"/>
      <c r="I13" s="29"/>
      <c r="J13" s="29"/>
      <c r="K13" s="29"/>
      <c r="L13" s="29"/>
      <c r="M13" s="29"/>
      <c r="Q13" s="29"/>
      <c r="R13" s="29"/>
    </row>
    <row r="14" spans="1:26" x14ac:dyDescent="0.3">
      <c r="A14" s="9" t="s">
        <v>19</v>
      </c>
      <c r="B14" s="9" t="s">
        <v>102</v>
      </c>
      <c r="C14" s="9" t="s">
        <v>103</v>
      </c>
      <c r="D14" s="9" t="s">
        <v>94</v>
      </c>
      <c r="E14" s="9" t="s">
        <v>104</v>
      </c>
      <c r="G14" s="9" t="s">
        <v>19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94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6" x14ac:dyDescent="0.3">
      <c r="A15" s="13" t="str">
        <f t="shared" ref="A15:A46" si="0">"("&amp;$O15&amp;", "&amp;$P15&amp;"]"</f>
        <v>(-1, 0]</v>
      </c>
      <c r="B15" s="84">
        <v>63158298</v>
      </c>
      <c r="C15" s="84">
        <v>0</v>
      </c>
      <c r="D15" s="28">
        <f t="shared" ref="D15:D46" si="1">IFERROR(B15/SUM($B$15:$B$78),0)</f>
        <v>0.63158298000000002</v>
      </c>
      <c r="E15" s="85">
        <f t="shared" ref="E15:E46" si="2">IFERROR(C15/B15/$B$3,0)</f>
        <v>0</v>
      </c>
      <c r="G15" s="13" t="str">
        <f t="shared" ref="G15:G46" si="3">"("&amp;$O15&amp;", "&amp;$P15&amp;"]"</f>
        <v>(-1, 0]</v>
      </c>
      <c r="H15" s="86">
        <v>1.2356297220042249</v>
      </c>
      <c r="I15" s="27">
        <f t="shared" ref="I15:I46" si="4">D15*H15</f>
        <v>0.78040270199999995</v>
      </c>
      <c r="J15" s="27">
        <f t="shared" ref="J15:J46" si="5">IFERROR(I15/SUM($I$15:$I$78),0)</f>
        <v>0.78040270200000006</v>
      </c>
      <c r="K15" s="87">
        <f t="shared" ref="K15:K46" si="6">INT(J15*$B$2)</f>
        <v>780402702</v>
      </c>
      <c r="L15" s="100">
        <f t="shared" ref="L15:L46" si="7">IFERROR(K15/SUM($K$15:$K$79),0)</f>
        <v>0.77439960428039389</v>
      </c>
      <c r="M15" s="100">
        <f t="shared" ref="M15:M46" si="8">L15*E15</f>
        <v>0</v>
      </c>
      <c r="N15" s="88"/>
      <c r="O15" s="49">
        <v>-1</v>
      </c>
      <c r="P15" s="49">
        <v>0</v>
      </c>
      <c r="Q15" s="100">
        <f t="shared" ref="Q15:Q46" si="9">L15</f>
        <v>0.77439960428039389</v>
      </c>
      <c r="R15" s="100">
        <v>0.76387345201003343</v>
      </c>
      <c r="T15" s="27"/>
      <c r="U15" s="50">
        <f t="shared" ref="U15:U46" si="10">IFERROR(ROUND(T15/L15,2),0)</f>
        <v>0</v>
      </c>
      <c r="Y15" s="46"/>
      <c r="Z15" s="46"/>
    </row>
    <row r="16" spans="1:26" x14ac:dyDescent="0.3">
      <c r="A16" s="13" t="str">
        <f t="shared" si="0"/>
        <v>(0, 1]</v>
      </c>
      <c r="B16" s="89">
        <v>16876413</v>
      </c>
      <c r="C16" s="89">
        <v>699136795</v>
      </c>
      <c r="D16" s="27">
        <f t="shared" si="1"/>
        <v>0.16876413000000001</v>
      </c>
      <c r="E16" s="90">
        <f t="shared" si="2"/>
        <v>0.41426859783533387</v>
      </c>
      <c r="G16" s="13" t="str">
        <f t="shared" si="3"/>
        <v>(0, 1]</v>
      </c>
      <c r="H16" s="86">
        <v>0.72456111378644261</v>
      </c>
      <c r="I16" s="27">
        <f t="shared" si="4"/>
        <v>0.122279926</v>
      </c>
      <c r="J16" s="27">
        <f t="shared" si="5"/>
        <v>0.12227992600000001</v>
      </c>
      <c r="K16" s="87">
        <f t="shared" si="6"/>
        <v>122279926</v>
      </c>
      <c r="L16" s="100">
        <f t="shared" si="7"/>
        <v>0.12133931118274863</v>
      </c>
      <c r="M16" s="100">
        <f t="shared" si="8"/>
        <v>5.0267066305982523E-2</v>
      </c>
      <c r="N16" s="88"/>
      <c r="O16" s="45">
        <v>0</v>
      </c>
      <c r="P16" s="45">
        <v>1</v>
      </c>
      <c r="Q16" s="100">
        <f t="shared" si="9"/>
        <v>0.12133931118274863</v>
      </c>
      <c r="R16" s="100">
        <v>0.13400020649988759</v>
      </c>
      <c r="T16" s="27"/>
      <c r="U16" s="50">
        <f t="shared" si="10"/>
        <v>0</v>
      </c>
      <c r="Y16" s="46"/>
      <c r="Z16" s="46"/>
    </row>
    <row r="17" spans="1:26" x14ac:dyDescent="0.3">
      <c r="A17" s="13" t="str">
        <f t="shared" si="0"/>
        <v>(1, 2]</v>
      </c>
      <c r="B17" s="89">
        <v>4919274</v>
      </c>
      <c r="C17" s="89">
        <v>738797665</v>
      </c>
      <c r="D17" s="27">
        <f t="shared" si="1"/>
        <v>4.9192739999999999E-2</v>
      </c>
      <c r="E17" s="90">
        <f t="shared" si="2"/>
        <v>1.5018428837263387</v>
      </c>
      <c r="F17" s="51"/>
      <c r="G17" s="13" t="str">
        <f t="shared" si="3"/>
        <v>(1, 2]</v>
      </c>
      <c r="H17" s="86">
        <v>0.62292561869901941</v>
      </c>
      <c r="I17" s="27">
        <f t="shared" si="4"/>
        <v>3.0643417999999999E-2</v>
      </c>
      <c r="J17" s="27">
        <f t="shared" si="5"/>
        <v>3.0643418000000002E-2</v>
      </c>
      <c r="K17" s="87">
        <f t="shared" si="6"/>
        <v>30643418</v>
      </c>
      <c r="L17" s="100">
        <f t="shared" si="7"/>
        <v>3.0407699399532188E-2</v>
      </c>
      <c r="M17" s="100">
        <f t="shared" si="8"/>
        <v>4.5667586953677078E-2</v>
      </c>
      <c r="N17" s="88"/>
      <c r="O17" s="45">
        <v>1</v>
      </c>
      <c r="P17" s="45">
        <v>2</v>
      </c>
      <c r="Q17" s="100">
        <f t="shared" si="9"/>
        <v>3.0407699399532188E-2</v>
      </c>
      <c r="R17" s="100">
        <v>3.3580525845890351E-2</v>
      </c>
      <c r="T17" s="27"/>
      <c r="U17" s="50">
        <f t="shared" si="10"/>
        <v>0</v>
      </c>
      <c r="Y17" s="46"/>
      <c r="Z17" s="46"/>
    </row>
    <row r="18" spans="1:26" x14ac:dyDescent="0.3">
      <c r="A18" s="13" t="str">
        <f t="shared" si="0"/>
        <v>(2, 3]</v>
      </c>
      <c r="B18" s="89">
        <v>2781312</v>
      </c>
      <c r="C18" s="89">
        <v>702841175</v>
      </c>
      <c r="D18" s="27">
        <f t="shared" si="1"/>
        <v>2.781312E-2</v>
      </c>
      <c r="E18" s="90">
        <f t="shared" si="2"/>
        <v>2.527013060742556</v>
      </c>
      <c r="F18" s="51"/>
      <c r="G18" s="13" t="str">
        <f t="shared" si="3"/>
        <v>(2, 3]</v>
      </c>
      <c r="H18" s="86">
        <v>0.6137501653895715</v>
      </c>
      <c r="I18" s="27">
        <f t="shared" si="4"/>
        <v>1.7070307E-2</v>
      </c>
      <c r="J18" s="27">
        <f t="shared" si="5"/>
        <v>1.7070307000000003E-2</v>
      </c>
      <c r="K18" s="87">
        <f t="shared" si="6"/>
        <v>17070307</v>
      </c>
      <c r="L18" s="100">
        <f t="shared" si="7"/>
        <v>1.6938996945893247E-2</v>
      </c>
      <c r="M18" s="100">
        <f t="shared" si="8"/>
        <v>4.2805066518150504E-2</v>
      </c>
      <c r="N18" s="88"/>
      <c r="O18" s="45">
        <v>2</v>
      </c>
      <c r="P18" s="45">
        <v>3</v>
      </c>
      <c r="Q18" s="100">
        <f t="shared" si="9"/>
        <v>1.6938996945893247E-2</v>
      </c>
      <c r="R18" s="100">
        <v>1.8706460409720072E-2</v>
      </c>
      <c r="T18" s="27"/>
      <c r="U18" s="50">
        <f t="shared" si="10"/>
        <v>0</v>
      </c>
      <c r="Y18" s="46"/>
      <c r="Z18" s="46"/>
    </row>
    <row r="19" spans="1:26" x14ac:dyDescent="0.3">
      <c r="A19" s="13" t="str">
        <f t="shared" si="0"/>
        <v>(3, 4]</v>
      </c>
      <c r="B19" s="89">
        <v>1804736</v>
      </c>
      <c r="C19" s="89">
        <v>642489850</v>
      </c>
      <c r="D19" s="27">
        <f t="shared" si="1"/>
        <v>1.8047359999999998E-2</v>
      </c>
      <c r="E19" s="90">
        <f t="shared" si="2"/>
        <v>3.560021244104401</v>
      </c>
      <c r="F19" s="91"/>
      <c r="G19" s="13" t="str">
        <f t="shared" si="3"/>
        <v>(3, 4]</v>
      </c>
      <c r="H19" s="86">
        <v>0.59699850836909119</v>
      </c>
      <c r="I19" s="27">
        <f t="shared" si="4"/>
        <v>1.0774247000000001E-2</v>
      </c>
      <c r="J19" s="27">
        <f t="shared" si="5"/>
        <v>1.0774247000000002E-2</v>
      </c>
      <c r="K19" s="87">
        <f t="shared" si="6"/>
        <v>10774247</v>
      </c>
      <c r="L19" s="100">
        <f t="shared" si="7"/>
        <v>1.0691368176758594E-2</v>
      </c>
      <c r="M19" s="100">
        <f t="shared" si="8"/>
        <v>3.8061497837802327E-2</v>
      </c>
      <c r="N19" s="88"/>
      <c r="O19" s="45">
        <v>3</v>
      </c>
      <c r="P19" s="45">
        <v>4</v>
      </c>
      <c r="Q19" s="100">
        <f t="shared" si="9"/>
        <v>1.0691368176758594E-2</v>
      </c>
      <c r="R19" s="100">
        <v>1.1806934752109029E-2</v>
      </c>
      <c r="T19" s="27"/>
      <c r="U19" s="50">
        <f t="shared" si="10"/>
        <v>0</v>
      </c>
      <c r="Y19" s="46"/>
      <c r="Z19" s="46"/>
    </row>
    <row r="20" spans="1:26" x14ac:dyDescent="0.3">
      <c r="A20" s="13" t="str">
        <f t="shared" si="0"/>
        <v>(4, 5]</v>
      </c>
      <c r="B20" s="89">
        <v>1388618</v>
      </c>
      <c r="C20" s="89">
        <v>628814705</v>
      </c>
      <c r="D20" s="27">
        <f t="shared" si="1"/>
        <v>1.388618E-2</v>
      </c>
      <c r="E20" s="90">
        <f t="shared" si="2"/>
        <v>4.528349085205579</v>
      </c>
      <c r="F20" s="91"/>
      <c r="G20" s="13" t="str">
        <f t="shared" si="3"/>
        <v>(4, 5]</v>
      </c>
      <c r="H20" s="86">
        <v>0.62822108023948986</v>
      </c>
      <c r="I20" s="27">
        <f t="shared" si="4"/>
        <v>8.7235909999999993E-3</v>
      </c>
      <c r="J20" s="27">
        <f t="shared" si="5"/>
        <v>8.723591000000001E-3</v>
      </c>
      <c r="K20" s="87">
        <f t="shared" si="6"/>
        <v>8723591</v>
      </c>
      <c r="L20" s="100">
        <f t="shared" si="7"/>
        <v>8.6564864537129766E-3</v>
      </c>
      <c r="M20" s="100">
        <f t="shared" si="8"/>
        <v>3.9199592513765646E-2</v>
      </c>
      <c r="N20" s="88"/>
      <c r="O20" s="45">
        <v>4</v>
      </c>
      <c r="P20" s="45">
        <v>5</v>
      </c>
      <c r="Q20" s="100">
        <f t="shared" si="9"/>
        <v>8.6564864537129766E-3</v>
      </c>
      <c r="R20" s="100">
        <v>9.5597300924998019E-3</v>
      </c>
      <c r="T20" s="27"/>
      <c r="U20" s="50">
        <f t="shared" si="10"/>
        <v>0</v>
      </c>
      <c r="Y20" s="46"/>
      <c r="Z20" s="46"/>
    </row>
    <row r="21" spans="1:26" x14ac:dyDescent="0.3">
      <c r="A21" s="13" t="str">
        <f t="shared" si="0"/>
        <v>(5, 6]</v>
      </c>
      <c r="B21" s="89">
        <v>1054928</v>
      </c>
      <c r="C21" s="89">
        <v>585289750</v>
      </c>
      <c r="D21" s="27">
        <f t="shared" si="1"/>
        <v>1.0549279999999999E-2</v>
      </c>
      <c r="E21" s="90">
        <f t="shared" si="2"/>
        <v>5.5481487836136685</v>
      </c>
      <c r="F21" s="91"/>
      <c r="G21" s="13" t="str">
        <f t="shared" si="3"/>
        <v>(5, 6]</v>
      </c>
      <c r="H21" s="86">
        <v>0.33886559082705175</v>
      </c>
      <c r="I21" s="27">
        <f t="shared" si="4"/>
        <v>3.5747880000000002E-3</v>
      </c>
      <c r="J21" s="27">
        <f t="shared" si="5"/>
        <v>3.5747880000000006E-3</v>
      </c>
      <c r="K21" s="87">
        <f t="shared" si="6"/>
        <v>3574788</v>
      </c>
      <c r="L21" s="100">
        <f t="shared" si="7"/>
        <v>3.5472896307146571E-3</v>
      </c>
      <c r="M21" s="100">
        <f t="shared" si="8"/>
        <v>1.9680890649774904E-2</v>
      </c>
      <c r="N21" s="88"/>
      <c r="O21" s="45">
        <v>5</v>
      </c>
      <c r="P21" s="45">
        <v>6</v>
      </c>
      <c r="Q21" s="100">
        <f t="shared" si="9"/>
        <v>3.5472896307146571E-3</v>
      </c>
      <c r="R21" s="100">
        <v>3.9174243390485211E-3</v>
      </c>
      <c r="T21" s="27"/>
      <c r="U21" s="50">
        <f t="shared" si="10"/>
        <v>0</v>
      </c>
      <c r="Y21" s="46"/>
      <c r="Z21" s="46"/>
    </row>
    <row r="22" spans="1:26" x14ac:dyDescent="0.3">
      <c r="A22" s="13" t="str">
        <f t="shared" si="0"/>
        <v>(6, 7]</v>
      </c>
      <c r="B22" s="89">
        <v>822756</v>
      </c>
      <c r="C22" s="89">
        <v>536070235</v>
      </c>
      <c r="D22" s="27">
        <f t="shared" si="1"/>
        <v>8.2275600000000001E-3</v>
      </c>
      <c r="E22" s="90">
        <f t="shared" si="2"/>
        <v>6.5155433081010656</v>
      </c>
      <c r="F22" s="91"/>
      <c r="G22" s="13" t="str">
        <f t="shared" si="3"/>
        <v>(6, 7]</v>
      </c>
      <c r="H22" s="86">
        <v>0.3718421986591407</v>
      </c>
      <c r="I22" s="27">
        <f t="shared" si="4"/>
        <v>3.0593539999999998E-3</v>
      </c>
      <c r="J22" s="27">
        <f t="shared" si="5"/>
        <v>3.0593540000000002E-3</v>
      </c>
      <c r="K22" s="87">
        <f t="shared" si="6"/>
        <v>3059354</v>
      </c>
      <c r="L22" s="100">
        <f t="shared" si="7"/>
        <v>3.0358205076456029E-3</v>
      </c>
      <c r="M22" s="100">
        <f t="shared" si="8"/>
        <v>1.978001999318629E-2</v>
      </c>
      <c r="N22" s="88"/>
      <c r="O22" s="45">
        <v>6</v>
      </c>
      <c r="P22" s="45">
        <v>7</v>
      </c>
      <c r="Q22" s="100">
        <f t="shared" si="9"/>
        <v>3.0358205076456029E-3</v>
      </c>
      <c r="R22" s="100">
        <v>3.3525864110926879E-3</v>
      </c>
      <c r="T22" s="27"/>
      <c r="U22" s="50">
        <f t="shared" si="10"/>
        <v>0</v>
      </c>
      <c r="Y22" s="46"/>
      <c r="Z22" s="46"/>
    </row>
    <row r="23" spans="1:26" x14ac:dyDescent="0.3">
      <c r="A23" s="13" t="str">
        <f t="shared" si="0"/>
        <v>(7, 8]</v>
      </c>
      <c r="B23" s="89">
        <v>739053</v>
      </c>
      <c r="C23" s="89">
        <v>557412515</v>
      </c>
      <c r="D23" s="27">
        <f t="shared" si="1"/>
        <v>7.3905300000000002E-3</v>
      </c>
      <c r="E23" s="90">
        <f t="shared" si="2"/>
        <v>7.5422536002154104</v>
      </c>
      <c r="F23" s="91"/>
      <c r="G23" s="13" t="str">
        <f t="shared" si="3"/>
        <v>(7, 8]</v>
      </c>
      <c r="H23" s="86">
        <v>0.35996173481468852</v>
      </c>
      <c r="I23" s="27">
        <f t="shared" si="4"/>
        <v>2.6603080000000001E-3</v>
      </c>
      <c r="J23" s="27">
        <f t="shared" si="5"/>
        <v>2.6603080000000006E-3</v>
      </c>
      <c r="K23" s="87">
        <f t="shared" si="6"/>
        <v>2660308</v>
      </c>
      <c r="L23" s="100">
        <f t="shared" si="7"/>
        <v>2.6398440922670795E-3</v>
      </c>
      <c r="M23" s="100">
        <f t="shared" si="8"/>
        <v>1.9910373608908762E-2</v>
      </c>
      <c r="N23" s="88"/>
      <c r="O23" s="45">
        <v>7</v>
      </c>
      <c r="P23" s="45">
        <v>8</v>
      </c>
      <c r="Q23" s="100">
        <f t="shared" si="9"/>
        <v>2.6398440922670795E-3</v>
      </c>
      <c r="R23" s="100">
        <v>2.9152925313849459E-3</v>
      </c>
      <c r="T23" s="27"/>
      <c r="U23" s="50">
        <f t="shared" si="10"/>
        <v>0</v>
      </c>
      <c r="Y23" s="46"/>
      <c r="Z23" s="46"/>
    </row>
    <row r="24" spans="1:26" x14ac:dyDescent="0.3">
      <c r="A24" s="13" t="str">
        <f t="shared" si="0"/>
        <v>(8, 9]</v>
      </c>
      <c r="B24" s="89">
        <v>612975</v>
      </c>
      <c r="C24" s="89">
        <v>522293700</v>
      </c>
      <c r="D24" s="27">
        <f t="shared" si="1"/>
        <v>6.1297499999999998E-3</v>
      </c>
      <c r="E24" s="90">
        <f t="shared" si="2"/>
        <v>8.5206362412822703</v>
      </c>
      <c r="F24" s="91"/>
      <c r="G24" s="13" t="str">
        <f t="shared" si="3"/>
        <v>(8, 9]</v>
      </c>
      <c r="H24" s="86">
        <v>0.36980349932705248</v>
      </c>
      <c r="I24" s="27">
        <f t="shared" si="4"/>
        <v>2.266803E-3</v>
      </c>
      <c r="J24" s="27">
        <f t="shared" si="5"/>
        <v>2.2668030000000004E-3</v>
      </c>
      <c r="K24" s="87">
        <f t="shared" si="6"/>
        <v>2266803</v>
      </c>
      <c r="L24" s="100">
        <f t="shared" si="7"/>
        <v>2.2493660538115481E-3</v>
      </c>
      <c r="M24" s="100">
        <f t="shared" si="8"/>
        <v>1.9166029918016761E-2</v>
      </c>
      <c r="N24" s="88"/>
      <c r="O24" s="45">
        <v>8</v>
      </c>
      <c r="P24" s="45">
        <v>9</v>
      </c>
      <c r="Q24" s="100">
        <f t="shared" si="9"/>
        <v>2.2493660538115481E-3</v>
      </c>
      <c r="R24" s="100">
        <v>2.484072177784256E-3</v>
      </c>
      <c r="T24" s="27"/>
      <c r="U24" s="50">
        <f t="shared" si="10"/>
        <v>0</v>
      </c>
      <c r="Y24" s="46"/>
      <c r="Z24" s="46"/>
    </row>
    <row r="25" spans="1:26" x14ac:dyDescent="0.3">
      <c r="A25" s="13" t="str">
        <f t="shared" si="0"/>
        <v>(9, 10]</v>
      </c>
      <c r="B25" s="89">
        <v>504471</v>
      </c>
      <c r="C25" s="89">
        <v>480919445</v>
      </c>
      <c r="D25" s="27">
        <f t="shared" si="1"/>
        <v>5.04471E-3</v>
      </c>
      <c r="E25" s="90">
        <f t="shared" si="2"/>
        <v>9.5331435305498236</v>
      </c>
      <c r="F25" s="91"/>
      <c r="G25" s="13" t="str">
        <f t="shared" si="3"/>
        <v>(9, 10]</v>
      </c>
      <c r="H25" s="86">
        <v>0.44165214650594387</v>
      </c>
      <c r="I25" s="27">
        <f t="shared" si="4"/>
        <v>2.2280070000000002E-3</v>
      </c>
      <c r="J25" s="27">
        <f t="shared" si="5"/>
        <v>2.2280070000000006E-3</v>
      </c>
      <c r="K25" s="87">
        <f t="shared" si="6"/>
        <v>2228007</v>
      </c>
      <c r="L25" s="100">
        <f t="shared" si="7"/>
        <v>2.2108684845813711E-3</v>
      </c>
      <c r="M25" s="100">
        <f t="shared" si="8"/>
        <v>2.1076526590683389E-2</v>
      </c>
      <c r="N25" s="88"/>
      <c r="O25" s="45">
        <v>9</v>
      </c>
      <c r="P25" s="45">
        <v>10</v>
      </c>
      <c r="Q25" s="100">
        <f t="shared" si="9"/>
        <v>2.2108684845813711E-3</v>
      </c>
      <c r="R25" s="100">
        <v>2.441557495034892E-3</v>
      </c>
      <c r="T25" s="27"/>
      <c r="U25" s="50">
        <f t="shared" si="10"/>
        <v>0</v>
      </c>
      <c r="Y25" s="46"/>
      <c r="Z25" s="46"/>
    </row>
    <row r="26" spans="1:26" x14ac:dyDescent="0.3">
      <c r="A26" s="13" t="str">
        <f t="shared" si="0"/>
        <v>(10, 15]</v>
      </c>
      <c r="B26" s="89">
        <v>1725366</v>
      </c>
      <c r="C26" s="89">
        <v>2123294015</v>
      </c>
      <c r="D26" s="27">
        <f t="shared" si="1"/>
        <v>1.7253660000000001E-2</v>
      </c>
      <c r="E26" s="90">
        <f t="shared" si="2"/>
        <v>12.306339727339012</v>
      </c>
      <c r="F26" s="91"/>
      <c r="G26" s="13" t="str">
        <f t="shared" si="3"/>
        <v>(10, 15]</v>
      </c>
      <c r="H26" s="86">
        <v>0.48119506238096726</v>
      </c>
      <c r="I26" s="27">
        <f t="shared" si="4"/>
        <v>8.3023760000000002E-3</v>
      </c>
      <c r="J26" s="27">
        <f t="shared" si="5"/>
        <v>8.3023760000000019E-3</v>
      </c>
      <c r="K26" s="87">
        <f t="shared" si="6"/>
        <v>8302376</v>
      </c>
      <c r="L26" s="100">
        <f t="shared" si="7"/>
        <v>8.238511569104023E-3</v>
      </c>
      <c r="M26" s="100">
        <f t="shared" si="8"/>
        <v>0.1013859222170069</v>
      </c>
      <c r="N26" s="88"/>
      <c r="O26" s="45">
        <v>10</v>
      </c>
      <c r="P26" s="45">
        <v>15</v>
      </c>
      <c r="Q26" s="100">
        <f t="shared" si="9"/>
        <v>8.238511569104023E-3</v>
      </c>
      <c r="R26" s="100">
        <v>4.5490710541819263E-3</v>
      </c>
      <c r="T26" s="27"/>
      <c r="U26" s="50">
        <f t="shared" si="10"/>
        <v>0</v>
      </c>
      <c r="Y26" s="46"/>
      <c r="Z26" s="46"/>
    </row>
    <row r="27" spans="1:26" x14ac:dyDescent="0.3">
      <c r="A27" s="13" t="str">
        <f t="shared" si="0"/>
        <v>(15, 20]</v>
      </c>
      <c r="B27" s="89">
        <v>1006446</v>
      </c>
      <c r="C27" s="89">
        <v>1745472585</v>
      </c>
      <c r="D27" s="27">
        <f t="shared" si="1"/>
        <v>1.0064460000000001E-2</v>
      </c>
      <c r="E27" s="90">
        <f t="shared" si="2"/>
        <v>17.342933301935723</v>
      </c>
      <c r="F27" s="91"/>
      <c r="G27" s="13" t="str">
        <f t="shared" si="3"/>
        <v>(15, 20]</v>
      </c>
      <c r="H27" s="86">
        <v>0.25166119195664743</v>
      </c>
      <c r="I27" s="27">
        <f t="shared" si="4"/>
        <v>2.5328339999999999E-3</v>
      </c>
      <c r="J27" s="27">
        <f t="shared" si="5"/>
        <v>2.5328340000000003E-3</v>
      </c>
      <c r="K27" s="87">
        <f t="shared" si="6"/>
        <v>2532834</v>
      </c>
      <c r="L27" s="100">
        <f t="shared" si="7"/>
        <v>2.5133506614997947E-3</v>
      </c>
      <c r="M27" s="100">
        <f t="shared" si="8"/>
        <v>4.3588872886766966E-2</v>
      </c>
      <c r="N27" s="88"/>
      <c r="O27" s="45">
        <v>15</v>
      </c>
      <c r="P27" s="45">
        <v>20</v>
      </c>
      <c r="Q27" s="100">
        <f t="shared" si="9"/>
        <v>2.5133506614997947E-3</v>
      </c>
      <c r="R27" s="100">
        <v>2.775601430922751E-3</v>
      </c>
      <c r="T27" s="27"/>
      <c r="U27" s="50">
        <f t="shared" si="10"/>
        <v>0</v>
      </c>
      <c r="Y27" s="46"/>
      <c r="Z27" s="46"/>
    </row>
    <row r="28" spans="1:26" x14ac:dyDescent="0.3">
      <c r="A28" s="13" t="str">
        <f t="shared" si="0"/>
        <v>(20, 25]</v>
      </c>
      <c r="B28" s="89">
        <v>645892</v>
      </c>
      <c r="C28" s="89">
        <v>1447532990</v>
      </c>
      <c r="D28" s="27">
        <f t="shared" si="1"/>
        <v>6.4589199999999999E-3</v>
      </c>
      <c r="E28" s="90">
        <f t="shared" si="2"/>
        <v>22.411378218030258</v>
      </c>
      <c r="F28" s="91"/>
      <c r="G28" s="13" t="str">
        <f t="shared" si="3"/>
        <v>(20, 25]</v>
      </c>
      <c r="H28" s="86">
        <v>0.31148504703572738</v>
      </c>
      <c r="I28" s="27">
        <f t="shared" si="4"/>
        <v>2.0118570000000001E-3</v>
      </c>
      <c r="J28" s="27">
        <f t="shared" si="5"/>
        <v>2.0118570000000006E-3</v>
      </c>
      <c r="K28" s="87">
        <f t="shared" si="6"/>
        <v>2011857</v>
      </c>
      <c r="L28" s="100">
        <f t="shared" si="7"/>
        <v>1.9963811768923634E-3</v>
      </c>
      <c r="M28" s="100">
        <f t="shared" si="8"/>
        <v>4.474165362269112E-2</v>
      </c>
      <c r="N28" s="88"/>
      <c r="O28" s="45">
        <v>20</v>
      </c>
      <c r="P28" s="45">
        <v>25</v>
      </c>
      <c r="Q28" s="100">
        <f t="shared" si="9"/>
        <v>1.9963811768923634E-3</v>
      </c>
      <c r="R28" s="100">
        <v>2.2046899768598661E-3</v>
      </c>
      <c r="T28" s="27"/>
      <c r="U28" s="50">
        <f t="shared" si="10"/>
        <v>0</v>
      </c>
      <c r="Y28" s="46"/>
      <c r="Z28" s="46"/>
    </row>
    <row r="29" spans="1:26" x14ac:dyDescent="0.3">
      <c r="A29" s="13" t="str">
        <f t="shared" si="0"/>
        <v>(25, 30]</v>
      </c>
      <c r="B29" s="89">
        <v>449894</v>
      </c>
      <c r="C29" s="89">
        <v>1230844040</v>
      </c>
      <c r="D29" s="27">
        <f t="shared" si="1"/>
        <v>4.4989399999999999E-3</v>
      </c>
      <c r="E29" s="90">
        <f t="shared" si="2"/>
        <v>27.358534232508099</v>
      </c>
      <c r="F29" s="91"/>
      <c r="G29" s="13" t="str">
        <f t="shared" si="3"/>
        <v>(25, 30]</v>
      </c>
      <c r="H29" s="86">
        <v>0.35109536913139544</v>
      </c>
      <c r="I29" s="27">
        <f t="shared" si="4"/>
        <v>1.5795570000000001E-3</v>
      </c>
      <c r="J29" s="27">
        <f t="shared" si="5"/>
        <v>1.5795570000000003E-3</v>
      </c>
      <c r="K29" s="87">
        <f t="shared" si="6"/>
        <v>1579557</v>
      </c>
      <c r="L29" s="100">
        <f t="shared" si="7"/>
        <v>1.5674065615143475E-3</v>
      </c>
      <c r="M29" s="100">
        <f t="shared" si="8"/>
        <v>4.288194606944809E-2</v>
      </c>
      <c r="N29" s="88"/>
      <c r="O29" s="45">
        <v>25</v>
      </c>
      <c r="P29" s="45">
        <v>30</v>
      </c>
      <c r="Q29" s="100">
        <f t="shared" si="9"/>
        <v>1.5674065615143475E-3</v>
      </c>
      <c r="R29" s="100">
        <v>1.730954940509812E-3</v>
      </c>
      <c r="T29" s="27"/>
      <c r="U29" s="50">
        <f t="shared" si="10"/>
        <v>0</v>
      </c>
      <c r="Y29" s="46"/>
      <c r="Z29" s="46"/>
    </row>
    <row r="30" spans="1:26" x14ac:dyDescent="0.3">
      <c r="A30" s="13" t="str">
        <f t="shared" si="0"/>
        <v>(30, 35]</v>
      </c>
      <c r="B30" s="89">
        <v>317761</v>
      </c>
      <c r="C30" s="89">
        <v>1030035465</v>
      </c>
      <c r="D30" s="27">
        <f t="shared" si="1"/>
        <v>3.17761E-3</v>
      </c>
      <c r="E30" s="90">
        <f t="shared" si="2"/>
        <v>32.415414887289501</v>
      </c>
      <c r="F30" s="91"/>
      <c r="G30" s="13" t="str">
        <f t="shared" si="3"/>
        <v>(30, 35]</v>
      </c>
      <c r="H30" s="86">
        <v>0.1569755256308987</v>
      </c>
      <c r="I30" s="27">
        <f t="shared" si="4"/>
        <v>4.9880699999999998E-4</v>
      </c>
      <c r="J30" s="27">
        <f t="shared" si="5"/>
        <v>4.9880700000000009E-4</v>
      </c>
      <c r="K30" s="87">
        <f t="shared" si="6"/>
        <v>498807</v>
      </c>
      <c r="L30" s="100">
        <f t="shared" si="7"/>
        <v>4.9497002306930814E-4</v>
      </c>
      <c r="M30" s="100">
        <f t="shared" si="8"/>
        <v>1.6044658654562879E-2</v>
      </c>
      <c r="N30" s="88"/>
      <c r="O30" s="45">
        <v>30</v>
      </c>
      <c r="P30" s="45">
        <v>35</v>
      </c>
      <c r="Q30" s="100">
        <f t="shared" si="9"/>
        <v>4.9497002306930814E-4</v>
      </c>
      <c r="R30" s="100">
        <v>5.4661734963467744E-4</v>
      </c>
      <c r="T30" s="27"/>
      <c r="U30" s="50">
        <f t="shared" si="10"/>
        <v>0</v>
      </c>
      <c r="Y30" s="46"/>
      <c r="Z30" s="46"/>
    </row>
    <row r="31" spans="1:26" x14ac:dyDescent="0.3">
      <c r="A31" s="13" t="str">
        <f t="shared" si="0"/>
        <v>(35, 40]</v>
      </c>
      <c r="B31" s="89">
        <v>244540</v>
      </c>
      <c r="C31" s="89">
        <v>915157425</v>
      </c>
      <c r="D31" s="27">
        <f t="shared" si="1"/>
        <v>2.4453999999999999E-3</v>
      </c>
      <c r="E31" s="90">
        <f t="shared" si="2"/>
        <v>37.423629058640714</v>
      </c>
      <c r="F31" s="91"/>
      <c r="G31" s="13" t="str">
        <f t="shared" si="3"/>
        <v>(35, 40]</v>
      </c>
      <c r="H31" s="86">
        <v>0.16091559663040814</v>
      </c>
      <c r="I31" s="27">
        <f t="shared" si="4"/>
        <v>3.9350300000000002E-4</v>
      </c>
      <c r="J31" s="27">
        <f t="shared" si="5"/>
        <v>3.9350300000000007E-4</v>
      </c>
      <c r="K31" s="87">
        <f t="shared" si="6"/>
        <v>393503</v>
      </c>
      <c r="L31" s="100">
        <f t="shared" si="7"/>
        <v>3.9047605384014654E-4</v>
      </c>
      <c r="M31" s="100">
        <f t="shared" si="8"/>
        <v>1.4613030995195463E-2</v>
      </c>
      <c r="N31" s="88"/>
      <c r="O31" s="45">
        <v>35</v>
      </c>
      <c r="P31" s="45">
        <v>40</v>
      </c>
      <c r="Q31" s="100">
        <f t="shared" si="9"/>
        <v>3.9047605384014654E-4</v>
      </c>
      <c r="R31" s="100">
        <v>4.3122035360069002E-4</v>
      </c>
      <c r="T31" s="27"/>
      <c r="U31" s="50">
        <f t="shared" si="10"/>
        <v>0</v>
      </c>
      <c r="Y31" s="46"/>
      <c r="Z31" s="46"/>
    </row>
    <row r="32" spans="1:26" x14ac:dyDescent="0.3">
      <c r="A32" s="13" t="str">
        <f t="shared" si="0"/>
        <v>(40, 45]</v>
      </c>
      <c r="B32" s="89">
        <v>179656</v>
      </c>
      <c r="C32" s="89">
        <v>762030540</v>
      </c>
      <c r="D32" s="27">
        <f t="shared" si="1"/>
        <v>1.79656E-3</v>
      </c>
      <c r="E32" s="90">
        <f t="shared" si="2"/>
        <v>42.416091864452063</v>
      </c>
      <c r="F32" s="91"/>
      <c r="G32" s="13" t="str">
        <f t="shared" si="3"/>
        <v>(40, 45]</v>
      </c>
      <c r="H32" s="86">
        <v>0.18818241528253996</v>
      </c>
      <c r="I32" s="27">
        <f t="shared" si="4"/>
        <v>3.38081E-4</v>
      </c>
      <c r="J32" s="27">
        <f t="shared" si="5"/>
        <v>3.3808100000000006E-4</v>
      </c>
      <c r="K32" s="87">
        <f t="shared" si="6"/>
        <v>338081</v>
      </c>
      <c r="L32" s="100">
        <f t="shared" si="7"/>
        <v>3.354803769179157E-4</v>
      </c>
      <c r="M32" s="100">
        <f t="shared" si="8"/>
        <v>1.4229766486071316E-2</v>
      </c>
      <c r="N32" s="88"/>
      <c r="O32" s="45">
        <v>40</v>
      </c>
      <c r="P32" s="45">
        <v>45</v>
      </c>
      <c r="Q32" s="100">
        <f t="shared" si="9"/>
        <v>3.354803769179157E-4</v>
      </c>
      <c r="R32" s="100">
        <v>3.7048509253017031E-4</v>
      </c>
      <c r="T32" s="27"/>
      <c r="U32" s="50">
        <f t="shared" si="10"/>
        <v>0</v>
      </c>
      <c r="Y32" s="46"/>
      <c r="Z32" s="46"/>
    </row>
    <row r="33" spans="1:26" x14ac:dyDescent="0.3">
      <c r="A33" s="13" t="str">
        <f t="shared" si="0"/>
        <v>(45, 50]</v>
      </c>
      <c r="B33" s="89">
        <v>142163</v>
      </c>
      <c r="C33" s="89">
        <v>674891370</v>
      </c>
      <c r="D33" s="27">
        <f t="shared" si="1"/>
        <v>1.4216299999999999E-3</v>
      </c>
      <c r="E33" s="90">
        <f t="shared" si="2"/>
        <v>47.473067535153312</v>
      </c>
      <c r="F33" s="91"/>
      <c r="G33" s="13" t="str">
        <f t="shared" si="3"/>
        <v>(45, 50]</v>
      </c>
      <c r="H33" s="86">
        <v>0.20272433755618552</v>
      </c>
      <c r="I33" s="27">
        <f t="shared" si="4"/>
        <v>2.88199E-4</v>
      </c>
      <c r="J33" s="27">
        <f t="shared" si="5"/>
        <v>2.8819900000000005E-4</v>
      </c>
      <c r="K33" s="87">
        <f t="shared" si="6"/>
        <v>288199</v>
      </c>
      <c r="L33" s="100">
        <f t="shared" si="7"/>
        <v>2.8598208461098489E-4</v>
      </c>
      <c r="M33" s="100">
        <f t="shared" si="8"/>
        <v>1.3576446816581215E-2</v>
      </c>
      <c r="N33" s="88"/>
      <c r="O33" s="45">
        <v>45</v>
      </c>
      <c r="P33" s="45">
        <v>50</v>
      </c>
      <c r="Q33" s="100">
        <f t="shared" si="9"/>
        <v>2.8598208461098489E-4</v>
      </c>
      <c r="R33" s="100">
        <v>3.158233575667025E-4</v>
      </c>
      <c r="T33" s="27"/>
      <c r="U33" s="50">
        <f t="shared" si="10"/>
        <v>0</v>
      </c>
      <c r="Y33" s="46"/>
      <c r="Z33" s="46"/>
    </row>
    <row r="34" spans="1:26" x14ac:dyDescent="0.3">
      <c r="A34" s="13" t="str">
        <f t="shared" si="0"/>
        <v>(50, 60]</v>
      </c>
      <c r="B34" s="89">
        <v>197909</v>
      </c>
      <c r="C34" s="89">
        <v>1080524535</v>
      </c>
      <c r="D34" s="27">
        <f t="shared" si="1"/>
        <v>1.9790900000000002E-3</v>
      </c>
      <c r="E34" s="90">
        <f t="shared" si="2"/>
        <v>54.597038790555253</v>
      </c>
      <c r="F34" s="91"/>
      <c r="G34" s="13" t="str">
        <f t="shared" si="3"/>
        <v>(50, 60]</v>
      </c>
      <c r="H34" s="86">
        <v>0.14002192927052332</v>
      </c>
      <c r="I34" s="27">
        <f t="shared" si="4"/>
        <v>2.7711599999999999E-4</v>
      </c>
      <c r="J34" s="27">
        <f t="shared" si="5"/>
        <v>2.7711600000000005E-4</v>
      </c>
      <c r="K34" s="87">
        <f t="shared" si="6"/>
        <v>277116</v>
      </c>
      <c r="L34" s="100">
        <f t="shared" si="7"/>
        <v>2.7498433845730795E-4</v>
      </c>
      <c r="M34" s="100">
        <f t="shared" si="8"/>
        <v>1.5013330593548816E-2</v>
      </c>
      <c r="N34" s="88"/>
      <c r="O34" s="45">
        <v>50</v>
      </c>
      <c r="P34" s="45">
        <v>60</v>
      </c>
      <c r="Q34" s="100">
        <f t="shared" si="9"/>
        <v>2.7498433845730795E-4</v>
      </c>
      <c r="R34" s="100">
        <v>1.5183815267629929E-4</v>
      </c>
      <c r="T34" s="27"/>
      <c r="U34" s="50">
        <f t="shared" si="10"/>
        <v>0</v>
      </c>
      <c r="Y34" s="46"/>
      <c r="Z34" s="46"/>
    </row>
    <row r="35" spans="1:26" x14ac:dyDescent="0.3">
      <c r="A35" s="13" t="str">
        <f t="shared" si="0"/>
        <v>(60, 70]</v>
      </c>
      <c r="B35" s="89">
        <v>127627</v>
      </c>
      <c r="C35" s="89">
        <v>825831205</v>
      </c>
      <c r="D35" s="27">
        <f t="shared" si="1"/>
        <v>1.2762699999999999E-3</v>
      </c>
      <c r="E35" s="90">
        <f t="shared" si="2"/>
        <v>64.706622031388349</v>
      </c>
      <c r="F35" s="91"/>
      <c r="G35" s="13" t="str">
        <f t="shared" si="3"/>
        <v>(60, 70]</v>
      </c>
      <c r="H35" s="86">
        <v>7.3823720686061731E-2</v>
      </c>
      <c r="I35" s="27">
        <f t="shared" si="4"/>
        <v>9.4219E-5</v>
      </c>
      <c r="J35" s="27">
        <f t="shared" si="5"/>
        <v>9.4219000000000014E-5</v>
      </c>
      <c r="K35" s="87">
        <f t="shared" si="6"/>
        <v>94219</v>
      </c>
      <c r="L35" s="100">
        <f t="shared" si="7"/>
        <v>9.3494238460100092E-5</v>
      </c>
      <c r="M35" s="100">
        <f t="shared" si="8"/>
        <v>6.0496963501501886E-3</v>
      </c>
      <c r="N35" s="88"/>
      <c r="O35" s="45">
        <v>60</v>
      </c>
      <c r="P35" s="45">
        <v>70</v>
      </c>
      <c r="Q35" s="100">
        <f t="shared" si="9"/>
        <v>9.3494238460100092E-5</v>
      </c>
      <c r="R35" s="100">
        <v>1.0324994381988349E-4</v>
      </c>
      <c r="T35" s="27"/>
      <c r="U35" s="50">
        <f t="shared" si="10"/>
        <v>0</v>
      </c>
      <c r="Y35" s="46"/>
      <c r="Z35" s="46"/>
    </row>
    <row r="36" spans="1:26" x14ac:dyDescent="0.3">
      <c r="A36" s="13" t="str">
        <f t="shared" si="0"/>
        <v>(70, 80]</v>
      </c>
      <c r="B36" s="89">
        <v>86303</v>
      </c>
      <c r="C36" s="89">
        <v>644686110</v>
      </c>
      <c r="D36" s="27">
        <f t="shared" si="1"/>
        <v>8.6302999999999998E-4</v>
      </c>
      <c r="E36" s="90">
        <f t="shared" si="2"/>
        <v>74.700312851233448</v>
      </c>
      <c r="F36" s="91"/>
      <c r="G36" s="13" t="str">
        <f t="shared" si="3"/>
        <v>(70, 80]</v>
      </c>
      <c r="H36" s="86">
        <v>0</v>
      </c>
      <c r="I36" s="27">
        <f t="shared" si="4"/>
        <v>0</v>
      </c>
      <c r="J36" s="27">
        <f t="shared" si="5"/>
        <v>0</v>
      </c>
      <c r="K36" s="87">
        <f t="shared" si="6"/>
        <v>0</v>
      </c>
      <c r="L36" s="100">
        <f t="shared" si="7"/>
        <v>0</v>
      </c>
      <c r="M36" s="100">
        <f t="shared" si="8"/>
        <v>0</v>
      </c>
      <c r="N36" s="88"/>
      <c r="O36" s="45">
        <v>70</v>
      </c>
      <c r="P36" s="45">
        <v>80</v>
      </c>
      <c r="Q36" s="100">
        <f t="shared" si="9"/>
        <v>0</v>
      </c>
      <c r="R36" s="100">
        <v>5.4661734963467741E-5</v>
      </c>
      <c r="T36" s="27"/>
      <c r="U36" s="50">
        <f t="shared" si="10"/>
        <v>0</v>
      </c>
      <c r="Y36" s="46"/>
      <c r="Z36" s="46"/>
    </row>
    <row r="37" spans="1:26" x14ac:dyDescent="0.3">
      <c r="A37" s="13" t="str">
        <f t="shared" si="0"/>
        <v>(80, 90]</v>
      </c>
      <c r="B37" s="89">
        <v>57330</v>
      </c>
      <c r="C37" s="89">
        <v>485593470</v>
      </c>
      <c r="D37" s="27">
        <f t="shared" si="1"/>
        <v>5.733E-4</v>
      </c>
      <c r="E37" s="90">
        <f t="shared" si="2"/>
        <v>84.701459968602833</v>
      </c>
      <c r="F37" s="91"/>
      <c r="G37" s="13" t="str">
        <f t="shared" si="3"/>
        <v>(80, 90]</v>
      </c>
      <c r="H37" s="86">
        <v>0</v>
      </c>
      <c r="I37" s="27">
        <f t="shared" si="4"/>
        <v>0</v>
      </c>
      <c r="J37" s="27">
        <f t="shared" si="5"/>
        <v>0</v>
      </c>
      <c r="K37" s="87">
        <f t="shared" si="6"/>
        <v>0</v>
      </c>
      <c r="L37" s="100">
        <f t="shared" si="7"/>
        <v>0</v>
      </c>
      <c r="M37" s="100">
        <f t="shared" si="8"/>
        <v>0</v>
      </c>
      <c r="N37" s="88"/>
      <c r="O37" s="45">
        <v>80</v>
      </c>
      <c r="P37" s="45">
        <v>90</v>
      </c>
      <c r="Q37" s="100">
        <f t="shared" si="9"/>
        <v>0</v>
      </c>
      <c r="R37" s="100">
        <v>4.8588208856415767E-5</v>
      </c>
      <c r="T37" s="27"/>
      <c r="U37" s="50">
        <f t="shared" si="10"/>
        <v>0</v>
      </c>
      <c r="Y37" s="46"/>
      <c r="Z37" s="46"/>
    </row>
    <row r="38" spans="1:26" x14ac:dyDescent="0.3">
      <c r="A38" s="13" t="str">
        <f t="shared" si="0"/>
        <v>(90, 100]</v>
      </c>
      <c r="B38" s="89">
        <v>41519</v>
      </c>
      <c r="C38" s="89">
        <v>393665645</v>
      </c>
      <c r="D38" s="27">
        <f t="shared" si="1"/>
        <v>4.1519000000000001E-4</v>
      </c>
      <c r="E38" s="90">
        <f t="shared" si="2"/>
        <v>94.81578193116404</v>
      </c>
      <c r="F38" s="91"/>
      <c r="G38" s="13" t="str">
        <f t="shared" si="3"/>
        <v>(90, 100]</v>
      </c>
      <c r="H38" s="86">
        <v>0</v>
      </c>
      <c r="I38" s="27">
        <f t="shared" si="4"/>
        <v>0</v>
      </c>
      <c r="J38" s="27">
        <f t="shared" si="5"/>
        <v>0</v>
      </c>
      <c r="K38" s="87">
        <f t="shared" si="6"/>
        <v>0</v>
      </c>
      <c r="L38" s="100">
        <f t="shared" si="7"/>
        <v>0</v>
      </c>
      <c r="M38" s="100">
        <f t="shared" si="8"/>
        <v>0</v>
      </c>
      <c r="N38" s="88"/>
      <c r="O38" s="45">
        <v>90</v>
      </c>
      <c r="P38" s="45">
        <v>100</v>
      </c>
      <c r="Q38" s="100">
        <f t="shared" si="9"/>
        <v>0</v>
      </c>
      <c r="R38" s="100">
        <v>3.6441156642311832E-5</v>
      </c>
      <c r="T38" s="27"/>
      <c r="U38" s="50">
        <f t="shared" si="10"/>
        <v>0</v>
      </c>
      <c r="Y38" s="46"/>
      <c r="Z38" s="46"/>
    </row>
    <row r="39" spans="1:26" x14ac:dyDescent="0.3">
      <c r="A39" s="13" t="str">
        <f t="shared" si="0"/>
        <v>(100, 120]</v>
      </c>
      <c r="B39" s="89">
        <v>48985</v>
      </c>
      <c r="C39" s="89">
        <v>533016825</v>
      </c>
      <c r="D39" s="27">
        <f t="shared" si="1"/>
        <v>4.8985000000000001E-4</v>
      </c>
      <c r="E39" s="90">
        <f t="shared" si="2"/>
        <v>108.8122537511483</v>
      </c>
      <c r="F39" s="91"/>
      <c r="G39" s="13" t="str">
        <f t="shared" si="3"/>
        <v>(100, 120]</v>
      </c>
      <c r="H39" s="86">
        <v>0</v>
      </c>
      <c r="I39" s="27">
        <f t="shared" si="4"/>
        <v>0</v>
      </c>
      <c r="J39" s="27">
        <f t="shared" si="5"/>
        <v>0</v>
      </c>
      <c r="K39" s="87">
        <f t="shared" si="6"/>
        <v>0</v>
      </c>
      <c r="L39" s="100">
        <f t="shared" si="7"/>
        <v>0</v>
      </c>
      <c r="M39" s="100">
        <f t="shared" si="8"/>
        <v>0</v>
      </c>
      <c r="N39" s="88"/>
      <c r="O39" s="45">
        <v>100</v>
      </c>
      <c r="P39" s="45">
        <v>120</v>
      </c>
      <c r="Q39" s="100">
        <f t="shared" si="9"/>
        <v>0</v>
      </c>
      <c r="R39" s="100">
        <v>1.214705221410394E-5</v>
      </c>
      <c r="T39" s="27"/>
      <c r="U39" s="50">
        <f t="shared" si="10"/>
        <v>0</v>
      </c>
      <c r="Y39" s="46"/>
      <c r="Z39" s="46"/>
    </row>
    <row r="40" spans="1:26" x14ac:dyDescent="0.3">
      <c r="A40" s="13" t="str">
        <f t="shared" si="0"/>
        <v>(120, 140]</v>
      </c>
      <c r="B40" s="89">
        <v>27006</v>
      </c>
      <c r="C40" s="89">
        <v>348675365</v>
      </c>
      <c r="D40" s="27">
        <f t="shared" si="1"/>
        <v>2.7006000000000003E-4</v>
      </c>
      <c r="E40" s="90">
        <f t="shared" si="2"/>
        <v>129.11033288898764</v>
      </c>
      <c r="F40" s="91"/>
      <c r="G40" s="13" t="str">
        <f t="shared" si="3"/>
        <v>(120, 140]</v>
      </c>
      <c r="H40" s="86">
        <v>0</v>
      </c>
      <c r="I40" s="27">
        <f t="shared" si="4"/>
        <v>0</v>
      </c>
      <c r="J40" s="27">
        <f t="shared" si="5"/>
        <v>0</v>
      </c>
      <c r="K40" s="87">
        <f t="shared" si="6"/>
        <v>0</v>
      </c>
      <c r="L40" s="100">
        <f t="shared" si="7"/>
        <v>0</v>
      </c>
      <c r="M40" s="100">
        <f t="shared" si="8"/>
        <v>0</v>
      </c>
      <c r="N40" s="88"/>
      <c r="O40" s="45">
        <v>120</v>
      </c>
      <c r="P40" s="45">
        <v>140</v>
      </c>
      <c r="Q40" s="100">
        <f t="shared" si="9"/>
        <v>0</v>
      </c>
      <c r="R40" s="100">
        <v>1.8220578321155909E-5</v>
      </c>
      <c r="T40" s="27"/>
      <c r="U40" s="50">
        <f t="shared" si="10"/>
        <v>0</v>
      </c>
      <c r="Y40" s="46"/>
      <c r="Z40" s="46"/>
    </row>
    <row r="41" spans="1:26" x14ac:dyDescent="0.3">
      <c r="A41" s="13" t="str">
        <f t="shared" si="0"/>
        <v>(140, 160]</v>
      </c>
      <c r="B41" s="89">
        <v>14837</v>
      </c>
      <c r="C41" s="89">
        <v>221045255</v>
      </c>
      <c r="D41" s="27">
        <f t="shared" si="1"/>
        <v>1.4836999999999999E-4</v>
      </c>
      <c r="E41" s="90">
        <f t="shared" si="2"/>
        <v>148.98244591224639</v>
      </c>
      <c r="F41" s="91"/>
      <c r="G41" s="13" t="str">
        <f t="shared" si="3"/>
        <v>(140, 160]</v>
      </c>
      <c r="H41" s="86">
        <v>0</v>
      </c>
      <c r="I41" s="27">
        <f t="shared" si="4"/>
        <v>0</v>
      </c>
      <c r="J41" s="27">
        <f t="shared" si="5"/>
        <v>0</v>
      </c>
      <c r="K41" s="87">
        <f t="shared" si="6"/>
        <v>0</v>
      </c>
      <c r="L41" s="100">
        <f t="shared" si="7"/>
        <v>0</v>
      </c>
      <c r="M41" s="100">
        <f t="shared" si="8"/>
        <v>0</v>
      </c>
      <c r="N41" s="88"/>
      <c r="O41" s="45">
        <v>140</v>
      </c>
      <c r="P41" s="45">
        <v>160</v>
      </c>
      <c r="Q41" s="100">
        <f t="shared" si="9"/>
        <v>0</v>
      </c>
      <c r="R41" s="100">
        <v>0</v>
      </c>
      <c r="T41" s="27"/>
      <c r="U41" s="50">
        <f t="shared" si="10"/>
        <v>0</v>
      </c>
      <c r="Y41" s="46"/>
      <c r="Z41" s="46"/>
    </row>
    <row r="42" spans="1:26" x14ac:dyDescent="0.3">
      <c r="A42" s="13" t="str">
        <f t="shared" si="0"/>
        <v>(160, 180]</v>
      </c>
      <c r="B42" s="89">
        <v>8313</v>
      </c>
      <c r="C42" s="89">
        <v>140534300</v>
      </c>
      <c r="D42" s="27">
        <f t="shared" si="1"/>
        <v>8.3129999999999999E-5</v>
      </c>
      <c r="E42" s="90">
        <f t="shared" si="2"/>
        <v>169.05365090821604</v>
      </c>
      <c r="F42" s="91"/>
      <c r="G42" s="13" t="str">
        <f t="shared" si="3"/>
        <v>(160, 180]</v>
      </c>
      <c r="H42" s="86">
        <v>0</v>
      </c>
      <c r="I42" s="27">
        <f t="shared" si="4"/>
        <v>0</v>
      </c>
      <c r="J42" s="27">
        <f t="shared" si="5"/>
        <v>0</v>
      </c>
      <c r="K42" s="87">
        <f t="shared" si="6"/>
        <v>0</v>
      </c>
      <c r="L42" s="100">
        <f t="shared" si="7"/>
        <v>0</v>
      </c>
      <c r="M42" s="100">
        <f t="shared" si="8"/>
        <v>0</v>
      </c>
      <c r="N42" s="88"/>
      <c r="O42" s="45">
        <v>160</v>
      </c>
      <c r="P42" s="45">
        <v>180</v>
      </c>
      <c r="Q42" s="100">
        <f t="shared" si="9"/>
        <v>0</v>
      </c>
      <c r="R42" s="100">
        <v>0</v>
      </c>
      <c r="T42" s="27"/>
      <c r="U42" s="50">
        <f t="shared" si="10"/>
        <v>0</v>
      </c>
      <c r="Y42" s="46"/>
      <c r="Z42" s="46"/>
    </row>
    <row r="43" spans="1:26" x14ac:dyDescent="0.3">
      <c r="A43" s="13" t="str">
        <f t="shared" si="0"/>
        <v>(180, 200]</v>
      </c>
      <c r="B43" s="89">
        <v>5457</v>
      </c>
      <c r="C43" s="89">
        <v>103367990</v>
      </c>
      <c r="D43" s="27">
        <f t="shared" si="1"/>
        <v>5.4570000000000001E-5</v>
      </c>
      <c r="E43" s="90">
        <f t="shared" si="2"/>
        <v>189.4227414330218</v>
      </c>
      <c r="F43" s="91"/>
      <c r="G43" s="13" t="str">
        <f t="shared" si="3"/>
        <v>(180, 200]</v>
      </c>
      <c r="H43" s="86">
        <v>0</v>
      </c>
      <c r="I43" s="27">
        <f t="shared" si="4"/>
        <v>0</v>
      </c>
      <c r="J43" s="27">
        <f t="shared" si="5"/>
        <v>0</v>
      </c>
      <c r="K43" s="87">
        <f t="shared" si="6"/>
        <v>0</v>
      </c>
      <c r="L43" s="100">
        <f t="shared" si="7"/>
        <v>0</v>
      </c>
      <c r="M43" s="100">
        <f t="shared" si="8"/>
        <v>0</v>
      </c>
      <c r="N43" s="88"/>
      <c r="O43" s="45">
        <v>180</v>
      </c>
      <c r="P43" s="45">
        <v>200</v>
      </c>
      <c r="Q43" s="100">
        <f t="shared" si="9"/>
        <v>0</v>
      </c>
      <c r="R43" s="100">
        <v>6.0735261070519709E-6</v>
      </c>
      <c r="T43" s="27"/>
      <c r="U43" s="50">
        <f t="shared" si="10"/>
        <v>0</v>
      </c>
      <c r="Y43" s="46"/>
      <c r="Z43" s="46"/>
    </row>
    <row r="44" spans="1:26" x14ac:dyDescent="0.3">
      <c r="A44" s="13" t="str">
        <f t="shared" si="0"/>
        <v>(200, 250]</v>
      </c>
      <c r="B44" s="89">
        <v>6034</v>
      </c>
      <c r="C44" s="89">
        <v>133032990</v>
      </c>
      <c r="D44" s="27">
        <f t="shared" si="1"/>
        <v>6.0340000000000002E-5</v>
      </c>
      <c r="E44" s="90">
        <f t="shared" si="2"/>
        <v>220.47230692741132</v>
      </c>
      <c r="F44" s="91"/>
      <c r="G44" s="13" t="str">
        <f t="shared" si="3"/>
        <v>(200, 250]</v>
      </c>
      <c r="H44" s="86">
        <v>0</v>
      </c>
      <c r="I44" s="27">
        <f t="shared" si="4"/>
        <v>0</v>
      </c>
      <c r="J44" s="27">
        <f t="shared" si="5"/>
        <v>0</v>
      </c>
      <c r="K44" s="87">
        <f t="shared" si="6"/>
        <v>0</v>
      </c>
      <c r="L44" s="100">
        <f t="shared" si="7"/>
        <v>0</v>
      </c>
      <c r="M44" s="100">
        <f t="shared" si="8"/>
        <v>0</v>
      </c>
      <c r="N44" s="88"/>
      <c r="O44" s="45">
        <v>200</v>
      </c>
      <c r="P44" s="45">
        <v>250</v>
      </c>
      <c r="Q44" s="100">
        <f t="shared" si="9"/>
        <v>0</v>
      </c>
      <c r="R44" s="100">
        <v>6.0735261070519709E-6</v>
      </c>
      <c r="T44" s="27"/>
      <c r="U44" s="50">
        <f t="shared" si="10"/>
        <v>0</v>
      </c>
      <c r="Y44" s="46"/>
      <c r="Z44" s="46"/>
    </row>
    <row r="45" spans="1:26" x14ac:dyDescent="0.3">
      <c r="A45" s="13" t="str">
        <f t="shared" si="0"/>
        <v>(250, 300]</v>
      </c>
      <c r="B45" s="89">
        <v>2245</v>
      </c>
      <c r="C45" s="89">
        <v>60681755</v>
      </c>
      <c r="D45" s="27">
        <f t="shared" si="1"/>
        <v>2.245E-5</v>
      </c>
      <c r="E45" s="90">
        <f t="shared" si="2"/>
        <v>270.29734966592429</v>
      </c>
      <c r="F45" s="91"/>
      <c r="G45" s="13" t="str">
        <f t="shared" si="3"/>
        <v>(250, 300]</v>
      </c>
      <c r="H45" s="86">
        <v>0</v>
      </c>
      <c r="I45" s="27">
        <f t="shared" si="4"/>
        <v>0</v>
      </c>
      <c r="J45" s="27">
        <f t="shared" si="5"/>
        <v>0</v>
      </c>
      <c r="K45" s="87">
        <f t="shared" si="6"/>
        <v>0</v>
      </c>
      <c r="L45" s="100">
        <f t="shared" si="7"/>
        <v>0</v>
      </c>
      <c r="M45" s="100">
        <f t="shared" si="8"/>
        <v>0</v>
      </c>
      <c r="N45" s="88"/>
      <c r="O45" s="45">
        <v>250</v>
      </c>
      <c r="P45" s="45">
        <v>300</v>
      </c>
      <c r="Q45" s="100">
        <f t="shared" si="9"/>
        <v>0</v>
      </c>
      <c r="R45" s="100">
        <v>0</v>
      </c>
      <c r="T45" s="27"/>
      <c r="U45" s="50">
        <f t="shared" si="10"/>
        <v>0</v>
      </c>
      <c r="Y45" s="46"/>
      <c r="Z45" s="46"/>
    </row>
    <row r="46" spans="1:26" x14ac:dyDescent="0.3">
      <c r="A46" s="13" t="str">
        <f t="shared" si="0"/>
        <v>(300, 350]</v>
      </c>
      <c r="B46" s="89">
        <v>886</v>
      </c>
      <c r="C46" s="89">
        <v>28453345</v>
      </c>
      <c r="D46" s="27">
        <f t="shared" si="1"/>
        <v>8.8599999999999999E-6</v>
      </c>
      <c r="E46" s="90">
        <f t="shared" si="2"/>
        <v>321.14384875846503</v>
      </c>
      <c r="F46" s="91"/>
      <c r="G46" s="13" t="str">
        <f t="shared" si="3"/>
        <v>(300, 350]</v>
      </c>
      <c r="H46" s="86">
        <v>0</v>
      </c>
      <c r="I46" s="27">
        <f t="shared" si="4"/>
        <v>0</v>
      </c>
      <c r="J46" s="27">
        <f t="shared" si="5"/>
        <v>0</v>
      </c>
      <c r="K46" s="87">
        <f t="shared" si="6"/>
        <v>0</v>
      </c>
      <c r="L46" s="100">
        <f t="shared" si="7"/>
        <v>0</v>
      </c>
      <c r="M46" s="100">
        <f t="shared" si="8"/>
        <v>0</v>
      </c>
      <c r="N46" s="88"/>
      <c r="O46" s="45">
        <v>300</v>
      </c>
      <c r="P46" s="45">
        <v>350</v>
      </c>
      <c r="Q46" s="100">
        <f t="shared" si="9"/>
        <v>0</v>
      </c>
      <c r="R46" s="100">
        <v>0</v>
      </c>
      <c r="T46" s="27"/>
      <c r="U46" s="50">
        <f t="shared" si="10"/>
        <v>0</v>
      </c>
      <c r="Y46" s="46"/>
      <c r="Z46" s="46"/>
    </row>
    <row r="47" spans="1:26" x14ac:dyDescent="0.3">
      <c r="A47" s="13" t="str">
        <f t="shared" ref="A47:A78" si="11">"("&amp;$O47&amp;", "&amp;$P47&amp;"]"</f>
        <v>(350, 400]</v>
      </c>
      <c r="B47" s="89">
        <v>512</v>
      </c>
      <c r="C47" s="89">
        <v>19122280</v>
      </c>
      <c r="D47" s="27">
        <f t="shared" ref="D47:D78" si="12">IFERROR(B47/SUM($B$15:$B$78),0)</f>
        <v>5.1200000000000001E-6</v>
      </c>
      <c r="E47" s="90">
        <f t="shared" ref="E47:E79" si="13">IFERROR(C47/B47/$B$3,0)</f>
        <v>373.48203124999998</v>
      </c>
      <c r="F47" s="91"/>
      <c r="G47" s="13" t="str">
        <f t="shared" ref="G47:G78" si="14">"("&amp;$O47&amp;", "&amp;$P47&amp;"]"</f>
        <v>(350, 400]</v>
      </c>
      <c r="H47" s="86">
        <v>0</v>
      </c>
      <c r="I47" s="27">
        <f t="shared" ref="I47:I78" si="15">D47*H47</f>
        <v>0</v>
      </c>
      <c r="J47" s="27">
        <f t="shared" ref="J47:J78" si="16">IFERROR(I47/SUM($I$15:$I$78),0)</f>
        <v>0</v>
      </c>
      <c r="K47" s="87">
        <f t="shared" ref="K47:K78" si="17">INT(J47*$B$2)</f>
        <v>0</v>
      </c>
      <c r="L47" s="100">
        <f t="shared" ref="L47:L78" si="18">IFERROR(K47/SUM($K$15:$K$79),0)</f>
        <v>0</v>
      </c>
      <c r="M47" s="100">
        <f t="shared" ref="M47:M78" si="19">L47*E47</f>
        <v>0</v>
      </c>
      <c r="N47" s="88"/>
      <c r="O47" s="45">
        <v>350</v>
      </c>
      <c r="P47" s="45">
        <v>400</v>
      </c>
      <c r="Q47" s="100">
        <f t="shared" ref="Q47:Q78" si="20">L47</f>
        <v>0</v>
      </c>
      <c r="R47" s="100">
        <v>0</v>
      </c>
      <c r="T47" s="27"/>
      <c r="U47" s="50">
        <f t="shared" ref="U47:U78" si="21">IFERROR(ROUND(T47/L47,2),0)</f>
        <v>0</v>
      </c>
      <c r="Y47" s="46"/>
      <c r="Z47" s="46"/>
    </row>
    <row r="48" spans="1:26" x14ac:dyDescent="0.3">
      <c r="A48" s="13" t="str">
        <f t="shared" si="11"/>
        <v>(400, 450]</v>
      </c>
      <c r="B48" s="89">
        <v>206</v>
      </c>
      <c r="C48" s="89">
        <v>8655025</v>
      </c>
      <c r="D48" s="27">
        <f t="shared" si="12"/>
        <v>2.0600000000000002E-6</v>
      </c>
      <c r="E48" s="90">
        <f t="shared" si="13"/>
        <v>420.14684466019418</v>
      </c>
      <c r="F48" s="91"/>
      <c r="G48" s="13" t="str">
        <f t="shared" si="14"/>
        <v>(400, 450]</v>
      </c>
      <c r="H48" s="86">
        <v>0</v>
      </c>
      <c r="I48" s="27">
        <f t="shared" si="15"/>
        <v>0</v>
      </c>
      <c r="J48" s="27">
        <f t="shared" si="16"/>
        <v>0</v>
      </c>
      <c r="K48" s="87">
        <f t="shared" si="17"/>
        <v>0</v>
      </c>
      <c r="L48" s="100">
        <f t="shared" si="18"/>
        <v>0</v>
      </c>
      <c r="M48" s="100">
        <f t="shared" si="19"/>
        <v>0</v>
      </c>
      <c r="N48" s="88"/>
      <c r="O48" s="45">
        <v>400</v>
      </c>
      <c r="P48" s="45">
        <v>450</v>
      </c>
      <c r="Q48" s="100">
        <f t="shared" si="20"/>
        <v>0</v>
      </c>
      <c r="R48" s="100">
        <v>0</v>
      </c>
      <c r="T48" s="27"/>
      <c r="U48" s="50">
        <f t="shared" si="21"/>
        <v>0</v>
      </c>
      <c r="Y48" s="46"/>
      <c r="Z48" s="46"/>
    </row>
    <row r="49" spans="1:26" x14ac:dyDescent="0.3">
      <c r="A49" s="13" t="str">
        <f t="shared" si="11"/>
        <v>(450, 500]</v>
      </c>
      <c r="B49" s="89">
        <v>105</v>
      </c>
      <c r="C49" s="89">
        <v>4985150</v>
      </c>
      <c r="D49" s="27">
        <f t="shared" si="12"/>
        <v>1.0499999999999999E-6</v>
      </c>
      <c r="E49" s="90">
        <f t="shared" si="13"/>
        <v>474.77619047619044</v>
      </c>
      <c r="F49" s="91"/>
      <c r="G49" s="13" t="str">
        <f t="shared" si="14"/>
        <v>(450, 500]</v>
      </c>
      <c r="H49" s="86">
        <v>0</v>
      </c>
      <c r="I49" s="27">
        <f t="shared" si="15"/>
        <v>0</v>
      </c>
      <c r="J49" s="27">
        <f t="shared" si="16"/>
        <v>0</v>
      </c>
      <c r="K49" s="87">
        <f t="shared" si="17"/>
        <v>0</v>
      </c>
      <c r="L49" s="100">
        <f t="shared" si="18"/>
        <v>0</v>
      </c>
      <c r="M49" s="100">
        <f t="shared" si="19"/>
        <v>0</v>
      </c>
      <c r="N49" s="88"/>
      <c r="O49" s="45">
        <v>450</v>
      </c>
      <c r="P49" s="45">
        <v>500</v>
      </c>
      <c r="Q49" s="100">
        <f t="shared" si="20"/>
        <v>0</v>
      </c>
      <c r="R49" s="100">
        <v>0</v>
      </c>
      <c r="T49" s="27"/>
      <c r="U49" s="50">
        <f t="shared" si="21"/>
        <v>0</v>
      </c>
      <c r="Y49" s="46"/>
      <c r="Z49" s="46"/>
    </row>
    <row r="50" spans="1:26" x14ac:dyDescent="0.3">
      <c r="A50" s="13" t="str">
        <f t="shared" si="11"/>
        <v>(500, 550]</v>
      </c>
      <c r="B50" s="89">
        <v>59</v>
      </c>
      <c r="C50" s="89">
        <v>3071890</v>
      </c>
      <c r="D50" s="27">
        <f t="shared" si="12"/>
        <v>5.8999999999999996E-7</v>
      </c>
      <c r="E50" s="90">
        <f t="shared" si="13"/>
        <v>520.65932203389832</v>
      </c>
      <c r="F50" s="91"/>
      <c r="G50" s="13" t="str">
        <f t="shared" si="14"/>
        <v>(500, 550]</v>
      </c>
      <c r="H50" s="86">
        <v>0</v>
      </c>
      <c r="I50" s="27">
        <f t="shared" si="15"/>
        <v>0</v>
      </c>
      <c r="J50" s="27">
        <f t="shared" si="16"/>
        <v>0</v>
      </c>
      <c r="K50" s="87">
        <f t="shared" si="17"/>
        <v>0</v>
      </c>
      <c r="L50" s="100">
        <f t="shared" si="18"/>
        <v>0</v>
      </c>
      <c r="M50" s="100">
        <f t="shared" si="19"/>
        <v>0</v>
      </c>
      <c r="N50" s="88"/>
      <c r="O50" s="45">
        <v>500</v>
      </c>
      <c r="P50" s="45">
        <v>550</v>
      </c>
      <c r="Q50" s="100">
        <f t="shared" si="20"/>
        <v>0</v>
      </c>
      <c r="R50" s="100">
        <v>0</v>
      </c>
      <c r="T50" s="27"/>
      <c r="U50" s="50">
        <f t="shared" si="21"/>
        <v>0</v>
      </c>
      <c r="Y50" s="46"/>
      <c r="Z50" s="46"/>
    </row>
    <row r="51" spans="1:26" x14ac:dyDescent="0.3">
      <c r="A51" s="13" t="str">
        <f t="shared" si="11"/>
        <v>(550, 600]</v>
      </c>
      <c r="B51" s="89">
        <v>51</v>
      </c>
      <c r="C51" s="89">
        <v>2886405</v>
      </c>
      <c r="D51" s="27">
        <f t="shared" si="12"/>
        <v>5.0999999999999999E-7</v>
      </c>
      <c r="E51" s="90">
        <f t="shared" si="13"/>
        <v>565.96176470588239</v>
      </c>
      <c r="F51" s="91"/>
      <c r="G51" s="13" t="str">
        <f t="shared" si="14"/>
        <v>(550, 600]</v>
      </c>
      <c r="H51" s="86">
        <v>0</v>
      </c>
      <c r="I51" s="27">
        <f t="shared" si="15"/>
        <v>0</v>
      </c>
      <c r="J51" s="27">
        <f t="shared" si="16"/>
        <v>0</v>
      </c>
      <c r="K51" s="87">
        <f t="shared" si="17"/>
        <v>0</v>
      </c>
      <c r="L51" s="100">
        <f t="shared" si="18"/>
        <v>0</v>
      </c>
      <c r="M51" s="100">
        <f t="shared" si="19"/>
        <v>0</v>
      </c>
      <c r="N51" s="88"/>
      <c r="O51" s="45">
        <v>550</v>
      </c>
      <c r="P51" s="45">
        <v>600</v>
      </c>
      <c r="Q51" s="100">
        <f t="shared" si="20"/>
        <v>0</v>
      </c>
      <c r="R51" s="100">
        <v>0</v>
      </c>
      <c r="T51" s="27"/>
      <c r="U51" s="50">
        <f t="shared" si="21"/>
        <v>0</v>
      </c>
      <c r="Y51" s="46"/>
      <c r="Z51" s="46"/>
    </row>
    <row r="52" spans="1:26" x14ac:dyDescent="0.3">
      <c r="A52" s="13" t="str">
        <f t="shared" si="11"/>
        <v>(600, 650]</v>
      </c>
      <c r="B52" s="89">
        <v>16</v>
      </c>
      <c r="C52" s="89">
        <v>991510</v>
      </c>
      <c r="D52" s="27">
        <f t="shared" si="12"/>
        <v>1.6E-7</v>
      </c>
      <c r="E52" s="90">
        <f t="shared" si="13"/>
        <v>619.69375000000002</v>
      </c>
      <c r="F52" s="91"/>
      <c r="G52" s="13" t="str">
        <f t="shared" si="14"/>
        <v>(600, 650]</v>
      </c>
      <c r="H52" s="86">
        <v>0</v>
      </c>
      <c r="I52" s="27">
        <f t="shared" si="15"/>
        <v>0</v>
      </c>
      <c r="J52" s="27">
        <f t="shared" si="16"/>
        <v>0</v>
      </c>
      <c r="K52" s="87">
        <f t="shared" si="17"/>
        <v>0</v>
      </c>
      <c r="L52" s="100">
        <f t="shared" si="18"/>
        <v>0</v>
      </c>
      <c r="M52" s="100">
        <f t="shared" si="19"/>
        <v>0</v>
      </c>
      <c r="N52" s="88"/>
      <c r="O52" s="45">
        <v>600</v>
      </c>
      <c r="P52" s="45">
        <v>650</v>
      </c>
      <c r="Q52" s="100">
        <f t="shared" si="20"/>
        <v>0</v>
      </c>
      <c r="R52" s="100">
        <v>0</v>
      </c>
      <c r="T52" s="27"/>
      <c r="U52" s="50">
        <f t="shared" si="21"/>
        <v>0</v>
      </c>
      <c r="Y52" s="46"/>
      <c r="Z52" s="46"/>
    </row>
    <row r="53" spans="1:26" x14ac:dyDescent="0.3">
      <c r="A53" s="13" t="str">
        <f t="shared" si="11"/>
        <v>(650, 700]</v>
      </c>
      <c r="B53" s="89">
        <v>9</v>
      </c>
      <c r="C53" s="89">
        <v>598905</v>
      </c>
      <c r="D53" s="27">
        <f t="shared" si="12"/>
        <v>8.9999999999999999E-8</v>
      </c>
      <c r="E53" s="90">
        <f t="shared" si="13"/>
        <v>665.45</v>
      </c>
      <c r="F53" s="91"/>
      <c r="G53" s="13" t="str">
        <f t="shared" si="14"/>
        <v>(650, 700]</v>
      </c>
      <c r="H53" s="86">
        <v>0</v>
      </c>
      <c r="I53" s="27">
        <f t="shared" si="15"/>
        <v>0</v>
      </c>
      <c r="J53" s="27">
        <f t="shared" si="16"/>
        <v>0</v>
      </c>
      <c r="K53" s="87">
        <f t="shared" si="17"/>
        <v>0</v>
      </c>
      <c r="L53" s="100">
        <f t="shared" si="18"/>
        <v>0</v>
      </c>
      <c r="M53" s="100">
        <f t="shared" si="19"/>
        <v>0</v>
      </c>
      <c r="N53" s="88"/>
      <c r="O53" s="45">
        <v>650</v>
      </c>
      <c r="P53" s="45">
        <v>700</v>
      </c>
      <c r="Q53" s="100">
        <f t="shared" si="20"/>
        <v>0</v>
      </c>
      <c r="R53" s="100">
        <v>0</v>
      </c>
      <c r="T53" s="27"/>
      <c r="U53" s="50">
        <f t="shared" si="21"/>
        <v>0</v>
      </c>
      <c r="Y53" s="46"/>
      <c r="Z53" s="46"/>
    </row>
    <row r="54" spans="1:26" x14ac:dyDescent="0.3">
      <c r="A54" s="13" t="str">
        <f t="shared" si="11"/>
        <v>(700, 750]</v>
      </c>
      <c r="B54" s="89">
        <v>15</v>
      </c>
      <c r="C54" s="89">
        <v>1097550</v>
      </c>
      <c r="D54" s="27">
        <f t="shared" si="12"/>
        <v>1.4999999999999999E-7</v>
      </c>
      <c r="E54" s="90">
        <f t="shared" si="13"/>
        <v>731.7</v>
      </c>
      <c r="F54" s="91"/>
      <c r="G54" s="13" t="str">
        <f t="shared" si="14"/>
        <v>(700, 750]</v>
      </c>
      <c r="H54" s="86">
        <v>0</v>
      </c>
      <c r="I54" s="27">
        <f t="shared" si="15"/>
        <v>0</v>
      </c>
      <c r="J54" s="27">
        <f t="shared" si="16"/>
        <v>0</v>
      </c>
      <c r="K54" s="87">
        <f t="shared" si="17"/>
        <v>0</v>
      </c>
      <c r="L54" s="100">
        <f t="shared" si="18"/>
        <v>0</v>
      </c>
      <c r="M54" s="100">
        <f t="shared" si="19"/>
        <v>0</v>
      </c>
      <c r="N54" s="88"/>
      <c r="O54" s="45">
        <v>700</v>
      </c>
      <c r="P54" s="45">
        <v>750</v>
      </c>
      <c r="Q54" s="100">
        <f t="shared" si="20"/>
        <v>0</v>
      </c>
      <c r="R54" s="100">
        <v>0</v>
      </c>
      <c r="T54" s="27"/>
      <c r="U54" s="50">
        <f t="shared" si="21"/>
        <v>0</v>
      </c>
      <c r="Y54" s="46"/>
      <c r="Z54" s="46"/>
    </row>
    <row r="55" spans="1:26" x14ac:dyDescent="0.3">
      <c r="A55" s="13" t="str">
        <f t="shared" si="11"/>
        <v>(750, 800]</v>
      </c>
      <c r="B55" s="89">
        <v>3</v>
      </c>
      <c r="C55" s="89">
        <v>227865</v>
      </c>
      <c r="D55" s="27">
        <f t="shared" si="12"/>
        <v>2.9999999999999997E-8</v>
      </c>
      <c r="E55" s="90">
        <f t="shared" si="13"/>
        <v>759.55</v>
      </c>
      <c r="F55" s="91"/>
      <c r="G55" s="13" t="str">
        <f t="shared" si="14"/>
        <v>(750, 800]</v>
      </c>
      <c r="H55" s="86">
        <v>0</v>
      </c>
      <c r="I55" s="27">
        <f t="shared" si="15"/>
        <v>0</v>
      </c>
      <c r="J55" s="27">
        <f t="shared" si="16"/>
        <v>0</v>
      </c>
      <c r="K55" s="87">
        <f t="shared" si="17"/>
        <v>0</v>
      </c>
      <c r="L55" s="100">
        <f t="shared" si="18"/>
        <v>0</v>
      </c>
      <c r="M55" s="100">
        <f t="shared" si="19"/>
        <v>0</v>
      </c>
      <c r="N55" s="88"/>
      <c r="O55" s="45">
        <v>750</v>
      </c>
      <c r="P55" s="45">
        <v>800</v>
      </c>
      <c r="Q55" s="100">
        <f t="shared" si="20"/>
        <v>0</v>
      </c>
      <c r="R55" s="100">
        <v>0</v>
      </c>
      <c r="T55" s="27"/>
      <c r="U55" s="50">
        <f t="shared" si="21"/>
        <v>0</v>
      </c>
      <c r="Y55" s="46"/>
      <c r="Z55" s="46"/>
    </row>
    <row r="56" spans="1:26" x14ac:dyDescent="0.3">
      <c r="A56" s="13" t="str">
        <f t="shared" si="11"/>
        <v>(800, 850]</v>
      </c>
      <c r="B56" s="89">
        <v>6</v>
      </c>
      <c r="C56" s="89">
        <v>496640</v>
      </c>
      <c r="D56" s="27">
        <f t="shared" si="12"/>
        <v>5.9999999999999995E-8</v>
      </c>
      <c r="E56" s="90">
        <f t="shared" si="13"/>
        <v>827.73333333333323</v>
      </c>
      <c r="F56" s="91"/>
      <c r="G56" s="13" t="str">
        <f t="shared" si="14"/>
        <v>(800, 850]</v>
      </c>
      <c r="H56" s="86">
        <v>0</v>
      </c>
      <c r="I56" s="27">
        <f t="shared" si="15"/>
        <v>0</v>
      </c>
      <c r="J56" s="27">
        <f t="shared" si="16"/>
        <v>0</v>
      </c>
      <c r="K56" s="87">
        <f t="shared" si="17"/>
        <v>0</v>
      </c>
      <c r="L56" s="100">
        <f t="shared" si="18"/>
        <v>0</v>
      </c>
      <c r="M56" s="100">
        <f t="shared" si="19"/>
        <v>0</v>
      </c>
      <c r="N56" s="88"/>
      <c r="O56" s="45">
        <v>800</v>
      </c>
      <c r="P56" s="45">
        <v>850</v>
      </c>
      <c r="Q56" s="100">
        <f t="shared" si="20"/>
        <v>0</v>
      </c>
      <c r="R56" s="100">
        <v>0</v>
      </c>
      <c r="T56" s="27"/>
      <c r="U56" s="50">
        <f t="shared" si="21"/>
        <v>0</v>
      </c>
      <c r="Y56" s="46"/>
      <c r="Z56" s="46"/>
    </row>
    <row r="57" spans="1:26" x14ac:dyDescent="0.3">
      <c r="A57" s="13" t="str">
        <f t="shared" si="11"/>
        <v>(850, 900]</v>
      </c>
      <c r="B57" s="89">
        <v>1</v>
      </c>
      <c r="C57" s="89">
        <v>85750</v>
      </c>
      <c r="D57" s="27">
        <f t="shared" si="12"/>
        <v>1E-8</v>
      </c>
      <c r="E57" s="90">
        <f t="shared" si="13"/>
        <v>857.5</v>
      </c>
      <c r="F57" s="91"/>
      <c r="G57" s="13" t="str">
        <f t="shared" si="14"/>
        <v>(850, 900]</v>
      </c>
      <c r="H57" s="86">
        <v>0</v>
      </c>
      <c r="I57" s="27">
        <f t="shared" si="15"/>
        <v>0</v>
      </c>
      <c r="J57" s="27">
        <f t="shared" si="16"/>
        <v>0</v>
      </c>
      <c r="K57" s="92">
        <f t="shared" si="17"/>
        <v>0</v>
      </c>
      <c r="L57" s="100">
        <f t="shared" si="18"/>
        <v>0</v>
      </c>
      <c r="M57" s="100">
        <f t="shared" si="19"/>
        <v>0</v>
      </c>
      <c r="N57" s="88"/>
      <c r="O57" s="45">
        <v>850</v>
      </c>
      <c r="P57" s="45">
        <v>900</v>
      </c>
      <c r="Q57" s="100">
        <f t="shared" si="20"/>
        <v>0</v>
      </c>
      <c r="R57" s="100">
        <v>0</v>
      </c>
      <c r="T57" s="27"/>
      <c r="U57" s="50">
        <f t="shared" si="21"/>
        <v>0</v>
      </c>
      <c r="Y57" s="46"/>
      <c r="Z57" s="46"/>
    </row>
    <row r="58" spans="1:26" x14ac:dyDescent="0.3">
      <c r="A58" s="13" t="str">
        <f t="shared" si="11"/>
        <v>(900, 950]</v>
      </c>
      <c r="B58" s="89">
        <v>1</v>
      </c>
      <c r="C58" s="89">
        <v>93670</v>
      </c>
      <c r="D58" s="27">
        <f t="shared" si="12"/>
        <v>1E-8</v>
      </c>
      <c r="E58" s="90">
        <f t="shared" si="13"/>
        <v>936.7</v>
      </c>
      <c r="F58" s="91"/>
      <c r="G58" s="13" t="str">
        <f t="shared" si="14"/>
        <v>(900, 950]</v>
      </c>
      <c r="H58" s="86">
        <v>0</v>
      </c>
      <c r="I58" s="27">
        <f t="shared" si="15"/>
        <v>0</v>
      </c>
      <c r="J58" s="27">
        <f t="shared" si="16"/>
        <v>0</v>
      </c>
      <c r="K58" s="92">
        <f t="shared" si="17"/>
        <v>0</v>
      </c>
      <c r="L58" s="100">
        <f t="shared" si="18"/>
        <v>0</v>
      </c>
      <c r="M58" s="100">
        <f t="shared" si="19"/>
        <v>0</v>
      </c>
      <c r="N58" s="88"/>
      <c r="O58" s="45">
        <v>900</v>
      </c>
      <c r="P58" s="45">
        <v>950</v>
      </c>
      <c r="Q58" s="100">
        <f t="shared" si="20"/>
        <v>0</v>
      </c>
      <c r="R58" s="100">
        <v>0</v>
      </c>
      <c r="T58" s="27"/>
      <c r="U58" s="50">
        <f t="shared" si="21"/>
        <v>0</v>
      </c>
      <c r="Y58" s="46"/>
      <c r="Z58" s="46"/>
    </row>
    <row r="59" spans="1:26" x14ac:dyDescent="0.3">
      <c r="A59" s="13" t="str">
        <f t="shared" si="11"/>
        <v>(950, 1000]</v>
      </c>
      <c r="B59" s="89">
        <v>1</v>
      </c>
      <c r="C59" s="89">
        <v>98184.999999999985</v>
      </c>
      <c r="D59" s="27">
        <f t="shared" si="12"/>
        <v>1E-8</v>
      </c>
      <c r="E59" s="90">
        <f t="shared" si="13"/>
        <v>981.84999999999991</v>
      </c>
      <c r="F59" s="91"/>
      <c r="G59" s="13" t="str">
        <f t="shared" si="14"/>
        <v>(950, 1000]</v>
      </c>
      <c r="H59" s="86">
        <v>0</v>
      </c>
      <c r="I59" s="27">
        <f t="shared" si="15"/>
        <v>0</v>
      </c>
      <c r="J59" s="27">
        <f t="shared" si="16"/>
        <v>0</v>
      </c>
      <c r="K59" s="92">
        <f t="shared" si="17"/>
        <v>0</v>
      </c>
      <c r="L59" s="100">
        <f t="shared" si="18"/>
        <v>0</v>
      </c>
      <c r="M59" s="100">
        <f t="shared" si="19"/>
        <v>0</v>
      </c>
      <c r="N59" s="88"/>
      <c r="O59" s="45">
        <v>950</v>
      </c>
      <c r="P59" s="45">
        <v>1000</v>
      </c>
      <c r="Q59" s="100">
        <f t="shared" si="20"/>
        <v>0</v>
      </c>
      <c r="R59" s="100">
        <v>0</v>
      </c>
      <c r="T59" s="27"/>
      <c r="U59" s="50">
        <f t="shared" si="21"/>
        <v>0</v>
      </c>
      <c r="Y59" s="46"/>
      <c r="Z59" s="46"/>
    </row>
    <row r="60" spans="1:26" x14ac:dyDescent="0.3">
      <c r="A60" s="13" t="str">
        <f t="shared" si="11"/>
        <v>(1000, 2000]</v>
      </c>
      <c r="B60" s="89">
        <v>12</v>
      </c>
      <c r="C60" s="89">
        <v>1427060</v>
      </c>
      <c r="D60" s="27">
        <f t="shared" si="12"/>
        <v>1.1999999999999999E-7</v>
      </c>
      <c r="E60" s="90">
        <f t="shared" si="13"/>
        <v>1189.2166666666667</v>
      </c>
      <c r="F60" s="91"/>
      <c r="G60" s="13" t="str">
        <f t="shared" si="14"/>
        <v>(1000, 2000]</v>
      </c>
      <c r="H60" s="86">
        <v>0</v>
      </c>
      <c r="I60" s="27">
        <f t="shared" si="15"/>
        <v>0</v>
      </c>
      <c r="J60" s="27">
        <f t="shared" si="16"/>
        <v>0</v>
      </c>
      <c r="K60" s="92">
        <f t="shared" si="17"/>
        <v>0</v>
      </c>
      <c r="L60" s="100">
        <f t="shared" si="18"/>
        <v>0</v>
      </c>
      <c r="M60" s="100">
        <f t="shared" si="19"/>
        <v>0</v>
      </c>
      <c r="N60" s="88"/>
      <c r="O60" s="45">
        <v>1000</v>
      </c>
      <c r="P60" s="45">
        <v>2000</v>
      </c>
      <c r="Q60" s="100">
        <f t="shared" si="20"/>
        <v>0</v>
      </c>
      <c r="R60" s="100">
        <v>0</v>
      </c>
      <c r="T60" s="27"/>
      <c r="U60" s="50">
        <f t="shared" si="21"/>
        <v>0</v>
      </c>
      <c r="Y60" s="46"/>
      <c r="Z60" s="46"/>
    </row>
    <row r="61" spans="1:26" x14ac:dyDescent="0.3">
      <c r="A61" s="13" t="str">
        <f t="shared" si="11"/>
        <v>(2000, 3000]</v>
      </c>
      <c r="B61" s="89">
        <v>0</v>
      </c>
      <c r="C61" s="89">
        <v>0</v>
      </c>
      <c r="D61" s="27">
        <f t="shared" si="12"/>
        <v>0</v>
      </c>
      <c r="E61" s="90">
        <f t="shared" si="13"/>
        <v>0</v>
      </c>
      <c r="F61" s="91"/>
      <c r="G61" s="13" t="str">
        <f t="shared" si="14"/>
        <v>(2000, 3000]</v>
      </c>
      <c r="H61" s="86">
        <v>0</v>
      </c>
      <c r="I61" s="27">
        <f t="shared" si="15"/>
        <v>0</v>
      </c>
      <c r="J61" s="27">
        <f t="shared" si="16"/>
        <v>0</v>
      </c>
      <c r="K61" s="92">
        <f t="shared" si="17"/>
        <v>0</v>
      </c>
      <c r="L61" s="100">
        <f t="shared" si="18"/>
        <v>0</v>
      </c>
      <c r="M61" s="100">
        <f t="shared" si="19"/>
        <v>0</v>
      </c>
      <c r="N61" s="88"/>
      <c r="O61" s="45">
        <v>2000</v>
      </c>
      <c r="P61" s="45">
        <v>3000</v>
      </c>
      <c r="Q61" s="100">
        <f t="shared" si="20"/>
        <v>0</v>
      </c>
      <c r="R61" s="100">
        <v>0</v>
      </c>
      <c r="T61" s="27"/>
      <c r="U61" s="50">
        <f t="shared" si="21"/>
        <v>0</v>
      </c>
      <c r="Y61" s="46"/>
      <c r="Z61" s="46"/>
    </row>
    <row r="62" spans="1:26" x14ac:dyDescent="0.3">
      <c r="A62" s="13" t="str">
        <f t="shared" si="11"/>
        <v>(3000, 4000]</v>
      </c>
      <c r="B62" s="89">
        <v>0</v>
      </c>
      <c r="C62" s="89">
        <v>0</v>
      </c>
      <c r="D62" s="27">
        <f t="shared" si="12"/>
        <v>0</v>
      </c>
      <c r="E62" s="90">
        <f t="shared" si="13"/>
        <v>0</v>
      </c>
      <c r="F62" s="91"/>
      <c r="G62" s="13" t="str">
        <f t="shared" si="14"/>
        <v>(3000, 4000]</v>
      </c>
      <c r="H62" s="86">
        <v>0</v>
      </c>
      <c r="I62" s="27">
        <f t="shared" si="15"/>
        <v>0</v>
      </c>
      <c r="J62" s="27">
        <f t="shared" si="16"/>
        <v>0</v>
      </c>
      <c r="K62" s="92">
        <f t="shared" si="17"/>
        <v>0</v>
      </c>
      <c r="L62" s="100">
        <f t="shared" si="18"/>
        <v>0</v>
      </c>
      <c r="M62" s="100">
        <f t="shared" si="19"/>
        <v>0</v>
      </c>
      <c r="N62" s="88"/>
      <c r="O62" s="45">
        <v>3000</v>
      </c>
      <c r="P62" s="45">
        <v>4000</v>
      </c>
      <c r="Q62" s="100">
        <f t="shared" si="20"/>
        <v>0</v>
      </c>
      <c r="R62" s="100">
        <v>0</v>
      </c>
      <c r="T62" s="27"/>
      <c r="U62" s="50">
        <f t="shared" si="21"/>
        <v>0</v>
      </c>
      <c r="Y62" s="46"/>
      <c r="Z62" s="46"/>
    </row>
    <row r="63" spans="1:26" x14ac:dyDescent="0.3">
      <c r="A63" s="13" t="str">
        <f t="shared" si="11"/>
        <v>(4000, 5000]</v>
      </c>
      <c r="B63" s="89">
        <v>0</v>
      </c>
      <c r="C63" s="89">
        <v>0</v>
      </c>
      <c r="D63" s="27">
        <f t="shared" si="12"/>
        <v>0</v>
      </c>
      <c r="E63" s="90">
        <f t="shared" si="13"/>
        <v>0</v>
      </c>
      <c r="F63" s="91"/>
      <c r="G63" s="13" t="str">
        <f t="shared" si="14"/>
        <v>(4000, 5000]</v>
      </c>
      <c r="H63" s="86">
        <v>0</v>
      </c>
      <c r="I63" s="27">
        <f t="shared" si="15"/>
        <v>0</v>
      </c>
      <c r="J63" s="27">
        <f t="shared" si="16"/>
        <v>0</v>
      </c>
      <c r="K63" s="92">
        <f t="shared" si="17"/>
        <v>0</v>
      </c>
      <c r="L63" s="100">
        <f t="shared" si="18"/>
        <v>0</v>
      </c>
      <c r="M63" s="100">
        <f t="shared" si="19"/>
        <v>0</v>
      </c>
      <c r="N63" s="88"/>
      <c r="O63" s="45">
        <v>4000</v>
      </c>
      <c r="P63" s="45">
        <v>5000</v>
      </c>
      <c r="Q63" s="100">
        <f t="shared" si="20"/>
        <v>0</v>
      </c>
      <c r="R63" s="100">
        <v>0</v>
      </c>
      <c r="T63" s="27"/>
      <c r="U63" s="50">
        <f t="shared" si="21"/>
        <v>0</v>
      </c>
      <c r="Y63" s="46"/>
      <c r="Z63" s="46"/>
    </row>
    <row r="64" spans="1:26" x14ac:dyDescent="0.3">
      <c r="A64" s="13" t="str">
        <f t="shared" si="11"/>
        <v>(5000, 6000]</v>
      </c>
      <c r="B64" s="89">
        <v>0</v>
      </c>
      <c r="C64" s="89">
        <v>0</v>
      </c>
      <c r="D64" s="27">
        <f t="shared" si="12"/>
        <v>0</v>
      </c>
      <c r="E64" s="90">
        <f t="shared" si="13"/>
        <v>0</v>
      </c>
      <c r="F64" s="91"/>
      <c r="G64" s="13" t="str">
        <f t="shared" si="14"/>
        <v>(5000, 6000]</v>
      </c>
      <c r="H64" s="86">
        <v>0</v>
      </c>
      <c r="I64" s="27">
        <f t="shared" si="15"/>
        <v>0</v>
      </c>
      <c r="J64" s="27">
        <f t="shared" si="16"/>
        <v>0</v>
      </c>
      <c r="K64" s="92">
        <f t="shared" si="17"/>
        <v>0</v>
      </c>
      <c r="L64" s="100">
        <f t="shared" si="18"/>
        <v>0</v>
      </c>
      <c r="M64" s="100">
        <f t="shared" si="19"/>
        <v>0</v>
      </c>
      <c r="N64" s="88"/>
      <c r="O64" s="45">
        <v>5000</v>
      </c>
      <c r="P64" s="45">
        <v>6000</v>
      </c>
      <c r="Q64" s="100">
        <f t="shared" si="20"/>
        <v>0</v>
      </c>
      <c r="R64" s="100">
        <v>0</v>
      </c>
      <c r="T64" s="27"/>
      <c r="U64" s="50">
        <f t="shared" si="21"/>
        <v>0</v>
      </c>
      <c r="Y64" s="46"/>
      <c r="Z64" s="46"/>
    </row>
    <row r="65" spans="1:26" x14ac:dyDescent="0.3">
      <c r="A65" s="13" t="str">
        <f t="shared" si="11"/>
        <v>(6000, 7000]</v>
      </c>
      <c r="B65" s="89">
        <v>0</v>
      </c>
      <c r="C65" s="89">
        <v>0</v>
      </c>
      <c r="D65" s="27">
        <f t="shared" si="12"/>
        <v>0</v>
      </c>
      <c r="E65" s="90">
        <f t="shared" si="13"/>
        <v>0</v>
      </c>
      <c r="F65" s="91"/>
      <c r="G65" s="13" t="str">
        <f t="shared" si="14"/>
        <v>(6000, 7000]</v>
      </c>
      <c r="H65" s="86">
        <v>0</v>
      </c>
      <c r="I65" s="27">
        <f t="shared" si="15"/>
        <v>0</v>
      </c>
      <c r="J65" s="27">
        <f t="shared" si="16"/>
        <v>0</v>
      </c>
      <c r="K65" s="92">
        <f t="shared" si="17"/>
        <v>0</v>
      </c>
      <c r="L65" s="100">
        <f t="shared" si="18"/>
        <v>0</v>
      </c>
      <c r="M65" s="100">
        <f t="shared" si="19"/>
        <v>0</v>
      </c>
      <c r="N65" s="88"/>
      <c r="O65" s="45">
        <v>6000</v>
      </c>
      <c r="P65" s="45">
        <v>7000</v>
      </c>
      <c r="Q65" s="100">
        <f t="shared" si="20"/>
        <v>0</v>
      </c>
      <c r="R65" s="100">
        <v>0</v>
      </c>
      <c r="T65" s="27"/>
      <c r="U65" s="50">
        <f t="shared" si="21"/>
        <v>0</v>
      </c>
      <c r="Y65" s="46"/>
      <c r="Z65" s="46"/>
    </row>
    <row r="66" spans="1:26" x14ac:dyDescent="0.3">
      <c r="A66" s="13" t="str">
        <f t="shared" si="11"/>
        <v>(7000, 8000]</v>
      </c>
      <c r="B66" s="89">
        <v>0</v>
      </c>
      <c r="C66" s="89">
        <v>0</v>
      </c>
      <c r="D66" s="27">
        <f t="shared" si="12"/>
        <v>0</v>
      </c>
      <c r="E66" s="90">
        <f t="shared" si="13"/>
        <v>0</v>
      </c>
      <c r="F66" s="91"/>
      <c r="G66" s="13" t="str">
        <f t="shared" si="14"/>
        <v>(7000, 8000]</v>
      </c>
      <c r="H66" s="86">
        <v>0</v>
      </c>
      <c r="I66" s="27">
        <f t="shared" si="15"/>
        <v>0</v>
      </c>
      <c r="J66" s="27">
        <f t="shared" si="16"/>
        <v>0</v>
      </c>
      <c r="K66" s="92">
        <f t="shared" si="17"/>
        <v>0</v>
      </c>
      <c r="L66" s="100">
        <f t="shared" si="18"/>
        <v>0</v>
      </c>
      <c r="M66" s="100">
        <f t="shared" si="19"/>
        <v>0</v>
      </c>
      <c r="N66" s="88"/>
      <c r="O66" s="45">
        <v>7000</v>
      </c>
      <c r="P66" s="45">
        <v>8000</v>
      </c>
      <c r="Q66" s="100">
        <f t="shared" si="20"/>
        <v>0</v>
      </c>
      <c r="R66" s="100">
        <v>0</v>
      </c>
      <c r="T66" s="27"/>
      <c r="U66" s="50">
        <f t="shared" si="21"/>
        <v>0</v>
      </c>
      <c r="Y66" s="46"/>
      <c r="Z66" s="46"/>
    </row>
    <row r="67" spans="1:26" x14ac:dyDescent="0.3">
      <c r="A67" s="13" t="str">
        <f t="shared" si="11"/>
        <v>(8000, 9000]</v>
      </c>
      <c r="B67" s="89">
        <v>0</v>
      </c>
      <c r="C67" s="89">
        <v>0</v>
      </c>
      <c r="D67" s="27">
        <f t="shared" si="12"/>
        <v>0</v>
      </c>
      <c r="E67" s="90">
        <f t="shared" si="13"/>
        <v>0</v>
      </c>
      <c r="F67" s="91"/>
      <c r="G67" s="13" t="str">
        <f t="shared" si="14"/>
        <v>(8000, 9000]</v>
      </c>
      <c r="H67" s="86">
        <v>0</v>
      </c>
      <c r="I67" s="27">
        <f t="shared" si="15"/>
        <v>0</v>
      </c>
      <c r="J67" s="27">
        <f t="shared" si="16"/>
        <v>0</v>
      </c>
      <c r="K67" s="92">
        <f t="shared" si="17"/>
        <v>0</v>
      </c>
      <c r="L67" s="100">
        <f t="shared" si="18"/>
        <v>0</v>
      </c>
      <c r="M67" s="100">
        <f t="shared" si="19"/>
        <v>0</v>
      </c>
      <c r="N67" s="88"/>
      <c r="O67" s="45">
        <v>8000</v>
      </c>
      <c r="P67" s="45">
        <v>9000</v>
      </c>
      <c r="Q67" s="100">
        <f t="shared" si="20"/>
        <v>0</v>
      </c>
      <c r="R67" s="100">
        <v>0</v>
      </c>
      <c r="T67" s="27"/>
      <c r="U67" s="50">
        <f t="shared" si="21"/>
        <v>0</v>
      </c>
      <c r="Y67" s="46"/>
      <c r="Z67" s="46"/>
    </row>
    <row r="68" spans="1:26" x14ac:dyDescent="0.3">
      <c r="A68" s="13" t="str">
        <f t="shared" si="11"/>
        <v>(9000, 10000]</v>
      </c>
      <c r="B68" s="89">
        <v>0</v>
      </c>
      <c r="C68" s="89">
        <v>0</v>
      </c>
      <c r="D68" s="27">
        <f t="shared" si="12"/>
        <v>0</v>
      </c>
      <c r="E68" s="90">
        <f t="shared" si="13"/>
        <v>0</v>
      </c>
      <c r="F68" s="91"/>
      <c r="G68" s="13" t="str">
        <f t="shared" si="14"/>
        <v>(9000, 10000]</v>
      </c>
      <c r="H68" s="86">
        <v>0</v>
      </c>
      <c r="I68" s="27">
        <f t="shared" si="15"/>
        <v>0</v>
      </c>
      <c r="J68" s="27">
        <f t="shared" si="16"/>
        <v>0</v>
      </c>
      <c r="K68" s="92">
        <f t="shared" si="17"/>
        <v>0</v>
      </c>
      <c r="L68" s="100">
        <f t="shared" si="18"/>
        <v>0</v>
      </c>
      <c r="M68" s="100">
        <f t="shared" si="19"/>
        <v>0</v>
      </c>
      <c r="N68" s="88"/>
      <c r="O68" s="45">
        <v>9000</v>
      </c>
      <c r="P68" s="45">
        <v>10000</v>
      </c>
      <c r="Q68" s="100">
        <f t="shared" si="20"/>
        <v>0</v>
      </c>
      <c r="R68" s="100">
        <v>0</v>
      </c>
      <c r="T68" s="27"/>
      <c r="U68" s="50">
        <f t="shared" si="21"/>
        <v>0</v>
      </c>
      <c r="Y68" s="46"/>
      <c r="Z68" s="46"/>
    </row>
    <row r="69" spans="1:26" x14ac:dyDescent="0.3">
      <c r="A69" s="13" t="str">
        <f t="shared" si="11"/>
        <v>(10000, 20000]</v>
      </c>
      <c r="B69" s="89">
        <v>0</v>
      </c>
      <c r="C69" s="89">
        <v>0</v>
      </c>
      <c r="D69" s="27">
        <f t="shared" si="12"/>
        <v>0</v>
      </c>
      <c r="E69" s="90">
        <f t="shared" si="13"/>
        <v>0</v>
      </c>
      <c r="F69" s="91"/>
      <c r="G69" s="13" t="str">
        <f t="shared" si="14"/>
        <v>(10000, 20000]</v>
      </c>
      <c r="H69" s="86">
        <v>0</v>
      </c>
      <c r="I69" s="27">
        <f t="shared" si="15"/>
        <v>0</v>
      </c>
      <c r="J69" s="27">
        <f t="shared" si="16"/>
        <v>0</v>
      </c>
      <c r="K69" s="92">
        <f t="shared" si="17"/>
        <v>0</v>
      </c>
      <c r="L69" s="100">
        <f t="shared" si="18"/>
        <v>0</v>
      </c>
      <c r="M69" s="100">
        <f t="shared" si="19"/>
        <v>0</v>
      </c>
      <c r="N69" s="88"/>
      <c r="O69" s="45">
        <v>10000</v>
      </c>
      <c r="P69" s="45">
        <v>20000</v>
      </c>
      <c r="Q69" s="100">
        <f t="shared" si="20"/>
        <v>0</v>
      </c>
      <c r="R69" s="100">
        <v>0</v>
      </c>
      <c r="T69" s="27"/>
      <c r="U69" s="50">
        <f t="shared" si="21"/>
        <v>0</v>
      </c>
      <c r="Y69" s="46"/>
      <c r="Z69" s="46"/>
    </row>
    <row r="70" spans="1:26" x14ac:dyDescent="0.3">
      <c r="A70" s="13" t="str">
        <f t="shared" si="11"/>
        <v>(20000, 30000]</v>
      </c>
      <c r="B70" s="89">
        <v>0</v>
      </c>
      <c r="C70" s="89">
        <v>0</v>
      </c>
      <c r="D70" s="27">
        <f t="shared" si="12"/>
        <v>0</v>
      </c>
      <c r="E70" s="90">
        <f t="shared" si="13"/>
        <v>0</v>
      </c>
      <c r="F70" s="91"/>
      <c r="G70" s="13" t="str">
        <f t="shared" si="14"/>
        <v>(20000, 30000]</v>
      </c>
      <c r="H70" s="86">
        <v>0</v>
      </c>
      <c r="I70" s="27">
        <f t="shared" si="15"/>
        <v>0</v>
      </c>
      <c r="J70" s="27">
        <f t="shared" si="16"/>
        <v>0</v>
      </c>
      <c r="K70" s="92">
        <f t="shared" si="17"/>
        <v>0</v>
      </c>
      <c r="L70" s="100">
        <f t="shared" si="18"/>
        <v>0</v>
      </c>
      <c r="M70" s="100">
        <f t="shared" si="19"/>
        <v>0</v>
      </c>
      <c r="N70" s="88"/>
      <c r="O70" s="45">
        <v>20000</v>
      </c>
      <c r="P70" s="45">
        <v>30000</v>
      </c>
      <c r="Q70" s="100">
        <f t="shared" si="20"/>
        <v>0</v>
      </c>
      <c r="R70" s="100">
        <v>0</v>
      </c>
      <c r="T70" s="27"/>
      <c r="U70" s="50">
        <f t="shared" si="21"/>
        <v>0</v>
      </c>
      <c r="Y70" s="46"/>
      <c r="Z70" s="46"/>
    </row>
    <row r="71" spans="1:26" x14ac:dyDescent="0.3">
      <c r="A71" s="13" t="str">
        <f t="shared" si="11"/>
        <v>(30000, 40000]</v>
      </c>
      <c r="B71" s="89">
        <v>0</v>
      </c>
      <c r="C71" s="89">
        <v>0</v>
      </c>
      <c r="D71" s="27">
        <f t="shared" si="12"/>
        <v>0</v>
      </c>
      <c r="E71" s="90">
        <f t="shared" si="13"/>
        <v>0</v>
      </c>
      <c r="F71" s="91"/>
      <c r="G71" s="13" t="str">
        <f t="shared" si="14"/>
        <v>(30000, 40000]</v>
      </c>
      <c r="H71" s="86">
        <v>0</v>
      </c>
      <c r="I71" s="27">
        <f t="shared" si="15"/>
        <v>0</v>
      </c>
      <c r="J71" s="27">
        <f t="shared" si="16"/>
        <v>0</v>
      </c>
      <c r="K71" s="92">
        <f t="shared" si="17"/>
        <v>0</v>
      </c>
      <c r="L71" s="100">
        <f t="shared" si="18"/>
        <v>0</v>
      </c>
      <c r="M71" s="100">
        <f t="shared" si="19"/>
        <v>0</v>
      </c>
      <c r="N71" s="88"/>
      <c r="O71" s="45">
        <v>30000</v>
      </c>
      <c r="P71" s="45">
        <v>40000</v>
      </c>
      <c r="Q71" s="100">
        <f t="shared" si="20"/>
        <v>0</v>
      </c>
      <c r="R71" s="100">
        <v>0</v>
      </c>
      <c r="T71" s="27"/>
      <c r="U71" s="50">
        <f t="shared" si="21"/>
        <v>0</v>
      </c>
      <c r="Y71" s="46"/>
      <c r="Z71" s="46"/>
    </row>
    <row r="72" spans="1:26" x14ac:dyDescent="0.3">
      <c r="A72" s="13" t="str">
        <f t="shared" si="11"/>
        <v>(40000, 50000]</v>
      </c>
      <c r="B72" s="89">
        <v>0</v>
      </c>
      <c r="C72" s="89">
        <v>0</v>
      </c>
      <c r="D72" s="27">
        <f t="shared" si="12"/>
        <v>0</v>
      </c>
      <c r="E72" s="90">
        <f t="shared" si="13"/>
        <v>0</v>
      </c>
      <c r="F72" s="91"/>
      <c r="G72" s="13" t="str">
        <f t="shared" si="14"/>
        <v>(40000, 50000]</v>
      </c>
      <c r="H72" s="86">
        <v>0</v>
      </c>
      <c r="I72" s="27">
        <f t="shared" si="15"/>
        <v>0</v>
      </c>
      <c r="J72" s="27">
        <f t="shared" si="16"/>
        <v>0</v>
      </c>
      <c r="K72" s="92">
        <f t="shared" si="17"/>
        <v>0</v>
      </c>
      <c r="L72" s="100">
        <f t="shared" si="18"/>
        <v>0</v>
      </c>
      <c r="M72" s="100">
        <f t="shared" si="19"/>
        <v>0</v>
      </c>
      <c r="N72" s="88"/>
      <c r="O72" s="45">
        <v>40000</v>
      </c>
      <c r="P72" s="45">
        <v>50000</v>
      </c>
      <c r="Q72" s="100">
        <f t="shared" si="20"/>
        <v>0</v>
      </c>
      <c r="R72" s="100">
        <v>0</v>
      </c>
      <c r="T72" s="27"/>
      <c r="U72" s="50">
        <f t="shared" si="21"/>
        <v>0</v>
      </c>
      <c r="Y72" s="46"/>
      <c r="Z72" s="46"/>
    </row>
    <row r="73" spans="1:26" x14ac:dyDescent="0.3">
      <c r="A73" s="13" t="str">
        <f t="shared" si="11"/>
        <v>(50000, 60000]</v>
      </c>
      <c r="B73" s="89">
        <v>0</v>
      </c>
      <c r="C73" s="89">
        <v>0</v>
      </c>
      <c r="D73" s="27">
        <f t="shared" si="12"/>
        <v>0</v>
      </c>
      <c r="E73" s="90">
        <f t="shared" si="13"/>
        <v>0</v>
      </c>
      <c r="F73" s="91"/>
      <c r="G73" s="13" t="str">
        <f t="shared" si="14"/>
        <v>(50000, 60000]</v>
      </c>
      <c r="H73" s="86">
        <v>0</v>
      </c>
      <c r="I73" s="27">
        <f t="shared" si="15"/>
        <v>0</v>
      </c>
      <c r="J73" s="27">
        <f t="shared" si="16"/>
        <v>0</v>
      </c>
      <c r="K73" s="92">
        <f t="shared" si="17"/>
        <v>0</v>
      </c>
      <c r="L73" s="100">
        <f t="shared" si="18"/>
        <v>0</v>
      </c>
      <c r="M73" s="100">
        <f t="shared" si="19"/>
        <v>0</v>
      </c>
      <c r="N73" s="88"/>
      <c r="O73" s="45">
        <v>50000</v>
      </c>
      <c r="P73" s="45">
        <v>60000</v>
      </c>
      <c r="Q73" s="100">
        <f t="shared" si="20"/>
        <v>0</v>
      </c>
      <c r="R73" s="100">
        <v>0</v>
      </c>
      <c r="T73" s="27"/>
      <c r="U73" s="50">
        <f t="shared" si="21"/>
        <v>0</v>
      </c>
      <c r="Y73" s="46"/>
      <c r="Z73" s="46"/>
    </row>
    <row r="74" spans="1:26" x14ac:dyDescent="0.3">
      <c r="A74" s="13" t="str">
        <f t="shared" si="11"/>
        <v>(60000, 70000]</v>
      </c>
      <c r="B74" s="89">
        <v>0</v>
      </c>
      <c r="C74" s="89">
        <v>0</v>
      </c>
      <c r="D74" s="27">
        <f t="shared" si="12"/>
        <v>0</v>
      </c>
      <c r="E74" s="90">
        <f t="shared" si="13"/>
        <v>0</v>
      </c>
      <c r="F74" s="91"/>
      <c r="G74" s="13" t="str">
        <f t="shared" si="14"/>
        <v>(60000, 70000]</v>
      </c>
      <c r="H74" s="86">
        <v>0</v>
      </c>
      <c r="I74" s="27">
        <f t="shared" si="15"/>
        <v>0</v>
      </c>
      <c r="J74" s="27">
        <f t="shared" si="16"/>
        <v>0</v>
      </c>
      <c r="K74" s="92">
        <f t="shared" si="17"/>
        <v>0</v>
      </c>
      <c r="L74" s="100">
        <f t="shared" si="18"/>
        <v>0</v>
      </c>
      <c r="M74" s="100">
        <f t="shared" si="19"/>
        <v>0</v>
      </c>
      <c r="N74" s="88"/>
      <c r="O74" s="45">
        <v>60000</v>
      </c>
      <c r="P74" s="45">
        <v>70000</v>
      </c>
      <c r="Q74" s="100">
        <f t="shared" si="20"/>
        <v>0</v>
      </c>
      <c r="R74" s="100">
        <v>0</v>
      </c>
      <c r="T74" s="27"/>
      <c r="U74" s="50">
        <f t="shared" si="21"/>
        <v>0</v>
      </c>
      <c r="Y74" s="46"/>
      <c r="Z74" s="46"/>
    </row>
    <row r="75" spans="1:26" x14ac:dyDescent="0.3">
      <c r="A75" s="13" t="str">
        <f t="shared" si="11"/>
        <v>(70000, 80000]</v>
      </c>
      <c r="B75" s="89">
        <v>0</v>
      </c>
      <c r="C75" s="89">
        <v>0</v>
      </c>
      <c r="D75" s="27">
        <f t="shared" si="12"/>
        <v>0</v>
      </c>
      <c r="E75" s="90">
        <f t="shared" si="13"/>
        <v>0</v>
      </c>
      <c r="F75" s="91"/>
      <c r="G75" s="13" t="str">
        <f t="shared" si="14"/>
        <v>(70000, 80000]</v>
      </c>
      <c r="H75" s="86">
        <v>0</v>
      </c>
      <c r="I75" s="27">
        <f t="shared" si="15"/>
        <v>0</v>
      </c>
      <c r="J75" s="27">
        <f t="shared" si="16"/>
        <v>0</v>
      </c>
      <c r="K75" s="92">
        <f t="shared" si="17"/>
        <v>0</v>
      </c>
      <c r="L75" s="100">
        <f t="shared" si="18"/>
        <v>0</v>
      </c>
      <c r="M75" s="100">
        <f t="shared" si="19"/>
        <v>0</v>
      </c>
      <c r="N75" s="88"/>
      <c r="O75" s="45">
        <v>70000</v>
      </c>
      <c r="P75" s="45">
        <v>80000</v>
      </c>
      <c r="Q75" s="100">
        <f t="shared" si="20"/>
        <v>0</v>
      </c>
      <c r="R75" s="100">
        <v>0</v>
      </c>
      <c r="T75" s="27"/>
      <c r="U75" s="50">
        <f t="shared" si="21"/>
        <v>0</v>
      </c>
      <c r="Y75" s="46"/>
      <c r="Z75" s="46"/>
    </row>
    <row r="76" spans="1:26" x14ac:dyDescent="0.3">
      <c r="A76" s="13" t="str">
        <f t="shared" si="11"/>
        <v>(80000, 90000]</v>
      </c>
      <c r="B76" s="89">
        <v>0</v>
      </c>
      <c r="C76" s="89">
        <v>0</v>
      </c>
      <c r="D76" s="27">
        <f t="shared" si="12"/>
        <v>0</v>
      </c>
      <c r="E76" s="90">
        <f t="shared" si="13"/>
        <v>0</v>
      </c>
      <c r="F76" s="91"/>
      <c r="G76" s="13" t="str">
        <f t="shared" si="14"/>
        <v>(80000, 90000]</v>
      </c>
      <c r="H76" s="86">
        <v>0</v>
      </c>
      <c r="I76" s="27">
        <f t="shared" si="15"/>
        <v>0</v>
      </c>
      <c r="J76" s="27">
        <f t="shared" si="16"/>
        <v>0</v>
      </c>
      <c r="K76" s="92">
        <f t="shared" si="17"/>
        <v>0</v>
      </c>
      <c r="L76" s="100">
        <f t="shared" si="18"/>
        <v>0</v>
      </c>
      <c r="M76" s="100">
        <f t="shared" si="19"/>
        <v>0</v>
      </c>
      <c r="N76" s="88"/>
      <c r="O76" s="45">
        <v>80000</v>
      </c>
      <c r="P76" s="45">
        <v>90000</v>
      </c>
      <c r="Q76" s="100">
        <f t="shared" si="20"/>
        <v>0</v>
      </c>
      <c r="R76" s="100">
        <v>0</v>
      </c>
      <c r="T76" s="27"/>
      <c r="U76" s="50">
        <f t="shared" si="21"/>
        <v>0</v>
      </c>
      <c r="Y76" s="46"/>
      <c r="Z76" s="46"/>
    </row>
    <row r="77" spans="1:26" x14ac:dyDescent="0.3">
      <c r="A77" s="13" t="str">
        <f t="shared" si="11"/>
        <v>(90000, 100000]</v>
      </c>
      <c r="B77" s="89">
        <v>0</v>
      </c>
      <c r="C77" s="89">
        <v>0</v>
      </c>
      <c r="D77" s="27">
        <f t="shared" si="12"/>
        <v>0</v>
      </c>
      <c r="E77" s="90">
        <f t="shared" si="13"/>
        <v>0</v>
      </c>
      <c r="F77" s="91"/>
      <c r="G77" s="13" t="str">
        <f t="shared" si="14"/>
        <v>(90000, 100000]</v>
      </c>
      <c r="H77" s="86">
        <v>0</v>
      </c>
      <c r="I77" s="27">
        <f t="shared" si="15"/>
        <v>0</v>
      </c>
      <c r="J77" s="27">
        <f t="shared" si="16"/>
        <v>0</v>
      </c>
      <c r="K77" s="92">
        <f t="shared" si="17"/>
        <v>0</v>
      </c>
      <c r="L77" s="100">
        <f t="shared" si="18"/>
        <v>0</v>
      </c>
      <c r="M77" s="100">
        <f t="shared" si="19"/>
        <v>0</v>
      </c>
      <c r="N77" s="88"/>
      <c r="O77" s="45">
        <v>90000</v>
      </c>
      <c r="P77" s="45">
        <v>100000</v>
      </c>
      <c r="Q77" s="100">
        <f t="shared" si="20"/>
        <v>0</v>
      </c>
      <c r="R77" s="100">
        <v>0</v>
      </c>
      <c r="T77" s="27"/>
      <c r="U77" s="50">
        <f t="shared" si="21"/>
        <v>0</v>
      </c>
      <c r="Y77" s="46"/>
      <c r="Z77" s="46"/>
    </row>
    <row r="78" spans="1:26" x14ac:dyDescent="0.3">
      <c r="A78" s="13" t="str">
        <f t="shared" si="11"/>
        <v>(100000, 9999999]</v>
      </c>
      <c r="B78" s="89">
        <v>0</v>
      </c>
      <c r="C78" s="89">
        <v>0</v>
      </c>
      <c r="D78" s="27">
        <f t="shared" si="12"/>
        <v>0</v>
      </c>
      <c r="E78" s="90">
        <f t="shared" si="13"/>
        <v>0</v>
      </c>
      <c r="F78" s="91"/>
      <c r="G78" s="13" t="str">
        <f t="shared" si="14"/>
        <v>(100000, 9999999]</v>
      </c>
      <c r="H78" s="86">
        <v>0</v>
      </c>
      <c r="I78" s="27">
        <f t="shared" si="15"/>
        <v>0</v>
      </c>
      <c r="J78" s="27">
        <f t="shared" si="16"/>
        <v>0</v>
      </c>
      <c r="K78" s="92">
        <f t="shared" si="17"/>
        <v>0</v>
      </c>
      <c r="L78" s="100">
        <f t="shared" si="18"/>
        <v>0</v>
      </c>
      <c r="M78" s="100">
        <f t="shared" si="19"/>
        <v>0</v>
      </c>
      <c r="N78" s="88"/>
      <c r="O78" s="45">
        <v>100000</v>
      </c>
      <c r="P78" s="45">
        <v>9999999</v>
      </c>
      <c r="Q78" s="100">
        <f t="shared" si="20"/>
        <v>0</v>
      </c>
      <c r="R78" s="100">
        <v>0</v>
      </c>
      <c r="T78" s="27"/>
      <c r="U78" s="50">
        <f t="shared" si="21"/>
        <v>0</v>
      </c>
      <c r="Y78" s="46"/>
      <c r="Z78" s="46"/>
    </row>
    <row r="79" spans="1:26" x14ac:dyDescent="0.3">
      <c r="A79" s="13" t="s">
        <v>18</v>
      </c>
      <c r="B79" s="89">
        <v>900759</v>
      </c>
      <c r="C79" s="89">
        <v>260661015</v>
      </c>
      <c r="D79" s="27">
        <f>B79/B13</f>
        <v>9.0075899999999993E-3</v>
      </c>
      <c r="E79" s="90">
        <f t="shared" si="13"/>
        <v>2.8937930678461163</v>
      </c>
      <c r="F79" s="91"/>
      <c r="G79" s="13" t="s">
        <v>18</v>
      </c>
      <c r="H79" s="86">
        <v>0.86060067121172257</v>
      </c>
      <c r="I79" s="27">
        <f t="shared" ref="I79" si="22">D79*H79</f>
        <v>7.7519379999999999E-3</v>
      </c>
      <c r="J79" s="27">
        <f>I79</f>
        <v>7.7519379999999999E-3</v>
      </c>
      <c r="K79" s="92">
        <f t="shared" ref="K79" si="23">INT(J79*$B$2)</f>
        <v>7751938</v>
      </c>
      <c r="L79" s="100">
        <f t="shared" ref="L79" si="24">IFERROR(K79/SUM($K$15:$K$79),0)</f>
        <v>7.6923077075739645E-3</v>
      </c>
      <c r="M79" s="100">
        <f t="shared" ref="M79" si="25">L79*E79</f>
        <v>2.2259946719916789E-2</v>
      </c>
      <c r="Q79" s="100"/>
      <c r="R79" s="100"/>
      <c r="T79" s="30"/>
      <c r="U79" s="30"/>
    </row>
    <row r="81" spans="1:21" x14ac:dyDescent="0.3">
      <c r="A81" s="29"/>
      <c r="B81" s="1"/>
      <c r="C81" s="93"/>
      <c r="D81" s="1"/>
      <c r="E81" s="1"/>
      <c r="G81" s="35"/>
      <c r="H81" s="29"/>
      <c r="I81" s="29"/>
      <c r="J81" s="29"/>
      <c r="K81" s="83"/>
      <c r="L81" s="29"/>
      <c r="M81" s="29"/>
      <c r="Q81" s="29"/>
      <c r="R81" s="29"/>
    </row>
    <row r="82" spans="1:21" s="62" customFormat="1" ht="15.6" customHeight="1" x14ac:dyDescent="0.3">
      <c r="A82" s="63" t="s">
        <v>9</v>
      </c>
      <c r="B82" s="63" t="s">
        <v>18</v>
      </c>
      <c r="C82" s="63"/>
      <c r="D82" s="82"/>
      <c r="E82" s="59"/>
      <c r="F82" s="60"/>
      <c r="G82" s="63" t="s">
        <v>9</v>
      </c>
      <c r="H82" s="63" t="s">
        <v>18</v>
      </c>
      <c r="I82" s="58"/>
      <c r="J82" s="58"/>
      <c r="K82" s="61"/>
      <c r="L82" s="99"/>
      <c r="M82" s="99"/>
      <c r="N82" s="60"/>
      <c r="O82" s="63" t="s">
        <v>9</v>
      </c>
      <c r="P82" s="63" t="s">
        <v>18</v>
      </c>
      <c r="Q82" s="99"/>
      <c r="R82" s="99"/>
    </row>
    <row r="83" spans="1:21" x14ac:dyDescent="0.3">
      <c r="A83" s="29"/>
      <c r="B83" s="1"/>
      <c r="C83" s="1"/>
      <c r="D83" s="1"/>
      <c r="E83" s="1"/>
      <c r="G83" s="35"/>
      <c r="H83" s="29"/>
      <c r="I83" s="29"/>
      <c r="J83" s="29"/>
      <c r="K83" s="29"/>
      <c r="L83" s="29"/>
      <c r="M83" s="29"/>
      <c r="Q83" s="29"/>
      <c r="R83" s="29"/>
    </row>
    <row r="84" spans="1:21" x14ac:dyDescent="0.3">
      <c r="A84" s="48" t="s">
        <v>100</v>
      </c>
      <c r="B84" s="48"/>
      <c r="C84" s="1"/>
      <c r="D84" s="1"/>
      <c r="E84" s="1"/>
      <c r="G84" s="48" t="s">
        <v>101</v>
      </c>
      <c r="H84" s="29"/>
      <c r="I84" s="29"/>
      <c r="J84" s="29"/>
      <c r="K84" s="29"/>
      <c r="L84" s="29"/>
      <c r="M84" s="29"/>
      <c r="Q84" s="29"/>
      <c r="R84" s="29"/>
    </row>
    <row r="85" spans="1:21" x14ac:dyDescent="0.3">
      <c r="A85" s="9" t="s">
        <v>19</v>
      </c>
      <c r="B85" s="9" t="s">
        <v>102</v>
      </c>
      <c r="C85" s="9" t="s">
        <v>103</v>
      </c>
      <c r="D85" s="9" t="s">
        <v>94</v>
      </c>
      <c r="E85" s="9" t="s">
        <v>104</v>
      </c>
      <c r="G85" s="9" t="s">
        <v>19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94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 x14ac:dyDescent="0.3">
      <c r="A86" s="13" t="str">
        <f t="shared" ref="A86:A117" si="26">"("&amp;$O86&amp;", "&amp;$P86&amp;"]"</f>
        <v>(-1, 0]</v>
      </c>
      <c r="B86" s="84">
        <v>665</v>
      </c>
      <c r="C86" s="84">
        <v>0</v>
      </c>
      <c r="D86" s="27">
        <f t="shared" ref="D86:D117" si="27">IFERROR(B86/SUM($B$86:$B$149),0)</f>
        <v>7.3617974741838922E-4</v>
      </c>
      <c r="E86" s="85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6">
        <v>0</v>
      </c>
      <c r="I86" s="27">
        <f t="shared" ref="I86:I117" si="30">D86*H86</f>
        <v>0</v>
      </c>
      <c r="J86" s="27">
        <f t="shared" ref="J86:J117" si="31">IFERROR(I86/SUM($I$86:$I$149),0)</f>
        <v>0</v>
      </c>
      <c r="K86" s="87">
        <f t="shared" ref="K86:K117" si="32">INT(J86*$B$2)</f>
        <v>0</v>
      </c>
      <c r="L86" s="100">
        <f t="shared" ref="L86:L117" si="33">IFERROR(K86/SUM($K$86:$K$149),0)</f>
        <v>0</v>
      </c>
      <c r="M86" s="100">
        <f t="shared" ref="M86:M117" si="34">L86*E86</f>
        <v>0</v>
      </c>
      <c r="N86" s="88"/>
      <c r="O86" s="49">
        <v>-1</v>
      </c>
      <c r="P86" s="49">
        <v>0</v>
      </c>
      <c r="Q86" s="100">
        <f t="shared" ref="Q86:Q117" si="35">L86</f>
        <v>0</v>
      </c>
      <c r="R86" s="100">
        <v>0</v>
      </c>
      <c r="T86" s="27"/>
      <c r="U86" s="50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9">
        <v>2570</v>
      </c>
      <c r="C87" s="89">
        <v>147410</v>
      </c>
      <c r="D87" s="27">
        <f t="shared" si="27"/>
        <v>2.8450856403988878E-3</v>
      </c>
      <c r="E87" s="90">
        <f t="shared" si="28"/>
        <v>0.57357976653696496</v>
      </c>
      <c r="G87" s="13" t="str">
        <f t="shared" si="29"/>
        <v>(0, 1]</v>
      </c>
      <c r="H87" s="86">
        <v>0</v>
      </c>
      <c r="I87" s="27">
        <f t="shared" si="30"/>
        <v>0</v>
      </c>
      <c r="J87" s="27">
        <f t="shared" si="31"/>
        <v>0</v>
      </c>
      <c r="K87" s="87">
        <f t="shared" si="32"/>
        <v>0</v>
      </c>
      <c r="L87" s="100">
        <f t="shared" si="33"/>
        <v>0</v>
      </c>
      <c r="M87" s="100">
        <f t="shared" si="34"/>
        <v>0</v>
      </c>
      <c r="N87" s="88"/>
      <c r="O87" s="45">
        <v>0</v>
      </c>
      <c r="P87" s="45">
        <v>1</v>
      </c>
      <c r="Q87" s="100">
        <f t="shared" si="35"/>
        <v>0</v>
      </c>
      <c r="R87" s="100">
        <v>0</v>
      </c>
      <c r="T87" s="27"/>
      <c r="U87" s="50">
        <f t="shared" si="36"/>
        <v>0</v>
      </c>
    </row>
    <row r="88" spans="1:21" x14ac:dyDescent="0.3">
      <c r="A88" s="13" t="str">
        <f t="shared" si="26"/>
        <v>(1, 2]</v>
      </c>
      <c r="B88" s="89">
        <v>2952</v>
      </c>
      <c r="C88" s="89">
        <v>464050</v>
      </c>
      <c r="D88" s="27">
        <f t="shared" si="27"/>
        <v>3.2679738562091504E-3</v>
      </c>
      <c r="E88" s="90">
        <f t="shared" si="28"/>
        <v>1.5719850948509486</v>
      </c>
      <c r="F88" s="51"/>
      <c r="G88" s="13" t="str">
        <f t="shared" si="29"/>
        <v>(1, 2]</v>
      </c>
      <c r="H88" s="86">
        <v>0</v>
      </c>
      <c r="I88" s="27">
        <f t="shared" si="30"/>
        <v>0</v>
      </c>
      <c r="J88" s="27">
        <f t="shared" si="31"/>
        <v>0</v>
      </c>
      <c r="K88" s="87">
        <f t="shared" si="32"/>
        <v>0</v>
      </c>
      <c r="L88" s="100">
        <f t="shared" si="33"/>
        <v>0</v>
      </c>
      <c r="M88" s="100">
        <f t="shared" si="34"/>
        <v>0</v>
      </c>
      <c r="N88" s="67"/>
      <c r="O88" s="45">
        <v>1</v>
      </c>
      <c r="P88" s="45">
        <v>2</v>
      </c>
      <c r="Q88" s="100">
        <f t="shared" si="35"/>
        <v>0</v>
      </c>
      <c r="R88" s="100">
        <v>0</v>
      </c>
      <c r="T88" s="27"/>
      <c r="U88" s="50">
        <f t="shared" si="36"/>
        <v>0</v>
      </c>
    </row>
    <row r="89" spans="1:21" x14ac:dyDescent="0.3">
      <c r="A89" s="13" t="str">
        <f t="shared" si="26"/>
        <v>(2, 3]</v>
      </c>
      <c r="B89" s="89">
        <v>3190</v>
      </c>
      <c r="C89" s="89">
        <v>818790</v>
      </c>
      <c r="D89" s="27">
        <f t="shared" si="27"/>
        <v>3.5314487131799422E-3</v>
      </c>
      <c r="E89" s="90">
        <f t="shared" si="28"/>
        <v>2.566739811912226</v>
      </c>
      <c r="F89" s="88"/>
      <c r="G89" s="13" t="str">
        <f t="shared" si="29"/>
        <v>(2, 3]</v>
      </c>
      <c r="H89" s="86">
        <v>0</v>
      </c>
      <c r="I89" s="27">
        <f t="shared" si="30"/>
        <v>0</v>
      </c>
      <c r="J89" s="27">
        <f t="shared" si="31"/>
        <v>0</v>
      </c>
      <c r="K89" s="87">
        <f t="shared" si="32"/>
        <v>0</v>
      </c>
      <c r="L89" s="100">
        <f t="shared" si="33"/>
        <v>0</v>
      </c>
      <c r="M89" s="100">
        <f t="shared" si="34"/>
        <v>0</v>
      </c>
      <c r="N89" s="67"/>
      <c r="O89" s="45">
        <v>2</v>
      </c>
      <c r="P89" s="45">
        <v>3</v>
      </c>
      <c r="Q89" s="100">
        <f t="shared" si="35"/>
        <v>0</v>
      </c>
      <c r="R89" s="100">
        <v>0</v>
      </c>
      <c r="T89" s="27"/>
      <c r="U89" s="50">
        <f t="shared" si="36"/>
        <v>0</v>
      </c>
    </row>
    <row r="90" spans="1:21" x14ac:dyDescent="0.3">
      <c r="A90" s="13" t="str">
        <f t="shared" si="26"/>
        <v>(3, 4]</v>
      </c>
      <c r="B90" s="89">
        <v>3085</v>
      </c>
      <c r="C90" s="89">
        <v>1101530</v>
      </c>
      <c r="D90" s="27">
        <f t="shared" si="27"/>
        <v>3.4152098056928282E-3</v>
      </c>
      <c r="E90" s="90">
        <f t="shared" si="28"/>
        <v>3.5705996758508918</v>
      </c>
      <c r="F90" s="88"/>
      <c r="G90" s="13" t="str">
        <f t="shared" si="29"/>
        <v>(3, 4]</v>
      </c>
      <c r="H90" s="86">
        <v>0</v>
      </c>
      <c r="I90" s="27">
        <f t="shared" si="30"/>
        <v>0</v>
      </c>
      <c r="J90" s="27">
        <f t="shared" si="31"/>
        <v>0</v>
      </c>
      <c r="K90" s="87">
        <f t="shared" si="32"/>
        <v>0</v>
      </c>
      <c r="L90" s="100">
        <f t="shared" si="33"/>
        <v>0</v>
      </c>
      <c r="M90" s="100">
        <f t="shared" si="34"/>
        <v>0</v>
      </c>
      <c r="N90" s="67"/>
      <c r="O90" s="45">
        <v>3</v>
      </c>
      <c r="P90" s="45">
        <v>4</v>
      </c>
      <c r="Q90" s="100">
        <f t="shared" si="35"/>
        <v>0</v>
      </c>
      <c r="R90" s="100">
        <v>0</v>
      </c>
      <c r="T90" s="27"/>
      <c r="U90" s="50">
        <f t="shared" si="36"/>
        <v>0</v>
      </c>
    </row>
    <row r="91" spans="1:21" x14ac:dyDescent="0.3">
      <c r="A91" s="13" t="str">
        <f t="shared" si="26"/>
        <v>(4, 5]</v>
      </c>
      <c r="B91" s="89">
        <v>3243</v>
      </c>
      <c r="C91" s="89">
        <v>1483760</v>
      </c>
      <c r="D91" s="27">
        <f t="shared" si="27"/>
        <v>3.5901216855305806E-3</v>
      </c>
      <c r="E91" s="90">
        <f t="shared" si="28"/>
        <v>4.575269811902559</v>
      </c>
      <c r="F91" s="88"/>
      <c r="G91" s="13" t="str">
        <f t="shared" si="29"/>
        <v>(4, 5]</v>
      </c>
      <c r="H91" s="86">
        <v>0</v>
      </c>
      <c r="I91" s="27">
        <f t="shared" si="30"/>
        <v>0</v>
      </c>
      <c r="J91" s="27">
        <f t="shared" si="31"/>
        <v>0</v>
      </c>
      <c r="K91" s="87">
        <f t="shared" si="32"/>
        <v>0</v>
      </c>
      <c r="L91" s="100">
        <f t="shared" si="33"/>
        <v>0</v>
      </c>
      <c r="M91" s="100">
        <f t="shared" si="34"/>
        <v>0</v>
      </c>
      <c r="N91" s="67"/>
      <c r="O91" s="45">
        <v>4</v>
      </c>
      <c r="P91" s="45">
        <v>5</v>
      </c>
      <c r="Q91" s="100">
        <f t="shared" si="35"/>
        <v>0</v>
      </c>
      <c r="R91" s="100">
        <v>3.56887937187723E-3</v>
      </c>
      <c r="T91" s="27"/>
      <c r="U91" s="50">
        <f t="shared" si="36"/>
        <v>0</v>
      </c>
    </row>
    <row r="92" spans="1:21" x14ac:dyDescent="0.3">
      <c r="A92" s="13" t="str">
        <f t="shared" si="26"/>
        <v>(5, 6]</v>
      </c>
      <c r="B92" s="89">
        <v>3363</v>
      </c>
      <c r="C92" s="89">
        <v>1870270</v>
      </c>
      <c r="D92" s="27">
        <f t="shared" si="27"/>
        <v>3.7229661512301398E-3</v>
      </c>
      <c r="E92" s="90">
        <f t="shared" si="28"/>
        <v>5.5613143027059175</v>
      </c>
      <c r="F92" s="88"/>
      <c r="G92" s="13" t="str">
        <f t="shared" si="29"/>
        <v>(5, 6]</v>
      </c>
      <c r="H92" s="86">
        <v>9.6787664824977693</v>
      </c>
      <c r="I92" s="27">
        <f t="shared" si="30"/>
        <v>3.6033719999999998E-2</v>
      </c>
      <c r="J92" s="27">
        <f t="shared" si="31"/>
        <v>3.6033719999999998E-2</v>
      </c>
      <c r="K92" s="87">
        <f t="shared" si="32"/>
        <v>36033720</v>
      </c>
      <c r="L92" s="100">
        <f t="shared" si="33"/>
        <v>3.6033719999999998E-2</v>
      </c>
      <c r="M92" s="100">
        <f t="shared" si="34"/>
        <v>0.20039484241570027</v>
      </c>
      <c r="N92" s="67"/>
      <c r="O92" s="45">
        <v>5</v>
      </c>
      <c r="P92" s="45">
        <v>6</v>
      </c>
      <c r="Q92" s="100">
        <f t="shared" si="35"/>
        <v>3.6033719999999998E-2</v>
      </c>
      <c r="R92" s="100">
        <v>3.5688793718772309E-2</v>
      </c>
      <c r="T92" s="27"/>
      <c r="U92" s="50">
        <f t="shared" si="36"/>
        <v>0</v>
      </c>
    </row>
    <row r="93" spans="1:21" x14ac:dyDescent="0.3">
      <c r="A93" s="13" t="str">
        <f t="shared" si="26"/>
        <v>(6, 7]</v>
      </c>
      <c r="B93" s="89">
        <v>3253</v>
      </c>
      <c r="C93" s="89">
        <v>2130620</v>
      </c>
      <c r="D93" s="27">
        <f t="shared" si="27"/>
        <v>3.6011920576722108E-3</v>
      </c>
      <c r="E93" s="90">
        <f t="shared" si="28"/>
        <v>6.5497079618813405</v>
      </c>
      <c r="F93" s="88"/>
      <c r="G93" s="13" t="str">
        <f t="shared" si="29"/>
        <v>(6, 7]</v>
      </c>
      <c r="H93" s="86">
        <v>8.5943450125250536</v>
      </c>
      <c r="I93" s="27">
        <f t="shared" si="30"/>
        <v>3.0949886999999999E-2</v>
      </c>
      <c r="J93" s="27">
        <f t="shared" si="31"/>
        <v>3.0949886999999999E-2</v>
      </c>
      <c r="K93" s="87">
        <f t="shared" si="32"/>
        <v>30949887</v>
      </c>
      <c r="L93" s="100">
        <f t="shared" si="33"/>
        <v>3.0949886999999999E-2</v>
      </c>
      <c r="M93" s="100">
        <f t="shared" si="34"/>
        <v>0.20271272130322779</v>
      </c>
      <c r="N93" s="88"/>
      <c r="O93" s="45">
        <v>6</v>
      </c>
      <c r="P93" s="45">
        <v>7</v>
      </c>
      <c r="Q93" s="100">
        <f t="shared" si="35"/>
        <v>3.0949886999999999E-2</v>
      </c>
      <c r="R93" s="100">
        <v>3.0692362598144181E-2</v>
      </c>
      <c r="T93" s="27"/>
      <c r="U93" s="50">
        <f t="shared" si="36"/>
        <v>0</v>
      </c>
    </row>
    <row r="94" spans="1:21" x14ac:dyDescent="0.3">
      <c r="A94" s="13" t="str">
        <f t="shared" si="26"/>
        <v>(7, 8]</v>
      </c>
      <c r="B94" s="89">
        <v>3352</v>
      </c>
      <c r="C94" s="89">
        <v>2531820</v>
      </c>
      <c r="D94" s="27">
        <f t="shared" si="27"/>
        <v>3.7107887418743467E-3</v>
      </c>
      <c r="E94" s="90">
        <f t="shared" si="28"/>
        <v>7.5531622911694516</v>
      </c>
      <c r="F94" s="88"/>
      <c r="G94" s="13" t="str">
        <f t="shared" si="29"/>
        <v>(7, 8]</v>
      </c>
      <c r="H94" s="86">
        <v>8.9109783122004789</v>
      </c>
      <c r="I94" s="27">
        <f t="shared" si="30"/>
        <v>3.3066758000000002E-2</v>
      </c>
      <c r="J94" s="27">
        <f t="shared" si="31"/>
        <v>3.3066758000000002E-2</v>
      </c>
      <c r="K94" s="87">
        <f t="shared" si="32"/>
        <v>33066758</v>
      </c>
      <c r="L94" s="100">
        <f t="shared" si="33"/>
        <v>3.3066758000000002E-2</v>
      </c>
      <c r="M94" s="100">
        <f t="shared" si="34"/>
        <v>0.24975858961682582</v>
      </c>
      <c r="N94" s="88"/>
      <c r="O94" s="45">
        <v>7</v>
      </c>
      <c r="P94" s="45">
        <v>8</v>
      </c>
      <c r="Q94" s="100">
        <f t="shared" si="35"/>
        <v>3.3066758000000002E-2</v>
      </c>
      <c r="R94" s="100">
        <v>3.2833690221270521E-2</v>
      </c>
      <c r="T94" s="27"/>
      <c r="U94" s="50">
        <f t="shared" si="36"/>
        <v>0</v>
      </c>
    </row>
    <row r="95" spans="1:21" x14ac:dyDescent="0.3">
      <c r="A95" s="13" t="str">
        <f t="shared" si="26"/>
        <v>(8, 9]</v>
      </c>
      <c r="B95" s="89">
        <v>3325</v>
      </c>
      <c r="C95" s="89">
        <v>2846900</v>
      </c>
      <c r="D95" s="27">
        <f t="shared" si="27"/>
        <v>3.6808987370919462E-3</v>
      </c>
      <c r="E95" s="90">
        <f t="shared" si="28"/>
        <v>8.5621052631578944</v>
      </c>
      <c r="F95" s="88"/>
      <c r="G95" s="13" t="str">
        <f t="shared" si="29"/>
        <v>(8, 9]</v>
      </c>
      <c r="H95" s="86">
        <v>8.5816875866995481</v>
      </c>
      <c r="I95" s="27">
        <f t="shared" si="30"/>
        <v>3.1588323000000001E-2</v>
      </c>
      <c r="J95" s="27">
        <f t="shared" si="31"/>
        <v>3.1588323000000001E-2</v>
      </c>
      <c r="K95" s="87">
        <f t="shared" si="32"/>
        <v>31588323</v>
      </c>
      <c r="L95" s="100">
        <f t="shared" si="33"/>
        <v>3.1588323000000001E-2</v>
      </c>
      <c r="M95" s="100">
        <f t="shared" si="34"/>
        <v>0.27046254661263158</v>
      </c>
      <c r="N95" s="88"/>
      <c r="O95" s="45">
        <v>8</v>
      </c>
      <c r="P95" s="45">
        <v>9</v>
      </c>
      <c r="Q95" s="100">
        <f t="shared" si="35"/>
        <v>3.1588323000000001E-2</v>
      </c>
      <c r="R95" s="100">
        <v>3.1406138472519628E-2</v>
      </c>
      <c r="T95" s="27"/>
      <c r="U95" s="50">
        <f t="shared" si="36"/>
        <v>0</v>
      </c>
    </row>
    <row r="96" spans="1:21" x14ac:dyDescent="0.3">
      <c r="A96" s="13" t="str">
        <f t="shared" si="26"/>
        <v>(9, 10]</v>
      </c>
      <c r="B96" s="89">
        <v>3492</v>
      </c>
      <c r="C96" s="89">
        <v>3338370</v>
      </c>
      <c r="D96" s="27">
        <f t="shared" si="27"/>
        <v>3.8657739518571654E-3</v>
      </c>
      <c r="E96" s="90">
        <f t="shared" si="28"/>
        <v>9.5600515463917528</v>
      </c>
      <c r="F96" s="88"/>
      <c r="G96" s="13" t="str">
        <f t="shared" si="29"/>
        <v>(9, 10]</v>
      </c>
      <c r="H96" s="86">
        <v>8.7172906175257747</v>
      </c>
      <c r="I96" s="27">
        <f t="shared" si="30"/>
        <v>3.3699075000000002E-2</v>
      </c>
      <c r="J96" s="27">
        <f t="shared" si="31"/>
        <v>3.3699075000000002E-2</v>
      </c>
      <c r="K96" s="87">
        <f t="shared" si="32"/>
        <v>33699075</v>
      </c>
      <c r="L96" s="100">
        <f t="shared" si="33"/>
        <v>3.3699075000000002E-2</v>
      </c>
      <c r="M96" s="100">
        <f t="shared" si="34"/>
        <v>0.32216489406572169</v>
      </c>
      <c r="N96" s="88"/>
      <c r="O96" s="45">
        <v>9</v>
      </c>
      <c r="P96" s="45">
        <v>10</v>
      </c>
      <c r="Q96" s="100">
        <f t="shared" si="35"/>
        <v>3.3699075000000002E-2</v>
      </c>
      <c r="R96" s="100">
        <v>3.3547466095645968E-2</v>
      </c>
      <c r="T96" s="27"/>
      <c r="U96" s="50">
        <f t="shared" si="36"/>
        <v>0</v>
      </c>
    </row>
    <row r="97" spans="1:21" x14ac:dyDescent="0.3">
      <c r="A97" s="13" t="str">
        <f t="shared" si="26"/>
        <v>(10, 15]</v>
      </c>
      <c r="B97" s="89">
        <v>17430</v>
      </c>
      <c r="C97" s="89">
        <v>21901860</v>
      </c>
      <c r="D97" s="27">
        <f t="shared" si="27"/>
        <v>1.9295658642860938E-2</v>
      </c>
      <c r="E97" s="90">
        <f t="shared" si="28"/>
        <v>12.565611015490534</v>
      </c>
      <c r="F97" s="88"/>
      <c r="G97" s="13" t="str">
        <f t="shared" si="29"/>
        <v>(10, 15]</v>
      </c>
      <c r="H97" s="86">
        <v>7.5513194287311531</v>
      </c>
      <c r="I97" s="27">
        <f t="shared" si="30"/>
        <v>0.14570768200000001</v>
      </c>
      <c r="J97" s="27">
        <f t="shared" si="31"/>
        <v>0.14570768200000001</v>
      </c>
      <c r="K97" s="87">
        <f t="shared" si="32"/>
        <v>145707682</v>
      </c>
      <c r="L97" s="100">
        <f t="shared" si="33"/>
        <v>0.14570768200000001</v>
      </c>
      <c r="M97" s="100">
        <f t="shared" si="34"/>
        <v>1.8309060539807918</v>
      </c>
      <c r="N97" s="88"/>
      <c r="O97" s="45">
        <v>10</v>
      </c>
      <c r="P97" s="45">
        <v>15</v>
      </c>
      <c r="Q97" s="100">
        <f t="shared" si="35"/>
        <v>0.14570768200000001</v>
      </c>
      <c r="R97" s="100">
        <v>0.145610278372591</v>
      </c>
      <c r="T97" s="27"/>
      <c r="U97" s="50">
        <f t="shared" si="36"/>
        <v>0</v>
      </c>
    </row>
    <row r="98" spans="1:21" x14ac:dyDescent="0.3">
      <c r="A98" s="13" t="str">
        <f t="shared" si="26"/>
        <v>(15, 20]</v>
      </c>
      <c r="B98" s="89">
        <v>17780</v>
      </c>
      <c r="C98" s="89">
        <v>31214840</v>
      </c>
      <c r="D98" s="27">
        <f t="shared" si="27"/>
        <v>1.9683121667817986E-2</v>
      </c>
      <c r="E98" s="90">
        <f t="shared" si="28"/>
        <v>17.556152980877393</v>
      </c>
      <c r="F98" s="88"/>
      <c r="G98" s="13" t="str">
        <f t="shared" si="29"/>
        <v>(15, 20]</v>
      </c>
      <c r="H98" s="86">
        <v>5.1561435585664785</v>
      </c>
      <c r="I98" s="27">
        <f t="shared" si="30"/>
        <v>0.101489001</v>
      </c>
      <c r="J98" s="27">
        <f t="shared" si="31"/>
        <v>0.101489001</v>
      </c>
      <c r="K98" s="87">
        <f t="shared" si="32"/>
        <v>101489001</v>
      </c>
      <c r="L98" s="100">
        <f t="shared" si="33"/>
        <v>0.101489001</v>
      </c>
      <c r="M98" s="100">
        <f t="shared" si="34"/>
        <v>1.7817564274324187</v>
      </c>
      <c r="N98" s="88"/>
      <c r="O98" s="45">
        <v>15</v>
      </c>
      <c r="P98" s="45">
        <v>20</v>
      </c>
      <c r="Q98" s="100">
        <f t="shared" si="35"/>
        <v>0.101489001</v>
      </c>
      <c r="R98" s="100">
        <v>0.10206995003568881</v>
      </c>
      <c r="T98" s="27"/>
      <c r="U98" s="50">
        <f t="shared" si="36"/>
        <v>0</v>
      </c>
    </row>
    <row r="99" spans="1:21" x14ac:dyDescent="0.3">
      <c r="A99" s="13" t="str">
        <f t="shared" si="26"/>
        <v>(20, 25]</v>
      </c>
      <c r="B99" s="89">
        <v>18010</v>
      </c>
      <c r="C99" s="89">
        <v>40636630</v>
      </c>
      <c r="D99" s="27">
        <f t="shared" si="27"/>
        <v>1.9937740227075472E-2</v>
      </c>
      <c r="E99" s="90">
        <f t="shared" si="28"/>
        <v>22.563370349805663</v>
      </c>
      <c r="F99" s="88"/>
      <c r="G99" s="13" t="str">
        <f t="shared" si="29"/>
        <v>(20, 25]</v>
      </c>
      <c r="H99" s="86">
        <v>4.8456158471160471</v>
      </c>
      <c r="I99" s="27">
        <f t="shared" si="30"/>
        <v>9.6610630000000003E-2</v>
      </c>
      <c r="J99" s="27">
        <f t="shared" si="31"/>
        <v>9.6610630000000003E-2</v>
      </c>
      <c r="K99" s="87">
        <f t="shared" si="32"/>
        <v>96610630</v>
      </c>
      <c r="L99" s="100">
        <f t="shared" si="33"/>
        <v>9.6610630000000003E-2</v>
      </c>
      <c r="M99" s="100">
        <f t="shared" si="34"/>
        <v>2.1798614244180454</v>
      </c>
      <c r="N99" s="88"/>
      <c r="O99" s="45">
        <v>20</v>
      </c>
      <c r="P99" s="45">
        <v>25</v>
      </c>
      <c r="Q99" s="100">
        <f t="shared" si="35"/>
        <v>9.6610630000000003E-2</v>
      </c>
      <c r="R99" s="100">
        <v>9.7787294789436111E-2</v>
      </c>
      <c r="T99" s="27"/>
      <c r="U99" s="50">
        <f t="shared" si="36"/>
        <v>0</v>
      </c>
    </row>
    <row r="100" spans="1:21" x14ac:dyDescent="0.3">
      <c r="A100" s="13" t="str">
        <f t="shared" si="26"/>
        <v>(25, 30]</v>
      </c>
      <c r="B100" s="89">
        <v>18190</v>
      </c>
      <c r="C100" s="89">
        <v>50129430</v>
      </c>
      <c r="D100" s="27">
        <f t="shared" si="27"/>
        <v>2.0137006925624812E-2</v>
      </c>
      <c r="E100" s="90">
        <f t="shared" si="28"/>
        <v>27.558785046728971</v>
      </c>
      <c r="F100" s="88"/>
      <c r="G100" s="13" t="str">
        <f t="shared" si="29"/>
        <v>(25, 30]</v>
      </c>
      <c r="H100" s="86">
        <v>3.6884444284261679</v>
      </c>
      <c r="I100" s="27">
        <f t="shared" si="30"/>
        <v>7.4274230999999996E-2</v>
      </c>
      <c r="J100" s="27">
        <f t="shared" si="31"/>
        <v>7.4274230999999996E-2</v>
      </c>
      <c r="K100" s="87">
        <f t="shared" si="32"/>
        <v>74274231</v>
      </c>
      <c r="L100" s="100">
        <f t="shared" si="33"/>
        <v>7.4274230999999996E-2</v>
      </c>
      <c r="M100" s="100">
        <f t="shared" si="34"/>
        <v>2.0469075666400931</v>
      </c>
      <c r="N100" s="88"/>
      <c r="O100" s="45">
        <v>25</v>
      </c>
      <c r="P100" s="45">
        <v>30</v>
      </c>
      <c r="Q100" s="100">
        <f t="shared" si="35"/>
        <v>7.4274230999999996E-2</v>
      </c>
      <c r="R100" s="100">
        <v>7.5660242683797285E-2</v>
      </c>
      <c r="T100" s="27"/>
      <c r="U100" s="50">
        <f t="shared" si="36"/>
        <v>0</v>
      </c>
    </row>
    <row r="101" spans="1:21" x14ac:dyDescent="0.3">
      <c r="A101" s="13" t="str">
        <f t="shared" si="26"/>
        <v>(30, 35]</v>
      </c>
      <c r="B101" s="89">
        <v>18466</v>
      </c>
      <c r="C101" s="89">
        <v>60125590</v>
      </c>
      <c r="D101" s="27">
        <f t="shared" si="27"/>
        <v>2.0442549196733797E-2</v>
      </c>
      <c r="E101" s="90">
        <f t="shared" si="28"/>
        <v>32.560159211523882</v>
      </c>
      <c r="F101" s="88"/>
      <c r="G101" s="13" t="str">
        <f t="shared" si="29"/>
        <v>(30, 35]</v>
      </c>
      <c r="H101" s="86">
        <v>3.1333558443990039</v>
      </c>
      <c r="I101" s="27">
        <f t="shared" si="30"/>
        <v>6.4053781000000004E-2</v>
      </c>
      <c r="J101" s="27">
        <f t="shared" si="31"/>
        <v>6.4053781000000004E-2</v>
      </c>
      <c r="K101" s="87">
        <f t="shared" si="32"/>
        <v>64053781</v>
      </c>
      <c r="L101" s="100">
        <f t="shared" si="33"/>
        <v>6.4053781000000004E-2</v>
      </c>
      <c r="M101" s="100">
        <f t="shared" si="34"/>
        <v>2.0856013074600837</v>
      </c>
      <c r="N101" s="88"/>
      <c r="O101" s="45">
        <v>30</v>
      </c>
      <c r="P101" s="45">
        <v>35</v>
      </c>
      <c r="Q101" s="100">
        <f t="shared" si="35"/>
        <v>6.4053781000000004E-2</v>
      </c>
      <c r="R101" s="100">
        <v>6.5667380442541043E-2</v>
      </c>
      <c r="T101" s="27"/>
      <c r="U101" s="50">
        <f t="shared" si="36"/>
        <v>0</v>
      </c>
    </row>
    <row r="102" spans="1:21" x14ac:dyDescent="0.3">
      <c r="A102" s="13" t="str">
        <f t="shared" si="26"/>
        <v>(35, 40]</v>
      </c>
      <c r="B102" s="89">
        <v>18563</v>
      </c>
      <c r="C102" s="89">
        <v>69737690</v>
      </c>
      <c r="D102" s="27">
        <f t="shared" si="27"/>
        <v>2.0549931806507608E-2</v>
      </c>
      <c r="E102" s="90">
        <f t="shared" si="28"/>
        <v>37.568113990195549</v>
      </c>
      <c r="F102" s="88"/>
      <c r="G102" s="13" t="str">
        <f t="shared" si="29"/>
        <v>(35, 40]</v>
      </c>
      <c r="H102" s="86">
        <v>2.895116273872973</v>
      </c>
      <c r="I102" s="27">
        <f t="shared" si="30"/>
        <v>5.9494441999999995E-2</v>
      </c>
      <c r="J102" s="27">
        <f t="shared" si="31"/>
        <v>5.9494441999999995E-2</v>
      </c>
      <c r="K102" s="87">
        <f t="shared" si="32"/>
        <v>59494442</v>
      </c>
      <c r="L102" s="100">
        <f t="shared" si="33"/>
        <v>5.9494442000000002E-2</v>
      </c>
      <c r="M102" s="100">
        <f t="shared" si="34"/>
        <v>2.2350939788390778</v>
      </c>
      <c r="N102" s="88"/>
      <c r="O102" s="45">
        <v>35</v>
      </c>
      <c r="P102" s="45">
        <v>40</v>
      </c>
      <c r="Q102" s="100">
        <f t="shared" si="35"/>
        <v>5.9494442000000002E-2</v>
      </c>
      <c r="R102" s="100">
        <v>6.1384725196288369E-2</v>
      </c>
      <c r="T102" s="27"/>
      <c r="U102" s="50">
        <f t="shared" si="36"/>
        <v>0</v>
      </c>
    </row>
    <row r="103" spans="1:21" x14ac:dyDescent="0.3">
      <c r="A103" s="13" t="str">
        <f t="shared" si="26"/>
        <v>(40, 45]</v>
      </c>
      <c r="B103" s="89">
        <v>18326</v>
      </c>
      <c r="C103" s="89">
        <v>77995350</v>
      </c>
      <c r="D103" s="27">
        <f t="shared" si="27"/>
        <v>2.0287563986750978E-2</v>
      </c>
      <c r="E103" s="90">
        <f t="shared" si="28"/>
        <v>42.55994215868165</v>
      </c>
      <c r="F103" s="88"/>
      <c r="G103" s="13" t="str">
        <f t="shared" si="29"/>
        <v>(40, 45]</v>
      </c>
      <c r="H103" s="86">
        <v>3.0155601254025979</v>
      </c>
      <c r="I103" s="27">
        <f t="shared" si="30"/>
        <v>6.1178369000000003E-2</v>
      </c>
      <c r="J103" s="27">
        <f t="shared" si="31"/>
        <v>6.1178369000000003E-2</v>
      </c>
      <c r="K103" s="87">
        <f t="shared" si="32"/>
        <v>61178369</v>
      </c>
      <c r="L103" s="100">
        <f t="shared" si="33"/>
        <v>6.1178369000000003E-2</v>
      </c>
      <c r="M103" s="100">
        <f t="shared" si="34"/>
        <v>2.6037478460024825</v>
      </c>
      <c r="N103" s="88"/>
      <c r="O103" s="45">
        <v>40</v>
      </c>
      <c r="P103" s="45">
        <v>45</v>
      </c>
      <c r="Q103" s="100">
        <f t="shared" si="35"/>
        <v>6.1178369000000003E-2</v>
      </c>
      <c r="R103" s="100">
        <v>6.3526052819414702E-2</v>
      </c>
      <c r="T103" s="27"/>
      <c r="U103" s="50">
        <f t="shared" si="36"/>
        <v>0</v>
      </c>
    </row>
    <row r="104" spans="1:21" x14ac:dyDescent="0.3">
      <c r="A104" s="13" t="str">
        <f t="shared" si="26"/>
        <v>(45, 50]</v>
      </c>
      <c r="B104" s="89">
        <v>18369</v>
      </c>
      <c r="C104" s="89">
        <v>87342830</v>
      </c>
      <c r="D104" s="27">
        <f t="shared" si="27"/>
        <v>2.0335166586959986E-2</v>
      </c>
      <c r="E104" s="90">
        <f t="shared" si="28"/>
        <v>47.549039142032768</v>
      </c>
      <c r="F104" s="88"/>
      <c r="G104" s="13" t="str">
        <f t="shared" si="29"/>
        <v>(45, 50]</v>
      </c>
      <c r="H104" s="86">
        <v>2.4855547548064676</v>
      </c>
      <c r="I104" s="27">
        <f t="shared" si="30"/>
        <v>5.0544169999999999E-2</v>
      </c>
      <c r="J104" s="27">
        <f t="shared" si="31"/>
        <v>5.0544169999999999E-2</v>
      </c>
      <c r="K104" s="87">
        <f t="shared" si="32"/>
        <v>50544170</v>
      </c>
      <c r="L104" s="100">
        <f t="shared" si="33"/>
        <v>5.0544169999999999E-2</v>
      </c>
      <c r="M104" s="100">
        <f t="shared" si="34"/>
        <v>2.4033267177315585</v>
      </c>
      <c r="N104" s="88"/>
      <c r="O104" s="45">
        <v>45</v>
      </c>
      <c r="P104" s="45">
        <v>50</v>
      </c>
      <c r="Q104" s="100">
        <f t="shared" si="35"/>
        <v>5.0544169999999999E-2</v>
      </c>
      <c r="R104" s="100">
        <v>5.2819414703783013E-2</v>
      </c>
      <c r="T104" s="27"/>
      <c r="U104" s="50">
        <f t="shared" si="36"/>
        <v>0</v>
      </c>
    </row>
    <row r="105" spans="1:21" x14ac:dyDescent="0.3">
      <c r="A105" s="13" t="str">
        <f t="shared" si="26"/>
        <v>(50, 60]</v>
      </c>
      <c r="B105" s="89">
        <v>36485</v>
      </c>
      <c r="C105" s="89">
        <v>200841120</v>
      </c>
      <c r="D105" s="27">
        <f t="shared" si="27"/>
        <v>4.0390252758736735E-2</v>
      </c>
      <c r="E105" s="90">
        <f t="shared" si="28"/>
        <v>55.047586679457311</v>
      </c>
      <c r="F105" s="88"/>
      <c r="G105" s="13" t="str">
        <f t="shared" si="29"/>
        <v>(50, 60]</v>
      </c>
      <c r="H105" s="86">
        <v>1.4739554950450873</v>
      </c>
      <c r="I105" s="27">
        <f t="shared" si="30"/>
        <v>5.9533435000000003E-2</v>
      </c>
      <c r="J105" s="27">
        <f t="shared" si="31"/>
        <v>5.9533435000000003E-2</v>
      </c>
      <c r="K105" s="87">
        <f t="shared" si="32"/>
        <v>59533435</v>
      </c>
      <c r="L105" s="100">
        <f t="shared" si="33"/>
        <v>5.9533435000000003E-2</v>
      </c>
      <c r="M105" s="100">
        <f t="shared" si="34"/>
        <v>3.2771719234883379</v>
      </c>
      <c r="N105" s="88"/>
      <c r="O105" s="45">
        <v>50</v>
      </c>
      <c r="P105" s="45">
        <v>60</v>
      </c>
      <c r="Q105" s="100">
        <f t="shared" si="35"/>
        <v>5.9533435000000003E-2</v>
      </c>
      <c r="R105" s="100">
        <v>3.1406138472519628E-2</v>
      </c>
      <c r="T105" s="27"/>
      <c r="U105" s="50">
        <f t="shared" si="36"/>
        <v>0</v>
      </c>
    </row>
    <row r="106" spans="1:21" x14ac:dyDescent="0.3">
      <c r="A106" s="13" t="str">
        <f t="shared" si="26"/>
        <v>(60, 70]</v>
      </c>
      <c r="B106" s="89">
        <v>36008</v>
      </c>
      <c r="C106" s="89">
        <v>234235180</v>
      </c>
      <c r="D106" s="27">
        <f t="shared" si="27"/>
        <v>3.9862196007580994E-2</v>
      </c>
      <c r="E106" s="90">
        <f t="shared" si="28"/>
        <v>65.050872028438121</v>
      </c>
      <c r="F106" s="88"/>
      <c r="G106" s="13" t="str">
        <f t="shared" si="29"/>
        <v>(60, 70]</v>
      </c>
      <c r="H106" s="86">
        <v>0.67023334577249494</v>
      </c>
      <c r="I106" s="27">
        <f t="shared" si="30"/>
        <v>2.6716972999999998E-2</v>
      </c>
      <c r="J106" s="27">
        <f t="shared" si="31"/>
        <v>2.6716972999999998E-2</v>
      </c>
      <c r="K106" s="87">
        <f t="shared" si="32"/>
        <v>26716973</v>
      </c>
      <c r="L106" s="100">
        <f t="shared" si="33"/>
        <v>2.6716973000000001E-2</v>
      </c>
      <c r="M106" s="100">
        <f t="shared" si="34"/>
        <v>1.7379623916102367</v>
      </c>
      <c r="N106" s="88"/>
      <c r="O106" s="45">
        <v>60</v>
      </c>
      <c r="P106" s="45">
        <v>70</v>
      </c>
      <c r="Q106" s="100">
        <f t="shared" si="35"/>
        <v>2.6716973000000001E-2</v>
      </c>
      <c r="R106" s="100">
        <v>2.855103497501784E-2</v>
      </c>
      <c r="T106" s="27"/>
      <c r="U106" s="50">
        <f t="shared" si="36"/>
        <v>0</v>
      </c>
    </row>
    <row r="107" spans="1:21" x14ac:dyDescent="0.3">
      <c r="A107" s="13" t="str">
        <f t="shared" si="26"/>
        <v>(70, 80]</v>
      </c>
      <c r="B107" s="89">
        <v>34720</v>
      </c>
      <c r="C107" s="89">
        <v>260530020</v>
      </c>
      <c r="D107" s="27">
        <f t="shared" si="27"/>
        <v>3.8436332075739058E-2</v>
      </c>
      <c r="E107" s="90">
        <f t="shared" si="28"/>
        <v>75.037448156682032</v>
      </c>
      <c r="F107" s="88"/>
      <c r="G107" s="13" t="str">
        <f t="shared" si="29"/>
        <v>(70, 80]</v>
      </c>
      <c r="H107" s="86">
        <v>0.53186974136129039</v>
      </c>
      <c r="I107" s="27">
        <f t="shared" si="30"/>
        <v>2.0443122000000001E-2</v>
      </c>
      <c r="J107" s="27">
        <f t="shared" si="31"/>
        <v>2.0443122000000001E-2</v>
      </c>
      <c r="K107" s="87">
        <f t="shared" si="32"/>
        <v>20443122</v>
      </c>
      <c r="L107" s="100">
        <f t="shared" si="33"/>
        <v>2.0443122000000001E-2</v>
      </c>
      <c r="M107" s="100">
        <f t="shared" si="34"/>
        <v>1.5339997072357259</v>
      </c>
      <c r="N107" s="88"/>
      <c r="O107" s="45">
        <v>70</v>
      </c>
      <c r="P107" s="45">
        <v>80</v>
      </c>
      <c r="Q107" s="100">
        <f t="shared" si="35"/>
        <v>2.0443122000000001E-2</v>
      </c>
      <c r="R107" s="100">
        <v>2.2127052105638829E-2</v>
      </c>
      <c r="T107" s="27"/>
      <c r="U107" s="50">
        <f t="shared" si="36"/>
        <v>0</v>
      </c>
    </row>
    <row r="108" spans="1:21" x14ac:dyDescent="0.3">
      <c r="A108" s="13" t="str">
        <f t="shared" si="26"/>
        <v>(80, 90]</v>
      </c>
      <c r="B108" s="89">
        <v>33992</v>
      </c>
      <c r="C108" s="89">
        <v>288994940</v>
      </c>
      <c r="D108" s="27">
        <f t="shared" si="27"/>
        <v>3.7630408983828398E-2</v>
      </c>
      <c r="E108" s="90">
        <f t="shared" si="28"/>
        <v>85.018516121440328</v>
      </c>
      <c r="F108" s="88"/>
      <c r="G108" s="13" t="str">
        <f t="shared" si="29"/>
        <v>(80, 90]</v>
      </c>
      <c r="H108" s="86">
        <v>0.39795663678371385</v>
      </c>
      <c r="I108" s="27">
        <f t="shared" si="30"/>
        <v>1.4975271E-2</v>
      </c>
      <c r="J108" s="27">
        <f t="shared" si="31"/>
        <v>1.4975271E-2</v>
      </c>
      <c r="K108" s="87">
        <f t="shared" si="32"/>
        <v>14975271</v>
      </c>
      <c r="L108" s="100">
        <f t="shared" si="33"/>
        <v>1.4975271E-2</v>
      </c>
      <c r="M108" s="100">
        <f t="shared" si="34"/>
        <v>1.2731753189364379</v>
      </c>
      <c r="N108" s="88"/>
      <c r="O108" s="45">
        <v>80</v>
      </c>
      <c r="P108" s="45">
        <v>90</v>
      </c>
      <c r="Q108" s="100">
        <f t="shared" si="35"/>
        <v>1.4975271E-2</v>
      </c>
      <c r="R108" s="100">
        <v>1.6416845110635261E-2</v>
      </c>
      <c r="T108" s="27"/>
      <c r="U108" s="50">
        <f t="shared" si="36"/>
        <v>0</v>
      </c>
    </row>
    <row r="109" spans="1:21" x14ac:dyDescent="0.3">
      <c r="A109" s="13" t="str">
        <f t="shared" si="26"/>
        <v>(90, 100]</v>
      </c>
      <c r="B109" s="89">
        <v>32853</v>
      </c>
      <c r="C109" s="89">
        <v>312144880</v>
      </c>
      <c r="D109" s="27">
        <f t="shared" si="27"/>
        <v>3.636949359689675E-2</v>
      </c>
      <c r="E109" s="90">
        <f t="shared" si="28"/>
        <v>95.012595501171887</v>
      </c>
      <c r="F109" s="88"/>
      <c r="G109" s="13" t="str">
        <f t="shared" si="29"/>
        <v>(90, 100]</v>
      </c>
      <c r="H109" s="94">
        <v>0.37117866279974437</v>
      </c>
      <c r="I109" s="52">
        <f t="shared" si="30"/>
        <v>1.3499580000000001E-2</v>
      </c>
      <c r="J109" s="52">
        <f t="shared" si="31"/>
        <v>1.3499580000000001E-2</v>
      </c>
      <c r="K109" s="87">
        <f t="shared" si="32"/>
        <v>13499580</v>
      </c>
      <c r="L109" s="100">
        <f t="shared" si="33"/>
        <v>1.3499580000000001E-2</v>
      </c>
      <c r="M109" s="100">
        <f t="shared" si="34"/>
        <v>1.28263013397571</v>
      </c>
      <c r="N109" s="88"/>
      <c r="O109" s="45">
        <v>90</v>
      </c>
      <c r="P109" s="45">
        <v>100</v>
      </c>
      <c r="Q109" s="100">
        <f t="shared" si="35"/>
        <v>1.3499580000000001E-2</v>
      </c>
      <c r="R109" s="100">
        <v>1.498929336188437E-2</v>
      </c>
      <c r="T109" s="27"/>
      <c r="U109" s="50">
        <f t="shared" si="36"/>
        <v>0</v>
      </c>
    </row>
    <row r="110" spans="1:21" x14ac:dyDescent="0.3">
      <c r="A110" s="13" t="str">
        <f t="shared" si="26"/>
        <v>(100, 120]</v>
      </c>
      <c r="B110" s="89">
        <v>61613</v>
      </c>
      <c r="C110" s="89">
        <v>677396210</v>
      </c>
      <c r="D110" s="27">
        <f t="shared" si="27"/>
        <v>6.8207883876224382E-2</v>
      </c>
      <c r="E110" s="90">
        <f t="shared" si="28"/>
        <v>109.94371480044796</v>
      </c>
      <c r="F110" s="88"/>
      <c r="G110" s="13" t="str">
        <f t="shared" si="29"/>
        <v>(100, 120]</v>
      </c>
      <c r="H110" s="94">
        <v>0.24041091832957331</v>
      </c>
      <c r="I110" s="52">
        <f t="shared" si="30"/>
        <v>1.639792E-2</v>
      </c>
      <c r="J110" s="52">
        <f t="shared" si="31"/>
        <v>1.639792E-2</v>
      </c>
      <c r="K110" s="87">
        <f t="shared" si="32"/>
        <v>16397920</v>
      </c>
      <c r="L110" s="100">
        <f t="shared" si="33"/>
        <v>1.639792E-2</v>
      </c>
      <c r="M110" s="100">
        <f t="shared" si="34"/>
        <v>1.8028482398005616</v>
      </c>
      <c r="N110" s="88"/>
      <c r="O110" s="45">
        <v>100</v>
      </c>
      <c r="P110" s="45">
        <v>120</v>
      </c>
      <c r="Q110" s="100">
        <f t="shared" si="35"/>
        <v>1.639792E-2</v>
      </c>
      <c r="R110" s="100">
        <v>1.8558172733761601E-2</v>
      </c>
      <c r="T110" s="27"/>
      <c r="U110" s="50">
        <f t="shared" si="36"/>
        <v>0</v>
      </c>
    </row>
    <row r="111" spans="1:21" x14ac:dyDescent="0.3">
      <c r="A111" s="13" t="str">
        <f t="shared" si="26"/>
        <v>(120, 140]</v>
      </c>
      <c r="B111" s="89">
        <v>57264</v>
      </c>
      <c r="C111" s="89">
        <v>743983350</v>
      </c>
      <c r="D111" s="27">
        <f t="shared" si="27"/>
        <v>6.3393379031829539E-2</v>
      </c>
      <c r="E111" s="90">
        <f t="shared" si="28"/>
        <v>129.92165234702429</v>
      </c>
      <c r="F111" s="88"/>
      <c r="G111" s="13" t="str">
        <f t="shared" si="29"/>
        <v>(120, 140]</v>
      </c>
      <c r="H111" s="94">
        <v>0.15516915410142498</v>
      </c>
      <c r="I111" s="52">
        <f t="shared" si="30"/>
        <v>9.8366970000000001E-3</v>
      </c>
      <c r="J111" s="52">
        <f t="shared" si="31"/>
        <v>9.8366970000000001E-3</v>
      </c>
      <c r="K111" s="87">
        <f t="shared" si="32"/>
        <v>9836697</v>
      </c>
      <c r="L111" s="100">
        <f t="shared" si="33"/>
        <v>9.8366970000000001E-3</v>
      </c>
      <c r="M111" s="100">
        <f t="shared" si="34"/>
        <v>1.2779999278770169</v>
      </c>
      <c r="N111" s="88"/>
      <c r="O111" s="45">
        <v>120</v>
      </c>
      <c r="P111" s="45">
        <v>140</v>
      </c>
      <c r="Q111" s="100">
        <f t="shared" si="35"/>
        <v>9.8366970000000001E-3</v>
      </c>
      <c r="R111" s="100">
        <v>1.142041399000714E-2</v>
      </c>
      <c r="T111" s="27"/>
      <c r="U111" s="50">
        <f t="shared" si="36"/>
        <v>0</v>
      </c>
    </row>
    <row r="112" spans="1:21" x14ac:dyDescent="0.3">
      <c r="A112" s="13" t="str">
        <f t="shared" si="26"/>
        <v>(140, 160]</v>
      </c>
      <c r="B112" s="89">
        <v>51941</v>
      </c>
      <c r="C112" s="89">
        <v>778437850</v>
      </c>
      <c r="D112" s="27">
        <f t="shared" si="27"/>
        <v>5.750061994083993E-2</v>
      </c>
      <c r="E112" s="90">
        <f t="shared" si="28"/>
        <v>149.86963092739839</v>
      </c>
      <c r="F112" s="88"/>
      <c r="G112" s="13" t="str">
        <f t="shared" si="29"/>
        <v>(140, 160]</v>
      </c>
      <c r="H112" s="94">
        <v>0.12507442541314184</v>
      </c>
      <c r="I112" s="52">
        <f t="shared" si="30"/>
        <v>7.1918570000000003E-3</v>
      </c>
      <c r="J112" s="52">
        <f t="shared" si="31"/>
        <v>7.1918570000000003E-3</v>
      </c>
      <c r="K112" s="87">
        <f t="shared" si="32"/>
        <v>7191857</v>
      </c>
      <c r="L112" s="100">
        <f t="shared" si="33"/>
        <v>7.1918570000000003E-3</v>
      </c>
      <c r="M112" s="100">
        <f t="shared" si="34"/>
        <v>1.0778409542726266</v>
      </c>
      <c r="N112" s="88"/>
      <c r="O112" s="45">
        <v>140</v>
      </c>
      <c r="P112" s="45">
        <v>160</v>
      </c>
      <c r="Q112" s="100">
        <f t="shared" si="35"/>
        <v>7.1918570000000003E-3</v>
      </c>
      <c r="R112" s="100">
        <v>8.5653104925053538E-3</v>
      </c>
      <c r="T112" s="27"/>
      <c r="U112" s="50">
        <f t="shared" si="36"/>
        <v>0</v>
      </c>
    </row>
    <row r="113" spans="1:21" x14ac:dyDescent="0.3">
      <c r="A113" s="13" t="str">
        <f t="shared" si="26"/>
        <v>(160, 180]</v>
      </c>
      <c r="B113" s="89">
        <v>46900</v>
      </c>
      <c r="C113" s="89">
        <v>796650960</v>
      </c>
      <c r="D113" s="27">
        <f t="shared" si="27"/>
        <v>5.1920045344244291E-2</v>
      </c>
      <c r="E113" s="90">
        <f t="shared" si="28"/>
        <v>169.8616119402985</v>
      </c>
      <c r="F113" s="88"/>
      <c r="G113" s="13" t="str">
        <f t="shared" si="29"/>
        <v>(160, 180]</v>
      </c>
      <c r="H113" s="94">
        <v>5.6260139617228144E-2</v>
      </c>
      <c r="I113" s="52">
        <f t="shared" si="30"/>
        <v>2.9210289999999999E-3</v>
      </c>
      <c r="J113" s="52">
        <f t="shared" si="31"/>
        <v>2.9210289999999999E-3</v>
      </c>
      <c r="K113" s="87">
        <f t="shared" si="32"/>
        <v>2921029</v>
      </c>
      <c r="L113" s="100">
        <f t="shared" si="33"/>
        <v>2.9210289999999999E-3</v>
      </c>
      <c r="M113" s="100">
        <f t="shared" si="34"/>
        <v>0.49617069446435819</v>
      </c>
      <c r="N113" s="88"/>
      <c r="O113" s="45">
        <v>160</v>
      </c>
      <c r="P113" s="45">
        <v>180</v>
      </c>
      <c r="Q113" s="100">
        <f t="shared" si="35"/>
        <v>2.9210289999999999E-3</v>
      </c>
      <c r="R113" s="100">
        <v>3.56887937187723E-3</v>
      </c>
      <c r="T113" s="27"/>
      <c r="U113" s="50">
        <f t="shared" si="36"/>
        <v>0</v>
      </c>
    </row>
    <row r="114" spans="1:21" x14ac:dyDescent="0.3">
      <c r="A114" s="13" t="str">
        <f t="shared" si="26"/>
        <v>(180, 200]</v>
      </c>
      <c r="B114" s="89">
        <v>41188</v>
      </c>
      <c r="C114" s="89">
        <v>781898810</v>
      </c>
      <c r="D114" s="27">
        <f t="shared" si="27"/>
        <v>4.5596648776945282E-2</v>
      </c>
      <c r="E114" s="90">
        <f t="shared" si="28"/>
        <v>189.83655676410606</v>
      </c>
      <c r="F114" s="88"/>
      <c r="G114" s="13" t="str">
        <f t="shared" si="29"/>
        <v>(180, 200]</v>
      </c>
      <c r="H114" s="94">
        <v>3.7468806279110423E-2</v>
      </c>
      <c r="I114" s="52">
        <f t="shared" si="30"/>
        <v>1.7084520000000001E-3</v>
      </c>
      <c r="J114" s="52">
        <f t="shared" si="31"/>
        <v>1.7084520000000001E-3</v>
      </c>
      <c r="K114" s="87">
        <f t="shared" si="32"/>
        <v>1708452</v>
      </c>
      <c r="L114" s="100">
        <f t="shared" si="33"/>
        <v>1.7084520000000001E-3</v>
      </c>
      <c r="M114" s="100">
        <f t="shared" si="34"/>
        <v>0.32432664507675052</v>
      </c>
      <c r="N114" s="88"/>
      <c r="O114" s="45">
        <v>180</v>
      </c>
      <c r="P114" s="45">
        <v>200</v>
      </c>
      <c r="Q114" s="100">
        <f t="shared" si="35"/>
        <v>1.7084520000000001E-3</v>
      </c>
      <c r="R114" s="100">
        <v>2.141327623126338E-3</v>
      </c>
      <c r="T114" s="27"/>
      <c r="U114" s="50">
        <f t="shared" si="36"/>
        <v>0</v>
      </c>
    </row>
    <row r="115" spans="1:21" x14ac:dyDescent="0.3">
      <c r="A115" s="13" t="str">
        <f t="shared" si="26"/>
        <v>(200, 250]</v>
      </c>
      <c r="B115" s="89">
        <v>84619</v>
      </c>
      <c r="C115" s="89">
        <v>1893483550</v>
      </c>
      <c r="D115" s="27">
        <f t="shared" si="27"/>
        <v>9.3676382025258159E-2</v>
      </c>
      <c r="E115" s="90">
        <f t="shared" si="28"/>
        <v>223.76576773537857</v>
      </c>
      <c r="F115" s="88"/>
      <c r="G115" s="13" t="str">
        <f t="shared" si="29"/>
        <v>(200, 250]</v>
      </c>
      <c r="H115" s="94">
        <v>5.2392117350098681E-2</v>
      </c>
      <c r="I115" s="52">
        <f t="shared" si="30"/>
        <v>4.9079040000000003E-3</v>
      </c>
      <c r="J115" s="52">
        <f t="shared" si="31"/>
        <v>4.9079040000000003E-3</v>
      </c>
      <c r="K115" s="87">
        <f t="shared" si="32"/>
        <v>4907904</v>
      </c>
      <c r="L115" s="100">
        <f t="shared" si="33"/>
        <v>4.9079040000000003E-3</v>
      </c>
      <c r="M115" s="100">
        <f t="shared" si="34"/>
        <v>1.0982209065315356</v>
      </c>
      <c r="N115" s="88"/>
      <c r="O115" s="45">
        <v>200</v>
      </c>
      <c r="P115" s="45">
        <v>250</v>
      </c>
      <c r="Q115" s="100">
        <f t="shared" si="35"/>
        <v>4.9079040000000003E-3</v>
      </c>
      <c r="R115" s="100">
        <v>6.4239828693790149E-3</v>
      </c>
      <c r="T115" s="27"/>
      <c r="U115" s="50">
        <f t="shared" si="36"/>
        <v>0</v>
      </c>
    </row>
    <row r="116" spans="1:21" x14ac:dyDescent="0.3">
      <c r="A116" s="13" t="str">
        <f t="shared" si="26"/>
        <v>(250, 300]</v>
      </c>
      <c r="B116" s="89">
        <v>61962</v>
      </c>
      <c r="C116" s="89">
        <v>1695595580</v>
      </c>
      <c r="D116" s="27">
        <f t="shared" si="27"/>
        <v>6.8594239863967274E-2</v>
      </c>
      <c r="E116" s="90">
        <f t="shared" si="28"/>
        <v>273.65087957135017</v>
      </c>
      <c r="F116" s="88"/>
      <c r="G116" s="13" t="str">
        <f t="shared" si="29"/>
        <v>(250, 300]</v>
      </c>
      <c r="H116" s="94">
        <v>7.4590519701752678E-3</v>
      </c>
      <c r="I116" s="52">
        <f t="shared" si="30"/>
        <v>5.1164799999999996E-4</v>
      </c>
      <c r="J116" s="52">
        <f t="shared" si="31"/>
        <v>5.1164799999999996E-4</v>
      </c>
      <c r="K116" s="87">
        <f t="shared" si="32"/>
        <v>511648</v>
      </c>
      <c r="L116" s="100">
        <f t="shared" si="33"/>
        <v>5.1164799999999996E-4</v>
      </c>
      <c r="M116" s="100">
        <f t="shared" si="34"/>
        <v>0.14001292523092215</v>
      </c>
      <c r="N116" s="88"/>
      <c r="O116" s="45">
        <v>250</v>
      </c>
      <c r="P116" s="45">
        <v>300</v>
      </c>
      <c r="Q116" s="100">
        <f t="shared" si="35"/>
        <v>5.1164799999999996E-4</v>
      </c>
      <c r="R116" s="100">
        <v>7.1377587437544611E-4</v>
      </c>
      <c r="T116" s="27"/>
      <c r="U116" s="50">
        <f t="shared" si="36"/>
        <v>0</v>
      </c>
    </row>
    <row r="117" spans="1:21" x14ac:dyDescent="0.3">
      <c r="A117" s="13" t="str">
        <f t="shared" si="26"/>
        <v>(300, 350]</v>
      </c>
      <c r="B117" s="89">
        <v>43621</v>
      </c>
      <c r="C117" s="89">
        <v>1411307190</v>
      </c>
      <c r="D117" s="27">
        <f t="shared" si="27"/>
        <v>4.8290070319003842E-2</v>
      </c>
      <c r="E117" s="90">
        <f t="shared" si="28"/>
        <v>323.53847688040167</v>
      </c>
      <c r="F117" s="88"/>
      <c r="G117" s="13" t="str">
        <f t="shared" si="29"/>
        <v>(300, 350]</v>
      </c>
      <c r="H117" s="94">
        <v>4.4931804523509321E-3</v>
      </c>
      <c r="I117" s="52">
        <f t="shared" si="30"/>
        <v>2.1697599999999999E-4</v>
      </c>
      <c r="J117" s="52">
        <f t="shared" si="31"/>
        <v>2.1697599999999999E-4</v>
      </c>
      <c r="K117" s="87">
        <f t="shared" si="32"/>
        <v>216976</v>
      </c>
      <c r="L117" s="100">
        <f t="shared" si="33"/>
        <v>2.1697599999999999E-4</v>
      </c>
      <c r="M117" s="100">
        <f t="shared" si="34"/>
        <v>7.0200084559602027E-2</v>
      </c>
      <c r="N117" s="88"/>
      <c r="O117" s="45">
        <v>300</v>
      </c>
      <c r="P117" s="45">
        <v>350</v>
      </c>
      <c r="Q117" s="100">
        <f t="shared" si="35"/>
        <v>2.1697599999999999E-4</v>
      </c>
      <c r="R117" s="100">
        <v>0</v>
      </c>
      <c r="T117" s="27"/>
      <c r="U117" s="50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9">
        <v>31523</v>
      </c>
      <c r="C118" s="89">
        <v>1177904800</v>
      </c>
      <c r="D118" s="27">
        <f t="shared" ref="D118:D149" si="38">IFERROR(B118/SUM($B$86:$B$149),0)</f>
        <v>3.4897134102059975E-2</v>
      </c>
      <c r="E118" s="90">
        <f t="shared" ref="E118:E149" si="39">IFERROR(C118/B118/$B$3,0)</f>
        <v>373.6651968404023</v>
      </c>
      <c r="F118" s="88"/>
      <c r="G118" s="13" t="str">
        <f t="shared" ref="G118:G149" si="40">"("&amp;$O118&amp;", "&amp;$P118&amp;"]"</f>
        <v>(350, 400]</v>
      </c>
      <c r="H118" s="94">
        <v>2.580547151425943E-2</v>
      </c>
      <c r="I118" s="52">
        <f t="shared" ref="I118:I149" si="41">D118*H118</f>
        <v>9.0053699999999997E-4</v>
      </c>
      <c r="J118" s="52">
        <f t="shared" ref="J118:J149" si="42">IFERROR(I118/SUM($I$86:$I$149),0)</f>
        <v>9.0053699999999997E-4</v>
      </c>
      <c r="K118" s="87">
        <f t="shared" ref="K118:K149" si="43">INT(J118*$B$2)</f>
        <v>900537</v>
      </c>
      <c r="L118" s="100">
        <f t="shared" ref="L118:L149" si="44">IFERROR(K118/SUM($K$86:$K$149),0)</f>
        <v>9.0053699999999997E-4</v>
      </c>
      <c r="M118" s="100">
        <f t="shared" ref="M118:M149" si="45">L118*E118</f>
        <v>0.33649933536706533</v>
      </c>
      <c r="N118" s="88"/>
      <c r="O118" s="45">
        <v>350</v>
      </c>
      <c r="P118" s="45">
        <v>400</v>
      </c>
      <c r="Q118" s="100">
        <f t="shared" ref="Q118:Q149" si="46">L118</f>
        <v>9.0053699999999997E-4</v>
      </c>
      <c r="R118" s="100">
        <v>1.427551748750892E-3</v>
      </c>
      <c r="T118" s="27"/>
      <c r="U118" s="50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9">
        <v>21903</v>
      </c>
      <c r="C119" s="89">
        <v>927877470</v>
      </c>
      <c r="D119" s="27">
        <f t="shared" si="38"/>
        <v>2.4247436101811997E-2</v>
      </c>
      <c r="E119" s="90">
        <f t="shared" si="39"/>
        <v>423.63031091631279</v>
      </c>
      <c r="F119" s="88"/>
      <c r="G119" s="13" t="str">
        <f t="shared" si="40"/>
        <v>(400, 450]</v>
      </c>
      <c r="H119" s="94">
        <v>6.8341658600191762E-3</v>
      </c>
      <c r="I119" s="52">
        <f t="shared" si="41"/>
        <v>1.65711E-4</v>
      </c>
      <c r="J119" s="52">
        <f t="shared" si="42"/>
        <v>1.65711E-4</v>
      </c>
      <c r="K119" s="87">
        <f t="shared" si="43"/>
        <v>165711</v>
      </c>
      <c r="L119" s="100">
        <f t="shared" si="44"/>
        <v>1.65711E-4</v>
      </c>
      <c r="M119" s="100">
        <f t="shared" si="45"/>
        <v>7.0200202452253113E-2</v>
      </c>
      <c r="N119" s="88"/>
      <c r="O119" s="45">
        <v>400</v>
      </c>
      <c r="P119" s="45">
        <v>450</v>
      </c>
      <c r="Q119" s="100">
        <f t="shared" si="46"/>
        <v>1.65711E-4</v>
      </c>
      <c r="R119" s="100">
        <v>0</v>
      </c>
      <c r="T119" s="27"/>
      <c r="U119" s="50">
        <f t="shared" si="47"/>
        <v>0</v>
      </c>
    </row>
    <row r="120" spans="1:21" x14ac:dyDescent="0.3">
      <c r="A120" s="13" t="str">
        <f t="shared" si="37"/>
        <v>(450, 500]</v>
      </c>
      <c r="B120" s="89">
        <v>14979</v>
      </c>
      <c r="C120" s="89">
        <v>709430460</v>
      </c>
      <c r="D120" s="27">
        <f t="shared" si="38"/>
        <v>1.6582310430947447E-2</v>
      </c>
      <c r="E120" s="90">
        <f t="shared" si="39"/>
        <v>473.61670338473863</v>
      </c>
      <c r="F120" s="88"/>
      <c r="G120" s="13" t="str">
        <f t="shared" si="40"/>
        <v>(450, 500]</v>
      </c>
      <c r="H120" s="94">
        <v>2.3897996702583617E-2</v>
      </c>
      <c r="I120" s="52">
        <f t="shared" si="41"/>
        <v>3.96284E-4</v>
      </c>
      <c r="J120" s="52">
        <f t="shared" si="42"/>
        <v>3.96284E-4</v>
      </c>
      <c r="K120" s="87">
        <f t="shared" si="43"/>
        <v>396284</v>
      </c>
      <c r="L120" s="100">
        <f t="shared" si="44"/>
        <v>3.96284E-4</v>
      </c>
      <c r="M120" s="100">
        <f t="shared" si="45"/>
        <v>0.18768672168411776</v>
      </c>
      <c r="N120" s="88"/>
      <c r="O120" s="45">
        <v>450</v>
      </c>
      <c r="P120" s="45">
        <v>500</v>
      </c>
      <c r="Q120" s="100">
        <f t="shared" si="46"/>
        <v>3.96284E-4</v>
      </c>
      <c r="R120" s="100">
        <v>7.1377587437544611E-4</v>
      </c>
      <c r="T120" s="27"/>
      <c r="U120" s="50">
        <f t="shared" si="47"/>
        <v>0</v>
      </c>
    </row>
    <row r="121" spans="1:21" x14ac:dyDescent="0.3">
      <c r="A121" s="13" t="str">
        <f t="shared" si="37"/>
        <v>(500, 550]</v>
      </c>
      <c r="B121" s="89">
        <v>10564</v>
      </c>
      <c r="C121" s="89">
        <v>552954780</v>
      </c>
      <c r="D121" s="27">
        <f t="shared" si="38"/>
        <v>1.169474113041784E-2</v>
      </c>
      <c r="E121" s="90">
        <f t="shared" si="39"/>
        <v>523.43315032184773</v>
      </c>
      <c r="F121" s="88"/>
      <c r="G121" s="13" t="str">
        <f t="shared" si="40"/>
        <v>(500, 550]</v>
      </c>
      <c r="H121" s="94">
        <v>1.1467975092767891E-2</v>
      </c>
      <c r="I121" s="52">
        <f t="shared" si="41"/>
        <v>1.34115E-4</v>
      </c>
      <c r="J121" s="52">
        <f t="shared" si="42"/>
        <v>1.34115E-4</v>
      </c>
      <c r="K121" s="87">
        <f t="shared" si="43"/>
        <v>134115</v>
      </c>
      <c r="L121" s="100">
        <f t="shared" si="44"/>
        <v>1.34115E-4</v>
      </c>
      <c r="M121" s="100">
        <f t="shared" si="45"/>
        <v>7.0200236955414608E-2</v>
      </c>
      <c r="N121" s="88"/>
      <c r="O121" s="45">
        <v>500</v>
      </c>
      <c r="P121" s="45">
        <v>550</v>
      </c>
      <c r="Q121" s="100">
        <f t="shared" si="46"/>
        <v>1.34115E-4</v>
      </c>
      <c r="R121" s="100">
        <v>0</v>
      </c>
      <c r="T121" s="27"/>
      <c r="U121" s="50">
        <f t="shared" si="47"/>
        <v>0</v>
      </c>
    </row>
    <row r="122" spans="1:21" x14ac:dyDescent="0.3">
      <c r="A122" s="13" t="str">
        <f t="shared" si="37"/>
        <v>(550, 600]</v>
      </c>
      <c r="B122" s="89">
        <v>7083</v>
      </c>
      <c r="C122" s="89">
        <v>406177510</v>
      </c>
      <c r="D122" s="27">
        <f t="shared" si="38"/>
        <v>7.8411445879164668E-3</v>
      </c>
      <c r="E122" s="90">
        <f t="shared" si="39"/>
        <v>573.45405901454183</v>
      </c>
      <c r="F122" s="88"/>
      <c r="G122" s="13" t="str">
        <f t="shared" si="40"/>
        <v>(550, 600]</v>
      </c>
      <c r="H122" s="86">
        <v>1.5612133997458704E-2</v>
      </c>
      <c r="I122" s="27">
        <f t="shared" si="41"/>
        <v>1.2241699999999999E-4</v>
      </c>
      <c r="J122" s="27">
        <f t="shared" si="42"/>
        <v>1.2241699999999999E-4</v>
      </c>
      <c r="K122" s="87">
        <f t="shared" si="43"/>
        <v>122417</v>
      </c>
      <c r="L122" s="100">
        <f t="shared" si="44"/>
        <v>1.2241699999999999E-4</v>
      </c>
      <c r="M122" s="100">
        <f t="shared" si="45"/>
        <v>7.0200525542383166E-2</v>
      </c>
      <c r="N122" s="88"/>
      <c r="O122" s="45">
        <v>550</v>
      </c>
      <c r="P122" s="45">
        <v>600</v>
      </c>
      <c r="Q122" s="100">
        <f t="shared" si="46"/>
        <v>1.2241699999999999E-4</v>
      </c>
      <c r="R122" s="100">
        <v>0</v>
      </c>
      <c r="T122" s="27"/>
      <c r="U122" s="50">
        <f t="shared" si="47"/>
        <v>0</v>
      </c>
    </row>
    <row r="123" spans="1:21" x14ac:dyDescent="0.3">
      <c r="A123" s="13" t="str">
        <f t="shared" si="37"/>
        <v>(600, 650]</v>
      </c>
      <c r="B123" s="89">
        <v>5068</v>
      </c>
      <c r="C123" s="89">
        <v>316021120</v>
      </c>
      <c r="D123" s="27">
        <f t="shared" si="38"/>
        <v>5.6104646013780402E-3</v>
      </c>
      <c r="E123" s="90">
        <f t="shared" si="39"/>
        <v>623.5617995264405</v>
      </c>
      <c r="F123" s="88"/>
      <c r="G123" s="13" t="str">
        <f t="shared" si="40"/>
        <v>(600, 650]</v>
      </c>
      <c r="H123" s="86">
        <v>2.0066074380426201E-2</v>
      </c>
      <c r="I123" s="27">
        <f t="shared" si="41"/>
        <v>1.1257999999999998E-4</v>
      </c>
      <c r="J123" s="27">
        <f t="shared" si="42"/>
        <v>1.1257999999999998E-4</v>
      </c>
      <c r="K123" s="87">
        <f t="shared" si="43"/>
        <v>112580</v>
      </c>
      <c r="L123" s="100">
        <f t="shared" si="44"/>
        <v>1.1258E-4</v>
      </c>
      <c r="M123" s="100">
        <f t="shared" si="45"/>
        <v>7.0200587390686672E-2</v>
      </c>
      <c r="N123" s="88"/>
      <c r="O123" s="45">
        <v>600</v>
      </c>
      <c r="P123" s="45">
        <v>650</v>
      </c>
      <c r="Q123" s="100">
        <f t="shared" si="46"/>
        <v>1.1258E-4</v>
      </c>
      <c r="R123" s="100">
        <v>0</v>
      </c>
      <c r="T123" s="27"/>
      <c r="U123" s="50">
        <f t="shared" si="47"/>
        <v>0</v>
      </c>
    </row>
    <row r="124" spans="1:21" x14ac:dyDescent="0.3">
      <c r="A124" s="13" t="str">
        <f t="shared" si="37"/>
        <v>(650, 700]</v>
      </c>
      <c r="B124" s="89">
        <v>3560</v>
      </c>
      <c r="C124" s="89">
        <v>239632370</v>
      </c>
      <c r="D124" s="27">
        <f t="shared" si="38"/>
        <v>3.9410524824202492E-3</v>
      </c>
      <c r="E124" s="90">
        <f t="shared" si="39"/>
        <v>673.12463483146075</v>
      </c>
      <c r="F124" s="88"/>
      <c r="G124" s="13" t="str">
        <f t="shared" si="40"/>
        <v>(650, 700]</v>
      </c>
      <c r="H124" s="86">
        <v>2.6462474292134833E-2</v>
      </c>
      <c r="I124" s="27">
        <f t="shared" si="41"/>
        <v>1.0429000000000001E-4</v>
      </c>
      <c r="J124" s="27">
        <f t="shared" si="42"/>
        <v>1.0429000000000001E-4</v>
      </c>
      <c r="K124" s="87">
        <f t="shared" si="43"/>
        <v>104290</v>
      </c>
      <c r="L124" s="100">
        <f t="shared" si="44"/>
        <v>1.0429000000000001E-4</v>
      </c>
      <c r="M124" s="100">
        <f t="shared" si="45"/>
        <v>7.020016816657304E-2</v>
      </c>
      <c r="N124" s="88"/>
      <c r="O124" s="45">
        <v>650</v>
      </c>
      <c r="P124" s="45">
        <v>700</v>
      </c>
      <c r="Q124" s="100">
        <f t="shared" si="46"/>
        <v>1.0429000000000001E-4</v>
      </c>
      <c r="R124" s="100">
        <v>0</v>
      </c>
      <c r="T124" s="27"/>
      <c r="U124" s="50">
        <f t="shared" si="47"/>
        <v>0</v>
      </c>
    </row>
    <row r="125" spans="1:21" x14ac:dyDescent="0.3">
      <c r="A125" s="13" t="str">
        <f t="shared" si="37"/>
        <v>(700, 750]</v>
      </c>
      <c r="B125" s="89">
        <v>2235</v>
      </c>
      <c r="C125" s="89">
        <v>161754240</v>
      </c>
      <c r="D125" s="27">
        <f t="shared" si="38"/>
        <v>2.4742281736542856E-3</v>
      </c>
      <c r="E125" s="90">
        <f t="shared" si="39"/>
        <v>723.73261744966442</v>
      </c>
      <c r="F125" s="88"/>
      <c r="G125" s="13" t="str">
        <f t="shared" si="40"/>
        <v>(700, 750]</v>
      </c>
      <c r="H125" s="86">
        <v>3.9203336633557045E-2</v>
      </c>
      <c r="I125" s="27">
        <f t="shared" si="41"/>
        <v>9.6997999999999995E-5</v>
      </c>
      <c r="J125" s="27">
        <f t="shared" si="42"/>
        <v>9.6997999999999995E-5</v>
      </c>
      <c r="K125" s="87">
        <f t="shared" si="43"/>
        <v>96998</v>
      </c>
      <c r="L125" s="100">
        <f t="shared" si="44"/>
        <v>9.6997999999999995E-5</v>
      </c>
      <c r="M125" s="100">
        <f t="shared" si="45"/>
        <v>7.0200616427382539E-2</v>
      </c>
      <c r="N125" s="88"/>
      <c r="O125" s="45">
        <v>700</v>
      </c>
      <c r="P125" s="45">
        <v>750</v>
      </c>
      <c r="Q125" s="100">
        <f t="shared" si="46"/>
        <v>9.6997999999999995E-5</v>
      </c>
      <c r="R125" s="100">
        <v>0</v>
      </c>
      <c r="T125" s="27"/>
      <c r="U125" s="50">
        <f t="shared" si="47"/>
        <v>0</v>
      </c>
    </row>
    <row r="126" spans="1:21" x14ac:dyDescent="0.3">
      <c r="A126" s="13" t="str">
        <f t="shared" si="37"/>
        <v>(750, 800]</v>
      </c>
      <c r="B126" s="89">
        <v>1653</v>
      </c>
      <c r="C126" s="89">
        <v>127813000</v>
      </c>
      <c r="D126" s="27">
        <f t="shared" si="38"/>
        <v>1.8299325150114246E-3</v>
      </c>
      <c r="E126" s="90">
        <f t="shared" si="39"/>
        <v>773.21839080459768</v>
      </c>
      <c r="F126" s="88"/>
      <c r="G126" s="13" t="str">
        <f t="shared" si="40"/>
        <v>(750, 800]</v>
      </c>
      <c r="H126" s="86">
        <v>0.14767866999637025</v>
      </c>
      <c r="I126" s="27">
        <f t="shared" si="41"/>
        <v>2.7024200000000002E-4</v>
      </c>
      <c r="J126" s="27">
        <f t="shared" si="42"/>
        <v>2.7024200000000002E-4</v>
      </c>
      <c r="K126" s="87">
        <f t="shared" si="43"/>
        <v>270242</v>
      </c>
      <c r="L126" s="100">
        <f t="shared" si="44"/>
        <v>2.7024200000000002E-4</v>
      </c>
      <c r="M126" s="100">
        <f t="shared" si="45"/>
        <v>0.2089560843678161</v>
      </c>
      <c r="N126" s="88"/>
      <c r="O126" s="45">
        <v>750</v>
      </c>
      <c r="P126" s="45">
        <v>800</v>
      </c>
      <c r="Q126" s="100">
        <f t="shared" si="46"/>
        <v>2.7024200000000002E-4</v>
      </c>
      <c r="R126" s="100">
        <v>7.1377587437544611E-4</v>
      </c>
      <c r="T126" s="27"/>
      <c r="U126" s="50">
        <f t="shared" si="47"/>
        <v>0</v>
      </c>
    </row>
    <row r="127" spans="1:21" x14ac:dyDescent="0.3">
      <c r="A127" s="13" t="str">
        <f t="shared" si="37"/>
        <v>(800, 850]</v>
      </c>
      <c r="B127" s="89">
        <v>1106</v>
      </c>
      <c r="C127" s="89">
        <v>91064960</v>
      </c>
      <c r="D127" s="27">
        <f t="shared" si="38"/>
        <v>1.2243831588642684E-3</v>
      </c>
      <c r="E127" s="90">
        <f t="shared" si="39"/>
        <v>823.37215189873416</v>
      </c>
      <c r="F127" s="88"/>
      <c r="G127" s="13" t="str">
        <f t="shared" si="40"/>
        <v>(800, 850]</v>
      </c>
      <c r="H127" s="86">
        <v>6.9635064303797456E-2</v>
      </c>
      <c r="I127" s="27">
        <f t="shared" si="41"/>
        <v>8.5259999999999993E-5</v>
      </c>
      <c r="J127" s="27">
        <f t="shared" si="42"/>
        <v>8.5259999999999993E-5</v>
      </c>
      <c r="K127" s="87">
        <f t="shared" si="43"/>
        <v>85260</v>
      </c>
      <c r="L127" s="100">
        <f t="shared" si="44"/>
        <v>8.5259999999999993E-5</v>
      </c>
      <c r="M127" s="100">
        <f t="shared" si="45"/>
        <v>7.0200709670886069E-2</v>
      </c>
      <c r="N127" s="88"/>
      <c r="O127" s="45">
        <v>800</v>
      </c>
      <c r="P127" s="45">
        <v>850</v>
      </c>
      <c r="Q127" s="100">
        <f t="shared" si="46"/>
        <v>8.5259999999999993E-5</v>
      </c>
      <c r="R127" s="100">
        <v>0</v>
      </c>
      <c r="T127" s="27"/>
      <c r="U127" s="50">
        <f t="shared" si="47"/>
        <v>0</v>
      </c>
    </row>
    <row r="128" spans="1:21" x14ac:dyDescent="0.3">
      <c r="A128" s="13" t="str">
        <f t="shared" si="37"/>
        <v>(850, 900]</v>
      </c>
      <c r="B128" s="89">
        <v>851</v>
      </c>
      <c r="C128" s="89">
        <v>74263480</v>
      </c>
      <c r="D128" s="27">
        <f t="shared" si="38"/>
        <v>9.4208866925270555E-4</v>
      </c>
      <c r="E128" s="90">
        <f t="shared" si="39"/>
        <v>872.66133960047011</v>
      </c>
      <c r="F128" s="88"/>
      <c r="G128" s="13" t="str">
        <f t="shared" si="40"/>
        <v>(850, 900]</v>
      </c>
      <c r="H128" s="86">
        <v>0</v>
      </c>
      <c r="I128" s="27">
        <f t="shared" si="41"/>
        <v>0</v>
      </c>
      <c r="J128" s="27">
        <f t="shared" si="42"/>
        <v>0</v>
      </c>
      <c r="K128" s="92">
        <f t="shared" si="43"/>
        <v>0</v>
      </c>
      <c r="L128" s="100">
        <f t="shared" si="44"/>
        <v>0</v>
      </c>
      <c r="M128" s="100">
        <f t="shared" si="45"/>
        <v>0</v>
      </c>
      <c r="N128" s="88"/>
      <c r="O128" s="45">
        <v>850</v>
      </c>
      <c r="P128" s="45">
        <v>900</v>
      </c>
      <c r="Q128" s="100">
        <f t="shared" si="46"/>
        <v>0</v>
      </c>
      <c r="R128" s="100">
        <v>0</v>
      </c>
      <c r="T128" s="27"/>
      <c r="U128" s="50">
        <f t="shared" si="47"/>
        <v>0</v>
      </c>
    </row>
    <row r="129" spans="1:21" x14ac:dyDescent="0.3">
      <c r="A129" s="13" t="str">
        <f t="shared" si="37"/>
        <v>(900, 950]</v>
      </c>
      <c r="B129" s="89">
        <v>579</v>
      </c>
      <c r="C129" s="89">
        <v>53414620</v>
      </c>
      <c r="D129" s="27">
        <f t="shared" si="38"/>
        <v>6.4097454700037197E-4</v>
      </c>
      <c r="E129" s="90">
        <f t="shared" si="39"/>
        <v>922.53229706390323</v>
      </c>
      <c r="F129" s="88"/>
      <c r="G129" s="13" t="str">
        <f t="shared" si="40"/>
        <v>(900, 950]</v>
      </c>
      <c r="H129" s="86">
        <v>0</v>
      </c>
      <c r="I129" s="27">
        <f t="shared" si="41"/>
        <v>0</v>
      </c>
      <c r="J129" s="27">
        <f t="shared" si="42"/>
        <v>0</v>
      </c>
      <c r="K129" s="92">
        <f t="shared" si="43"/>
        <v>0</v>
      </c>
      <c r="L129" s="100">
        <f t="shared" si="44"/>
        <v>0</v>
      </c>
      <c r="M129" s="100">
        <f t="shared" si="45"/>
        <v>0</v>
      </c>
      <c r="N129" s="88"/>
      <c r="O129" s="45">
        <v>900</v>
      </c>
      <c r="P129" s="45">
        <v>950</v>
      </c>
      <c r="Q129" s="100">
        <f t="shared" si="46"/>
        <v>0</v>
      </c>
      <c r="R129" s="100">
        <v>0</v>
      </c>
      <c r="T129" s="27"/>
      <c r="U129" s="50">
        <f t="shared" si="47"/>
        <v>0</v>
      </c>
    </row>
    <row r="130" spans="1:21" x14ac:dyDescent="0.3">
      <c r="A130" s="13" t="str">
        <f t="shared" si="37"/>
        <v>(950, 1000]</v>
      </c>
      <c r="B130" s="89">
        <v>407</v>
      </c>
      <c r="C130" s="89">
        <v>39643630</v>
      </c>
      <c r="D130" s="27">
        <f t="shared" si="38"/>
        <v>4.5056414616433745E-4</v>
      </c>
      <c r="E130" s="90">
        <f t="shared" si="39"/>
        <v>974.04496314496316</v>
      </c>
      <c r="F130" s="88"/>
      <c r="G130" s="13" t="str">
        <f t="shared" si="40"/>
        <v>(950, 1000]</v>
      </c>
      <c r="H130" s="86">
        <v>0</v>
      </c>
      <c r="I130" s="27">
        <f t="shared" si="41"/>
        <v>0</v>
      </c>
      <c r="J130" s="27">
        <f t="shared" si="42"/>
        <v>0</v>
      </c>
      <c r="K130" s="92">
        <f t="shared" si="43"/>
        <v>0</v>
      </c>
      <c r="L130" s="100">
        <f t="shared" si="44"/>
        <v>0</v>
      </c>
      <c r="M130" s="100">
        <f t="shared" si="45"/>
        <v>0</v>
      </c>
      <c r="N130" s="88"/>
      <c r="O130" s="45">
        <v>950</v>
      </c>
      <c r="P130" s="45">
        <v>1000</v>
      </c>
      <c r="Q130" s="100">
        <f t="shared" si="46"/>
        <v>0</v>
      </c>
      <c r="R130" s="100">
        <v>0</v>
      </c>
      <c r="T130" s="27"/>
      <c r="U130" s="50">
        <f t="shared" si="47"/>
        <v>0</v>
      </c>
    </row>
    <row r="131" spans="1:21" x14ac:dyDescent="0.3">
      <c r="A131" s="13" t="str">
        <f t="shared" si="37"/>
        <v>(1000, 2000]</v>
      </c>
      <c r="B131" s="89">
        <v>1005</v>
      </c>
      <c r="C131" s="89">
        <v>116357560</v>
      </c>
      <c r="D131" s="27">
        <f t="shared" si="38"/>
        <v>1.1125724002338062E-3</v>
      </c>
      <c r="E131" s="90">
        <f t="shared" si="39"/>
        <v>1157.7866666666666</v>
      </c>
      <c r="F131" s="88"/>
      <c r="G131" s="13" t="str">
        <f t="shared" si="40"/>
        <v>(1000, 2000]</v>
      </c>
      <c r="H131" s="86">
        <v>5.4498026364179109E-2</v>
      </c>
      <c r="I131" s="27">
        <f t="shared" si="41"/>
        <v>6.0633E-5</v>
      </c>
      <c r="J131" s="27">
        <f t="shared" si="42"/>
        <v>6.0633E-5</v>
      </c>
      <c r="K131" s="92">
        <f t="shared" si="43"/>
        <v>60633</v>
      </c>
      <c r="L131" s="100">
        <f t="shared" si="44"/>
        <v>6.0633E-5</v>
      </c>
      <c r="M131" s="100">
        <f t="shared" si="45"/>
        <v>7.0200078959999995E-2</v>
      </c>
      <c r="N131" s="88"/>
      <c r="O131" s="45">
        <v>1000</v>
      </c>
      <c r="P131" s="45">
        <v>2000</v>
      </c>
      <c r="Q131" s="100">
        <f t="shared" si="46"/>
        <v>6.0633E-5</v>
      </c>
      <c r="R131" s="100">
        <v>0</v>
      </c>
      <c r="T131" s="27"/>
      <c r="U131" s="50">
        <f t="shared" si="47"/>
        <v>0</v>
      </c>
    </row>
    <row r="132" spans="1:21" x14ac:dyDescent="0.3">
      <c r="A132" s="13" t="str">
        <f t="shared" si="37"/>
        <v>(2000, 3000]</v>
      </c>
      <c r="B132" s="89">
        <v>5</v>
      </c>
      <c r="C132" s="89">
        <v>1063560</v>
      </c>
      <c r="D132" s="27">
        <f t="shared" si="38"/>
        <v>5.5351860708149563E-6</v>
      </c>
      <c r="E132" s="90">
        <f t="shared" si="39"/>
        <v>2127.12</v>
      </c>
      <c r="F132" s="88"/>
      <c r="G132" s="13" t="str">
        <f t="shared" si="40"/>
        <v>(2000, 3000]</v>
      </c>
      <c r="H132" s="86">
        <v>0</v>
      </c>
      <c r="I132" s="27">
        <f t="shared" si="41"/>
        <v>0</v>
      </c>
      <c r="J132" s="27">
        <f t="shared" si="42"/>
        <v>0</v>
      </c>
      <c r="K132" s="92">
        <f t="shared" si="43"/>
        <v>0</v>
      </c>
      <c r="L132" s="100">
        <f t="shared" si="44"/>
        <v>0</v>
      </c>
      <c r="M132" s="100">
        <f t="shared" si="45"/>
        <v>0</v>
      </c>
      <c r="N132" s="88"/>
      <c r="O132" s="45">
        <v>2000</v>
      </c>
      <c r="P132" s="45">
        <v>3000</v>
      </c>
      <c r="Q132" s="100">
        <f t="shared" si="46"/>
        <v>0</v>
      </c>
      <c r="R132" s="100">
        <v>0</v>
      </c>
      <c r="T132" s="27"/>
      <c r="U132" s="50">
        <f t="shared" si="47"/>
        <v>0</v>
      </c>
    </row>
    <row r="133" spans="1:21" x14ac:dyDescent="0.3">
      <c r="A133" s="13" t="str">
        <f t="shared" si="37"/>
        <v>(3000, 4000]</v>
      </c>
      <c r="B133" s="89">
        <v>1</v>
      </c>
      <c r="C133" s="89">
        <v>329060</v>
      </c>
      <c r="D133" s="27">
        <f t="shared" si="38"/>
        <v>1.1070372141629912E-6</v>
      </c>
      <c r="E133" s="90">
        <f t="shared" si="39"/>
        <v>3290.6</v>
      </c>
      <c r="F133" s="88"/>
      <c r="G133" s="13" t="str">
        <f t="shared" si="40"/>
        <v>(3000, 4000]</v>
      </c>
      <c r="H133" s="86">
        <v>0</v>
      </c>
      <c r="I133" s="27">
        <f t="shared" si="41"/>
        <v>0</v>
      </c>
      <c r="J133" s="27">
        <f t="shared" si="42"/>
        <v>0</v>
      </c>
      <c r="K133" s="92">
        <f t="shared" si="43"/>
        <v>0</v>
      </c>
      <c r="L133" s="100">
        <f t="shared" si="44"/>
        <v>0</v>
      </c>
      <c r="M133" s="100">
        <f t="shared" si="45"/>
        <v>0</v>
      </c>
      <c r="N133" s="88"/>
      <c r="O133" s="45">
        <v>3000</v>
      </c>
      <c r="P133" s="45">
        <v>4000</v>
      </c>
      <c r="Q133" s="100">
        <f t="shared" si="46"/>
        <v>0</v>
      </c>
      <c r="R133" s="100">
        <v>0</v>
      </c>
      <c r="T133" s="27"/>
      <c r="U133" s="50">
        <f t="shared" si="47"/>
        <v>0</v>
      </c>
    </row>
    <row r="134" spans="1:21" x14ac:dyDescent="0.3">
      <c r="A134" s="13" t="str">
        <f t="shared" si="37"/>
        <v>(4000, 5000]</v>
      </c>
      <c r="B134" s="89">
        <v>0</v>
      </c>
      <c r="C134" s="89">
        <v>0</v>
      </c>
      <c r="D134" s="27">
        <f t="shared" si="38"/>
        <v>0</v>
      </c>
      <c r="E134" s="90">
        <f t="shared" si="39"/>
        <v>0</v>
      </c>
      <c r="F134" s="88"/>
      <c r="G134" s="13" t="str">
        <f t="shared" si="40"/>
        <v>(4000, 5000]</v>
      </c>
      <c r="H134" s="86">
        <v>0</v>
      </c>
      <c r="I134" s="27">
        <f t="shared" si="41"/>
        <v>0</v>
      </c>
      <c r="J134" s="27">
        <f t="shared" si="42"/>
        <v>0</v>
      </c>
      <c r="K134" s="92">
        <f t="shared" si="43"/>
        <v>0</v>
      </c>
      <c r="L134" s="100">
        <f t="shared" si="44"/>
        <v>0</v>
      </c>
      <c r="M134" s="100">
        <f t="shared" si="45"/>
        <v>0</v>
      </c>
      <c r="N134" s="88"/>
      <c r="O134" s="45">
        <v>4000</v>
      </c>
      <c r="P134" s="45">
        <v>5000</v>
      </c>
      <c r="Q134" s="100">
        <f t="shared" si="46"/>
        <v>0</v>
      </c>
      <c r="R134" s="100">
        <v>0</v>
      </c>
      <c r="T134" s="27"/>
      <c r="U134" s="50">
        <f t="shared" si="47"/>
        <v>0</v>
      </c>
    </row>
    <row r="135" spans="1:21" x14ac:dyDescent="0.3">
      <c r="A135" s="13" t="str">
        <f t="shared" si="37"/>
        <v>(5000, 6000]</v>
      </c>
      <c r="B135" s="89">
        <v>0</v>
      </c>
      <c r="C135" s="89">
        <v>0</v>
      </c>
      <c r="D135" s="27">
        <f t="shared" si="38"/>
        <v>0</v>
      </c>
      <c r="E135" s="90">
        <f t="shared" si="39"/>
        <v>0</v>
      </c>
      <c r="F135" s="88"/>
      <c r="G135" s="13" t="str">
        <f t="shared" si="40"/>
        <v>(5000, 6000]</v>
      </c>
      <c r="H135" s="86">
        <v>0</v>
      </c>
      <c r="I135" s="27">
        <f t="shared" si="41"/>
        <v>0</v>
      </c>
      <c r="J135" s="27">
        <f t="shared" si="42"/>
        <v>0</v>
      </c>
      <c r="K135" s="92">
        <f t="shared" si="43"/>
        <v>0</v>
      </c>
      <c r="L135" s="100">
        <f t="shared" si="44"/>
        <v>0</v>
      </c>
      <c r="M135" s="100">
        <f t="shared" si="45"/>
        <v>0</v>
      </c>
      <c r="N135" s="88"/>
      <c r="O135" s="45">
        <v>5000</v>
      </c>
      <c r="P135" s="45">
        <v>6000</v>
      </c>
      <c r="Q135" s="100">
        <f t="shared" si="46"/>
        <v>0</v>
      </c>
      <c r="R135" s="100">
        <v>0</v>
      </c>
      <c r="T135" s="27"/>
      <c r="U135" s="50">
        <f t="shared" si="47"/>
        <v>0</v>
      </c>
    </row>
    <row r="136" spans="1:21" x14ac:dyDescent="0.3">
      <c r="A136" s="13" t="str">
        <f t="shared" si="37"/>
        <v>(6000, 7000]</v>
      </c>
      <c r="B136" s="89">
        <v>0</v>
      </c>
      <c r="C136" s="89">
        <v>0</v>
      </c>
      <c r="D136" s="27">
        <f t="shared" si="38"/>
        <v>0</v>
      </c>
      <c r="E136" s="90">
        <f t="shared" si="39"/>
        <v>0</v>
      </c>
      <c r="F136" s="88"/>
      <c r="G136" s="13" t="str">
        <f t="shared" si="40"/>
        <v>(6000, 7000]</v>
      </c>
      <c r="H136" s="86">
        <v>0</v>
      </c>
      <c r="I136" s="27">
        <f t="shared" si="41"/>
        <v>0</v>
      </c>
      <c r="J136" s="27">
        <f t="shared" si="42"/>
        <v>0</v>
      </c>
      <c r="K136" s="92">
        <f t="shared" si="43"/>
        <v>0</v>
      </c>
      <c r="L136" s="100">
        <f t="shared" si="44"/>
        <v>0</v>
      </c>
      <c r="M136" s="100">
        <f t="shared" si="45"/>
        <v>0</v>
      </c>
      <c r="N136" s="88"/>
      <c r="O136" s="45">
        <v>6000</v>
      </c>
      <c r="P136" s="45">
        <v>7000</v>
      </c>
      <c r="Q136" s="100">
        <f t="shared" si="46"/>
        <v>0</v>
      </c>
      <c r="R136" s="100">
        <v>0</v>
      </c>
      <c r="T136" s="27"/>
      <c r="U136" s="50">
        <f t="shared" si="47"/>
        <v>0</v>
      </c>
    </row>
    <row r="137" spans="1:21" x14ac:dyDescent="0.3">
      <c r="A137" s="13" t="str">
        <f t="shared" si="37"/>
        <v>(7000, 8000]</v>
      </c>
      <c r="B137" s="89">
        <v>0</v>
      </c>
      <c r="C137" s="89">
        <v>0</v>
      </c>
      <c r="D137" s="27">
        <f t="shared" si="38"/>
        <v>0</v>
      </c>
      <c r="E137" s="90">
        <f t="shared" si="39"/>
        <v>0</v>
      </c>
      <c r="F137" s="88"/>
      <c r="G137" s="13" t="str">
        <f t="shared" si="40"/>
        <v>(7000, 8000]</v>
      </c>
      <c r="H137" s="86">
        <v>0</v>
      </c>
      <c r="I137" s="27">
        <f t="shared" si="41"/>
        <v>0</v>
      </c>
      <c r="J137" s="27">
        <f t="shared" si="42"/>
        <v>0</v>
      </c>
      <c r="K137" s="92">
        <f t="shared" si="43"/>
        <v>0</v>
      </c>
      <c r="L137" s="100">
        <f t="shared" si="44"/>
        <v>0</v>
      </c>
      <c r="M137" s="100">
        <f t="shared" si="45"/>
        <v>0</v>
      </c>
      <c r="N137" s="88"/>
      <c r="O137" s="45">
        <v>7000</v>
      </c>
      <c r="P137" s="45">
        <v>8000</v>
      </c>
      <c r="Q137" s="100">
        <f t="shared" si="46"/>
        <v>0</v>
      </c>
      <c r="R137" s="100">
        <v>0</v>
      </c>
      <c r="T137" s="27"/>
      <c r="U137" s="50">
        <f t="shared" si="47"/>
        <v>0</v>
      </c>
    </row>
    <row r="138" spans="1:21" x14ac:dyDescent="0.3">
      <c r="A138" s="13" t="str">
        <f t="shared" si="37"/>
        <v>(8000, 9000]</v>
      </c>
      <c r="B138" s="89">
        <v>0</v>
      </c>
      <c r="C138" s="89">
        <v>0</v>
      </c>
      <c r="D138" s="27">
        <f t="shared" si="38"/>
        <v>0</v>
      </c>
      <c r="E138" s="90">
        <f t="shared" si="39"/>
        <v>0</v>
      </c>
      <c r="F138" s="88"/>
      <c r="G138" s="13" t="str">
        <f t="shared" si="40"/>
        <v>(8000, 9000]</v>
      </c>
      <c r="H138" s="86">
        <v>0</v>
      </c>
      <c r="I138" s="27">
        <f t="shared" si="41"/>
        <v>0</v>
      </c>
      <c r="J138" s="27">
        <f t="shared" si="42"/>
        <v>0</v>
      </c>
      <c r="K138" s="92">
        <f t="shared" si="43"/>
        <v>0</v>
      </c>
      <c r="L138" s="100">
        <f t="shared" si="44"/>
        <v>0</v>
      </c>
      <c r="M138" s="100">
        <f t="shared" si="45"/>
        <v>0</v>
      </c>
      <c r="N138" s="88"/>
      <c r="O138" s="45">
        <v>8000</v>
      </c>
      <c r="P138" s="45">
        <v>9000</v>
      </c>
      <c r="Q138" s="100">
        <f t="shared" si="46"/>
        <v>0</v>
      </c>
      <c r="R138" s="100">
        <v>0</v>
      </c>
      <c r="T138" s="27"/>
      <c r="U138" s="50">
        <f t="shared" si="47"/>
        <v>0</v>
      </c>
    </row>
    <row r="139" spans="1:21" x14ac:dyDescent="0.3">
      <c r="A139" s="13" t="str">
        <f t="shared" si="37"/>
        <v>(9000, 10000]</v>
      </c>
      <c r="B139" s="89">
        <v>0</v>
      </c>
      <c r="C139" s="89">
        <v>0</v>
      </c>
      <c r="D139" s="27">
        <f t="shared" si="38"/>
        <v>0</v>
      </c>
      <c r="E139" s="90">
        <f t="shared" si="39"/>
        <v>0</v>
      </c>
      <c r="F139" s="88"/>
      <c r="G139" s="13" t="str">
        <f t="shared" si="40"/>
        <v>(9000, 10000]</v>
      </c>
      <c r="H139" s="86">
        <v>0</v>
      </c>
      <c r="I139" s="27">
        <f t="shared" si="41"/>
        <v>0</v>
      </c>
      <c r="J139" s="27">
        <f t="shared" si="42"/>
        <v>0</v>
      </c>
      <c r="K139" s="92">
        <f t="shared" si="43"/>
        <v>0</v>
      </c>
      <c r="L139" s="100">
        <f t="shared" si="44"/>
        <v>0</v>
      </c>
      <c r="M139" s="100">
        <f t="shared" si="45"/>
        <v>0</v>
      </c>
      <c r="N139" s="88"/>
      <c r="O139" s="45">
        <v>9000</v>
      </c>
      <c r="P139" s="45">
        <v>10000</v>
      </c>
      <c r="Q139" s="100">
        <f t="shared" si="46"/>
        <v>0</v>
      </c>
      <c r="R139" s="100">
        <v>0</v>
      </c>
      <c r="T139" s="27"/>
      <c r="U139" s="50">
        <f t="shared" si="47"/>
        <v>0</v>
      </c>
    </row>
    <row r="140" spans="1:21" x14ac:dyDescent="0.3">
      <c r="A140" s="13" t="str">
        <f t="shared" si="37"/>
        <v>(10000, 20000]</v>
      </c>
      <c r="B140" s="89">
        <v>0</v>
      </c>
      <c r="C140" s="89">
        <v>0</v>
      </c>
      <c r="D140" s="27">
        <f t="shared" si="38"/>
        <v>0</v>
      </c>
      <c r="E140" s="90">
        <f t="shared" si="39"/>
        <v>0</v>
      </c>
      <c r="F140" s="88"/>
      <c r="G140" s="13" t="str">
        <f t="shared" si="40"/>
        <v>(10000, 20000]</v>
      </c>
      <c r="H140" s="86">
        <v>0</v>
      </c>
      <c r="I140" s="27">
        <f t="shared" si="41"/>
        <v>0</v>
      </c>
      <c r="J140" s="27">
        <f t="shared" si="42"/>
        <v>0</v>
      </c>
      <c r="K140" s="92">
        <f t="shared" si="43"/>
        <v>0</v>
      </c>
      <c r="L140" s="100">
        <f t="shared" si="44"/>
        <v>0</v>
      </c>
      <c r="M140" s="100">
        <f t="shared" si="45"/>
        <v>0</v>
      </c>
      <c r="N140" s="88"/>
      <c r="O140" s="45">
        <v>10000</v>
      </c>
      <c r="P140" s="45">
        <v>20000</v>
      </c>
      <c r="Q140" s="100">
        <f t="shared" si="46"/>
        <v>0</v>
      </c>
      <c r="R140" s="100">
        <v>0</v>
      </c>
      <c r="T140" s="27"/>
      <c r="U140" s="50">
        <f t="shared" si="47"/>
        <v>0</v>
      </c>
    </row>
    <row r="141" spans="1:21" x14ac:dyDescent="0.3">
      <c r="A141" s="13" t="str">
        <f t="shared" si="37"/>
        <v>(20000, 30000]</v>
      </c>
      <c r="B141" s="89">
        <v>0</v>
      </c>
      <c r="C141" s="89">
        <v>0</v>
      </c>
      <c r="D141" s="27">
        <f t="shared" si="38"/>
        <v>0</v>
      </c>
      <c r="E141" s="90">
        <f t="shared" si="39"/>
        <v>0</v>
      </c>
      <c r="F141" s="88"/>
      <c r="G141" s="13" t="str">
        <f t="shared" si="40"/>
        <v>(20000, 30000]</v>
      </c>
      <c r="H141" s="86">
        <v>0</v>
      </c>
      <c r="I141" s="27">
        <f t="shared" si="41"/>
        <v>0</v>
      </c>
      <c r="J141" s="27">
        <f t="shared" si="42"/>
        <v>0</v>
      </c>
      <c r="K141" s="92">
        <f t="shared" si="43"/>
        <v>0</v>
      </c>
      <c r="L141" s="100">
        <f t="shared" si="44"/>
        <v>0</v>
      </c>
      <c r="M141" s="100">
        <f t="shared" si="45"/>
        <v>0</v>
      </c>
      <c r="N141" s="88"/>
      <c r="O141" s="45">
        <v>20000</v>
      </c>
      <c r="P141" s="45">
        <v>30000</v>
      </c>
      <c r="Q141" s="100">
        <f t="shared" si="46"/>
        <v>0</v>
      </c>
      <c r="R141" s="100">
        <v>0</v>
      </c>
      <c r="T141" s="27"/>
      <c r="U141" s="50">
        <f t="shared" si="47"/>
        <v>0</v>
      </c>
    </row>
    <row r="142" spans="1:21" x14ac:dyDescent="0.3">
      <c r="A142" s="13" t="str">
        <f t="shared" si="37"/>
        <v>(30000, 40000]</v>
      </c>
      <c r="B142" s="89">
        <v>0</v>
      </c>
      <c r="C142" s="89">
        <v>0</v>
      </c>
      <c r="D142" s="27">
        <f t="shared" si="38"/>
        <v>0</v>
      </c>
      <c r="E142" s="90">
        <f t="shared" si="39"/>
        <v>0</v>
      </c>
      <c r="F142" s="88"/>
      <c r="G142" s="13" t="str">
        <f t="shared" si="40"/>
        <v>(30000, 40000]</v>
      </c>
      <c r="H142" s="86">
        <v>0</v>
      </c>
      <c r="I142" s="27">
        <f t="shared" si="41"/>
        <v>0</v>
      </c>
      <c r="J142" s="27">
        <f t="shared" si="42"/>
        <v>0</v>
      </c>
      <c r="K142" s="92">
        <f t="shared" si="43"/>
        <v>0</v>
      </c>
      <c r="L142" s="100">
        <f t="shared" si="44"/>
        <v>0</v>
      </c>
      <c r="M142" s="100">
        <f t="shared" si="45"/>
        <v>0</v>
      </c>
      <c r="N142" s="88"/>
      <c r="O142" s="45">
        <v>30000</v>
      </c>
      <c r="P142" s="45">
        <v>40000</v>
      </c>
      <c r="Q142" s="100">
        <f t="shared" si="46"/>
        <v>0</v>
      </c>
      <c r="R142" s="100">
        <v>0</v>
      </c>
      <c r="T142" s="27"/>
      <c r="U142" s="50">
        <f t="shared" si="47"/>
        <v>0</v>
      </c>
    </row>
    <row r="143" spans="1:21" x14ac:dyDescent="0.3">
      <c r="A143" s="13" t="str">
        <f t="shared" si="37"/>
        <v>(40000, 50000]</v>
      </c>
      <c r="B143" s="89">
        <v>0</v>
      </c>
      <c r="C143" s="89">
        <v>0</v>
      </c>
      <c r="D143" s="27">
        <f t="shared" si="38"/>
        <v>0</v>
      </c>
      <c r="E143" s="90">
        <f t="shared" si="39"/>
        <v>0</v>
      </c>
      <c r="F143" s="88"/>
      <c r="G143" s="13" t="str">
        <f t="shared" si="40"/>
        <v>(40000, 50000]</v>
      </c>
      <c r="H143" s="86">
        <v>0</v>
      </c>
      <c r="I143" s="27">
        <f t="shared" si="41"/>
        <v>0</v>
      </c>
      <c r="J143" s="27">
        <f t="shared" si="42"/>
        <v>0</v>
      </c>
      <c r="K143" s="92">
        <f t="shared" si="43"/>
        <v>0</v>
      </c>
      <c r="L143" s="100">
        <f t="shared" si="44"/>
        <v>0</v>
      </c>
      <c r="M143" s="100">
        <f t="shared" si="45"/>
        <v>0</v>
      </c>
      <c r="N143" s="88"/>
      <c r="O143" s="45">
        <v>40000</v>
      </c>
      <c r="P143" s="45">
        <v>50000</v>
      </c>
      <c r="Q143" s="100">
        <f t="shared" si="46"/>
        <v>0</v>
      </c>
      <c r="R143" s="100">
        <v>0</v>
      </c>
      <c r="T143" s="27"/>
      <c r="U143" s="50">
        <f t="shared" si="47"/>
        <v>0</v>
      </c>
    </row>
    <row r="144" spans="1:21" x14ac:dyDescent="0.3">
      <c r="A144" s="13" t="str">
        <f t="shared" si="37"/>
        <v>(50000, 60000]</v>
      </c>
      <c r="B144" s="89">
        <v>0</v>
      </c>
      <c r="C144" s="89">
        <v>0</v>
      </c>
      <c r="D144" s="27">
        <f t="shared" si="38"/>
        <v>0</v>
      </c>
      <c r="E144" s="90">
        <f t="shared" si="39"/>
        <v>0</v>
      </c>
      <c r="F144" s="88"/>
      <c r="G144" s="13" t="str">
        <f t="shared" si="40"/>
        <v>(50000, 60000]</v>
      </c>
      <c r="H144" s="86">
        <v>0</v>
      </c>
      <c r="I144" s="27">
        <f t="shared" si="41"/>
        <v>0</v>
      </c>
      <c r="J144" s="27">
        <f t="shared" si="42"/>
        <v>0</v>
      </c>
      <c r="K144" s="92">
        <f t="shared" si="43"/>
        <v>0</v>
      </c>
      <c r="L144" s="100">
        <f t="shared" si="44"/>
        <v>0</v>
      </c>
      <c r="M144" s="100">
        <f t="shared" si="45"/>
        <v>0</v>
      </c>
      <c r="N144" s="88"/>
      <c r="O144" s="45">
        <v>50000</v>
      </c>
      <c r="P144" s="45">
        <v>60000</v>
      </c>
      <c r="Q144" s="100">
        <f t="shared" si="46"/>
        <v>0</v>
      </c>
      <c r="R144" s="100">
        <v>0</v>
      </c>
      <c r="T144" s="27"/>
      <c r="U144" s="50">
        <f t="shared" si="47"/>
        <v>0</v>
      </c>
    </row>
    <row r="145" spans="1:21" x14ac:dyDescent="0.3">
      <c r="A145" s="13" t="str">
        <f t="shared" si="37"/>
        <v>(60000, 70000]</v>
      </c>
      <c r="B145" s="89">
        <v>0</v>
      </c>
      <c r="C145" s="89">
        <v>0</v>
      </c>
      <c r="D145" s="27">
        <f t="shared" si="38"/>
        <v>0</v>
      </c>
      <c r="E145" s="90">
        <f t="shared" si="39"/>
        <v>0</v>
      </c>
      <c r="F145" s="88"/>
      <c r="G145" s="13" t="str">
        <f t="shared" si="40"/>
        <v>(60000, 70000]</v>
      </c>
      <c r="H145" s="86">
        <v>0</v>
      </c>
      <c r="I145" s="27">
        <f t="shared" si="41"/>
        <v>0</v>
      </c>
      <c r="J145" s="27">
        <f t="shared" si="42"/>
        <v>0</v>
      </c>
      <c r="K145" s="92">
        <f t="shared" si="43"/>
        <v>0</v>
      </c>
      <c r="L145" s="100">
        <f t="shared" si="44"/>
        <v>0</v>
      </c>
      <c r="M145" s="100">
        <f t="shared" si="45"/>
        <v>0</v>
      </c>
      <c r="N145" s="88"/>
      <c r="O145" s="45">
        <v>60000</v>
      </c>
      <c r="P145" s="45">
        <v>70000</v>
      </c>
      <c r="Q145" s="100">
        <f t="shared" si="46"/>
        <v>0</v>
      </c>
      <c r="R145" s="100">
        <v>0</v>
      </c>
      <c r="T145" s="27"/>
      <c r="U145" s="50">
        <f t="shared" si="47"/>
        <v>0</v>
      </c>
    </row>
    <row r="146" spans="1:21" x14ac:dyDescent="0.3">
      <c r="A146" s="13" t="str">
        <f t="shared" si="37"/>
        <v>(70000, 80000]</v>
      </c>
      <c r="B146" s="89">
        <v>0</v>
      </c>
      <c r="C146" s="89">
        <v>0</v>
      </c>
      <c r="D146" s="27">
        <f t="shared" si="38"/>
        <v>0</v>
      </c>
      <c r="E146" s="90">
        <f t="shared" si="39"/>
        <v>0</v>
      </c>
      <c r="F146" s="88"/>
      <c r="G146" s="13" t="str">
        <f t="shared" si="40"/>
        <v>(70000, 80000]</v>
      </c>
      <c r="H146" s="86">
        <v>0</v>
      </c>
      <c r="I146" s="27">
        <f t="shared" si="41"/>
        <v>0</v>
      </c>
      <c r="J146" s="27">
        <f t="shared" si="42"/>
        <v>0</v>
      </c>
      <c r="K146" s="92">
        <f t="shared" si="43"/>
        <v>0</v>
      </c>
      <c r="L146" s="100">
        <f t="shared" si="44"/>
        <v>0</v>
      </c>
      <c r="M146" s="100">
        <f t="shared" si="45"/>
        <v>0</v>
      </c>
      <c r="N146" s="88"/>
      <c r="O146" s="45">
        <v>70000</v>
      </c>
      <c r="P146" s="45">
        <v>80000</v>
      </c>
      <c r="Q146" s="100">
        <f t="shared" si="46"/>
        <v>0</v>
      </c>
      <c r="R146" s="100">
        <v>0</v>
      </c>
      <c r="T146" s="27"/>
      <c r="U146" s="50">
        <f t="shared" si="47"/>
        <v>0</v>
      </c>
    </row>
    <row r="147" spans="1:21" x14ac:dyDescent="0.3">
      <c r="A147" s="13" t="str">
        <f t="shared" si="37"/>
        <v>(80000, 90000]</v>
      </c>
      <c r="B147" s="89">
        <v>0</v>
      </c>
      <c r="C147" s="89">
        <v>0</v>
      </c>
      <c r="D147" s="27">
        <f t="shared" si="38"/>
        <v>0</v>
      </c>
      <c r="E147" s="90">
        <f t="shared" si="39"/>
        <v>0</v>
      </c>
      <c r="F147" s="88"/>
      <c r="G147" s="13" t="str">
        <f t="shared" si="40"/>
        <v>(80000, 90000]</v>
      </c>
      <c r="H147" s="86">
        <v>0</v>
      </c>
      <c r="I147" s="27">
        <f t="shared" si="41"/>
        <v>0</v>
      </c>
      <c r="J147" s="27">
        <f t="shared" si="42"/>
        <v>0</v>
      </c>
      <c r="K147" s="92">
        <f t="shared" si="43"/>
        <v>0</v>
      </c>
      <c r="L147" s="100">
        <f t="shared" si="44"/>
        <v>0</v>
      </c>
      <c r="M147" s="100">
        <f t="shared" si="45"/>
        <v>0</v>
      </c>
      <c r="N147" s="88"/>
      <c r="O147" s="45">
        <v>80000</v>
      </c>
      <c r="P147" s="45">
        <v>90000</v>
      </c>
      <c r="Q147" s="100">
        <f t="shared" si="46"/>
        <v>0</v>
      </c>
      <c r="R147" s="100">
        <v>0</v>
      </c>
      <c r="T147" s="27"/>
      <c r="U147" s="50">
        <f t="shared" si="47"/>
        <v>0</v>
      </c>
    </row>
    <row r="148" spans="1:21" x14ac:dyDescent="0.3">
      <c r="A148" s="13" t="str">
        <f t="shared" si="37"/>
        <v>(90000, 100000]</v>
      </c>
      <c r="B148" s="89">
        <v>0</v>
      </c>
      <c r="C148" s="89">
        <v>0</v>
      </c>
      <c r="D148" s="27">
        <f t="shared" si="38"/>
        <v>0</v>
      </c>
      <c r="E148" s="90">
        <f t="shared" si="39"/>
        <v>0</v>
      </c>
      <c r="F148" s="88"/>
      <c r="G148" s="13" t="str">
        <f t="shared" si="40"/>
        <v>(90000, 100000]</v>
      </c>
      <c r="H148" s="86">
        <v>0</v>
      </c>
      <c r="I148" s="27">
        <f t="shared" si="41"/>
        <v>0</v>
      </c>
      <c r="J148" s="27">
        <f t="shared" si="42"/>
        <v>0</v>
      </c>
      <c r="K148" s="92">
        <f t="shared" si="43"/>
        <v>0</v>
      </c>
      <c r="L148" s="100">
        <f t="shared" si="44"/>
        <v>0</v>
      </c>
      <c r="M148" s="100">
        <f t="shared" si="45"/>
        <v>0</v>
      </c>
      <c r="N148" s="88"/>
      <c r="O148" s="45">
        <v>90000</v>
      </c>
      <c r="P148" s="45">
        <v>100000</v>
      </c>
      <c r="Q148" s="100">
        <f t="shared" si="46"/>
        <v>0</v>
      </c>
      <c r="R148" s="100">
        <v>0</v>
      </c>
      <c r="T148" s="27"/>
      <c r="U148" s="50">
        <f t="shared" si="47"/>
        <v>0</v>
      </c>
    </row>
    <row r="149" spans="1:21" x14ac:dyDescent="0.3">
      <c r="A149" s="13" t="str">
        <f t="shared" si="37"/>
        <v>(100000, 9999999]</v>
      </c>
      <c r="B149" s="89">
        <v>0</v>
      </c>
      <c r="C149" s="89">
        <v>0</v>
      </c>
      <c r="D149" s="27">
        <f t="shared" si="38"/>
        <v>0</v>
      </c>
      <c r="E149" s="90">
        <f t="shared" si="39"/>
        <v>0</v>
      </c>
      <c r="F149" s="88"/>
      <c r="G149" s="13" t="str">
        <f t="shared" si="40"/>
        <v>(100000, 9999999]</v>
      </c>
      <c r="H149" s="86">
        <v>0</v>
      </c>
      <c r="I149" s="27">
        <f t="shared" si="41"/>
        <v>0</v>
      </c>
      <c r="J149" s="27">
        <f t="shared" si="42"/>
        <v>0</v>
      </c>
      <c r="K149" s="92">
        <f t="shared" si="43"/>
        <v>0</v>
      </c>
      <c r="L149" s="100">
        <f t="shared" si="44"/>
        <v>0</v>
      </c>
      <c r="M149" s="100">
        <f t="shared" si="45"/>
        <v>0</v>
      </c>
      <c r="N149" s="88"/>
      <c r="O149" s="45">
        <v>100000</v>
      </c>
      <c r="P149" s="45">
        <v>9999999</v>
      </c>
      <c r="Q149" s="100">
        <f t="shared" si="46"/>
        <v>0</v>
      </c>
      <c r="R149" s="100">
        <v>0</v>
      </c>
      <c r="T149" s="27"/>
      <c r="U149" s="50">
        <f t="shared" si="47"/>
        <v>0</v>
      </c>
    </row>
    <row r="150" spans="1:21" x14ac:dyDescent="0.3">
      <c r="F150" s="4"/>
      <c r="N150" s="4"/>
      <c r="O150" s="4"/>
      <c r="P150" s="4"/>
    </row>
    <row r="152" spans="1:21" s="57" customFormat="1" ht="15.6" customHeight="1" collapsed="1" x14ac:dyDescent="0.3">
      <c r="A152" s="64" t="s">
        <v>10</v>
      </c>
      <c r="B152" s="64" t="s">
        <v>17</v>
      </c>
      <c r="C152" s="64"/>
      <c r="D152" s="54"/>
      <c r="E152" s="54"/>
      <c r="F152" s="55"/>
      <c r="G152" s="64" t="s">
        <v>10</v>
      </c>
      <c r="H152" s="64" t="s">
        <v>17</v>
      </c>
      <c r="I152" s="56"/>
      <c r="J152" s="56"/>
      <c r="K152" s="56"/>
      <c r="L152" s="56"/>
      <c r="M152" s="56"/>
      <c r="N152" s="55"/>
      <c r="O152" s="64" t="s">
        <v>10</v>
      </c>
      <c r="P152" s="64" t="s">
        <v>17</v>
      </c>
      <c r="Q152" s="56"/>
      <c r="R152" s="56"/>
    </row>
    <row r="153" spans="1:21" x14ac:dyDescent="0.3">
      <c r="A153" s="29"/>
      <c r="B153" s="1"/>
      <c r="C153" s="1"/>
      <c r="D153" s="1"/>
      <c r="E153" s="1"/>
      <c r="G153" s="35"/>
      <c r="H153" s="29"/>
      <c r="I153" s="29"/>
      <c r="J153" s="29"/>
      <c r="K153" s="29"/>
      <c r="L153" s="29"/>
      <c r="M153" s="29"/>
      <c r="Q153" s="29"/>
      <c r="R153" s="29"/>
    </row>
    <row r="154" spans="1:21" x14ac:dyDescent="0.3">
      <c r="A154" s="48" t="s">
        <v>100</v>
      </c>
      <c r="C154" s="1"/>
      <c r="D154" s="1"/>
      <c r="E154" s="1"/>
      <c r="G154" s="48" t="s">
        <v>101</v>
      </c>
      <c r="H154" s="29"/>
      <c r="I154" s="29"/>
      <c r="J154" s="29"/>
      <c r="K154" s="29"/>
      <c r="L154" s="29"/>
      <c r="M154" s="29"/>
      <c r="Q154" s="29"/>
      <c r="R154" s="29"/>
    </row>
    <row r="155" spans="1:21" x14ac:dyDescent="0.3">
      <c r="A155" s="9" t="s">
        <v>19</v>
      </c>
      <c r="B155" s="9" t="s">
        <v>102</v>
      </c>
      <c r="C155" s="9" t="s">
        <v>103</v>
      </c>
      <c r="D155" s="9" t="s">
        <v>94</v>
      </c>
      <c r="E155" s="9" t="s">
        <v>104</v>
      </c>
      <c r="G155" s="9" t="s">
        <v>19</v>
      </c>
      <c r="H155" s="9" t="s">
        <v>105</v>
      </c>
      <c r="I155" s="9" t="s">
        <v>106</v>
      </c>
      <c r="J155" s="9" t="s">
        <v>107</v>
      </c>
      <c r="K155" s="9" t="s">
        <v>108</v>
      </c>
      <c r="L155" s="9" t="s">
        <v>94</v>
      </c>
      <c r="M155" s="9" t="s">
        <v>109</v>
      </c>
      <c r="Q155" s="9" t="s">
        <v>112</v>
      </c>
      <c r="R155" s="9" t="s">
        <v>113</v>
      </c>
    </row>
    <row r="156" spans="1:21" x14ac:dyDescent="0.3">
      <c r="A156" s="13" t="s">
        <v>10</v>
      </c>
      <c r="B156" s="89">
        <v>8364049</v>
      </c>
      <c r="C156" s="89">
        <v>0</v>
      </c>
      <c r="D156" s="53">
        <v>1</v>
      </c>
      <c r="E156" s="90">
        <f>C156/B156/B3</f>
        <v>0</v>
      </c>
      <c r="F156" s="91"/>
      <c r="G156" s="13" t="s">
        <v>10</v>
      </c>
      <c r="H156" s="86">
        <v>1</v>
      </c>
      <c r="I156" s="27">
        <f>D156*H156</f>
        <v>1</v>
      </c>
      <c r="J156" s="53">
        <f>I156/SUM(I156)</f>
        <v>1</v>
      </c>
      <c r="K156" s="87">
        <f>INT(J156*$B$2)</f>
        <v>1000000000</v>
      </c>
      <c r="L156" s="100">
        <f>IFERROR(K156/SUM(K156),0)</f>
        <v>1</v>
      </c>
      <c r="M156" s="100">
        <f>L156*E156</f>
        <v>0</v>
      </c>
      <c r="Q156" s="100"/>
      <c r="R156" s="100"/>
    </row>
    <row r="157" spans="1:21" x14ac:dyDescent="0.3">
      <c r="B157" s="1"/>
      <c r="C157" s="1"/>
      <c r="D157" s="1"/>
      <c r="E157" s="1"/>
      <c r="G157" s="35"/>
      <c r="H157" s="29"/>
      <c r="I157" s="29"/>
      <c r="J157" s="29"/>
      <c r="K157" s="29"/>
      <c r="L157" s="29"/>
      <c r="M157" s="29"/>
      <c r="Q157" s="29"/>
      <c r="R157" s="29"/>
    </row>
    <row r="159" spans="1:21" s="57" customFormat="1" ht="15.6" customHeight="1" x14ac:dyDescent="0.3">
      <c r="A159" s="64" t="s">
        <v>10</v>
      </c>
      <c r="B159" s="64" t="s">
        <v>18</v>
      </c>
      <c r="C159" s="64"/>
      <c r="D159" s="54"/>
      <c r="E159" s="54"/>
      <c r="F159" s="55"/>
      <c r="G159" s="64" t="s">
        <v>10</v>
      </c>
      <c r="H159" s="64" t="s">
        <v>18</v>
      </c>
      <c r="I159" s="56"/>
      <c r="J159" s="56"/>
      <c r="K159" s="56"/>
      <c r="L159" s="56"/>
      <c r="M159" s="56"/>
      <c r="N159" s="55"/>
      <c r="O159" s="64" t="s">
        <v>10</v>
      </c>
      <c r="P159" s="64" t="s">
        <v>18</v>
      </c>
      <c r="Q159" s="56"/>
      <c r="R159" s="56"/>
    </row>
    <row r="160" spans="1:21" x14ac:dyDescent="0.3">
      <c r="A160" s="29"/>
      <c r="B160" s="1"/>
      <c r="C160" s="1"/>
      <c r="D160" s="1"/>
      <c r="E160" s="1"/>
      <c r="G160" s="35"/>
      <c r="H160" s="29"/>
      <c r="I160" s="29"/>
      <c r="J160" s="29"/>
      <c r="K160" s="29"/>
      <c r="L160" s="29"/>
      <c r="M160" s="29"/>
      <c r="Q160" s="29"/>
      <c r="R160" s="29"/>
    </row>
    <row r="161" spans="1:21" x14ac:dyDescent="0.3">
      <c r="A161" s="48" t="s">
        <v>100</v>
      </c>
      <c r="C161" s="1"/>
      <c r="D161" s="1"/>
      <c r="E161" s="1"/>
      <c r="G161" s="48" t="s">
        <v>101</v>
      </c>
      <c r="H161" s="29"/>
      <c r="I161" s="29"/>
      <c r="J161" s="29"/>
      <c r="L161" s="29"/>
      <c r="M161" s="29"/>
      <c r="Q161" s="29"/>
      <c r="R161" s="29"/>
    </row>
    <row r="162" spans="1:21" x14ac:dyDescent="0.3">
      <c r="A162" s="9" t="s">
        <v>19</v>
      </c>
      <c r="B162" s="9" t="s">
        <v>102</v>
      </c>
      <c r="C162" s="9" t="s">
        <v>103</v>
      </c>
      <c r="D162" s="9" t="s">
        <v>94</v>
      </c>
      <c r="E162" s="9" t="s">
        <v>104</v>
      </c>
      <c r="G162" s="9" t="s">
        <v>19</v>
      </c>
      <c r="H162" s="9" t="s">
        <v>105</v>
      </c>
      <c r="I162" s="9" t="s">
        <v>106</v>
      </c>
      <c r="J162" s="9" t="s">
        <v>107</v>
      </c>
      <c r="K162" s="9" t="s">
        <v>108</v>
      </c>
      <c r="L162" s="9" t="s">
        <v>94</v>
      </c>
      <c r="M162" s="9" t="s">
        <v>109</v>
      </c>
      <c r="O162" s="9" t="s">
        <v>110</v>
      </c>
      <c r="P162" s="9" t="s">
        <v>111</v>
      </c>
      <c r="Q162" s="9" t="s">
        <v>112</v>
      </c>
      <c r="R162" s="9" t="s">
        <v>113</v>
      </c>
      <c r="T162" s="12" t="s">
        <v>112</v>
      </c>
      <c r="U162" s="12" t="s">
        <v>114</v>
      </c>
    </row>
    <row r="163" spans="1:21" x14ac:dyDescent="0.3">
      <c r="A163" s="13" t="str">
        <f t="shared" ref="A163:A194" si="48">"("&amp;$O163&amp;", "&amp;$P163&amp;"]"</f>
        <v>(-1, 0]</v>
      </c>
      <c r="B163" s="95">
        <v>7527</v>
      </c>
      <c r="C163" s="95">
        <v>0</v>
      </c>
      <c r="D163" s="27">
        <f t="shared" ref="D163:D194" si="49">IFERROR(B163/SUM($B$163:$B$226),0)</f>
        <v>7.5270000000000003E-4</v>
      </c>
      <c r="E163" s="85">
        <f t="shared" ref="E163:E194" si="50">IFERROR(C163/B163/$B$3,0)</f>
        <v>0</v>
      </c>
      <c r="G163" s="13" t="str">
        <f t="shared" ref="G163:G194" si="51">"("&amp;$O163&amp;", "&amp;$P163&amp;"]"</f>
        <v>(-1, 0]</v>
      </c>
      <c r="H163" s="86">
        <v>0</v>
      </c>
      <c r="I163" s="27">
        <f t="shared" ref="I163:I194" si="52">D163*H163</f>
        <v>0</v>
      </c>
      <c r="J163" s="27">
        <f t="shared" ref="J163:J194" si="53">IFERROR(I163/SUM($I$163:$I$226),0)</f>
        <v>0</v>
      </c>
      <c r="K163" s="87">
        <f t="shared" ref="K163:K194" si="54">INT(J163*$B$2)</f>
        <v>0</v>
      </c>
      <c r="L163" s="100">
        <f t="shared" ref="L163:L194" si="55">IFERROR(K163/SUM($K$163:$K$226),0)</f>
        <v>0</v>
      </c>
      <c r="M163" s="100">
        <f t="shared" ref="M163:M194" si="56">L163*E163</f>
        <v>0</v>
      </c>
      <c r="N163" s="88"/>
      <c r="O163" s="49">
        <v>-1</v>
      </c>
      <c r="P163" s="49">
        <v>0</v>
      </c>
      <c r="Q163" s="100">
        <f t="shared" ref="Q163:Q194" si="57">L163</f>
        <v>0</v>
      </c>
      <c r="R163" s="100">
        <v>0</v>
      </c>
      <c r="T163" s="27"/>
      <c r="U163" s="50">
        <f t="shared" ref="U163:U194" si="58">IFERROR(ROUND(T163/L163,2),0)</f>
        <v>0</v>
      </c>
    </row>
    <row r="164" spans="1:21" x14ac:dyDescent="0.3">
      <c r="A164" s="13" t="str">
        <f t="shared" si="48"/>
        <v>(0, 1]</v>
      </c>
      <c r="B164" s="96">
        <v>29713</v>
      </c>
      <c r="C164" s="96">
        <v>1730560</v>
      </c>
      <c r="D164" s="27">
        <f t="shared" si="49"/>
        <v>2.9713000000000001E-3</v>
      </c>
      <c r="E164" s="90">
        <f t="shared" si="50"/>
        <v>0.58242520109043172</v>
      </c>
      <c r="G164" s="13" t="str">
        <f t="shared" si="51"/>
        <v>(0, 1]</v>
      </c>
      <c r="H164" s="86">
        <v>0</v>
      </c>
      <c r="I164" s="27">
        <f t="shared" si="52"/>
        <v>0</v>
      </c>
      <c r="J164" s="27">
        <f t="shared" si="53"/>
        <v>0</v>
      </c>
      <c r="K164" s="87">
        <f t="shared" si="54"/>
        <v>0</v>
      </c>
      <c r="L164" s="100">
        <f t="shared" si="55"/>
        <v>0</v>
      </c>
      <c r="M164" s="100">
        <f t="shared" si="56"/>
        <v>0</v>
      </c>
      <c r="N164" s="88"/>
      <c r="O164" s="45">
        <v>0</v>
      </c>
      <c r="P164" s="45">
        <v>1</v>
      </c>
      <c r="Q164" s="100">
        <f t="shared" si="57"/>
        <v>0</v>
      </c>
      <c r="R164" s="100">
        <v>0</v>
      </c>
      <c r="T164" s="27"/>
      <c r="U164" s="50">
        <f t="shared" si="58"/>
        <v>0</v>
      </c>
    </row>
    <row r="165" spans="1:21" x14ac:dyDescent="0.3">
      <c r="A165" s="13" t="str">
        <f t="shared" si="48"/>
        <v>(1, 2]</v>
      </c>
      <c r="B165" s="96">
        <v>33542</v>
      </c>
      <c r="C165" s="96">
        <v>5258050</v>
      </c>
      <c r="D165" s="27">
        <f t="shared" si="49"/>
        <v>3.3541999999999999E-3</v>
      </c>
      <c r="E165" s="90">
        <f t="shared" si="50"/>
        <v>1.5676018126527935</v>
      </c>
      <c r="F165" s="51"/>
      <c r="G165" s="13" t="str">
        <f t="shared" si="51"/>
        <v>(1, 2]</v>
      </c>
      <c r="H165" s="86">
        <v>0</v>
      </c>
      <c r="I165" s="27">
        <f t="shared" si="52"/>
        <v>0</v>
      </c>
      <c r="J165" s="27">
        <f t="shared" si="53"/>
        <v>0</v>
      </c>
      <c r="K165" s="87">
        <f t="shared" si="54"/>
        <v>0</v>
      </c>
      <c r="L165" s="100">
        <f t="shared" si="55"/>
        <v>0</v>
      </c>
      <c r="M165" s="100">
        <f t="shared" si="56"/>
        <v>0</v>
      </c>
      <c r="N165" s="88"/>
      <c r="O165" s="45">
        <v>1</v>
      </c>
      <c r="P165" s="45">
        <v>2</v>
      </c>
      <c r="Q165" s="100">
        <f t="shared" si="57"/>
        <v>0</v>
      </c>
      <c r="R165" s="100">
        <v>0</v>
      </c>
      <c r="T165" s="27"/>
      <c r="U165" s="50">
        <f t="shared" si="58"/>
        <v>0</v>
      </c>
    </row>
    <row r="166" spans="1:21" x14ac:dyDescent="0.3">
      <c r="A166" s="13" t="str">
        <f t="shared" si="48"/>
        <v>(2, 3]</v>
      </c>
      <c r="B166" s="96">
        <v>35490</v>
      </c>
      <c r="C166" s="96">
        <v>9114470</v>
      </c>
      <c r="D166" s="27">
        <f t="shared" si="49"/>
        <v>3.5490000000000001E-3</v>
      </c>
      <c r="E166" s="90">
        <f t="shared" si="50"/>
        <v>2.5681797689489998</v>
      </c>
      <c r="F166" s="88"/>
      <c r="G166" s="13" t="str">
        <f t="shared" si="51"/>
        <v>(2, 3]</v>
      </c>
      <c r="H166" s="86">
        <v>0</v>
      </c>
      <c r="I166" s="27">
        <f t="shared" si="52"/>
        <v>0</v>
      </c>
      <c r="J166" s="27">
        <f t="shared" si="53"/>
        <v>0</v>
      </c>
      <c r="K166" s="87">
        <f t="shared" si="54"/>
        <v>0</v>
      </c>
      <c r="L166" s="100">
        <f t="shared" si="55"/>
        <v>0</v>
      </c>
      <c r="M166" s="100">
        <f t="shared" si="56"/>
        <v>0</v>
      </c>
      <c r="N166" s="88"/>
      <c r="O166" s="45">
        <v>2</v>
      </c>
      <c r="P166" s="45">
        <v>3</v>
      </c>
      <c r="Q166" s="100">
        <f t="shared" si="57"/>
        <v>0</v>
      </c>
      <c r="R166" s="100">
        <v>0</v>
      </c>
      <c r="T166" s="27"/>
      <c r="U166" s="50">
        <f t="shared" si="58"/>
        <v>0</v>
      </c>
    </row>
    <row r="167" spans="1:21" x14ac:dyDescent="0.3">
      <c r="A167" s="13" t="str">
        <f t="shared" si="48"/>
        <v>(3, 4]</v>
      </c>
      <c r="B167" s="96">
        <v>34725</v>
      </c>
      <c r="C167" s="96">
        <v>12370880</v>
      </c>
      <c r="D167" s="27">
        <f t="shared" si="49"/>
        <v>3.4724999999999999E-3</v>
      </c>
      <c r="E167" s="90">
        <f t="shared" si="50"/>
        <v>3.562528437724982</v>
      </c>
      <c r="F167" s="88"/>
      <c r="G167" s="13" t="str">
        <f t="shared" si="51"/>
        <v>(3, 4]</v>
      </c>
      <c r="H167" s="86">
        <v>0</v>
      </c>
      <c r="I167" s="27">
        <f t="shared" si="52"/>
        <v>0</v>
      </c>
      <c r="J167" s="27">
        <f t="shared" si="53"/>
        <v>0</v>
      </c>
      <c r="K167" s="87">
        <f t="shared" si="54"/>
        <v>0</v>
      </c>
      <c r="L167" s="100">
        <f t="shared" si="55"/>
        <v>0</v>
      </c>
      <c r="M167" s="100">
        <f t="shared" si="56"/>
        <v>0</v>
      </c>
      <c r="N167" s="88"/>
      <c r="O167" s="45">
        <v>3</v>
      </c>
      <c r="P167" s="45">
        <v>4</v>
      </c>
      <c r="Q167" s="100">
        <f t="shared" si="57"/>
        <v>0</v>
      </c>
      <c r="R167" s="100">
        <v>0</v>
      </c>
      <c r="T167" s="27"/>
      <c r="U167" s="50">
        <f t="shared" si="58"/>
        <v>0</v>
      </c>
    </row>
    <row r="168" spans="1:21" x14ac:dyDescent="0.3">
      <c r="A168" s="13" t="str">
        <f t="shared" si="48"/>
        <v>(4, 5]</v>
      </c>
      <c r="B168" s="96">
        <v>36132</v>
      </c>
      <c r="C168" s="96">
        <v>16504430</v>
      </c>
      <c r="D168" s="27">
        <f t="shared" si="49"/>
        <v>3.6132E-3</v>
      </c>
      <c r="E168" s="90">
        <f t="shared" si="50"/>
        <v>4.5678152330344295</v>
      </c>
      <c r="F168" s="88"/>
      <c r="G168" s="13" t="str">
        <f t="shared" si="51"/>
        <v>(4, 5]</v>
      </c>
      <c r="H168" s="86">
        <v>0</v>
      </c>
      <c r="I168" s="27">
        <f t="shared" si="52"/>
        <v>0</v>
      </c>
      <c r="J168" s="27">
        <f t="shared" si="53"/>
        <v>0</v>
      </c>
      <c r="K168" s="87">
        <f t="shared" si="54"/>
        <v>0</v>
      </c>
      <c r="L168" s="100">
        <f t="shared" si="55"/>
        <v>0</v>
      </c>
      <c r="M168" s="100">
        <f t="shared" si="56"/>
        <v>0</v>
      </c>
      <c r="N168" s="88"/>
      <c r="O168" s="45">
        <v>4</v>
      </c>
      <c r="P168" s="45">
        <v>5</v>
      </c>
      <c r="Q168" s="100">
        <f t="shared" si="57"/>
        <v>0</v>
      </c>
      <c r="R168" s="100">
        <v>3.56887937187723E-3</v>
      </c>
      <c r="T168" s="27"/>
      <c r="U168" s="50">
        <f t="shared" si="58"/>
        <v>0</v>
      </c>
    </row>
    <row r="169" spans="1:21" x14ac:dyDescent="0.3">
      <c r="A169" s="13" t="str">
        <f t="shared" si="48"/>
        <v>(5, 6]</v>
      </c>
      <c r="B169" s="96">
        <v>36571</v>
      </c>
      <c r="C169" s="96">
        <v>20317260</v>
      </c>
      <c r="D169" s="27">
        <f t="shared" si="49"/>
        <v>3.6570999999999999E-3</v>
      </c>
      <c r="E169" s="90">
        <f t="shared" si="50"/>
        <v>5.555565885537721</v>
      </c>
      <c r="F169" s="88"/>
      <c r="G169" s="13" t="str">
        <f t="shared" si="51"/>
        <v>(5, 6]</v>
      </c>
      <c r="H169" s="86">
        <v>9.4244259112411477</v>
      </c>
      <c r="I169" s="27">
        <f t="shared" si="52"/>
        <v>3.4466068000000002E-2</v>
      </c>
      <c r="J169" s="27">
        <f t="shared" si="53"/>
        <v>3.4466067999999996E-2</v>
      </c>
      <c r="K169" s="87">
        <f t="shared" si="54"/>
        <v>34466068</v>
      </c>
      <c r="L169" s="100">
        <f t="shared" si="55"/>
        <v>3.4466068000000002E-2</v>
      </c>
      <c r="M169" s="100">
        <f t="shared" si="56"/>
        <v>0.19147851158942333</v>
      </c>
      <c r="N169" s="88"/>
      <c r="O169" s="45">
        <v>5</v>
      </c>
      <c r="P169" s="45">
        <v>6</v>
      </c>
      <c r="Q169" s="100">
        <f t="shared" si="57"/>
        <v>3.4466068000000002E-2</v>
      </c>
      <c r="R169" s="100">
        <v>3.5688793718772309E-2</v>
      </c>
      <c r="T169" s="27"/>
      <c r="U169" s="50">
        <f t="shared" si="58"/>
        <v>0</v>
      </c>
    </row>
    <row r="170" spans="1:21" x14ac:dyDescent="0.3">
      <c r="A170" s="13" t="str">
        <f t="shared" si="48"/>
        <v>(6, 7]</v>
      </c>
      <c r="B170" s="96">
        <v>36414</v>
      </c>
      <c r="C170" s="96">
        <v>23875140</v>
      </c>
      <c r="D170" s="27">
        <f t="shared" si="49"/>
        <v>3.6413999999999999E-3</v>
      </c>
      <c r="E170" s="90">
        <f t="shared" si="50"/>
        <v>6.556582633053222</v>
      </c>
      <c r="F170" s="88"/>
      <c r="G170" s="13" t="str">
        <f t="shared" si="51"/>
        <v>(6, 7]</v>
      </c>
      <c r="H170" s="86">
        <v>8.141584555390784</v>
      </c>
      <c r="I170" s="27">
        <f t="shared" si="52"/>
        <v>2.9646766000000001E-2</v>
      </c>
      <c r="J170" s="27">
        <f t="shared" si="53"/>
        <v>2.9646765999999995E-2</v>
      </c>
      <c r="K170" s="87">
        <f t="shared" si="54"/>
        <v>29646766</v>
      </c>
      <c r="L170" s="100">
        <f t="shared" si="55"/>
        <v>2.9646766000000001E-2</v>
      </c>
      <c r="M170" s="100">
        <f t="shared" si="56"/>
        <v>0.19438147108179274</v>
      </c>
      <c r="N170" s="88"/>
      <c r="O170" s="45">
        <v>6</v>
      </c>
      <c r="P170" s="45">
        <v>7</v>
      </c>
      <c r="Q170" s="100">
        <f t="shared" si="57"/>
        <v>2.9646766000000001E-2</v>
      </c>
      <c r="R170" s="100">
        <v>3.0692362598144181E-2</v>
      </c>
      <c r="T170" s="27"/>
      <c r="U170" s="50">
        <f t="shared" si="58"/>
        <v>0</v>
      </c>
    </row>
    <row r="171" spans="1:21" x14ac:dyDescent="0.3">
      <c r="A171" s="13" t="str">
        <f t="shared" si="48"/>
        <v>(7, 8]</v>
      </c>
      <c r="B171" s="96">
        <v>36366</v>
      </c>
      <c r="C171" s="96">
        <v>27492580</v>
      </c>
      <c r="D171" s="27">
        <f t="shared" si="49"/>
        <v>3.6365999999999998E-3</v>
      </c>
      <c r="E171" s="90">
        <f t="shared" si="50"/>
        <v>7.5599681020733662</v>
      </c>
      <c r="F171" s="88"/>
      <c r="G171" s="13" t="str">
        <f t="shared" si="51"/>
        <v>(7, 8]</v>
      </c>
      <c r="H171" s="86">
        <v>8.7228521146125502</v>
      </c>
      <c r="I171" s="27">
        <f t="shared" si="52"/>
        <v>3.1721524000000001E-2</v>
      </c>
      <c r="J171" s="27">
        <f t="shared" si="53"/>
        <v>3.1721523999999994E-2</v>
      </c>
      <c r="K171" s="87">
        <f t="shared" si="54"/>
        <v>31721524</v>
      </c>
      <c r="L171" s="100">
        <f t="shared" si="55"/>
        <v>3.1721524000000001E-2</v>
      </c>
      <c r="M171" s="100">
        <f t="shared" si="56"/>
        <v>0.23981370958915474</v>
      </c>
      <c r="N171" s="88"/>
      <c r="O171" s="45">
        <v>7</v>
      </c>
      <c r="P171" s="45">
        <v>8</v>
      </c>
      <c r="Q171" s="100">
        <f t="shared" si="57"/>
        <v>3.1721524000000001E-2</v>
      </c>
      <c r="R171" s="100">
        <v>3.2833690221270521E-2</v>
      </c>
      <c r="T171" s="27"/>
      <c r="U171" s="50">
        <f t="shared" si="58"/>
        <v>0</v>
      </c>
    </row>
    <row r="172" spans="1:21" x14ac:dyDescent="0.3">
      <c r="A172" s="13" t="str">
        <f t="shared" si="48"/>
        <v>(8, 9]</v>
      </c>
      <c r="B172" s="96">
        <v>37123</v>
      </c>
      <c r="C172" s="96">
        <v>31773350</v>
      </c>
      <c r="D172" s="27">
        <f t="shared" si="49"/>
        <v>3.7123E-3</v>
      </c>
      <c r="E172" s="90">
        <f t="shared" si="50"/>
        <v>8.5589392021118993</v>
      </c>
      <c r="F172" s="88"/>
      <c r="G172" s="13" t="str">
        <f t="shared" si="51"/>
        <v>(8, 9]</v>
      </c>
      <c r="H172" s="86">
        <v>8.1750944158607872</v>
      </c>
      <c r="I172" s="27">
        <f t="shared" si="52"/>
        <v>3.0348402999999999E-2</v>
      </c>
      <c r="J172" s="27">
        <f t="shared" si="53"/>
        <v>3.0348402999999993E-2</v>
      </c>
      <c r="K172" s="87">
        <f t="shared" si="54"/>
        <v>30348403</v>
      </c>
      <c r="L172" s="100">
        <f t="shared" si="55"/>
        <v>3.0348402999999999E-2</v>
      </c>
      <c r="M172" s="100">
        <f t="shared" si="56"/>
        <v>0.25975013615819037</v>
      </c>
      <c r="N172" s="88"/>
      <c r="O172" s="45">
        <v>8</v>
      </c>
      <c r="P172" s="45">
        <v>9</v>
      </c>
      <c r="Q172" s="100">
        <f t="shared" si="57"/>
        <v>3.0348402999999999E-2</v>
      </c>
      <c r="R172" s="100">
        <v>3.1406138472519628E-2</v>
      </c>
      <c r="T172" s="27"/>
      <c r="U172" s="50">
        <f t="shared" si="58"/>
        <v>0</v>
      </c>
    </row>
    <row r="173" spans="1:21" x14ac:dyDescent="0.3">
      <c r="A173" s="13" t="str">
        <f t="shared" si="48"/>
        <v>(9, 10]</v>
      </c>
      <c r="B173" s="96">
        <v>36924</v>
      </c>
      <c r="C173" s="96">
        <v>35300940</v>
      </c>
      <c r="D173" s="27">
        <f t="shared" si="49"/>
        <v>3.6924000000000002E-3</v>
      </c>
      <c r="E173" s="90">
        <f t="shared" si="50"/>
        <v>9.5604322391940215</v>
      </c>
      <c r="F173" s="88"/>
      <c r="G173" s="13" t="str">
        <f t="shared" si="51"/>
        <v>(9, 10]</v>
      </c>
      <c r="H173" s="86">
        <v>8.7813129671758201</v>
      </c>
      <c r="I173" s="27">
        <f t="shared" si="52"/>
        <v>3.2424120000000001E-2</v>
      </c>
      <c r="J173" s="27">
        <f t="shared" si="53"/>
        <v>3.2424119999999994E-2</v>
      </c>
      <c r="K173" s="87">
        <f t="shared" si="54"/>
        <v>32424120</v>
      </c>
      <c r="L173" s="100">
        <f t="shared" si="55"/>
        <v>3.2424120000000001E-2</v>
      </c>
      <c r="M173" s="100">
        <f t="shared" si="56"/>
        <v>0.30998860217549568</v>
      </c>
      <c r="N173" s="88"/>
      <c r="O173" s="45">
        <v>9</v>
      </c>
      <c r="P173" s="45">
        <v>10</v>
      </c>
      <c r="Q173" s="100">
        <f t="shared" si="57"/>
        <v>3.2424120000000001E-2</v>
      </c>
      <c r="R173" s="100">
        <v>3.3547466095645968E-2</v>
      </c>
      <c r="T173" s="27"/>
      <c r="U173" s="50">
        <f t="shared" si="58"/>
        <v>0</v>
      </c>
    </row>
    <row r="174" spans="1:21" x14ac:dyDescent="0.3">
      <c r="A174" s="13" t="str">
        <f t="shared" si="48"/>
        <v>(10, 15]</v>
      </c>
      <c r="B174" s="96">
        <v>190218</v>
      </c>
      <c r="C174" s="96">
        <v>238940940</v>
      </c>
      <c r="D174" s="27">
        <f t="shared" si="49"/>
        <v>1.9021799999999998E-2</v>
      </c>
      <c r="E174" s="90">
        <f t="shared" si="50"/>
        <v>12.561426363435636</v>
      </c>
      <c r="F174" s="88"/>
      <c r="G174" s="13" t="str">
        <f t="shared" si="51"/>
        <v>(10, 15]</v>
      </c>
      <c r="H174" s="86">
        <v>7.4030405639844812</v>
      </c>
      <c r="I174" s="27">
        <f t="shared" si="52"/>
        <v>0.140819157</v>
      </c>
      <c r="J174" s="27">
        <f t="shared" si="53"/>
        <v>0.14081915699999997</v>
      </c>
      <c r="K174" s="87">
        <f t="shared" si="54"/>
        <v>140819157</v>
      </c>
      <c r="L174" s="100">
        <f t="shared" si="55"/>
        <v>0.140819157</v>
      </c>
      <c r="M174" s="100">
        <f t="shared" si="56"/>
        <v>1.7688894712165819</v>
      </c>
      <c r="N174" s="88"/>
      <c r="O174" s="45">
        <v>10</v>
      </c>
      <c r="P174" s="45">
        <v>15</v>
      </c>
      <c r="Q174" s="100">
        <f t="shared" si="57"/>
        <v>0.140819157</v>
      </c>
      <c r="R174" s="100">
        <v>0.145610278372591</v>
      </c>
      <c r="T174" s="27"/>
      <c r="U174" s="50">
        <f t="shared" si="58"/>
        <v>0</v>
      </c>
    </row>
    <row r="175" spans="1:21" x14ac:dyDescent="0.3">
      <c r="A175" s="13" t="str">
        <f t="shared" si="48"/>
        <v>(15, 20]</v>
      </c>
      <c r="B175" s="96">
        <v>195136</v>
      </c>
      <c r="C175" s="96">
        <v>342835280</v>
      </c>
      <c r="D175" s="27">
        <f t="shared" si="49"/>
        <v>1.9513599999999999E-2</v>
      </c>
      <c r="E175" s="90">
        <f t="shared" si="50"/>
        <v>17.56904312889472</v>
      </c>
      <c r="F175" s="88"/>
      <c r="G175" s="13" t="str">
        <f t="shared" si="51"/>
        <v>(15, 20]</v>
      </c>
      <c r="H175" s="86">
        <v>5.0636783064119388</v>
      </c>
      <c r="I175" s="27">
        <f t="shared" si="52"/>
        <v>9.8810593000000002E-2</v>
      </c>
      <c r="J175" s="27">
        <f t="shared" si="53"/>
        <v>9.8810592999999974E-2</v>
      </c>
      <c r="K175" s="87">
        <f t="shared" si="54"/>
        <v>98810593</v>
      </c>
      <c r="L175" s="100">
        <f t="shared" si="55"/>
        <v>9.8810593000000002E-2</v>
      </c>
      <c r="M175" s="100">
        <f t="shared" si="56"/>
        <v>1.7360075700086628</v>
      </c>
      <c r="N175" s="88"/>
      <c r="O175" s="45">
        <v>15</v>
      </c>
      <c r="P175" s="45">
        <v>20</v>
      </c>
      <c r="Q175" s="100">
        <f t="shared" si="57"/>
        <v>9.8810593000000002E-2</v>
      </c>
      <c r="R175" s="100">
        <v>0.10206995003568881</v>
      </c>
      <c r="T175" s="27"/>
      <c r="U175" s="50">
        <f t="shared" si="58"/>
        <v>0</v>
      </c>
    </row>
    <row r="176" spans="1:21" x14ac:dyDescent="0.3">
      <c r="A176" s="13" t="str">
        <f t="shared" si="48"/>
        <v>(20, 25]</v>
      </c>
      <c r="B176" s="96">
        <v>199408</v>
      </c>
      <c r="C176" s="96">
        <v>449760860</v>
      </c>
      <c r="D176" s="27">
        <f t="shared" si="49"/>
        <v>1.9940800000000002E-2</v>
      </c>
      <c r="E176" s="90">
        <f t="shared" si="50"/>
        <v>22.554805223461443</v>
      </c>
      <c r="F176" s="88"/>
      <c r="G176" s="13" t="str">
        <f t="shared" si="51"/>
        <v>(20, 25]</v>
      </c>
      <c r="H176" s="86">
        <v>4.7520330177324874</v>
      </c>
      <c r="I176" s="27">
        <f t="shared" si="52"/>
        <v>9.4759339999999997E-2</v>
      </c>
      <c r="J176" s="27">
        <f t="shared" si="53"/>
        <v>9.475933999999997E-2</v>
      </c>
      <c r="K176" s="87">
        <f t="shared" si="54"/>
        <v>94759340</v>
      </c>
      <c r="L176" s="100">
        <f t="shared" si="55"/>
        <v>9.4759339999999997E-2</v>
      </c>
      <c r="M176" s="100">
        <f t="shared" si="56"/>
        <v>2.1372784568037586</v>
      </c>
      <c r="N176" s="88"/>
      <c r="O176" s="45">
        <v>20</v>
      </c>
      <c r="P176" s="45">
        <v>25</v>
      </c>
      <c r="Q176" s="100">
        <f t="shared" si="57"/>
        <v>9.4759339999999997E-2</v>
      </c>
      <c r="R176" s="100">
        <v>9.7787294789436111E-2</v>
      </c>
      <c r="T176" s="27"/>
      <c r="U176" s="50">
        <f t="shared" si="58"/>
        <v>0</v>
      </c>
    </row>
    <row r="177" spans="1:21" x14ac:dyDescent="0.3">
      <c r="A177" s="13" t="str">
        <f t="shared" si="48"/>
        <v>(25, 30]</v>
      </c>
      <c r="B177" s="96">
        <v>201326</v>
      </c>
      <c r="C177" s="96">
        <v>554752170</v>
      </c>
      <c r="D177" s="27">
        <f t="shared" si="49"/>
        <v>2.01326E-2</v>
      </c>
      <c r="E177" s="90">
        <f t="shared" si="50"/>
        <v>27.55491938448089</v>
      </c>
      <c r="F177" s="88"/>
      <c r="G177" s="13" t="str">
        <f t="shared" si="51"/>
        <v>(25, 30]</v>
      </c>
      <c r="H177" s="86">
        <v>3.6453791363261576</v>
      </c>
      <c r="I177" s="27">
        <f t="shared" si="52"/>
        <v>7.3390960000000005E-2</v>
      </c>
      <c r="J177" s="27">
        <f t="shared" si="53"/>
        <v>7.3390959999999991E-2</v>
      </c>
      <c r="K177" s="87">
        <f t="shared" si="54"/>
        <v>73390960</v>
      </c>
      <c r="L177" s="100">
        <f t="shared" si="55"/>
        <v>7.3390960000000005E-2</v>
      </c>
      <c r="M177" s="100">
        <f t="shared" si="56"/>
        <v>2.0222819863496619</v>
      </c>
      <c r="N177" s="88"/>
      <c r="O177" s="45">
        <v>25</v>
      </c>
      <c r="P177" s="45">
        <v>30</v>
      </c>
      <c r="Q177" s="100">
        <f t="shared" si="57"/>
        <v>7.3390960000000005E-2</v>
      </c>
      <c r="R177" s="100">
        <v>7.5660242683797285E-2</v>
      </c>
      <c r="T177" s="27"/>
      <c r="U177" s="50">
        <f t="shared" si="58"/>
        <v>0</v>
      </c>
    </row>
    <row r="178" spans="1:21" x14ac:dyDescent="0.3">
      <c r="A178" s="13" t="str">
        <f t="shared" si="48"/>
        <v>(30, 35]</v>
      </c>
      <c r="B178" s="96">
        <v>204160</v>
      </c>
      <c r="C178" s="96">
        <v>664556350</v>
      </c>
      <c r="D178" s="27">
        <f t="shared" si="49"/>
        <v>2.0416E-2</v>
      </c>
      <c r="E178" s="90">
        <f t="shared" si="50"/>
        <v>32.550761657523509</v>
      </c>
      <c r="F178" s="88"/>
      <c r="G178" s="13" t="str">
        <f t="shared" si="51"/>
        <v>(30, 35]</v>
      </c>
      <c r="H178" s="86">
        <v>3.1231205427115989</v>
      </c>
      <c r="I178" s="27">
        <f t="shared" si="52"/>
        <v>6.3761629E-2</v>
      </c>
      <c r="J178" s="27">
        <f t="shared" si="53"/>
        <v>6.3761628999999986E-2</v>
      </c>
      <c r="K178" s="87">
        <f t="shared" si="54"/>
        <v>63761629</v>
      </c>
      <c r="L178" s="100">
        <f t="shared" si="55"/>
        <v>6.3761629E-2</v>
      </c>
      <c r="M178" s="100">
        <f t="shared" si="56"/>
        <v>2.0754895884744391</v>
      </c>
      <c r="N178" s="88"/>
      <c r="O178" s="45">
        <v>30</v>
      </c>
      <c r="P178" s="45">
        <v>35</v>
      </c>
      <c r="Q178" s="100">
        <f t="shared" si="57"/>
        <v>6.3761629E-2</v>
      </c>
      <c r="R178" s="100">
        <v>6.5667380442541043E-2</v>
      </c>
      <c r="T178" s="27"/>
      <c r="U178" s="50">
        <f t="shared" si="58"/>
        <v>0</v>
      </c>
    </row>
    <row r="179" spans="1:21" x14ac:dyDescent="0.3">
      <c r="A179" s="13" t="str">
        <f t="shared" si="48"/>
        <v>(35, 40]</v>
      </c>
      <c r="B179" s="96">
        <v>204935</v>
      </c>
      <c r="C179" s="96">
        <v>769515100</v>
      </c>
      <c r="D179" s="27">
        <f t="shared" si="49"/>
        <v>2.0493500000000001E-2</v>
      </c>
      <c r="E179" s="90">
        <f t="shared" si="50"/>
        <v>37.549227803937832</v>
      </c>
      <c r="F179" s="88"/>
      <c r="G179" s="13" t="str">
        <f t="shared" si="51"/>
        <v>(35, 40]</v>
      </c>
      <c r="H179" s="86">
        <v>2.9113135872349765</v>
      </c>
      <c r="I179" s="27">
        <f t="shared" si="52"/>
        <v>5.9663004999999991E-2</v>
      </c>
      <c r="J179" s="27">
        <f t="shared" si="53"/>
        <v>5.9663004999999977E-2</v>
      </c>
      <c r="K179" s="87">
        <f t="shared" si="54"/>
        <v>59663005</v>
      </c>
      <c r="L179" s="100">
        <f t="shared" si="55"/>
        <v>5.9663004999999998E-2</v>
      </c>
      <c r="M179" s="100">
        <f t="shared" si="56"/>
        <v>2.2402997662124817</v>
      </c>
      <c r="N179" s="88"/>
      <c r="O179" s="45">
        <v>35</v>
      </c>
      <c r="P179" s="45">
        <v>40</v>
      </c>
      <c r="Q179" s="100">
        <f t="shared" si="57"/>
        <v>5.9663004999999998E-2</v>
      </c>
      <c r="R179" s="100">
        <v>6.1384725196288369E-2</v>
      </c>
      <c r="T179" s="27"/>
      <c r="U179" s="50">
        <f t="shared" si="58"/>
        <v>0</v>
      </c>
    </row>
    <row r="180" spans="1:21" x14ac:dyDescent="0.3">
      <c r="A180" s="13" t="str">
        <f t="shared" si="48"/>
        <v>(40, 45]</v>
      </c>
      <c r="B180" s="96">
        <v>204157</v>
      </c>
      <c r="C180" s="96">
        <v>868783300</v>
      </c>
      <c r="D180" s="27">
        <f t="shared" si="49"/>
        <v>2.0415699999999998E-2</v>
      </c>
      <c r="E180" s="90">
        <f t="shared" si="50"/>
        <v>42.554666261749531</v>
      </c>
      <c r="F180" s="88"/>
      <c r="G180" s="13" t="str">
        <f t="shared" si="51"/>
        <v>(40, 45]</v>
      </c>
      <c r="H180" s="86">
        <v>3.0273881865427099</v>
      </c>
      <c r="I180" s="27">
        <f t="shared" si="52"/>
        <v>6.1806249000000001E-2</v>
      </c>
      <c r="J180" s="27">
        <f t="shared" si="53"/>
        <v>6.1806248999999987E-2</v>
      </c>
      <c r="K180" s="87">
        <f t="shared" si="54"/>
        <v>61806249</v>
      </c>
      <c r="L180" s="100">
        <f t="shared" si="55"/>
        <v>6.1806249000000001E-2</v>
      </c>
      <c r="M180" s="100">
        <f t="shared" si="56"/>
        <v>2.6301442990855906</v>
      </c>
      <c r="N180" s="88"/>
      <c r="O180" s="45">
        <v>40</v>
      </c>
      <c r="P180" s="45">
        <v>45</v>
      </c>
      <c r="Q180" s="100">
        <f t="shared" si="57"/>
        <v>6.1806249000000001E-2</v>
      </c>
      <c r="R180" s="100">
        <v>6.3526052819414702E-2</v>
      </c>
      <c r="T180" s="27"/>
      <c r="U180" s="50">
        <f t="shared" si="58"/>
        <v>0</v>
      </c>
    </row>
    <row r="181" spans="1:21" x14ac:dyDescent="0.3">
      <c r="A181" s="13" t="str">
        <f t="shared" si="48"/>
        <v>(45, 50]</v>
      </c>
      <c r="B181" s="96">
        <v>204383</v>
      </c>
      <c r="C181" s="96">
        <v>971823570</v>
      </c>
      <c r="D181" s="27">
        <f t="shared" si="49"/>
        <v>2.04383E-2</v>
      </c>
      <c r="E181" s="90">
        <f t="shared" si="50"/>
        <v>47.549139116267007</v>
      </c>
      <c r="F181" s="88"/>
      <c r="G181" s="13" t="str">
        <f t="shared" si="51"/>
        <v>(45, 50]</v>
      </c>
      <c r="H181" s="86">
        <v>2.5168891248293646</v>
      </c>
      <c r="I181" s="27">
        <f t="shared" si="52"/>
        <v>5.1440935E-2</v>
      </c>
      <c r="J181" s="27">
        <f t="shared" si="53"/>
        <v>5.1440934999999986E-2</v>
      </c>
      <c r="K181" s="87">
        <f t="shared" si="54"/>
        <v>51440935</v>
      </c>
      <c r="L181" s="100">
        <f t="shared" si="55"/>
        <v>5.1440935E-2</v>
      </c>
      <c r="M181" s="100">
        <f t="shared" si="56"/>
        <v>2.4459721745858487</v>
      </c>
      <c r="N181" s="88"/>
      <c r="O181" s="45">
        <v>45</v>
      </c>
      <c r="P181" s="45">
        <v>50</v>
      </c>
      <c r="Q181" s="100">
        <f t="shared" si="57"/>
        <v>5.1440935E-2</v>
      </c>
      <c r="R181" s="100">
        <v>5.2819414703783013E-2</v>
      </c>
      <c r="T181" s="27"/>
      <c r="U181" s="50">
        <f t="shared" si="58"/>
        <v>0</v>
      </c>
    </row>
    <row r="182" spans="1:21" x14ac:dyDescent="0.3">
      <c r="A182" s="13" t="str">
        <f t="shared" si="48"/>
        <v>(50, 60]</v>
      </c>
      <c r="B182" s="96">
        <v>403622</v>
      </c>
      <c r="C182" s="96">
        <v>2221816420</v>
      </c>
      <c r="D182" s="27">
        <f t="shared" si="49"/>
        <v>4.0362200000000001E-2</v>
      </c>
      <c r="E182" s="90">
        <f t="shared" si="50"/>
        <v>55.046960274712482</v>
      </c>
      <c r="F182" s="88"/>
      <c r="G182" s="13" t="str">
        <f t="shared" si="51"/>
        <v>(50, 60]</v>
      </c>
      <c r="H182" s="86">
        <v>1.5178806655732342</v>
      </c>
      <c r="I182" s="27">
        <f t="shared" si="52"/>
        <v>6.1265002999999991E-2</v>
      </c>
      <c r="J182" s="27">
        <f t="shared" si="53"/>
        <v>6.1265002999999978E-2</v>
      </c>
      <c r="K182" s="87">
        <f t="shared" si="54"/>
        <v>61265003</v>
      </c>
      <c r="L182" s="100">
        <f t="shared" si="55"/>
        <v>6.1265002999999998E-2</v>
      </c>
      <c r="M182" s="100">
        <f t="shared" si="56"/>
        <v>3.3724521863711412</v>
      </c>
      <c r="N182" s="88"/>
      <c r="O182" s="45">
        <v>50</v>
      </c>
      <c r="P182" s="45">
        <v>60</v>
      </c>
      <c r="Q182" s="100">
        <f t="shared" si="57"/>
        <v>6.1265002999999998E-2</v>
      </c>
      <c r="R182" s="100">
        <v>3.1406138472519628E-2</v>
      </c>
      <c r="T182" s="27"/>
      <c r="U182" s="50">
        <f t="shared" si="58"/>
        <v>0</v>
      </c>
    </row>
    <row r="183" spans="1:21" x14ac:dyDescent="0.3">
      <c r="A183" s="13" t="str">
        <f t="shared" si="48"/>
        <v>(60, 70]</v>
      </c>
      <c r="B183" s="96">
        <v>397050</v>
      </c>
      <c r="C183" s="96">
        <v>2582167190</v>
      </c>
      <c r="D183" s="27">
        <f t="shared" si="49"/>
        <v>3.9704999999999997E-2</v>
      </c>
      <c r="E183" s="90">
        <f t="shared" si="50"/>
        <v>65.03380405490492</v>
      </c>
      <c r="F183" s="88"/>
      <c r="G183" s="13" t="str">
        <f t="shared" si="51"/>
        <v>(60, 70]</v>
      </c>
      <c r="H183" s="86">
        <v>0.70277111195063602</v>
      </c>
      <c r="I183" s="27">
        <f t="shared" si="52"/>
        <v>2.7903527000000001E-2</v>
      </c>
      <c r="J183" s="27">
        <f t="shared" si="53"/>
        <v>2.7903526999999994E-2</v>
      </c>
      <c r="K183" s="87">
        <f t="shared" si="54"/>
        <v>27903527</v>
      </c>
      <c r="L183" s="100">
        <f t="shared" si="55"/>
        <v>2.7903527000000001E-2</v>
      </c>
      <c r="M183" s="100">
        <f t="shared" si="56"/>
        <v>1.8146725073587491</v>
      </c>
      <c r="N183" s="88"/>
      <c r="O183" s="45">
        <v>60</v>
      </c>
      <c r="P183" s="45">
        <v>70</v>
      </c>
      <c r="Q183" s="100">
        <f t="shared" si="57"/>
        <v>2.7903527000000001E-2</v>
      </c>
      <c r="R183" s="100">
        <v>2.855103497501784E-2</v>
      </c>
      <c r="T183" s="27"/>
      <c r="U183" s="50">
        <f t="shared" si="58"/>
        <v>0</v>
      </c>
    </row>
    <row r="184" spans="1:21" x14ac:dyDescent="0.3">
      <c r="A184" s="13" t="str">
        <f t="shared" si="48"/>
        <v>(70, 80]</v>
      </c>
      <c r="B184" s="96">
        <v>388461</v>
      </c>
      <c r="C184" s="96">
        <v>2914582320</v>
      </c>
      <c r="D184" s="27">
        <f t="shared" si="49"/>
        <v>3.8846100000000001E-2</v>
      </c>
      <c r="E184" s="90">
        <f t="shared" si="50"/>
        <v>75.028955802512996</v>
      </c>
      <c r="F184" s="88"/>
      <c r="G184" s="13" t="str">
        <f t="shared" si="51"/>
        <v>(70, 80]</v>
      </c>
      <c r="H184" s="86">
        <v>0.55780631775133149</v>
      </c>
      <c r="I184" s="27">
        <f t="shared" si="52"/>
        <v>2.16686E-2</v>
      </c>
      <c r="J184" s="27">
        <f t="shared" si="53"/>
        <v>2.1668599999999996E-2</v>
      </c>
      <c r="K184" s="87">
        <f t="shared" si="54"/>
        <v>21668600</v>
      </c>
      <c r="L184" s="100">
        <f t="shared" si="55"/>
        <v>2.16686E-2</v>
      </c>
      <c r="M184" s="100">
        <f t="shared" si="56"/>
        <v>1.625772431702333</v>
      </c>
      <c r="N184" s="88"/>
      <c r="O184" s="45">
        <v>70</v>
      </c>
      <c r="P184" s="45">
        <v>80</v>
      </c>
      <c r="Q184" s="100">
        <f t="shared" si="57"/>
        <v>2.16686E-2</v>
      </c>
      <c r="R184" s="100">
        <v>2.2127052105638829E-2</v>
      </c>
      <c r="T184" s="27"/>
      <c r="U184" s="50">
        <f t="shared" si="58"/>
        <v>0</v>
      </c>
    </row>
    <row r="185" spans="1:21" x14ac:dyDescent="0.3">
      <c r="A185" s="13" t="str">
        <f t="shared" si="48"/>
        <v>(80, 90]</v>
      </c>
      <c r="B185" s="96">
        <v>376326</v>
      </c>
      <c r="C185" s="96">
        <v>3199415110</v>
      </c>
      <c r="D185" s="27">
        <f t="shared" si="49"/>
        <v>3.7632600000000002E-2</v>
      </c>
      <c r="E185" s="90">
        <f t="shared" si="50"/>
        <v>85.017115745390967</v>
      </c>
      <c r="F185" s="88"/>
      <c r="G185" s="13" t="str">
        <f t="shared" si="51"/>
        <v>(80, 90]</v>
      </c>
      <c r="H185" s="86">
        <v>0.42805758836753233</v>
      </c>
      <c r="I185" s="27">
        <f t="shared" si="52"/>
        <v>1.6108919999999999E-2</v>
      </c>
      <c r="J185" s="27">
        <f t="shared" si="53"/>
        <v>1.6108919999999995E-2</v>
      </c>
      <c r="K185" s="87">
        <f t="shared" si="54"/>
        <v>16108920</v>
      </c>
      <c r="L185" s="100">
        <f t="shared" si="55"/>
        <v>1.6108919999999999E-2</v>
      </c>
      <c r="M185" s="100">
        <f t="shared" si="56"/>
        <v>1.3695339161732434</v>
      </c>
      <c r="N185" s="88"/>
      <c r="O185" s="45">
        <v>80</v>
      </c>
      <c r="P185" s="45">
        <v>90</v>
      </c>
      <c r="Q185" s="100">
        <f t="shared" si="57"/>
        <v>1.6108919999999999E-2</v>
      </c>
      <c r="R185" s="100">
        <v>1.6416845110635261E-2</v>
      </c>
      <c r="T185" s="27"/>
      <c r="U185" s="50">
        <f t="shared" si="58"/>
        <v>0</v>
      </c>
    </row>
    <row r="186" spans="1:21" x14ac:dyDescent="0.3">
      <c r="A186" s="13" t="str">
        <f t="shared" si="48"/>
        <v>(90, 100]</v>
      </c>
      <c r="B186" s="96">
        <v>364006</v>
      </c>
      <c r="C186" s="96">
        <v>3458938170</v>
      </c>
      <c r="D186" s="27">
        <f t="shared" si="49"/>
        <v>3.6400599999999998E-2</v>
      </c>
      <c r="E186" s="90">
        <f t="shared" si="50"/>
        <v>95.024207568007114</v>
      </c>
      <c r="F186" s="88"/>
      <c r="G186" s="13" t="str">
        <f t="shared" si="51"/>
        <v>(90, 100]</v>
      </c>
      <c r="H186" s="86">
        <v>0.4048745075630622</v>
      </c>
      <c r="I186" s="27">
        <f t="shared" si="52"/>
        <v>1.4737675000000002E-2</v>
      </c>
      <c r="J186" s="27">
        <f t="shared" si="53"/>
        <v>1.4737674999999999E-2</v>
      </c>
      <c r="K186" s="87">
        <f t="shared" si="54"/>
        <v>14737675</v>
      </c>
      <c r="L186" s="100">
        <f t="shared" si="55"/>
        <v>1.4737675E-2</v>
      </c>
      <c r="M186" s="100">
        <f t="shared" si="56"/>
        <v>1.4004358882698293</v>
      </c>
      <c r="N186" s="88"/>
      <c r="O186" s="45">
        <v>90</v>
      </c>
      <c r="P186" s="45">
        <v>100</v>
      </c>
      <c r="Q186" s="100">
        <f t="shared" si="57"/>
        <v>1.4737675E-2</v>
      </c>
      <c r="R186" s="100">
        <v>1.498929336188437E-2</v>
      </c>
      <c r="T186" s="27"/>
      <c r="U186" s="50">
        <f t="shared" si="58"/>
        <v>0</v>
      </c>
    </row>
    <row r="187" spans="1:21" x14ac:dyDescent="0.3">
      <c r="A187" s="13" t="str">
        <f t="shared" si="48"/>
        <v>(100, 120]</v>
      </c>
      <c r="B187" s="96">
        <v>688702</v>
      </c>
      <c r="C187" s="96">
        <v>7570216060</v>
      </c>
      <c r="D187" s="27">
        <f t="shared" si="49"/>
        <v>6.8870200000000006E-2</v>
      </c>
      <c r="E187" s="90">
        <f t="shared" si="50"/>
        <v>109.92005337577066</v>
      </c>
      <c r="F187" s="88"/>
      <c r="G187" s="13" t="str">
        <f t="shared" si="51"/>
        <v>(100, 120]</v>
      </c>
      <c r="H187" s="86">
        <v>0.2657347154502237</v>
      </c>
      <c r="I187" s="27">
        <f t="shared" si="52"/>
        <v>1.8301202999999999E-2</v>
      </c>
      <c r="J187" s="27">
        <f t="shared" si="53"/>
        <v>1.8301202999999995E-2</v>
      </c>
      <c r="K187" s="87">
        <f t="shared" si="54"/>
        <v>18301203</v>
      </c>
      <c r="L187" s="100">
        <f t="shared" si="55"/>
        <v>1.8301202999999999E-2</v>
      </c>
      <c r="M187" s="100">
        <f t="shared" si="56"/>
        <v>2.0116692106008141</v>
      </c>
      <c r="N187" s="88"/>
      <c r="O187" s="45">
        <v>100</v>
      </c>
      <c r="P187" s="45">
        <v>120</v>
      </c>
      <c r="Q187" s="100">
        <f t="shared" si="57"/>
        <v>1.8301202999999999E-2</v>
      </c>
      <c r="R187" s="100">
        <v>1.8558172733761601E-2</v>
      </c>
      <c r="T187" s="27"/>
      <c r="U187" s="50">
        <f t="shared" si="58"/>
        <v>0</v>
      </c>
    </row>
    <row r="188" spans="1:21" x14ac:dyDescent="0.3">
      <c r="A188" s="13" t="str">
        <f t="shared" si="48"/>
        <v>(120, 140]</v>
      </c>
      <c r="B188" s="96">
        <v>630592</v>
      </c>
      <c r="C188" s="96">
        <v>8191378840</v>
      </c>
      <c r="D188" s="27">
        <f t="shared" si="49"/>
        <v>6.3059199999999996E-2</v>
      </c>
      <c r="E188" s="90">
        <f t="shared" si="50"/>
        <v>129.89982175479551</v>
      </c>
      <c r="F188" s="88"/>
      <c r="G188" s="13" t="str">
        <f t="shared" si="51"/>
        <v>(120, 140]</v>
      </c>
      <c r="H188" s="86">
        <v>0.17931515147670762</v>
      </c>
      <c r="I188" s="27">
        <f t="shared" si="52"/>
        <v>1.130747E-2</v>
      </c>
      <c r="J188" s="27">
        <f t="shared" si="53"/>
        <v>1.1307469999999998E-2</v>
      </c>
      <c r="K188" s="87">
        <f t="shared" si="54"/>
        <v>11307470</v>
      </c>
      <c r="L188" s="100">
        <f t="shared" si="55"/>
        <v>1.130747E-2</v>
      </c>
      <c r="M188" s="100">
        <f t="shared" si="56"/>
        <v>1.4688383374976977</v>
      </c>
      <c r="N188" s="88"/>
      <c r="O188" s="45">
        <v>120</v>
      </c>
      <c r="P188" s="45">
        <v>140</v>
      </c>
      <c r="Q188" s="100">
        <f t="shared" si="57"/>
        <v>1.130747E-2</v>
      </c>
      <c r="R188" s="100">
        <v>1.142041399000714E-2</v>
      </c>
      <c r="T188" s="27"/>
      <c r="U188" s="50">
        <f t="shared" si="58"/>
        <v>0</v>
      </c>
    </row>
    <row r="189" spans="1:21" x14ac:dyDescent="0.3">
      <c r="A189" s="13" t="str">
        <f t="shared" si="48"/>
        <v>(140, 160]</v>
      </c>
      <c r="B189" s="96">
        <v>572118</v>
      </c>
      <c r="C189" s="96">
        <v>8574973120</v>
      </c>
      <c r="D189" s="27">
        <f t="shared" si="49"/>
        <v>5.72118E-2</v>
      </c>
      <c r="E189" s="90">
        <f t="shared" si="50"/>
        <v>149.88119793469178</v>
      </c>
      <c r="F189" s="88"/>
      <c r="G189" s="13" t="str">
        <f t="shared" si="51"/>
        <v>(140, 160]</v>
      </c>
      <c r="H189" s="86">
        <v>0.14882655326348759</v>
      </c>
      <c r="I189" s="27">
        <f t="shared" si="52"/>
        <v>8.5146349999999996E-3</v>
      </c>
      <c r="J189" s="27">
        <f t="shared" si="53"/>
        <v>8.5146349999999978E-3</v>
      </c>
      <c r="K189" s="87">
        <f t="shared" si="54"/>
        <v>8514635</v>
      </c>
      <c r="L189" s="100">
        <f t="shared" si="55"/>
        <v>8.5146349999999996E-3</v>
      </c>
      <c r="M189" s="100">
        <f t="shared" si="56"/>
        <v>1.2761836937766544</v>
      </c>
      <c r="N189" s="88"/>
      <c r="O189" s="45">
        <v>140</v>
      </c>
      <c r="P189" s="45">
        <v>160</v>
      </c>
      <c r="Q189" s="100">
        <f t="shared" si="57"/>
        <v>8.5146349999999996E-3</v>
      </c>
      <c r="R189" s="100">
        <v>8.5653104925053538E-3</v>
      </c>
      <c r="T189" s="27"/>
      <c r="U189" s="50">
        <f t="shared" si="58"/>
        <v>0</v>
      </c>
    </row>
    <row r="190" spans="1:21" x14ac:dyDescent="0.3">
      <c r="A190" s="13" t="str">
        <f t="shared" si="48"/>
        <v>(160, 180]</v>
      </c>
      <c r="B190" s="96">
        <v>515247</v>
      </c>
      <c r="C190" s="96">
        <v>8752550370</v>
      </c>
      <c r="D190" s="27">
        <f t="shared" si="49"/>
        <v>5.15247E-2</v>
      </c>
      <c r="E190" s="90">
        <f t="shared" si="50"/>
        <v>169.87096227634513</v>
      </c>
      <c r="F190" s="88"/>
      <c r="G190" s="13" t="str">
        <f t="shared" si="51"/>
        <v>(160, 180]</v>
      </c>
      <c r="H190" s="86">
        <v>6.9132027939997703E-2</v>
      </c>
      <c r="I190" s="27">
        <f t="shared" si="52"/>
        <v>3.5620069999999998E-3</v>
      </c>
      <c r="J190" s="27">
        <f t="shared" si="53"/>
        <v>3.562006999999999E-3</v>
      </c>
      <c r="K190" s="87">
        <f t="shared" si="54"/>
        <v>3562007</v>
      </c>
      <c r="L190" s="100">
        <f t="shared" si="55"/>
        <v>3.5620069999999998E-3</v>
      </c>
      <c r="M190" s="100">
        <f t="shared" si="56"/>
        <v>0.60508155672507724</v>
      </c>
      <c r="N190" s="88"/>
      <c r="O190" s="45">
        <v>160</v>
      </c>
      <c r="P190" s="45">
        <v>180</v>
      </c>
      <c r="Q190" s="100">
        <f t="shared" si="57"/>
        <v>3.5620069999999998E-3</v>
      </c>
      <c r="R190" s="100">
        <v>3.56887937187723E-3</v>
      </c>
      <c r="T190" s="27"/>
      <c r="U190" s="50">
        <f t="shared" si="58"/>
        <v>0</v>
      </c>
    </row>
    <row r="191" spans="1:21" x14ac:dyDescent="0.3">
      <c r="A191" s="13" t="str">
        <f t="shared" si="48"/>
        <v>(180, 200]</v>
      </c>
      <c r="B191" s="96">
        <v>460605</v>
      </c>
      <c r="C191" s="96">
        <v>8744610500</v>
      </c>
      <c r="D191" s="27">
        <f t="shared" si="49"/>
        <v>4.6060499999999997E-2</v>
      </c>
      <c r="E191" s="90">
        <f t="shared" si="50"/>
        <v>189.85053353741273</v>
      </c>
      <c r="F191" s="88"/>
      <c r="G191" s="13" t="str">
        <f t="shared" si="51"/>
        <v>(180, 200]</v>
      </c>
      <c r="H191" s="86">
        <v>4.6586120428566774E-2</v>
      </c>
      <c r="I191" s="27">
        <f t="shared" si="52"/>
        <v>2.1457799999999999E-3</v>
      </c>
      <c r="J191" s="27">
        <f t="shared" si="53"/>
        <v>2.1457799999999995E-3</v>
      </c>
      <c r="K191" s="87">
        <f t="shared" si="54"/>
        <v>2145780</v>
      </c>
      <c r="L191" s="100">
        <f t="shared" si="55"/>
        <v>2.1457799999999999E-3</v>
      </c>
      <c r="M191" s="100">
        <f t="shared" si="56"/>
        <v>0.40737747785390949</v>
      </c>
      <c r="N191" s="88"/>
      <c r="O191" s="45">
        <v>180</v>
      </c>
      <c r="P191" s="45">
        <v>200</v>
      </c>
      <c r="Q191" s="100">
        <f t="shared" si="57"/>
        <v>2.1457799999999999E-3</v>
      </c>
      <c r="R191" s="100">
        <v>2.141327623126338E-3</v>
      </c>
      <c r="T191" s="27"/>
      <c r="U191" s="50">
        <f t="shared" si="58"/>
        <v>0</v>
      </c>
    </row>
    <row r="192" spans="1:21" x14ac:dyDescent="0.3">
      <c r="A192" s="13" t="str">
        <f t="shared" si="48"/>
        <v>(200, 250]</v>
      </c>
      <c r="B192" s="96">
        <v>937362</v>
      </c>
      <c r="C192" s="96">
        <v>20976807980</v>
      </c>
      <c r="D192" s="27">
        <f t="shared" si="49"/>
        <v>9.3736200000000006E-2</v>
      </c>
      <c r="E192" s="90">
        <f t="shared" si="50"/>
        <v>223.78555968771937</v>
      </c>
      <c r="F192" s="88"/>
      <c r="G192" s="13" t="str">
        <f t="shared" si="51"/>
        <v>(200, 250]</v>
      </c>
      <c r="H192" s="86">
        <v>6.9143767295879288E-2</v>
      </c>
      <c r="I192" s="27">
        <f t="shared" si="52"/>
        <v>6.4812740000000004E-3</v>
      </c>
      <c r="J192" s="27">
        <f t="shared" si="53"/>
        <v>6.4812739999999987E-3</v>
      </c>
      <c r="K192" s="87">
        <f t="shared" si="54"/>
        <v>6481274</v>
      </c>
      <c r="L192" s="100">
        <f t="shared" si="55"/>
        <v>6.4812740000000004E-3</v>
      </c>
      <c r="M192" s="100">
        <f t="shared" si="56"/>
        <v>1.4504155295794638</v>
      </c>
      <c r="N192" s="88"/>
      <c r="O192" s="45">
        <v>200</v>
      </c>
      <c r="P192" s="45">
        <v>250</v>
      </c>
      <c r="Q192" s="100">
        <f t="shared" si="57"/>
        <v>6.4812740000000004E-3</v>
      </c>
      <c r="R192" s="100">
        <v>6.4239828693790149E-3</v>
      </c>
      <c r="T192" s="27"/>
      <c r="U192" s="50">
        <f t="shared" si="58"/>
        <v>0</v>
      </c>
    </row>
    <row r="193" spans="1:21" x14ac:dyDescent="0.3">
      <c r="A193" s="13" t="str">
        <f t="shared" si="48"/>
        <v>(250, 300]</v>
      </c>
      <c r="B193" s="96">
        <v>682762</v>
      </c>
      <c r="C193" s="96">
        <v>18686481310</v>
      </c>
      <c r="D193" s="27">
        <f t="shared" si="49"/>
        <v>6.8276199999999995E-2</v>
      </c>
      <c r="E193" s="90">
        <f t="shared" si="50"/>
        <v>273.68953324877481</v>
      </c>
      <c r="F193" s="88"/>
      <c r="G193" s="13" t="str">
        <f t="shared" si="51"/>
        <v>(250, 300]</v>
      </c>
      <c r="H193" s="86">
        <v>1.0653507371529173E-2</v>
      </c>
      <c r="I193" s="27">
        <f t="shared" si="52"/>
        <v>7.2738100000000014E-4</v>
      </c>
      <c r="J193" s="27">
        <f t="shared" si="53"/>
        <v>7.2738100000000003E-4</v>
      </c>
      <c r="K193" s="87">
        <f t="shared" si="54"/>
        <v>727381</v>
      </c>
      <c r="L193" s="100">
        <f t="shared" si="55"/>
        <v>7.2738100000000003E-4</v>
      </c>
      <c r="M193" s="100">
        <f t="shared" si="56"/>
        <v>0.19907656638402707</v>
      </c>
      <c r="N193" s="88"/>
      <c r="O193" s="45">
        <v>250</v>
      </c>
      <c r="P193" s="45">
        <v>300</v>
      </c>
      <c r="Q193" s="100">
        <f t="shared" si="57"/>
        <v>7.2738100000000003E-4</v>
      </c>
      <c r="R193" s="100">
        <v>7.1377587437544611E-4</v>
      </c>
      <c r="T193" s="27"/>
      <c r="U193" s="50">
        <f t="shared" si="58"/>
        <v>0</v>
      </c>
    </row>
    <row r="194" spans="1:21" x14ac:dyDescent="0.3">
      <c r="A194" s="13" t="str">
        <f t="shared" si="48"/>
        <v>(300, 350]</v>
      </c>
      <c r="B194" s="96">
        <v>488203</v>
      </c>
      <c r="C194" s="96">
        <v>15800164540</v>
      </c>
      <c r="D194" s="27">
        <f t="shared" si="49"/>
        <v>4.8820299999999997E-2</v>
      </c>
      <c r="E194" s="90">
        <f t="shared" si="50"/>
        <v>323.6392349084295</v>
      </c>
      <c r="F194" s="88"/>
      <c r="G194" s="13" t="str">
        <f t="shared" si="51"/>
        <v>(300, 350]</v>
      </c>
      <c r="H194" s="86">
        <v>4.742043780968163E-3</v>
      </c>
      <c r="I194" s="27">
        <f t="shared" si="52"/>
        <v>2.3150800000000001E-4</v>
      </c>
      <c r="J194" s="27">
        <f t="shared" si="53"/>
        <v>2.3150799999999995E-4</v>
      </c>
      <c r="K194" s="87">
        <f t="shared" si="54"/>
        <v>231508</v>
      </c>
      <c r="L194" s="100">
        <f t="shared" si="55"/>
        <v>2.3150800000000001E-4</v>
      </c>
      <c r="M194" s="100">
        <f t="shared" si="56"/>
        <v>7.4925071995180698E-2</v>
      </c>
      <c r="N194" s="88"/>
      <c r="O194" s="45">
        <v>300</v>
      </c>
      <c r="P194" s="45">
        <v>350</v>
      </c>
      <c r="Q194" s="100">
        <f t="shared" si="57"/>
        <v>2.3150800000000001E-4</v>
      </c>
      <c r="R194" s="100">
        <v>0</v>
      </c>
      <c r="T194" s="27"/>
      <c r="U194" s="50">
        <f t="shared" si="58"/>
        <v>0</v>
      </c>
    </row>
    <row r="195" spans="1:21" x14ac:dyDescent="0.3">
      <c r="A195" s="13" t="str">
        <f t="shared" ref="A195:A226" si="59">"("&amp;$O195&amp;", "&amp;$P195&amp;"]"</f>
        <v>(350, 400]</v>
      </c>
      <c r="B195" s="96">
        <v>344346</v>
      </c>
      <c r="C195" s="96">
        <v>12863007600</v>
      </c>
      <c r="D195" s="27">
        <f t="shared" ref="D195:D226" si="60">IFERROR(B195/SUM($B$163:$B$226),0)</f>
        <v>3.4434600000000003E-2</v>
      </c>
      <c r="E195" s="90">
        <f t="shared" ref="E195:E226" si="61">IFERROR(C195/B195/$B$3,0)</f>
        <v>373.54891882002403</v>
      </c>
      <c r="F195" s="88"/>
      <c r="G195" s="13" t="str">
        <f t="shared" ref="G195:G226" si="62">"("&amp;$O195&amp;", "&amp;$P195&amp;"]"</f>
        <v>(350, 400]</v>
      </c>
      <c r="H195" s="86">
        <v>4.3101183112334684E-2</v>
      </c>
      <c r="I195" s="27">
        <f t="shared" ref="I195:I226" si="63">D195*H195</f>
        <v>1.484172E-3</v>
      </c>
      <c r="J195" s="27">
        <f t="shared" ref="J195:J226" si="64">IFERROR(I195/SUM($I$163:$I$226),0)</f>
        <v>1.4841719999999995E-3</v>
      </c>
      <c r="K195" s="87">
        <f t="shared" ref="K195:K226" si="65">INT(J195*$B$2)</f>
        <v>1484172</v>
      </c>
      <c r="L195" s="100">
        <f t="shared" ref="L195:L226" si="66">IFERROR(K195/SUM($K$163:$K$226),0)</f>
        <v>1.484172E-3</v>
      </c>
      <c r="M195" s="100">
        <f t="shared" ref="M195:M226" si="67">L195*E195</f>
        <v>0.55441084594295265</v>
      </c>
      <c r="N195" s="88"/>
      <c r="O195" s="45">
        <v>350</v>
      </c>
      <c r="P195" s="45">
        <v>400</v>
      </c>
      <c r="Q195" s="100">
        <f t="shared" ref="Q195:Q226" si="68">L195</f>
        <v>1.484172E-3</v>
      </c>
      <c r="R195" s="100">
        <v>1.427551748750892E-3</v>
      </c>
      <c r="T195" s="27"/>
      <c r="U195" s="50">
        <f t="shared" ref="U195:U226" si="69">IFERROR(ROUND(T195/L195,2),0)</f>
        <v>0</v>
      </c>
    </row>
    <row r="196" spans="1:21" x14ac:dyDescent="0.3">
      <c r="A196" s="13" t="str">
        <f t="shared" si="59"/>
        <v>(400, 450]</v>
      </c>
      <c r="B196" s="96">
        <v>240850</v>
      </c>
      <c r="C196" s="96">
        <v>10200594210</v>
      </c>
      <c r="D196" s="27">
        <f t="shared" si="60"/>
        <v>2.4084999999999999E-2</v>
      </c>
      <c r="E196" s="90">
        <f t="shared" si="61"/>
        <v>423.5247751712684</v>
      </c>
      <c r="F196" s="88"/>
      <c r="G196" s="13" t="str">
        <f t="shared" si="62"/>
        <v>(400, 450]</v>
      </c>
      <c r="H196" s="86">
        <v>7.3451941042142416E-3</v>
      </c>
      <c r="I196" s="27">
        <f t="shared" si="63"/>
        <v>1.76909E-4</v>
      </c>
      <c r="J196" s="27">
        <f t="shared" si="64"/>
        <v>1.7690899999999997E-4</v>
      </c>
      <c r="K196" s="87">
        <f t="shared" si="65"/>
        <v>176909</v>
      </c>
      <c r="L196" s="100">
        <f t="shared" si="66"/>
        <v>1.76909E-4</v>
      </c>
      <c r="M196" s="100">
        <f t="shared" si="67"/>
        <v>7.4925344450773923E-2</v>
      </c>
      <c r="N196" s="88"/>
      <c r="O196" s="45">
        <v>400</v>
      </c>
      <c r="P196" s="45">
        <v>450</v>
      </c>
      <c r="Q196" s="100">
        <f t="shared" si="68"/>
        <v>1.76909E-4</v>
      </c>
      <c r="R196" s="100">
        <v>0</v>
      </c>
      <c r="T196" s="27"/>
      <c r="U196" s="50">
        <f t="shared" si="69"/>
        <v>0</v>
      </c>
    </row>
    <row r="197" spans="1:21" x14ac:dyDescent="0.3">
      <c r="A197" s="13" t="str">
        <f t="shared" si="59"/>
        <v>(450, 500]</v>
      </c>
      <c r="B197" s="96">
        <v>167632</v>
      </c>
      <c r="C197" s="96">
        <v>7937005300</v>
      </c>
      <c r="D197" s="27">
        <f t="shared" si="60"/>
        <v>1.6763199999999999E-2</v>
      </c>
      <c r="E197" s="90">
        <f t="shared" si="61"/>
        <v>473.47793380738761</v>
      </c>
      <c r="F197" s="88"/>
      <c r="G197" s="13" t="str">
        <f t="shared" si="62"/>
        <v>(450, 500]</v>
      </c>
      <c r="H197" s="86">
        <v>4.5164348095828963E-2</v>
      </c>
      <c r="I197" s="27">
        <f t="shared" si="63"/>
        <v>7.5709900000000001E-4</v>
      </c>
      <c r="J197" s="27">
        <f t="shared" si="64"/>
        <v>7.5709899999999979E-4</v>
      </c>
      <c r="K197" s="87">
        <f t="shared" si="65"/>
        <v>757099</v>
      </c>
      <c r="L197" s="100">
        <f t="shared" si="66"/>
        <v>7.5709900000000001E-4</v>
      </c>
      <c r="M197" s="100">
        <f t="shared" si="67"/>
        <v>0.35846967020763937</v>
      </c>
      <c r="N197" s="88"/>
      <c r="O197" s="45">
        <v>450</v>
      </c>
      <c r="P197" s="45">
        <v>500</v>
      </c>
      <c r="Q197" s="100">
        <f t="shared" si="68"/>
        <v>7.5709900000000001E-4</v>
      </c>
      <c r="R197" s="100">
        <v>7.1377587437544611E-4</v>
      </c>
      <c r="T197" s="27"/>
      <c r="U197" s="50">
        <f t="shared" si="69"/>
        <v>0</v>
      </c>
    </row>
    <row r="198" spans="1:21" x14ac:dyDescent="0.3">
      <c r="A198" s="13" t="str">
        <f t="shared" si="59"/>
        <v>(500, 550]</v>
      </c>
      <c r="B198" s="96">
        <v>115758</v>
      </c>
      <c r="C198" s="96">
        <v>6060727740</v>
      </c>
      <c r="D198" s="27">
        <f t="shared" si="60"/>
        <v>1.1575800000000001E-2</v>
      </c>
      <c r="E198" s="90">
        <f t="shared" si="61"/>
        <v>523.56880215622243</v>
      </c>
      <c r="F198" s="88"/>
      <c r="G198" s="13" t="str">
        <f t="shared" si="62"/>
        <v>(500, 550]</v>
      </c>
      <c r="H198" s="86">
        <v>1.2362428514659895E-2</v>
      </c>
      <c r="I198" s="27">
        <f t="shared" si="63"/>
        <v>1.4310500000000001E-4</v>
      </c>
      <c r="J198" s="27">
        <f t="shared" si="64"/>
        <v>1.4310499999999998E-4</v>
      </c>
      <c r="K198" s="87">
        <f t="shared" si="65"/>
        <v>143105</v>
      </c>
      <c r="L198" s="100">
        <f t="shared" si="66"/>
        <v>1.4310500000000001E-4</v>
      </c>
      <c r="M198" s="100">
        <f t="shared" si="67"/>
        <v>7.4925313432566212E-2</v>
      </c>
      <c r="N198" s="88"/>
      <c r="O198" s="45">
        <v>500</v>
      </c>
      <c r="P198" s="45">
        <v>550</v>
      </c>
      <c r="Q198" s="100">
        <f t="shared" si="68"/>
        <v>1.4310500000000001E-4</v>
      </c>
      <c r="R198" s="100">
        <v>0</v>
      </c>
      <c r="T198" s="27"/>
      <c r="U198" s="50">
        <f t="shared" si="69"/>
        <v>0</v>
      </c>
    </row>
    <row r="199" spans="1:21" x14ac:dyDescent="0.3">
      <c r="A199" s="13" t="str">
        <f t="shared" si="59"/>
        <v>(550, 600]</v>
      </c>
      <c r="B199" s="96">
        <v>80123</v>
      </c>
      <c r="C199" s="96">
        <v>4595309290</v>
      </c>
      <c r="D199" s="27">
        <f t="shared" si="60"/>
        <v>8.0123E-3</v>
      </c>
      <c r="E199" s="90">
        <f t="shared" si="61"/>
        <v>573.53185602136716</v>
      </c>
      <c r="F199" s="88"/>
      <c r="G199" s="13" t="str">
        <f t="shared" si="62"/>
        <v>(550, 600]</v>
      </c>
      <c r="H199" s="86">
        <v>1.6304681552113627E-2</v>
      </c>
      <c r="I199" s="27">
        <f t="shared" si="63"/>
        <v>1.3063800000000001E-4</v>
      </c>
      <c r="J199" s="27">
        <f t="shared" si="64"/>
        <v>1.3063799999999998E-4</v>
      </c>
      <c r="K199" s="87">
        <f t="shared" si="65"/>
        <v>130638</v>
      </c>
      <c r="L199" s="100">
        <f t="shared" si="66"/>
        <v>1.3063800000000001E-4</v>
      </c>
      <c r="M199" s="100">
        <f t="shared" si="67"/>
        <v>7.4925054606919367E-2</v>
      </c>
      <c r="N199" s="88"/>
      <c r="O199" s="45">
        <v>550</v>
      </c>
      <c r="P199" s="45">
        <v>600</v>
      </c>
      <c r="Q199" s="100">
        <f t="shared" si="68"/>
        <v>1.3063800000000001E-4</v>
      </c>
      <c r="R199" s="100">
        <v>0</v>
      </c>
      <c r="T199" s="27"/>
      <c r="U199" s="50">
        <f t="shared" si="69"/>
        <v>0</v>
      </c>
    </row>
    <row r="200" spans="1:21" x14ac:dyDescent="0.3">
      <c r="A200" s="13" t="str">
        <f t="shared" si="59"/>
        <v>(600, 650]</v>
      </c>
      <c r="B200" s="96">
        <v>55627</v>
      </c>
      <c r="C200" s="96">
        <v>3468443570</v>
      </c>
      <c r="D200" s="27">
        <f t="shared" si="60"/>
        <v>5.5627000000000003E-3</v>
      </c>
      <c r="E200" s="90">
        <f t="shared" si="61"/>
        <v>623.51799845398818</v>
      </c>
      <c r="F200" s="88"/>
      <c r="G200" s="13" t="str">
        <f t="shared" si="62"/>
        <v>(600, 650]</v>
      </c>
      <c r="H200" s="86">
        <v>2.1601919930968771E-2</v>
      </c>
      <c r="I200" s="27">
        <f t="shared" si="63"/>
        <v>1.2016499999999999E-4</v>
      </c>
      <c r="J200" s="27">
        <f t="shared" si="64"/>
        <v>1.2016499999999996E-4</v>
      </c>
      <c r="K200" s="87">
        <f t="shared" si="65"/>
        <v>120165</v>
      </c>
      <c r="L200" s="100">
        <f t="shared" si="66"/>
        <v>1.20165E-4</v>
      </c>
      <c r="M200" s="100">
        <f t="shared" si="67"/>
        <v>7.492504028422349E-2</v>
      </c>
      <c r="N200" s="88"/>
      <c r="O200" s="45">
        <v>600</v>
      </c>
      <c r="P200" s="45">
        <v>650</v>
      </c>
      <c r="Q200" s="100">
        <f t="shared" si="68"/>
        <v>1.20165E-4</v>
      </c>
      <c r="R200" s="100">
        <v>0</v>
      </c>
      <c r="T200" s="27"/>
      <c r="U200" s="50">
        <f t="shared" si="69"/>
        <v>0</v>
      </c>
    </row>
    <row r="201" spans="1:21" x14ac:dyDescent="0.3">
      <c r="A201" s="13" t="str">
        <f t="shared" si="59"/>
        <v>(650, 700]</v>
      </c>
      <c r="B201" s="96">
        <v>38142</v>
      </c>
      <c r="C201" s="96">
        <v>2569283600</v>
      </c>
      <c r="D201" s="27">
        <f t="shared" si="60"/>
        <v>3.8141999999999998E-3</v>
      </c>
      <c r="E201" s="90">
        <f t="shared" si="61"/>
        <v>673.61008861622361</v>
      </c>
      <c r="F201" s="88"/>
      <c r="G201" s="13" t="str">
        <f t="shared" si="62"/>
        <v>(650, 700]</v>
      </c>
      <c r="H201" s="86">
        <v>2.9162078548581619E-2</v>
      </c>
      <c r="I201" s="27">
        <f t="shared" si="63"/>
        <v>1.1123E-4</v>
      </c>
      <c r="J201" s="27">
        <f t="shared" si="64"/>
        <v>1.1122999999999998E-4</v>
      </c>
      <c r="K201" s="87">
        <f t="shared" si="65"/>
        <v>111230</v>
      </c>
      <c r="L201" s="100">
        <f t="shared" si="66"/>
        <v>1.1123E-4</v>
      </c>
      <c r="M201" s="100">
        <f t="shared" si="67"/>
        <v>7.4925650156782556E-2</v>
      </c>
      <c r="N201" s="88"/>
      <c r="O201" s="45">
        <v>650</v>
      </c>
      <c r="P201" s="45">
        <v>700</v>
      </c>
      <c r="Q201" s="100">
        <f t="shared" si="68"/>
        <v>1.1123E-4</v>
      </c>
      <c r="R201" s="100">
        <v>0</v>
      </c>
      <c r="T201" s="27"/>
      <c r="U201" s="50">
        <f t="shared" si="69"/>
        <v>0</v>
      </c>
    </row>
    <row r="202" spans="1:21" x14ac:dyDescent="0.3">
      <c r="A202" s="13" t="str">
        <f t="shared" si="59"/>
        <v>(700, 750]</v>
      </c>
      <c r="B202" s="96">
        <v>26409</v>
      </c>
      <c r="C202" s="96">
        <v>1910487650</v>
      </c>
      <c r="D202" s="27">
        <f t="shared" si="60"/>
        <v>2.6408999999999998E-3</v>
      </c>
      <c r="E202" s="90">
        <f t="shared" si="61"/>
        <v>723.42294293612019</v>
      </c>
      <c r="F202" s="88"/>
      <c r="G202" s="13" t="str">
        <f t="shared" si="62"/>
        <v>(700, 750]</v>
      </c>
      <c r="H202" s="86">
        <v>3.9218069597485708E-2</v>
      </c>
      <c r="I202" s="27">
        <f t="shared" si="63"/>
        <v>1.03571E-4</v>
      </c>
      <c r="J202" s="27">
        <f t="shared" si="64"/>
        <v>1.0357099999999997E-4</v>
      </c>
      <c r="K202" s="87">
        <f t="shared" si="65"/>
        <v>103571</v>
      </c>
      <c r="L202" s="100">
        <f t="shared" si="66"/>
        <v>1.03571E-4</v>
      </c>
      <c r="M202" s="100">
        <f t="shared" si="67"/>
        <v>7.492563762283691E-2</v>
      </c>
      <c r="N202" s="88"/>
      <c r="O202" s="45">
        <v>700</v>
      </c>
      <c r="P202" s="45">
        <v>750</v>
      </c>
      <c r="Q202" s="100">
        <f t="shared" si="68"/>
        <v>1.03571E-4</v>
      </c>
      <c r="R202" s="100">
        <v>0</v>
      </c>
      <c r="T202" s="27"/>
      <c r="U202" s="50">
        <f t="shared" si="69"/>
        <v>0</v>
      </c>
    </row>
    <row r="203" spans="1:21" x14ac:dyDescent="0.3">
      <c r="A203" s="13" t="str">
        <f t="shared" si="59"/>
        <v>(750, 800]</v>
      </c>
      <c r="B203" s="96">
        <v>18493</v>
      </c>
      <c r="C203" s="96">
        <v>1430620430</v>
      </c>
      <c r="D203" s="27">
        <f t="shared" si="60"/>
        <v>1.8492999999999999E-3</v>
      </c>
      <c r="E203" s="90">
        <f t="shared" si="61"/>
        <v>773.60105445303634</v>
      </c>
      <c r="F203" s="88"/>
      <c r="G203" s="13" t="str">
        <f t="shared" si="62"/>
        <v>(750, 800]</v>
      </c>
      <c r="H203" s="86">
        <v>0.43478072784296762</v>
      </c>
      <c r="I203" s="27">
        <f t="shared" si="63"/>
        <v>8.0404000000000001E-4</v>
      </c>
      <c r="J203" s="27">
        <f t="shared" si="64"/>
        <v>8.0403999999999979E-4</v>
      </c>
      <c r="K203" s="87">
        <f t="shared" si="65"/>
        <v>804040</v>
      </c>
      <c r="L203" s="100">
        <f t="shared" si="66"/>
        <v>8.0404000000000001E-4</v>
      </c>
      <c r="M203" s="100">
        <f t="shared" si="67"/>
        <v>0.62200619182241934</v>
      </c>
      <c r="N203" s="88"/>
      <c r="O203" s="45">
        <v>750</v>
      </c>
      <c r="P203" s="45">
        <v>800</v>
      </c>
      <c r="Q203" s="100">
        <f t="shared" si="68"/>
        <v>8.0404000000000001E-4</v>
      </c>
      <c r="R203" s="100">
        <v>7.1377587437544611E-4</v>
      </c>
      <c r="T203" s="27"/>
      <c r="U203" s="50">
        <f t="shared" si="69"/>
        <v>0</v>
      </c>
    </row>
    <row r="204" spans="1:21" x14ac:dyDescent="0.3">
      <c r="A204" s="13" t="str">
        <f t="shared" si="59"/>
        <v>(800, 850]</v>
      </c>
      <c r="B204" s="96">
        <v>12599</v>
      </c>
      <c r="C204" s="96">
        <v>1037497100</v>
      </c>
      <c r="D204" s="27">
        <f t="shared" si="60"/>
        <v>1.2599E-3</v>
      </c>
      <c r="E204" s="90">
        <f t="shared" si="61"/>
        <v>823.47575204381292</v>
      </c>
      <c r="F204" s="88"/>
      <c r="G204" s="13" t="str">
        <f t="shared" si="62"/>
        <v>(800, 850]</v>
      </c>
      <c r="H204" s="86">
        <v>7.2217636320342879E-2</v>
      </c>
      <c r="I204" s="27">
        <f t="shared" si="63"/>
        <v>9.0986999999999988E-5</v>
      </c>
      <c r="J204" s="27">
        <f t="shared" si="64"/>
        <v>9.0986999999999974E-5</v>
      </c>
      <c r="K204" s="87">
        <f t="shared" si="65"/>
        <v>90987</v>
      </c>
      <c r="L204" s="100">
        <f t="shared" si="66"/>
        <v>9.0987000000000001E-5</v>
      </c>
      <c r="M204" s="100">
        <f t="shared" si="67"/>
        <v>7.4925588251210401E-2</v>
      </c>
      <c r="N204" s="88"/>
      <c r="O204" s="45">
        <v>800</v>
      </c>
      <c r="P204" s="45">
        <v>850</v>
      </c>
      <c r="Q204" s="100">
        <f t="shared" si="68"/>
        <v>9.0987000000000001E-5</v>
      </c>
      <c r="R204" s="100">
        <v>0</v>
      </c>
      <c r="T204" s="27"/>
      <c r="U204" s="50">
        <f t="shared" si="69"/>
        <v>0</v>
      </c>
    </row>
    <row r="205" spans="1:21" x14ac:dyDescent="0.3">
      <c r="A205" s="13" t="str">
        <f t="shared" si="59"/>
        <v>(850, 900]</v>
      </c>
      <c r="B205" s="96">
        <v>8937</v>
      </c>
      <c r="C205" s="96">
        <v>780788850</v>
      </c>
      <c r="D205" s="27">
        <f t="shared" si="60"/>
        <v>8.9369999999999998E-4</v>
      </c>
      <c r="E205" s="90">
        <f t="shared" si="61"/>
        <v>873.65877811346081</v>
      </c>
      <c r="F205" s="88"/>
      <c r="G205" s="13" t="str">
        <f t="shared" si="62"/>
        <v>(850, 900]</v>
      </c>
      <c r="H205" s="86">
        <v>0</v>
      </c>
      <c r="I205" s="27">
        <f t="shared" si="63"/>
        <v>0</v>
      </c>
      <c r="J205" s="27">
        <f t="shared" si="64"/>
        <v>0</v>
      </c>
      <c r="K205" s="92">
        <f t="shared" si="65"/>
        <v>0</v>
      </c>
      <c r="L205" s="100">
        <f t="shared" si="66"/>
        <v>0</v>
      </c>
      <c r="M205" s="100">
        <f t="shared" si="67"/>
        <v>0</v>
      </c>
      <c r="N205" s="88"/>
      <c r="O205" s="45">
        <v>850</v>
      </c>
      <c r="P205" s="45">
        <v>900</v>
      </c>
      <c r="Q205" s="100">
        <f t="shared" si="68"/>
        <v>0</v>
      </c>
      <c r="R205" s="100">
        <v>0</v>
      </c>
      <c r="T205" s="27"/>
      <c r="U205" s="50">
        <f t="shared" si="69"/>
        <v>0</v>
      </c>
    </row>
    <row r="206" spans="1:21" x14ac:dyDescent="0.3">
      <c r="A206" s="13" t="str">
        <f t="shared" si="59"/>
        <v>(900, 950]</v>
      </c>
      <c r="B206" s="96">
        <v>6233</v>
      </c>
      <c r="C206" s="96">
        <v>575754600</v>
      </c>
      <c r="D206" s="27">
        <f t="shared" si="60"/>
        <v>6.2330000000000003E-4</v>
      </c>
      <c r="E206" s="90">
        <f t="shared" si="61"/>
        <v>923.71987806834591</v>
      </c>
      <c r="F206" s="88"/>
      <c r="G206" s="13" t="str">
        <f t="shared" si="62"/>
        <v>(900, 950]</v>
      </c>
      <c r="H206" s="86">
        <v>0</v>
      </c>
      <c r="I206" s="27">
        <f t="shared" si="63"/>
        <v>0</v>
      </c>
      <c r="J206" s="27">
        <f t="shared" si="64"/>
        <v>0</v>
      </c>
      <c r="K206" s="92">
        <f t="shared" si="65"/>
        <v>0</v>
      </c>
      <c r="L206" s="100">
        <f t="shared" si="66"/>
        <v>0</v>
      </c>
      <c r="M206" s="100">
        <f t="shared" si="67"/>
        <v>0</v>
      </c>
      <c r="N206" s="88"/>
      <c r="O206" s="45">
        <v>900</v>
      </c>
      <c r="P206" s="45">
        <v>950</v>
      </c>
      <c r="Q206" s="100">
        <f t="shared" si="68"/>
        <v>0</v>
      </c>
      <c r="R206" s="100">
        <v>0</v>
      </c>
      <c r="T206" s="27"/>
      <c r="U206" s="50">
        <f t="shared" si="69"/>
        <v>0</v>
      </c>
    </row>
    <row r="207" spans="1:21" x14ac:dyDescent="0.3">
      <c r="A207" s="13" t="str">
        <f t="shared" si="59"/>
        <v>(950, 1000]</v>
      </c>
      <c r="B207" s="96">
        <v>4315</v>
      </c>
      <c r="C207" s="96">
        <v>420146040</v>
      </c>
      <c r="D207" s="27">
        <f t="shared" si="60"/>
        <v>4.3150000000000003E-4</v>
      </c>
      <c r="E207" s="90">
        <f t="shared" si="61"/>
        <v>973.68723059096169</v>
      </c>
      <c r="F207" s="88"/>
      <c r="G207" s="13" t="str">
        <f t="shared" si="62"/>
        <v>(950, 1000]</v>
      </c>
      <c r="H207" s="86">
        <v>0</v>
      </c>
      <c r="I207" s="27">
        <f t="shared" si="63"/>
        <v>0</v>
      </c>
      <c r="J207" s="27">
        <f t="shared" si="64"/>
        <v>0</v>
      </c>
      <c r="K207" s="92">
        <f t="shared" si="65"/>
        <v>0</v>
      </c>
      <c r="L207" s="100">
        <f t="shared" si="66"/>
        <v>0</v>
      </c>
      <c r="M207" s="100">
        <f t="shared" si="67"/>
        <v>0</v>
      </c>
      <c r="N207" s="88"/>
      <c r="O207" s="45">
        <v>950</v>
      </c>
      <c r="P207" s="45">
        <v>1000</v>
      </c>
      <c r="Q207" s="100">
        <f t="shared" si="68"/>
        <v>0</v>
      </c>
      <c r="R207" s="100">
        <v>0</v>
      </c>
      <c r="T207" s="27"/>
      <c r="U207" s="50">
        <f t="shared" si="69"/>
        <v>0</v>
      </c>
    </row>
    <row r="208" spans="1:21" x14ac:dyDescent="0.3">
      <c r="A208" s="13" t="str">
        <f t="shared" si="59"/>
        <v>(1000, 2000]</v>
      </c>
      <c r="B208" s="96">
        <v>11151</v>
      </c>
      <c r="C208" s="96">
        <v>1298322720</v>
      </c>
      <c r="D208" s="27">
        <f t="shared" si="60"/>
        <v>1.1150999999999999E-3</v>
      </c>
      <c r="E208" s="90">
        <f t="shared" si="61"/>
        <v>1164.3105730427765</v>
      </c>
      <c r="F208" s="88"/>
      <c r="G208" s="13" t="str">
        <f t="shared" si="62"/>
        <v>(1000, 2000]</v>
      </c>
      <c r="H208" s="86">
        <v>5.7709622455385169E-2</v>
      </c>
      <c r="I208" s="27">
        <f t="shared" si="63"/>
        <v>6.4351999999999996E-5</v>
      </c>
      <c r="J208" s="27">
        <f t="shared" si="64"/>
        <v>6.4351999999999983E-5</v>
      </c>
      <c r="K208" s="92">
        <f t="shared" si="65"/>
        <v>64352</v>
      </c>
      <c r="L208" s="100">
        <f t="shared" si="66"/>
        <v>6.4351999999999996E-5</v>
      </c>
      <c r="M208" s="100">
        <f t="shared" si="67"/>
        <v>7.4925713996448748E-2</v>
      </c>
      <c r="N208" s="88"/>
      <c r="O208" s="45">
        <v>1000</v>
      </c>
      <c r="P208" s="45">
        <v>2000</v>
      </c>
      <c r="Q208" s="100">
        <f t="shared" si="68"/>
        <v>6.4351999999999996E-5</v>
      </c>
      <c r="R208" s="100">
        <v>0</v>
      </c>
      <c r="T208" s="27"/>
      <c r="U208" s="50">
        <f t="shared" si="69"/>
        <v>0</v>
      </c>
    </row>
    <row r="209" spans="1:21" x14ac:dyDescent="0.3">
      <c r="A209" s="13" t="str">
        <f t="shared" si="59"/>
        <v>(2000, 3000]</v>
      </c>
      <c r="B209" s="96">
        <v>75</v>
      </c>
      <c r="C209" s="96">
        <v>16698630</v>
      </c>
      <c r="D209" s="27">
        <f t="shared" si="60"/>
        <v>7.5000000000000002E-6</v>
      </c>
      <c r="E209" s="90">
        <f t="shared" si="61"/>
        <v>2226.4839999999999</v>
      </c>
      <c r="F209" s="88"/>
      <c r="G209" s="13" t="str">
        <f t="shared" si="62"/>
        <v>(2000, 3000]</v>
      </c>
      <c r="H209" s="86">
        <v>0</v>
      </c>
      <c r="I209" s="27">
        <f t="shared" si="63"/>
        <v>0</v>
      </c>
      <c r="J209" s="27">
        <f t="shared" si="64"/>
        <v>0</v>
      </c>
      <c r="K209" s="92">
        <f t="shared" si="65"/>
        <v>0</v>
      </c>
      <c r="L209" s="100">
        <f t="shared" si="66"/>
        <v>0</v>
      </c>
      <c r="M209" s="100">
        <f t="shared" si="67"/>
        <v>0</v>
      </c>
      <c r="N209" s="88"/>
      <c r="O209" s="45">
        <v>2000</v>
      </c>
      <c r="P209" s="45">
        <v>3000</v>
      </c>
      <c r="Q209" s="100">
        <f t="shared" si="68"/>
        <v>0</v>
      </c>
      <c r="R209" s="100">
        <v>0</v>
      </c>
      <c r="T209" s="27"/>
      <c r="U209" s="50">
        <f t="shared" si="69"/>
        <v>0</v>
      </c>
    </row>
    <row r="210" spans="1:21" x14ac:dyDescent="0.3">
      <c r="A210" s="13" t="str">
        <f t="shared" si="59"/>
        <v>(3000, 4000]</v>
      </c>
      <c r="B210" s="96">
        <v>4</v>
      </c>
      <c r="C210" s="96">
        <v>1306190</v>
      </c>
      <c r="D210" s="27">
        <f t="shared" si="60"/>
        <v>3.9999999999999998E-7</v>
      </c>
      <c r="E210" s="90">
        <f t="shared" si="61"/>
        <v>3265.4749999999999</v>
      </c>
      <c r="F210" s="88"/>
      <c r="G210" s="13" t="str">
        <f t="shared" si="62"/>
        <v>(3000, 4000]</v>
      </c>
      <c r="H210" s="86">
        <v>0</v>
      </c>
      <c r="I210" s="27">
        <f t="shared" si="63"/>
        <v>0</v>
      </c>
      <c r="J210" s="27">
        <f t="shared" si="64"/>
        <v>0</v>
      </c>
      <c r="K210" s="92">
        <f t="shared" si="65"/>
        <v>0</v>
      </c>
      <c r="L210" s="100">
        <f t="shared" si="66"/>
        <v>0</v>
      </c>
      <c r="M210" s="100">
        <f t="shared" si="67"/>
        <v>0</v>
      </c>
      <c r="N210" s="88"/>
      <c r="O210" s="45">
        <v>3000</v>
      </c>
      <c r="P210" s="45">
        <v>4000</v>
      </c>
      <c r="Q210" s="100">
        <f t="shared" si="68"/>
        <v>0</v>
      </c>
      <c r="R210" s="100">
        <v>0</v>
      </c>
      <c r="T210" s="27"/>
      <c r="U210" s="50">
        <f t="shared" si="69"/>
        <v>0</v>
      </c>
    </row>
    <row r="211" spans="1:21" x14ac:dyDescent="0.3">
      <c r="A211" s="13" t="str">
        <f t="shared" si="59"/>
        <v>(4000, 5000]</v>
      </c>
      <c r="B211" s="96">
        <v>0</v>
      </c>
      <c r="C211" s="96">
        <v>0</v>
      </c>
      <c r="D211" s="27">
        <f t="shared" si="60"/>
        <v>0</v>
      </c>
      <c r="E211" s="90">
        <f t="shared" si="61"/>
        <v>0</v>
      </c>
      <c r="F211" s="88"/>
      <c r="G211" s="13" t="str">
        <f t="shared" si="62"/>
        <v>(4000, 5000]</v>
      </c>
      <c r="H211" s="86">
        <v>0</v>
      </c>
      <c r="I211" s="27">
        <f t="shared" si="63"/>
        <v>0</v>
      </c>
      <c r="J211" s="27">
        <f t="shared" si="64"/>
        <v>0</v>
      </c>
      <c r="K211" s="92">
        <f t="shared" si="65"/>
        <v>0</v>
      </c>
      <c r="L211" s="100">
        <f t="shared" si="66"/>
        <v>0</v>
      </c>
      <c r="M211" s="100">
        <f t="shared" si="67"/>
        <v>0</v>
      </c>
      <c r="N211" s="88"/>
      <c r="O211" s="45">
        <v>4000</v>
      </c>
      <c r="P211" s="45">
        <v>5000</v>
      </c>
      <c r="Q211" s="100">
        <f t="shared" si="68"/>
        <v>0</v>
      </c>
      <c r="R211" s="100">
        <v>0</v>
      </c>
      <c r="T211" s="27"/>
      <c r="U211" s="50">
        <f t="shared" si="69"/>
        <v>0</v>
      </c>
    </row>
    <row r="212" spans="1:21" x14ac:dyDescent="0.3">
      <c r="A212" s="13" t="str">
        <f t="shared" si="59"/>
        <v>(5000, 6000]</v>
      </c>
      <c r="B212" s="96">
        <v>0</v>
      </c>
      <c r="C212" s="96">
        <v>0</v>
      </c>
      <c r="D212" s="27">
        <f t="shared" si="60"/>
        <v>0</v>
      </c>
      <c r="E212" s="90">
        <f t="shared" si="61"/>
        <v>0</v>
      </c>
      <c r="F212" s="88"/>
      <c r="G212" s="13" t="str">
        <f t="shared" si="62"/>
        <v>(5000, 6000]</v>
      </c>
      <c r="H212" s="86">
        <v>0</v>
      </c>
      <c r="I212" s="27">
        <f t="shared" si="63"/>
        <v>0</v>
      </c>
      <c r="J212" s="27">
        <f t="shared" si="64"/>
        <v>0</v>
      </c>
      <c r="K212" s="92">
        <f t="shared" si="65"/>
        <v>0</v>
      </c>
      <c r="L212" s="100">
        <f t="shared" si="66"/>
        <v>0</v>
      </c>
      <c r="M212" s="100">
        <f t="shared" si="67"/>
        <v>0</v>
      </c>
      <c r="N212" s="88"/>
      <c r="O212" s="45">
        <v>5000</v>
      </c>
      <c r="P212" s="45">
        <v>6000</v>
      </c>
      <c r="Q212" s="100">
        <f t="shared" si="68"/>
        <v>0</v>
      </c>
      <c r="R212" s="100">
        <v>0</v>
      </c>
      <c r="T212" s="27"/>
      <c r="U212" s="50">
        <f t="shared" si="69"/>
        <v>0</v>
      </c>
    </row>
    <row r="213" spans="1:21" x14ac:dyDescent="0.3">
      <c r="A213" s="13" t="str">
        <f t="shared" si="59"/>
        <v>(6000, 7000]</v>
      </c>
      <c r="B213" s="96">
        <v>0</v>
      </c>
      <c r="C213" s="96">
        <v>0</v>
      </c>
      <c r="D213" s="27">
        <f t="shared" si="60"/>
        <v>0</v>
      </c>
      <c r="E213" s="90">
        <f t="shared" si="61"/>
        <v>0</v>
      </c>
      <c r="F213" s="88"/>
      <c r="G213" s="13" t="str">
        <f t="shared" si="62"/>
        <v>(6000, 7000]</v>
      </c>
      <c r="H213" s="86">
        <v>0</v>
      </c>
      <c r="I213" s="27">
        <f t="shared" si="63"/>
        <v>0</v>
      </c>
      <c r="J213" s="27">
        <f t="shared" si="64"/>
        <v>0</v>
      </c>
      <c r="K213" s="92">
        <f t="shared" si="65"/>
        <v>0</v>
      </c>
      <c r="L213" s="100">
        <f t="shared" si="66"/>
        <v>0</v>
      </c>
      <c r="M213" s="100">
        <f t="shared" si="67"/>
        <v>0</v>
      </c>
      <c r="N213" s="88"/>
      <c r="O213" s="45">
        <v>6000</v>
      </c>
      <c r="P213" s="45">
        <v>7000</v>
      </c>
      <c r="Q213" s="100">
        <f t="shared" si="68"/>
        <v>0</v>
      </c>
      <c r="R213" s="100">
        <v>0</v>
      </c>
      <c r="T213" s="27"/>
      <c r="U213" s="50">
        <f t="shared" si="69"/>
        <v>0</v>
      </c>
    </row>
    <row r="214" spans="1:21" x14ac:dyDescent="0.3">
      <c r="A214" s="13" t="str">
        <f t="shared" si="59"/>
        <v>(7000, 8000]</v>
      </c>
      <c r="B214" s="96">
        <v>0</v>
      </c>
      <c r="C214" s="96">
        <v>0</v>
      </c>
      <c r="D214" s="27">
        <f t="shared" si="60"/>
        <v>0</v>
      </c>
      <c r="E214" s="90">
        <f t="shared" si="61"/>
        <v>0</v>
      </c>
      <c r="F214" s="88"/>
      <c r="G214" s="13" t="str">
        <f t="shared" si="62"/>
        <v>(7000, 8000]</v>
      </c>
      <c r="H214" s="86">
        <v>0</v>
      </c>
      <c r="I214" s="27">
        <f t="shared" si="63"/>
        <v>0</v>
      </c>
      <c r="J214" s="27">
        <f t="shared" si="64"/>
        <v>0</v>
      </c>
      <c r="K214" s="92">
        <f t="shared" si="65"/>
        <v>0</v>
      </c>
      <c r="L214" s="100">
        <f t="shared" si="66"/>
        <v>0</v>
      </c>
      <c r="M214" s="100">
        <f t="shared" si="67"/>
        <v>0</v>
      </c>
      <c r="N214" s="88"/>
      <c r="O214" s="45">
        <v>7000</v>
      </c>
      <c r="P214" s="45">
        <v>8000</v>
      </c>
      <c r="Q214" s="100">
        <f t="shared" si="68"/>
        <v>0</v>
      </c>
      <c r="R214" s="100">
        <v>0</v>
      </c>
      <c r="T214" s="27"/>
      <c r="U214" s="50">
        <f t="shared" si="69"/>
        <v>0</v>
      </c>
    </row>
    <row r="215" spans="1:21" x14ac:dyDescent="0.3">
      <c r="A215" s="13" t="str">
        <f t="shared" si="59"/>
        <v>(8000, 9000]</v>
      </c>
      <c r="B215" s="96">
        <v>0</v>
      </c>
      <c r="C215" s="96">
        <v>0</v>
      </c>
      <c r="D215" s="27">
        <f t="shared" si="60"/>
        <v>0</v>
      </c>
      <c r="E215" s="90">
        <f t="shared" si="61"/>
        <v>0</v>
      </c>
      <c r="F215" s="88"/>
      <c r="G215" s="13" t="str">
        <f t="shared" si="62"/>
        <v>(8000, 9000]</v>
      </c>
      <c r="H215" s="86">
        <v>0</v>
      </c>
      <c r="I215" s="27">
        <f t="shared" si="63"/>
        <v>0</v>
      </c>
      <c r="J215" s="27">
        <f t="shared" si="64"/>
        <v>0</v>
      </c>
      <c r="K215" s="92">
        <f t="shared" si="65"/>
        <v>0</v>
      </c>
      <c r="L215" s="100">
        <f t="shared" si="66"/>
        <v>0</v>
      </c>
      <c r="M215" s="100">
        <f t="shared" si="67"/>
        <v>0</v>
      </c>
      <c r="N215" s="88"/>
      <c r="O215" s="45">
        <v>8000</v>
      </c>
      <c r="P215" s="45">
        <v>9000</v>
      </c>
      <c r="Q215" s="100">
        <f t="shared" si="68"/>
        <v>0</v>
      </c>
      <c r="R215" s="100">
        <v>0</v>
      </c>
      <c r="T215" s="27"/>
      <c r="U215" s="50">
        <f t="shared" si="69"/>
        <v>0</v>
      </c>
    </row>
    <row r="216" spans="1:21" x14ac:dyDescent="0.3">
      <c r="A216" s="13" t="str">
        <f t="shared" si="59"/>
        <v>(9000, 10000]</v>
      </c>
      <c r="B216" s="96">
        <v>0</v>
      </c>
      <c r="C216" s="96">
        <v>0</v>
      </c>
      <c r="D216" s="27">
        <f t="shared" si="60"/>
        <v>0</v>
      </c>
      <c r="E216" s="90">
        <f t="shared" si="61"/>
        <v>0</v>
      </c>
      <c r="F216" s="88"/>
      <c r="G216" s="13" t="str">
        <f t="shared" si="62"/>
        <v>(9000, 10000]</v>
      </c>
      <c r="H216" s="86">
        <v>0</v>
      </c>
      <c r="I216" s="27">
        <f t="shared" si="63"/>
        <v>0</v>
      </c>
      <c r="J216" s="27">
        <f t="shared" si="64"/>
        <v>0</v>
      </c>
      <c r="K216" s="92">
        <f t="shared" si="65"/>
        <v>0</v>
      </c>
      <c r="L216" s="100">
        <f t="shared" si="66"/>
        <v>0</v>
      </c>
      <c r="M216" s="100">
        <f t="shared" si="67"/>
        <v>0</v>
      </c>
      <c r="N216" s="88"/>
      <c r="O216" s="45">
        <v>9000</v>
      </c>
      <c r="P216" s="45">
        <v>10000</v>
      </c>
      <c r="Q216" s="100">
        <f t="shared" si="68"/>
        <v>0</v>
      </c>
      <c r="R216" s="100">
        <v>0</v>
      </c>
      <c r="T216" s="27"/>
      <c r="U216" s="50">
        <f t="shared" si="69"/>
        <v>0</v>
      </c>
    </row>
    <row r="217" spans="1:21" x14ac:dyDescent="0.3">
      <c r="A217" s="13" t="str">
        <f t="shared" si="59"/>
        <v>(10000, 20000]</v>
      </c>
      <c r="B217" s="96">
        <v>0</v>
      </c>
      <c r="C217" s="96">
        <v>0</v>
      </c>
      <c r="D217" s="27">
        <f t="shared" si="60"/>
        <v>0</v>
      </c>
      <c r="E217" s="90">
        <f t="shared" si="61"/>
        <v>0</v>
      </c>
      <c r="F217" s="88"/>
      <c r="G217" s="13" t="str">
        <f t="shared" si="62"/>
        <v>(10000, 20000]</v>
      </c>
      <c r="H217" s="86">
        <v>0</v>
      </c>
      <c r="I217" s="27">
        <f t="shared" si="63"/>
        <v>0</v>
      </c>
      <c r="J217" s="27">
        <f t="shared" si="64"/>
        <v>0</v>
      </c>
      <c r="K217" s="92">
        <f t="shared" si="65"/>
        <v>0</v>
      </c>
      <c r="L217" s="100">
        <f t="shared" si="66"/>
        <v>0</v>
      </c>
      <c r="M217" s="100">
        <f t="shared" si="67"/>
        <v>0</v>
      </c>
      <c r="N217" s="88"/>
      <c r="O217" s="45">
        <v>10000</v>
      </c>
      <c r="P217" s="45">
        <v>20000</v>
      </c>
      <c r="Q217" s="100">
        <f t="shared" si="68"/>
        <v>0</v>
      </c>
      <c r="R217" s="100">
        <v>0</v>
      </c>
      <c r="T217" s="27"/>
      <c r="U217" s="50">
        <f t="shared" si="69"/>
        <v>0</v>
      </c>
    </row>
    <row r="218" spans="1:21" x14ac:dyDescent="0.3">
      <c r="A218" s="13" t="str">
        <f t="shared" si="59"/>
        <v>(20000, 30000]</v>
      </c>
      <c r="B218" s="96">
        <v>0</v>
      </c>
      <c r="C218" s="96">
        <v>0</v>
      </c>
      <c r="D218" s="27">
        <f t="shared" si="60"/>
        <v>0</v>
      </c>
      <c r="E218" s="90">
        <f t="shared" si="61"/>
        <v>0</v>
      </c>
      <c r="F218" s="88"/>
      <c r="G218" s="13" t="str">
        <f t="shared" si="62"/>
        <v>(20000, 30000]</v>
      </c>
      <c r="H218" s="86">
        <v>0</v>
      </c>
      <c r="I218" s="27">
        <f t="shared" si="63"/>
        <v>0</v>
      </c>
      <c r="J218" s="27">
        <f t="shared" si="64"/>
        <v>0</v>
      </c>
      <c r="K218" s="92">
        <f t="shared" si="65"/>
        <v>0</v>
      </c>
      <c r="L218" s="100">
        <f t="shared" si="66"/>
        <v>0</v>
      </c>
      <c r="M218" s="100">
        <f t="shared" si="67"/>
        <v>0</v>
      </c>
      <c r="N218" s="88"/>
      <c r="O218" s="45">
        <v>20000</v>
      </c>
      <c r="P218" s="45">
        <v>30000</v>
      </c>
      <c r="Q218" s="100">
        <f t="shared" si="68"/>
        <v>0</v>
      </c>
      <c r="R218" s="100">
        <v>0</v>
      </c>
      <c r="T218" s="27"/>
      <c r="U218" s="50">
        <f t="shared" si="69"/>
        <v>0</v>
      </c>
    </row>
    <row r="219" spans="1:21" x14ac:dyDescent="0.3">
      <c r="A219" s="13" t="str">
        <f t="shared" si="59"/>
        <v>(30000, 40000]</v>
      </c>
      <c r="B219" s="96">
        <v>0</v>
      </c>
      <c r="C219" s="96">
        <v>0</v>
      </c>
      <c r="D219" s="27">
        <f t="shared" si="60"/>
        <v>0</v>
      </c>
      <c r="E219" s="90">
        <f t="shared" si="61"/>
        <v>0</v>
      </c>
      <c r="F219" s="88"/>
      <c r="G219" s="13" t="str">
        <f t="shared" si="62"/>
        <v>(30000, 40000]</v>
      </c>
      <c r="H219" s="86">
        <v>0</v>
      </c>
      <c r="I219" s="27">
        <f t="shared" si="63"/>
        <v>0</v>
      </c>
      <c r="J219" s="27">
        <f t="shared" si="64"/>
        <v>0</v>
      </c>
      <c r="K219" s="92">
        <f t="shared" si="65"/>
        <v>0</v>
      </c>
      <c r="L219" s="100">
        <f t="shared" si="66"/>
        <v>0</v>
      </c>
      <c r="M219" s="100">
        <f t="shared" si="67"/>
        <v>0</v>
      </c>
      <c r="N219" s="88"/>
      <c r="O219" s="45">
        <v>30000</v>
      </c>
      <c r="P219" s="45">
        <v>40000</v>
      </c>
      <c r="Q219" s="100">
        <f t="shared" si="68"/>
        <v>0</v>
      </c>
      <c r="R219" s="100">
        <v>0</v>
      </c>
      <c r="T219" s="27"/>
      <c r="U219" s="50">
        <f t="shared" si="69"/>
        <v>0</v>
      </c>
    </row>
    <row r="220" spans="1:21" x14ac:dyDescent="0.3">
      <c r="A220" s="13" t="str">
        <f t="shared" si="59"/>
        <v>(40000, 50000]</v>
      </c>
      <c r="B220" s="96">
        <v>0</v>
      </c>
      <c r="C220" s="96">
        <v>0</v>
      </c>
      <c r="D220" s="27">
        <f t="shared" si="60"/>
        <v>0</v>
      </c>
      <c r="E220" s="90">
        <f t="shared" si="61"/>
        <v>0</v>
      </c>
      <c r="F220" s="88"/>
      <c r="G220" s="13" t="str">
        <f t="shared" si="62"/>
        <v>(40000, 50000]</v>
      </c>
      <c r="H220" s="86">
        <v>0</v>
      </c>
      <c r="I220" s="27">
        <f t="shared" si="63"/>
        <v>0</v>
      </c>
      <c r="J220" s="27">
        <f t="shared" si="64"/>
        <v>0</v>
      </c>
      <c r="K220" s="92">
        <f t="shared" si="65"/>
        <v>0</v>
      </c>
      <c r="L220" s="100">
        <f t="shared" si="66"/>
        <v>0</v>
      </c>
      <c r="M220" s="100">
        <f t="shared" si="67"/>
        <v>0</v>
      </c>
      <c r="N220" s="88"/>
      <c r="O220" s="45">
        <v>40000</v>
      </c>
      <c r="P220" s="45">
        <v>50000</v>
      </c>
      <c r="Q220" s="100">
        <f t="shared" si="68"/>
        <v>0</v>
      </c>
      <c r="R220" s="100">
        <v>0</v>
      </c>
      <c r="T220" s="27"/>
      <c r="U220" s="50">
        <f t="shared" si="69"/>
        <v>0</v>
      </c>
    </row>
    <row r="221" spans="1:21" x14ac:dyDescent="0.3">
      <c r="A221" s="13" t="str">
        <f t="shared" si="59"/>
        <v>(50000, 60000]</v>
      </c>
      <c r="B221" s="96">
        <v>0</v>
      </c>
      <c r="C221" s="96">
        <v>0</v>
      </c>
      <c r="D221" s="27">
        <f t="shared" si="60"/>
        <v>0</v>
      </c>
      <c r="E221" s="90">
        <f t="shared" si="61"/>
        <v>0</v>
      </c>
      <c r="F221" s="88"/>
      <c r="G221" s="13" t="str">
        <f t="shared" si="62"/>
        <v>(50000, 60000]</v>
      </c>
      <c r="H221" s="86">
        <v>0</v>
      </c>
      <c r="I221" s="27">
        <f t="shared" si="63"/>
        <v>0</v>
      </c>
      <c r="J221" s="27">
        <f t="shared" si="64"/>
        <v>0</v>
      </c>
      <c r="K221" s="92">
        <f t="shared" si="65"/>
        <v>0</v>
      </c>
      <c r="L221" s="100">
        <f t="shared" si="66"/>
        <v>0</v>
      </c>
      <c r="M221" s="100">
        <f t="shared" si="67"/>
        <v>0</v>
      </c>
      <c r="N221" s="88"/>
      <c r="O221" s="45">
        <v>50000</v>
      </c>
      <c r="P221" s="45">
        <v>60000</v>
      </c>
      <c r="Q221" s="100">
        <f t="shared" si="68"/>
        <v>0</v>
      </c>
      <c r="R221" s="100">
        <v>0</v>
      </c>
      <c r="T221" s="27"/>
      <c r="U221" s="50">
        <f t="shared" si="69"/>
        <v>0</v>
      </c>
    </row>
    <row r="222" spans="1:21" x14ac:dyDescent="0.3">
      <c r="A222" s="13" t="str">
        <f t="shared" si="59"/>
        <v>(60000, 70000]</v>
      </c>
      <c r="B222" s="96">
        <v>0</v>
      </c>
      <c r="C222" s="96">
        <v>0</v>
      </c>
      <c r="D222" s="27">
        <f t="shared" si="60"/>
        <v>0</v>
      </c>
      <c r="E222" s="90">
        <f t="shared" si="61"/>
        <v>0</v>
      </c>
      <c r="F222" s="88"/>
      <c r="G222" s="13" t="str">
        <f t="shared" si="62"/>
        <v>(60000, 70000]</v>
      </c>
      <c r="H222" s="86">
        <v>0</v>
      </c>
      <c r="I222" s="27">
        <f t="shared" si="63"/>
        <v>0</v>
      </c>
      <c r="J222" s="27">
        <f t="shared" si="64"/>
        <v>0</v>
      </c>
      <c r="K222" s="92">
        <f t="shared" si="65"/>
        <v>0</v>
      </c>
      <c r="L222" s="100">
        <f t="shared" si="66"/>
        <v>0</v>
      </c>
      <c r="M222" s="100">
        <f t="shared" si="67"/>
        <v>0</v>
      </c>
      <c r="N222" s="88"/>
      <c r="O222" s="45">
        <v>60000</v>
      </c>
      <c r="P222" s="45">
        <v>70000</v>
      </c>
      <c r="Q222" s="100">
        <f t="shared" si="68"/>
        <v>0</v>
      </c>
      <c r="R222" s="100">
        <v>0</v>
      </c>
      <c r="T222" s="27"/>
      <c r="U222" s="50">
        <f t="shared" si="69"/>
        <v>0</v>
      </c>
    </row>
    <row r="223" spans="1:21" x14ac:dyDescent="0.3">
      <c r="A223" s="13" t="str">
        <f t="shared" si="59"/>
        <v>(70000, 80000]</v>
      </c>
      <c r="B223" s="96">
        <v>0</v>
      </c>
      <c r="C223" s="96">
        <v>0</v>
      </c>
      <c r="D223" s="27">
        <f t="shared" si="60"/>
        <v>0</v>
      </c>
      <c r="E223" s="90">
        <f t="shared" si="61"/>
        <v>0</v>
      </c>
      <c r="F223" s="88"/>
      <c r="G223" s="13" t="str">
        <f t="shared" si="62"/>
        <v>(70000, 80000]</v>
      </c>
      <c r="H223" s="86">
        <v>0</v>
      </c>
      <c r="I223" s="27">
        <f t="shared" si="63"/>
        <v>0</v>
      </c>
      <c r="J223" s="27">
        <f t="shared" si="64"/>
        <v>0</v>
      </c>
      <c r="K223" s="92">
        <f t="shared" si="65"/>
        <v>0</v>
      </c>
      <c r="L223" s="100">
        <f t="shared" si="66"/>
        <v>0</v>
      </c>
      <c r="M223" s="100">
        <f t="shared" si="67"/>
        <v>0</v>
      </c>
      <c r="N223" s="88"/>
      <c r="O223" s="45">
        <v>70000</v>
      </c>
      <c r="P223" s="45">
        <v>80000</v>
      </c>
      <c r="Q223" s="100">
        <f t="shared" si="68"/>
        <v>0</v>
      </c>
      <c r="R223" s="100">
        <v>0</v>
      </c>
      <c r="T223" s="27"/>
      <c r="U223" s="50">
        <f t="shared" si="69"/>
        <v>0</v>
      </c>
    </row>
    <row r="224" spans="1:21" x14ac:dyDescent="0.3">
      <c r="A224" s="13" t="str">
        <f t="shared" si="59"/>
        <v>(80000, 90000]</v>
      </c>
      <c r="B224" s="96">
        <v>0</v>
      </c>
      <c r="C224" s="96">
        <v>0</v>
      </c>
      <c r="D224" s="27">
        <f t="shared" si="60"/>
        <v>0</v>
      </c>
      <c r="E224" s="90">
        <f t="shared" si="61"/>
        <v>0</v>
      </c>
      <c r="F224" s="88"/>
      <c r="G224" s="13" t="str">
        <f t="shared" si="62"/>
        <v>(80000, 90000]</v>
      </c>
      <c r="H224" s="86">
        <v>0</v>
      </c>
      <c r="I224" s="27">
        <f t="shared" si="63"/>
        <v>0</v>
      </c>
      <c r="J224" s="27">
        <f t="shared" si="64"/>
        <v>0</v>
      </c>
      <c r="K224" s="92">
        <f t="shared" si="65"/>
        <v>0</v>
      </c>
      <c r="L224" s="100">
        <f t="shared" si="66"/>
        <v>0</v>
      </c>
      <c r="M224" s="100">
        <f t="shared" si="67"/>
        <v>0</v>
      </c>
      <c r="N224" s="88"/>
      <c r="O224" s="45">
        <v>80000</v>
      </c>
      <c r="P224" s="45">
        <v>90000</v>
      </c>
      <c r="Q224" s="100">
        <f t="shared" si="68"/>
        <v>0</v>
      </c>
      <c r="R224" s="100">
        <v>0</v>
      </c>
      <c r="T224" s="27"/>
      <c r="U224" s="50">
        <f t="shared" si="69"/>
        <v>0</v>
      </c>
    </row>
    <row r="225" spans="1:21" x14ac:dyDescent="0.3">
      <c r="A225" s="13" t="str">
        <f t="shared" si="59"/>
        <v>(90000, 100000]</v>
      </c>
      <c r="B225" s="96">
        <v>0</v>
      </c>
      <c r="C225" s="96">
        <v>0</v>
      </c>
      <c r="D225" s="27">
        <f t="shared" si="60"/>
        <v>0</v>
      </c>
      <c r="E225" s="90">
        <f t="shared" si="61"/>
        <v>0</v>
      </c>
      <c r="F225" s="88"/>
      <c r="G225" s="13" t="str">
        <f t="shared" si="62"/>
        <v>(90000, 100000]</v>
      </c>
      <c r="H225" s="86">
        <v>0</v>
      </c>
      <c r="I225" s="27">
        <f t="shared" si="63"/>
        <v>0</v>
      </c>
      <c r="J225" s="27">
        <f t="shared" si="64"/>
        <v>0</v>
      </c>
      <c r="K225" s="92">
        <f t="shared" si="65"/>
        <v>0</v>
      </c>
      <c r="L225" s="100">
        <f t="shared" si="66"/>
        <v>0</v>
      </c>
      <c r="M225" s="100">
        <f t="shared" si="67"/>
        <v>0</v>
      </c>
      <c r="N225" s="88"/>
      <c r="O225" s="45">
        <v>90000</v>
      </c>
      <c r="P225" s="45">
        <v>100000</v>
      </c>
      <c r="Q225" s="100">
        <f t="shared" si="68"/>
        <v>0</v>
      </c>
      <c r="R225" s="100">
        <v>0</v>
      </c>
      <c r="T225" s="27"/>
      <c r="U225" s="50">
        <f t="shared" si="69"/>
        <v>0</v>
      </c>
    </row>
    <row r="226" spans="1:21" x14ac:dyDescent="0.3">
      <c r="A226" s="13" t="str">
        <f t="shared" si="59"/>
        <v>(100000, 9999999]</v>
      </c>
      <c r="B226" s="96">
        <v>0</v>
      </c>
      <c r="C226" s="96">
        <v>0</v>
      </c>
      <c r="D226" s="27">
        <f t="shared" si="60"/>
        <v>0</v>
      </c>
      <c r="E226" s="90">
        <f t="shared" si="61"/>
        <v>0</v>
      </c>
      <c r="F226" s="88"/>
      <c r="G226" s="13" t="str">
        <f t="shared" si="62"/>
        <v>(100000, 9999999]</v>
      </c>
      <c r="H226" s="86">
        <v>0</v>
      </c>
      <c r="I226" s="27">
        <f t="shared" si="63"/>
        <v>0</v>
      </c>
      <c r="J226" s="27">
        <f t="shared" si="64"/>
        <v>0</v>
      </c>
      <c r="K226" s="92">
        <f t="shared" si="65"/>
        <v>0</v>
      </c>
      <c r="L226" s="100">
        <f t="shared" si="66"/>
        <v>0</v>
      </c>
      <c r="M226" s="100">
        <f t="shared" si="67"/>
        <v>0</v>
      </c>
      <c r="N226" s="88"/>
      <c r="O226" s="45">
        <v>100000</v>
      </c>
      <c r="P226" s="45">
        <v>9999999</v>
      </c>
      <c r="Q226" s="100">
        <f t="shared" si="68"/>
        <v>0</v>
      </c>
      <c r="R226" s="100">
        <v>0</v>
      </c>
      <c r="T226" s="27"/>
      <c r="U226" s="50">
        <f t="shared" si="69"/>
        <v>0</v>
      </c>
    </row>
    <row r="227" spans="1:21" x14ac:dyDescent="0.3">
      <c r="F227" s="4"/>
      <c r="N227" s="4"/>
      <c r="O227" s="4"/>
      <c r="P227" s="4"/>
    </row>
    <row r="230" spans="1:21" s="57" customFormat="1" ht="15.6" customHeight="1" collapsed="1" x14ac:dyDescent="0.3">
      <c r="A230" s="64" t="s">
        <v>99</v>
      </c>
      <c r="B230" s="64" t="s">
        <v>18</v>
      </c>
      <c r="C230" s="64"/>
      <c r="D230" s="54"/>
      <c r="E230" s="54"/>
      <c r="F230" s="55"/>
      <c r="G230" s="64" t="s">
        <v>99</v>
      </c>
      <c r="H230" s="64" t="s">
        <v>18</v>
      </c>
      <c r="I230" s="56"/>
      <c r="J230" s="56"/>
      <c r="K230" s="56"/>
      <c r="L230" s="56"/>
      <c r="M230" s="56"/>
      <c r="N230" s="55"/>
      <c r="O230" s="64" t="s">
        <v>99</v>
      </c>
      <c r="P230" s="64" t="s">
        <v>18</v>
      </c>
      <c r="Q230" s="56"/>
      <c r="R230" s="56"/>
    </row>
    <row r="231" spans="1:21" x14ac:dyDescent="0.3">
      <c r="A231" s="29"/>
      <c r="B231" s="1"/>
      <c r="C231" s="1"/>
      <c r="D231" s="1"/>
      <c r="E231" s="1"/>
      <c r="G231" s="35"/>
      <c r="H231" s="29"/>
      <c r="I231" s="29"/>
      <c r="J231" s="29"/>
      <c r="K231" s="29"/>
      <c r="L231" s="29"/>
      <c r="M231" s="29"/>
      <c r="Q231" s="29"/>
      <c r="R231" s="29"/>
    </row>
    <row r="232" spans="1:21" x14ac:dyDescent="0.3">
      <c r="A232" s="48" t="s">
        <v>100</v>
      </c>
      <c r="C232" s="1"/>
      <c r="D232" s="1"/>
      <c r="E232" s="1"/>
      <c r="G232" s="48" t="s">
        <v>101</v>
      </c>
      <c r="H232" s="29"/>
      <c r="I232" s="29"/>
      <c r="J232" s="29"/>
      <c r="L232" s="29"/>
      <c r="M232" s="29"/>
      <c r="Q232" s="29"/>
      <c r="R232" s="29"/>
    </row>
    <row r="233" spans="1:21" x14ac:dyDescent="0.3">
      <c r="A233" s="9" t="s">
        <v>19</v>
      </c>
      <c r="B233" s="9" t="s">
        <v>102</v>
      </c>
      <c r="C233" s="9" t="s">
        <v>103</v>
      </c>
      <c r="D233" s="9" t="s">
        <v>94</v>
      </c>
      <c r="E233" s="9" t="s">
        <v>104</v>
      </c>
      <c r="G233" s="9" t="s">
        <v>19</v>
      </c>
      <c r="H233" s="9" t="s">
        <v>105</v>
      </c>
      <c r="I233" s="9" t="s">
        <v>106</v>
      </c>
      <c r="J233" s="9" t="s">
        <v>107</v>
      </c>
      <c r="K233" s="9" t="s">
        <v>108</v>
      </c>
      <c r="L233" s="9" t="s">
        <v>94</v>
      </c>
      <c r="M233" s="9" t="s">
        <v>109</v>
      </c>
      <c r="O233" s="9" t="s">
        <v>110</v>
      </c>
      <c r="P233" s="9" t="s">
        <v>111</v>
      </c>
      <c r="Q233" s="9" t="s">
        <v>112</v>
      </c>
      <c r="R233" s="9" t="s">
        <v>113</v>
      </c>
      <c r="T233" s="12" t="s">
        <v>112</v>
      </c>
      <c r="U233" s="12" t="s">
        <v>114</v>
      </c>
    </row>
    <row r="234" spans="1:21" x14ac:dyDescent="0.3">
      <c r="A234" s="13" t="str">
        <f t="shared" ref="A234:A265" si="70">"("&amp;$O234&amp;", "&amp;$P234&amp;"]"</f>
        <v>(-1, 0]</v>
      </c>
      <c r="B234" s="84">
        <v>691894</v>
      </c>
      <c r="C234" s="84">
        <v>0</v>
      </c>
      <c r="D234" s="27">
        <f t="shared" ref="D234:D265" si="71">IFERROR(B234/SUM($B$234:$B$297),0)</f>
        <v>6.9189400000000002E-3</v>
      </c>
      <c r="E234" s="85">
        <f t="shared" ref="E234:E265" si="72">IFERROR(C234/B234/$B$3,0)</f>
        <v>0</v>
      </c>
      <c r="G234" s="13" t="str">
        <f t="shared" ref="G234:G265" si="73">"("&amp;$O234&amp;", "&amp;$P234&amp;"]"</f>
        <v>(-1, 0]</v>
      </c>
      <c r="H234" s="86">
        <v>0</v>
      </c>
      <c r="I234" s="27">
        <f t="shared" ref="I234:I265" si="74">D234*H234</f>
        <v>0</v>
      </c>
      <c r="J234" s="27">
        <f t="shared" ref="J234:J265" si="75">IFERROR(I234/SUM($I$234:$I$297),0)</f>
        <v>0</v>
      </c>
      <c r="K234" s="87">
        <f t="shared" ref="K234:K265" si="76">INT(J234*$B$2)</f>
        <v>0</v>
      </c>
      <c r="L234" s="100">
        <f t="shared" ref="L234:L265" si="77">IFERROR(K234/SUM($K$234:$K$297),0)</f>
        <v>0</v>
      </c>
      <c r="M234" s="100">
        <f t="shared" ref="M234:M265" si="78">L234*E234</f>
        <v>0</v>
      </c>
      <c r="N234" s="88"/>
      <c r="O234" s="49">
        <v>-1</v>
      </c>
      <c r="P234" s="49">
        <v>0</v>
      </c>
      <c r="Q234" s="100">
        <f t="shared" ref="Q234:Q265" si="79">L234</f>
        <v>0</v>
      </c>
      <c r="R234" s="100">
        <v>0</v>
      </c>
      <c r="T234" s="27"/>
      <c r="U234" s="50">
        <f t="shared" ref="U234:U265" si="80">IFERROR(ROUND(T234/L234,2),0)</f>
        <v>0</v>
      </c>
    </row>
    <row r="235" spans="1:21" x14ac:dyDescent="0.3">
      <c r="A235" s="13" t="str">
        <f t="shared" si="70"/>
        <v>(0, 1]</v>
      </c>
      <c r="B235" s="89">
        <v>787587</v>
      </c>
      <c r="C235" s="89">
        <v>43505670</v>
      </c>
      <c r="D235" s="27">
        <f t="shared" si="71"/>
        <v>7.8758700000000001E-3</v>
      </c>
      <c r="E235" s="90">
        <f t="shared" si="72"/>
        <v>0.55239192622529321</v>
      </c>
      <c r="G235" s="13" t="str">
        <f t="shared" si="73"/>
        <v>(0, 1]</v>
      </c>
      <c r="H235" s="86">
        <v>0</v>
      </c>
      <c r="I235" s="27">
        <f t="shared" si="74"/>
        <v>0</v>
      </c>
      <c r="J235" s="27">
        <f t="shared" si="75"/>
        <v>0</v>
      </c>
      <c r="K235" s="87">
        <f t="shared" si="76"/>
        <v>0</v>
      </c>
      <c r="L235" s="100">
        <f t="shared" si="77"/>
        <v>0</v>
      </c>
      <c r="M235" s="100">
        <f t="shared" si="78"/>
        <v>0</v>
      </c>
      <c r="N235" s="88"/>
      <c r="O235" s="45">
        <v>0</v>
      </c>
      <c r="P235" s="45">
        <v>1</v>
      </c>
      <c r="Q235" s="100">
        <f t="shared" si="79"/>
        <v>0</v>
      </c>
      <c r="R235" s="100">
        <v>0</v>
      </c>
      <c r="T235" s="27"/>
      <c r="U235" s="50">
        <f t="shared" si="80"/>
        <v>0</v>
      </c>
    </row>
    <row r="236" spans="1:21" x14ac:dyDescent="0.3">
      <c r="A236" s="13" t="str">
        <f t="shared" si="70"/>
        <v>(1, 2]</v>
      </c>
      <c r="B236" s="89">
        <v>434399</v>
      </c>
      <c r="C236" s="89">
        <v>67235920</v>
      </c>
      <c r="D236" s="27">
        <f t="shared" si="71"/>
        <v>4.3439899999999998E-3</v>
      </c>
      <c r="E236" s="90">
        <f t="shared" si="72"/>
        <v>1.5477917766845686</v>
      </c>
      <c r="F236" s="51"/>
      <c r="G236" s="13" t="str">
        <f t="shared" si="73"/>
        <v>(1, 2]</v>
      </c>
      <c r="H236" s="86">
        <v>0</v>
      </c>
      <c r="I236" s="27">
        <f t="shared" si="74"/>
        <v>0</v>
      </c>
      <c r="J236" s="27">
        <f t="shared" si="75"/>
        <v>0</v>
      </c>
      <c r="K236" s="87">
        <f t="shared" si="76"/>
        <v>0</v>
      </c>
      <c r="L236" s="100">
        <f t="shared" si="77"/>
        <v>0</v>
      </c>
      <c r="M236" s="100">
        <f t="shared" si="78"/>
        <v>0</v>
      </c>
      <c r="N236" s="88"/>
      <c r="O236" s="45">
        <v>1</v>
      </c>
      <c r="P236" s="45">
        <v>2</v>
      </c>
      <c r="Q236" s="100">
        <f t="shared" si="79"/>
        <v>0</v>
      </c>
      <c r="R236" s="100">
        <v>0</v>
      </c>
      <c r="T236" s="27"/>
      <c r="U236" s="50">
        <f t="shared" si="80"/>
        <v>0</v>
      </c>
    </row>
    <row r="237" spans="1:21" x14ac:dyDescent="0.3">
      <c r="A237" s="13" t="str">
        <f t="shared" si="70"/>
        <v>(2, 3]</v>
      </c>
      <c r="B237" s="89">
        <v>283446</v>
      </c>
      <c r="C237" s="89">
        <v>72463880</v>
      </c>
      <c r="D237" s="27">
        <f t="shared" si="71"/>
        <v>2.83446E-3</v>
      </c>
      <c r="E237" s="90">
        <f t="shared" si="72"/>
        <v>2.5565321084086561</v>
      </c>
      <c r="F237" s="88"/>
      <c r="G237" s="13" t="str">
        <f t="shared" si="73"/>
        <v>(2, 3]</v>
      </c>
      <c r="H237" s="86">
        <v>0</v>
      </c>
      <c r="I237" s="27">
        <f t="shared" si="74"/>
        <v>0</v>
      </c>
      <c r="J237" s="27">
        <f t="shared" si="75"/>
        <v>0</v>
      </c>
      <c r="K237" s="87">
        <f t="shared" si="76"/>
        <v>0</v>
      </c>
      <c r="L237" s="100">
        <f t="shared" si="77"/>
        <v>0</v>
      </c>
      <c r="M237" s="100">
        <f t="shared" si="78"/>
        <v>0</v>
      </c>
      <c r="N237" s="88"/>
      <c r="O237" s="45">
        <v>2</v>
      </c>
      <c r="P237" s="45">
        <v>3</v>
      </c>
      <c r="Q237" s="100">
        <f t="shared" si="79"/>
        <v>0</v>
      </c>
      <c r="R237" s="100">
        <v>0</v>
      </c>
      <c r="T237" s="27"/>
      <c r="U237" s="50">
        <f t="shared" si="80"/>
        <v>0</v>
      </c>
    </row>
    <row r="238" spans="1:21" x14ac:dyDescent="0.3">
      <c r="A238" s="13" t="str">
        <f t="shared" si="70"/>
        <v>(3, 4]</v>
      </c>
      <c r="B238" s="89">
        <v>197207</v>
      </c>
      <c r="C238" s="89">
        <v>70672670</v>
      </c>
      <c r="D238" s="27">
        <f t="shared" si="71"/>
        <v>1.9720699999999998E-3</v>
      </c>
      <c r="E238" s="90">
        <f t="shared" si="72"/>
        <v>3.5836795854102541</v>
      </c>
      <c r="F238" s="88"/>
      <c r="G238" s="13" t="str">
        <f t="shared" si="73"/>
        <v>(3, 4]</v>
      </c>
      <c r="H238" s="86">
        <v>0</v>
      </c>
      <c r="I238" s="27">
        <f t="shared" si="74"/>
        <v>0</v>
      </c>
      <c r="J238" s="27">
        <f t="shared" si="75"/>
        <v>0</v>
      </c>
      <c r="K238" s="87">
        <f t="shared" si="76"/>
        <v>0</v>
      </c>
      <c r="L238" s="100">
        <f t="shared" si="77"/>
        <v>0</v>
      </c>
      <c r="M238" s="100">
        <f t="shared" si="78"/>
        <v>0</v>
      </c>
      <c r="N238" s="88"/>
      <c r="O238" s="45">
        <v>3</v>
      </c>
      <c r="P238" s="45">
        <v>4</v>
      </c>
      <c r="Q238" s="100">
        <f t="shared" si="79"/>
        <v>0</v>
      </c>
      <c r="R238" s="100">
        <v>0</v>
      </c>
      <c r="T238" s="27"/>
      <c r="U238" s="50">
        <f t="shared" si="80"/>
        <v>0</v>
      </c>
    </row>
    <row r="239" spans="1:21" x14ac:dyDescent="0.3">
      <c r="A239" s="13" t="str">
        <f t="shared" si="70"/>
        <v>(4, 5]</v>
      </c>
      <c r="B239" s="89">
        <v>167558</v>
      </c>
      <c r="C239" s="89">
        <v>76762960</v>
      </c>
      <c r="D239" s="27">
        <f t="shared" si="71"/>
        <v>1.6755800000000001E-3</v>
      </c>
      <c r="E239" s="90">
        <f t="shared" si="72"/>
        <v>4.5812769309731554</v>
      </c>
      <c r="F239" s="88"/>
      <c r="G239" s="13" t="str">
        <f t="shared" si="73"/>
        <v>(4, 5]</v>
      </c>
      <c r="H239" s="86">
        <v>0</v>
      </c>
      <c r="I239" s="27">
        <f t="shared" si="74"/>
        <v>0</v>
      </c>
      <c r="J239" s="27">
        <f t="shared" si="75"/>
        <v>0</v>
      </c>
      <c r="K239" s="87">
        <f t="shared" si="76"/>
        <v>0</v>
      </c>
      <c r="L239" s="100">
        <f t="shared" si="77"/>
        <v>0</v>
      </c>
      <c r="M239" s="100">
        <f t="shared" si="78"/>
        <v>0</v>
      </c>
      <c r="N239" s="88"/>
      <c r="O239" s="45">
        <v>4</v>
      </c>
      <c r="P239" s="45">
        <v>5</v>
      </c>
      <c r="Q239" s="100">
        <f t="shared" si="79"/>
        <v>0</v>
      </c>
      <c r="R239" s="100">
        <v>0</v>
      </c>
      <c r="T239" s="27"/>
      <c r="U239" s="50">
        <f t="shared" si="80"/>
        <v>0</v>
      </c>
    </row>
    <row r="240" spans="1:21" x14ac:dyDescent="0.3">
      <c r="A240" s="13" t="str">
        <f t="shared" si="70"/>
        <v>(5, 6]</v>
      </c>
      <c r="B240" s="89">
        <v>133761</v>
      </c>
      <c r="C240" s="89">
        <v>74557180</v>
      </c>
      <c r="D240" s="27">
        <f t="shared" si="71"/>
        <v>1.3376099999999999E-3</v>
      </c>
      <c r="E240" s="90">
        <f t="shared" si="72"/>
        <v>5.5739101830877464</v>
      </c>
      <c r="F240" s="88"/>
      <c r="G240" s="13" t="str">
        <f t="shared" si="73"/>
        <v>(5, 6]</v>
      </c>
      <c r="H240" s="86">
        <v>0</v>
      </c>
      <c r="I240" s="27">
        <f t="shared" si="74"/>
        <v>0</v>
      </c>
      <c r="J240" s="27">
        <f t="shared" si="75"/>
        <v>0</v>
      </c>
      <c r="K240" s="87">
        <f t="shared" si="76"/>
        <v>0</v>
      </c>
      <c r="L240" s="100">
        <f t="shared" si="77"/>
        <v>0</v>
      </c>
      <c r="M240" s="100">
        <f t="shared" si="78"/>
        <v>0</v>
      </c>
      <c r="N240" s="88"/>
      <c r="O240" s="45">
        <v>5</v>
      </c>
      <c r="P240" s="45">
        <v>6</v>
      </c>
      <c r="Q240" s="100">
        <f t="shared" si="79"/>
        <v>0</v>
      </c>
      <c r="R240" s="100">
        <v>0</v>
      </c>
      <c r="T240" s="27"/>
      <c r="U240" s="50">
        <f t="shared" si="80"/>
        <v>0</v>
      </c>
    </row>
    <row r="241" spans="1:21" x14ac:dyDescent="0.3">
      <c r="A241" s="13" t="str">
        <f t="shared" si="70"/>
        <v>(6, 7]</v>
      </c>
      <c r="B241" s="89">
        <v>109400</v>
      </c>
      <c r="C241" s="89">
        <v>71786290</v>
      </c>
      <c r="D241" s="27">
        <f t="shared" si="71"/>
        <v>1.0939999999999999E-3</v>
      </c>
      <c r="E241" s="90">
        <f t="shared" si="72"/>
        <v>6.5618180987202921</v>
      </c>
      <c r="F241" s="88"/>
      <c r="G241" s="13" t="str">
        <f t="shared" si="73"/>
        <v>(6, 7]</v>
      </c>
      <c r="H241" s="86">
        <v>0</v>
      </c>
      <c r="I241" s="27">
        <f t="shared" si="74"/>
        <v>0</v>
      </c>
      <c r="J241" s="27">
        <f t="shared" si="75"/>
        <v>0</v>
      </c>
      <c r="K241" s="87">
        <f t="shared" si="76"/>
        <v>0</v>
      </c>
      <c r="L241" s="100">
        <f t="shared" si="77"/>
        <v>0</v>
      </c>
      <c r="M241" s="100">
        <f t="shared" si="78"/>
        <v>0</v>
      </c>
      <c r="N241" s="88"/>
      <c r="O241" s="45">
        <v>6</v>
      </c>
      <c r="P241" s="45">
        <v>7</v>
      </c>
      <c r="Q241" s="100">
        <f t="shared" si="79"/>
        <v>0</v>
      </c>
      <c r="R241" s="100">
        <v>0</v>
      </c>
      <c r="T241" s="27"/>
      <c r="U241" s="50">
        <f t="shared" si="80"/>
        <v>0</v>
      </c>
    </row>
    <row r="242" spans="1:21" x14ac:dyDescent="0.3">
      <c r="A242" s="13" t="str">
        <f t="shared" si="70"/>
        <v>(7, 8]</v>
      </c>
      <c r="B242" s="89">
        <v>103709</v>
      </c>
      <c r="C242" s="89">
        <v>78622550</v>
      </c>
      <c r="D242" s="27">
        <f t="shared" si="71"/>
        <v>1.0370900000000001E-3</v>
      </c>
      <c r="E242" s="90">
        <f t="shared" si="72"/>
        <v>7.5810730023430946</v>
      </c>
      <c r="F242" s="88"/>
      <c r="G242" s="13" t="str">
        <f t="shared" si="73"/>
        <v>(7, 8]</v>
      </c>
      <c r="H242" s="86">
        <v>0</v>
      </c>
      <c r="I242" s="27">
        <f t="shared" si="74"/>
        <v>0</v>
      </c>
      <c r="J242" s="27">
        <f t="shared" si="75"/>
        <v>0</v>
      </c>
      <c r="K242" s="87">
        <f t="shared" si="76"/>
        <v>0</v>
      </c>
      <c r="L242" s="100">
        <f t="shared" si="77"/>
        <v>0</v>
      </c>
      <c r="M242" s="100">
        <f t="shared" si="78"/>
        <v>0</v>
      </c>
      <c r="N242" s="88"/>
      <c r="O242" s="45">
        <v>7</v>
      </c>
      <c r="P242" s="45">
        <v>8</v>
      </c>
      <c r="Q242" s="100">
        <f t="shared" si="79"/>
        <v>0</v>
      </c>
      <c r="R242" s="100">
        <v>0</v>
      </c>
      <c r="T242" s="27"/>
      <c r="U242" s="50">
        <f t="shared" si="80"/>
        <v>0</v>
      </c>
    </row>
    <row r="243" spans="1:21" x14ac:dyDescent="0.3">
      <c r="A243" s="13" t="str">
        <f t="shared" si="70"/>
        <v>(8, 9]</v>
      </c>
      <c r="B243" s="89">
        <v>106753</v>
      </c>
      <c r="C243" s="89">
        <v>91485740</v>
      </c>
      <c r="D243" s="27">
        <f t="shared" si="71"/>
        <v>1.0675299999999999E-3</v>
      </c>
      <c r="E243" s="90">
        <f t="shared" si="72"/>
        <v>8.5698519011175343</v>
      </c>
      <c r="F243" s="88"/>
      <c r="G243" s="13" t="str">
        <f t="shared" si="73"/>
        <v>(8, 9]</v>
      </c>
      <c r="H243" s="86">
        <v>0</v>
      </c>
      <c r="I243" s="27">
        <f t="shared" si="74"/>
        <v>0</v>
      </c>
      <c r="J243" s="27">
        <f t="shared" si="75"/>
        <v>0</v>
      </c>
      <c r="K243" s="87">
        <f t="shared" si="76"/>
        <v>0</v>
      </c>
      <c r="L243" s="100">
        <f t="shared" si="77"/>
        <v>0</v>
      </c>
      <c r="M243" s="100">
        <f t="shared" si="78"/>
        <v>0</v>
      </c>
      <c r="N243" s="88"/>
      <c r="O243" s="45">
        <v>8</v>
      </c>
      <c r="P243" s="45">
        <v>9</v>
      </c>
      <c r="Q243" s="100">
        <f t="shared" si="79"/>
        <v>0</v>
      </c>
      <c r="R243" s="100">
        <v>0</v>
      </c>
      <c r="T243" s="27"/>
      <c r="U243" s="50">
        <f t="shared" si="80"/>
        <v>0</v>
      </c>
    </row>
    <row r="244" spans="1:21" x14ac:dyDescent="0.3">
      <c r="A244" s="13" t="str">
        <f t="shared" si="70"/>
        <v>(9, 10]</v>
      </c>
      <c r="B244" s="89">
        <v>96198</v>
      </c>
      <c r="C244" s="89">
        <v>92019900</v>
      </c>
      <c r="D244" s="27">
        <f t="shared" si="71"/>
        <v>9.6197999999999997E-4</v>
      </c>
      <c r="E244" s="90">
        <f t="shared" si="72"/>
        <v>9.5656770411027257</v>
      </c>
      <c r="F244" s="88"/>
      <c r="G244" s="13" t="str">
        <f t="shared" si="73"/>
        <v>(9, 10]</v>
      </c>
      <c r="H244" s="86">
        <v>0</v>
      </c>
      <c r="I244" s="27">
        <f t="shared" si="74"/>
        <v>0</v>
      </c>
      <c r="J244" s="27">
        <f t="shared" si="75"/>
        <v>0</v>
      </c>
      <c r="K244" s="87">
        <f t="shared" si="76"/>
        <v>0</v>
      </c>
      <c r="L244" s="100">
        <f t="shared" si="77"/>
        <v>0</v>
      </c>
      <c r="M244" s="100">
        <f t="shared" si="78"/>
        <v>0</v>
      </c>
      <c r="N244" s="88"/>
      <c r="O244" s="45">
        <v>9</v>
      </c>
      <c r="P244" s="45">
        <v>10</v>
      </c>
      <c r="Q244" s="100">
        <f t="shared" si="79"/>
        <v>0</v>
      </c>
      <c r="R244" s="100">
        <v>0</v>
      </c>
      <c r="T244" s="27"/>
      <c r="U244" s="50">
        <f t="shared" si="80"/>
        <v>0</v>
      </c>
    </row>
    <row r="245" spans="1:21" x14ac:dyDescent="0.3">
      <c r="A245" s="13" t="str">
        <f t="shared" si="70"/>
        <v>(10, 15]</v>
      </c>
      <c r="B245" s="89">
        <v>417954</v>
      </c>
      <c r="C245" s="89">
        <v>523693410</v>
      </c>
      <c r="D245" s="27">
        <f t="shared" si="71"/>
        <v>4.1795399999999998E-3</v>
      </c>
      <c r="E245" s="90">
        <f t="shared" si="72"/>
        <v>12.529929370217776</v>
      </c>
      <c r="F245" s="88"/>
      <c r="G245" s="13" t="str">
        <f t="shared" si="73"/>
        <v>(10, 15]</v>
      </c>
      <c r="H245" s="86">
        <v>0</v>
      </c>
      <c r="I245" s="27">
        <f t="shared" si="74"/>
        <v>0</v>
      </c>
      <c r="J245" s="27">
        <f t="shared" si="75"/>
        <v>0</v>
      </c>
      <c r="K245" s="87">
        <f t="shared" si="76"/>
        <v>0</v>
      </c>
      <c r="L245" s="100">
        <f t="shared" si="77"/>
        <v>0</v>
      </c>
      <c r="M245" s="100">
        <f t="shared" si="78"/>
        <v>0</v>
      </c>
      <c r="N245" s="88"/>
      <c r="O245" s="45">
        <v>10</v>
      </c>
      <c r="P245" s="45">
        <v>15</v>
      </c>
      <c r="Q245" s="100">
        <f t="shared" si="79"/>
        <v>0</v>
      </c>
      <c r="R245" s="100">
        <v>0</v>
      </c>
      <c r="T245" s="27"/>
      <c r="U245" s="50">
        <f t="shared" si="80"/>
        <v>0</v>
      </c>
    </row>
    <row r="246" spans="1:21" x14ac:dyDescent="0.3">
      <c r="A246" s="13" t="str">
        <f t="shared" si="70"/>
        <v>(15, 20]</v>
      </c>
      <c r="B246" s="89">
        <v>389137</v>
      </c>
      <c r="C246" s="89">
        <v>683291950</v>
      </c>
      <c r="D246" s="27">
        <f t="shared" si="71"/>
        <v>3.8913699999999999E-3</v>
      </c>
      <c r="E246" s="90">
        <f t="shared" si="72"/>
        <v>17.559161683417408</v>
      </c>
      <c r="F246" s="88"/>
      <c r="G246" s="13" t="str">
        <f t="shared" si="73"/>
        <v>(15, 20]</v>
      </c>
      <c r="H246" s="86">
        <v>0</v>
      </c>
      <c r="I246" s="27">
        <f t="shared" si="74"/>
        <v>0</v>
      </c>
      <c r="J246" s="27">
        <f t="shared" si="75"/>
        <v>0</v>
      </c>
      <c r="K246" s="87">
        <f t="shared" si="76"/>
        <v>0</v>
      </c>
      <c r="L246" s="100">
        <f t="shared" si="77"/>
        <v>0</v>
      </c>
      <c r="M246" s="100">
        <f t="shared" si="78"/>
        <v>0</v>
      </c>
      <c r="N246" s="88"/>
      <c r="O246" s="45">
        <v>15</v>
      </c>
      <c r="P246" s="45">
        <v>20</v>
      </c>
      <c r="Q246" s="100">
        <f t="shared" si="79"/>
        <v>0</v>
      </c>
      <c r="R246" s="100">
        <v>0</v>
      </c>
      <c r="T246" s="27"/>
      <c r="U246" s="50">
        <f t="shared" si="80"/>
        <v>0</v>
      </c>
    </row>
    <row r="247" spans="1:21" x14ac:dyDescent="0.3">
      <c r="A247" s="13" t="str">
        <f t="shared" si="70"/>
        <v>(20, 25]</v>
      </c>
      <c r="B247" s="89">
        <v>367176</v>
      </c>
      <c r="C247" s="89">
        <v>828147880</v>
      </c>
      <c r="D247" s="27">
        <f t="shared" si="71"/>
        <v>3.67176E-3</v>
      </c>
      <c r="E247" s="90">
        <f t="shared" si="72"/>
        <v>22.554520992657473</v>
      </c>
      <c r="F247" s="88"/>
      <c r="G247" s="13" t="str">
        <f t="shared" si="73"/>
        <v>(20, 25]</v>
      </c>
      <c r="H247" s="86">
        <v>0</v>
      </c>
      <c r="I247" s="27">
        <f t="shared" si="74"/>
        <v>0</v>
      </c>
      <c r="J247" s="27">
        <f t="shared" si="75"/>
        <v>0</v>
      </c>
      <c r="K247" s="87">
        <f t="shared" si="76"/>
        <v>0</v>
      </c>
      <c r="L247" s="100">
        <f t="shared" si="77"/>
        <v>0</v>
      </c>
      <c r="M247" s="100">
        <f t="shared" si="78"/>
        <v>0</v>
      </c>
      <c r="N247" s="88"/>
      <c r="O247" s="45">
        <v>20</v>
      </c>
      <c r="P247" s="45">
        <v>25</v>
      </c>
      <c r="Q247" s="100">
        <f t="shared" si="79"/>
        <v>0</v>
      </c>
      <c r="R247" s="100">
        <v>0</v>
      </c>
      <c r="T247" s="27"/>
      <c r="U247" s="50">
        <f t="shared" si="80"/>
        <v>0</v>
      </c>
    </row>
    <row r="248" spans="1:21" x14ac:dyDescent="0.3">
      <c r="A248" s="13" t="str">
        <f t="shared" si="70"/>
        <v>(25, 30]</v>
      </c>
      <c r="B248" s="89">
        <v>364652</v>
      </c>
      <c r="C248" s="89">
        <v>1003695410</v>
      </c>
      <c r="D248" s="27">
        <f t="shared" si="71"/>
        <v>3.6465199999999999E-3</v>
      </c>
      <c r="E248" s="90">
        <f t="shared" si="72"/>
        <v>27.524747156192753</v>
      </c>
      <c r="F248" s="88"/>
      <c r="G248" s="13" t="str">
        <f t="shared" si="73"/>
        <v>(25, 30]</v>
      </c>
      <c r="H248" s="86">
        <v>0</v>
      </c>
      <c r="I248" s="27">
        <f t="shared" si="74"/>
        <v>0</v>
      </c>
      <c r="J248" s="27">
        <f t="shared" si="75"/>
        <v>0</v>
      </c>
      <c r="K248" s="87">
        <f t="shared" si="76"/>
        <v>0</v>
      </c>
      <c r="L248" s="100">
        <f t="shared" si="77"/>
        <v>0</v>
      </c>
      <c r="M248" s="100">
        <f t="shared" si="78"/>
        <v>0</v>
      </c>
      <c r="N248" s="88"/>
      <c r="O248" s="45">
        <v>25</v>
      </c>
      <c r="P248" s="45">
        <v>30</v>
      </c>
      <c r="Q248" s="100">
        <f t="shared" si="79"/>
        <v>0</v>
      </c>
      <c r="R248" s="100">
        <v>0</v>
      </c>
      <c r="T248" s="27"/>
      <c r="U248" s="50">
        <f t="shared" si="80"/>
        <v>0</v>
      </c>
    </row>
    <row r="249" spans="1:21" x14ac:dyDescent="0.3">
      <c r="A249" s="13" t="str">
        <f t="shared" si="70"/>
        <v>(30, 35]</v>
      </c>
      <c r="B249" s="89">
        <v>354195</v>
      </c>
      <c r="C249" s="89">
        <v>1154366610</v>
      </c>
      <c r="D249" s="27">
        <f t="shared" si="71"/>
        <v>3.5419499999999999E-3</v>
      </c>
      <c r="E249" s="90">
        <f t="shared" si="72"/>
        <v>32.591273451065092</v>
      </c>
      <c r="F249" s="88"/>
      <c r="G249" s="13" t="str">
        <f t="shared" si="73"/>
        <v>(30, 35]</v>
      </c>
      <c r="H249" s="86">
        <v>0</v>
      </c>
      <c r="I249" s="27">
        <f t="shared" si="74"/>
        <v>0</v>
      </c>
      <c r="J249" s="27">
        <f t="shared" si="75"/>
        <v>0</v>
      </c>
      <c r="K249" s="87">
        <f t="shared" si="76"/>
        <v>0</v>
      </c>
      <c r="L249" s="100">
        <f t="shared" si="77"/>
        <v>0</v>
      </c>
      <c r="M249" s="100">
        <f t="shared" si="78"/>
        <v>0</v>
      </c>
      <c r="N249" s="88"/>
      <c r="O249" s="45">
        <v>30</v>
      </c>
      <c r="P249" s="45">
        <v>35</v>
      </c>
      <c r="Q249" s="100">
        <f t="shared" si="79"/>
        <v>0</v>
      </c>
      <c r="R249" s="100">
        <v>0</v>
      </c>
      <c r="T249" s="27"/>
      <c r="U249" s="50">
        <f t="shared" si="80"/>
        <v>0</v>
      </c>
    </row>
    <row r="250" spans="1:21" x14ac:dyDescent="0.3">
      <c r="A250" s="13" t="str">
        <f t="shared" si="70"/>
        <v>(35, 40]</v>
      </c>
      <c r="B250" s="89">
        <v>350307</v>
      </c>
      <c r="C250" s="89">
        <v>1315743980</v>
      </c>
      <c r="D250" s="27">
        <f t="shared" si="71"/>
        <v>3.5030700000000001E-3</v>
      </c>
      <c r="E250" s="90">
        <f t="shared" si="72"/>
        <v>37.559739885300608</v>
      </c>
      <c r="F250" s="88"/>
      <c r="G250" s="13" t="str">
        <f t="shared" si="73"/>
        <v>(35, 40]</v>
      </c>
      <c r="H250" s="86">
        <v>0</v>
      </c>
      <c r="I250" s="27">
        <f t="shared" si="74"/>
        <v>0</v>
      </c>
      <c r="J250" s="27">
        <f t="shared" si="75"/>
        <v>0</v>
      </c>
      <c r="K250" s="87">
        <f t="shared" si="76"/>
        <v>0</v>
      </c>
      <c r="L250" s="100">
        <f t="shared" si="77"/>
        <v>0</v>
      </c>
      <c r="M250" s="100">
        <f t="shared" si="78"/>
        <v>0</v>
      </c>
      <c r="N250" s="88"/>
      <c r="O250" s="45">
        <v>35</v>
      </c>
      <c r="P250" s="45">
        <v>40</v>
      </c>
      <c r="Q250" s="100">
        <f t="shared" si="79"/>
        <v>0</v>
      </c>
      <c r="R250" s="100">
        <v>0</v>
      </c>
      <c r="T250" s="27"/>
      <c r="U250" s="50">
        <f t="shared" si="80"/>
        <v>0</v>
      </c>
    </row>
    <row r="251" spans="1:21" x14ac:dyDescent="0.3">
      <c r="A251" s="13" t="str">
        <f t="shared" si="70"/>
        <v>(40, 45]</v>
      </c>
      <c r="B251" s="89">
        <v>349788</v>
      </c>
      <c r="C251" s="89">
        <v>1488019040</v>
      </c>
      <c r="D251" s="27">
        <f t="shared" si="71"/>
        <v>3.4978800000000001E-3</v>
      </c>
      <c r="E251" s="90">
        <f t="shared" si="72"/>
        <v>42.540597161709371</v>
      </c>
      <c r="F251" s="88"/>
      <c r="G251" s="13" t="str">
        <f t="shared" si="73"/>
        <v>(40, 45]</v>
      </c>
      <c r="H251" s="86">
        <v>0</v>
      </c>
      <c r="I251" s="27">
        <f t="shared" si="74"/>
        <v>0</v>
      </c>
      <c r="J251" s="27">
        <f t="shared" si="75"/>
        <v>0</v>
      </c>
      <c r="K251" s="87">
        <f t="shared" si="76"/>
        <v>0</v>
      </c>
      <c r="L251" s="100">
        <f t="shared" si="77"/>
        <v>0</v>
      </c>
      <c r="M251" s="100">
        <f t="shared" si="78"/>
        <v>0</v>
      </c>
      <c r="N251" s="88"/>
      <c r="O251" s="45">
        <v>40</v>
      </c>
      <c r="P251" s="45">
        <v>45</v>
      </c>
      <c r="Q251" s="100">
        <f t="shared" si="79"/>
        <v>0</v>
      </c>
      <c r="R251" s="100">
        <v>0</v>
      </c>
      <c r="T251" s="27"/>
      <c r="U251" s="50">
        <f t="shared" si="80"/>
        <v>0</v>
      </c>
    </row>
    <row r="252" spans="1:21" x14ac:dyDescent="0.3">
      <c r="A252" s="13" t="str">
        <f t="shared" si="70"/>
        <v>(45, 50]</v>
      </c>
      <c r="B252" s="89">
        <v>341678</v>
      </c>
      <c r="C252" s="89">
        <v>1626714610</v>
      </c>
      <c r="D252" s="27">
        <f t="shared" si="71"/>
        <v>3.4167799999999999E-3</v>
      </c>
      <c r="E252" s="90">
        <f t="shared" si="72"/>
        <v>47.609580072465889</v>
      </c>
      <c r="F252" s="88"/>
      <c r="G252" s="13" t="str">
        <f t="shared" si="73"/>
        <v>(45, 50]</v>
      </c>
      <c r="H252" s="86">
        <v>0</v>
      </c>
      <c r="I252" s="27">
        <f t="shared" si="74"/>
        <v>0</v>
      </c>
      <c r="J252" s="27">
        <f t="shared" si="75"/>
        <v>0</v>
      </c>
      <c r="K252" s="87">
        <f t="shared" si="76"/>
        <v>0</v>
      </c>
      <c r="L252" s="100">
        <f t="shared" si="77"/>
        <v>0</v>
      </c>
      <c r="M252" s="100">
        <f t="shared" si="78"/>
        <v>0</v>
      </c>
      <c r="N252" s="88"/>
      <c r="O252" s="45">
        <v>45</v>
      </c>
      <c r="P252" s="45">
        <v>50</v>
      </c>
      <c r="Q252" s="100">
        <f t="shared" si="79"/>
        <v>0</v>
      </c>
      <c r="R252" s="100">
        <v>0</v>
      </c>
      <c r="T252" s="27"/>
      <c r="U252" s="50">
        <f t="shared" si="80"/>
        <v>0</v>
      </c>
    </row>
    <row r="253" spans="1:21" x14ac:dyDescent="0.3">
      <c r="A253" s="13" t="str">
        <f t="shared" si="70"/>
        <v>(50, 60]</v>
      </c>
      <c r="B253" s="89">
        <v>690034</v>
      </c>
      <c r="C253" s="89">
        <v>3797581940</v>
      </c>
      <c r="D253" s="27">
        <f t="shared" si="71"/>
        <v>6.9003399999999996E-3</v>
      </c>
      <c r="E253" s="90">
        <f t="shared" si="72"/>
        <v>55.034707565134468</v>
      </c>
      <c r="F253" s="88"/>
      <c r="G253" s="13" t="str">
        <f t="shared" si="73"/>
        <v>(50, 60]</v>
      </c>
      <c r="H253" s="86">
        <v>11.842249657263265</v>
      </c>
      <c r="I253" s="27">
        <f t="shared" si="74"/>
        <v>8.1715548999999998E-2</v>
      </c>
      <c r="J253" s="27">
        <f t="shared" si="75"/>
        <v>8.1715548999999985E-2</v>
      </c>
      <c r="K253" s="87">
        <f t="shared" si="76"/>
        <v>81715549</v>
      </c>
      <c r="L253" s="100">
        <f t="shared" si="77"/>
        <v>8.1715548999999998E-2</v>
      </c>
      <c r="M253" s="100">
        <f t="shared" si="78"/>
        <v>4.4971913427394163</v>
      </c>
      <c r="N253" s="88"/>
      <c r="O253" s="45">
        <v>50</v>
      </c>
      <c r="P253" s="45">
        <v>60</v>
      </c>
      <c r="Q253" s="100">
        <f t="shared" si="79"/>
        <v>8.1715548999999998E-2</v>
      </c>
      <c r="R253" s="100">
        <v>0</v>
      </c>
      <c r="T253" s="27"/>
      <c r="U253" s="50">
        <f t="shared" si="80"/>
        <v>0</v>
      </c>
    </row>
    <row r="254" spans="1:21" x14ac:dyDescent="0.3">
      <c r="A254" s="13" t="str">
        <f t="shared" si="70"/>
        <v>(60, 70]</v>
      </c>
      <c r="B254" s="89">
        <v>684530</v>
      </c>
      <c r="C254" s="89">
        <v>4453890300</v>
      </c>
      <c r="D254" s="27">
        <f t="shared" si="71"/>
        <v>6.8453000000000003E-3</v>
      </c>
      <c r="E254" s="90">
        <f t="shared" si="72"/>
        <v>65.06493944750413</v>
      </c>
      <c r="F254" s="88"/>
      <c r="G254" s="13" t="str">
        <f t="shared" si="73"/>
        <v>(60, 70]</v>
      </c>
      <c r="H254" s="86">
        <v>11.93746789768162</v>
      </c>
      <c r="I254" s="27">
        <f t="shared" si="74"/>
        <v>8.1715548999999998E-2</v>
      </c>
      <c r="J254" s="27">
        <f t="shared" si="75"/>
        <v>8.1715548999999985E-2</v>
      </c>
      <c r="K254" s="87">
        <f t="shared" si="76"/>
        <v>81715549</v>
      </c>
      <c r="L254" s="100">
        <f t="shared" si="77"/>
        <v>8.1715548999999998E-2</v>
      </c>
      <c r="M254" s="100">
        <f t="shared" si="78"/>
        <v>5.3168172476045568</v>
      </c>
      <c r="N254" s="88"/>
      <c r="O254" s="45">
        <v>60</v>
      </c>
      <c r="P254" s="45">
        <v>70</v>
      </c>
      <c r="Q254" s="100">
        <f t="shared" si="79"/>
        <v>8.1715548999999998E-2</v>
      </c>
      <c r="R254" s="100">
        <v>0</v>
      </c>
      <c r="T254" s="27"/>
      <c r="U254" s="50">
        <f t="shared" si="80"/>
        <v>0</v>
      </c>
    </row>
    <row r="255" spans="1:21" x14ac:dyDescent="0.3">
      <c r="A255" s="13" t="str">
        <f t="shared" si="70"/>
        <v>(70, 80]</v>
      </c>
      <c r="B255" s="89">
        <v>684288</v>
      </c>
      <c r="C255" s="89">
        <v>5136603000</v>
      </c>
      <c r="D255" s="27">
        <f t="shared" si="71"/>
        <v>6.84288E-3</v>
      </c>
      <c r="E255" s="90">
        <f t="shared" si="72"/>
        <v>75.064928801907968</v>
      </c>
      <c r="F255" s="88"/>
      <c r="G255" s="13" t="str">
        <f t="shared" si="73"/>
        <v>(70, 80]</v>
      </c>
      <c r="H255" s="86">
        <v>11.941689610222596</v>
      </c>
      <c r="I255" s="27">
        <f t="shared" si="74"/>
        <v>8.1715548999999998E-2</v>
      </c>
      <c r="J255" s="27">
        <f t="shared" si="75"/>
        <v>8.1715548999999985E-2</v>
      </c>
      <c r="K255" s="87">
        <f t="shared" si="76"/>
        <v>81715549</v>
      </c>
      <c r="L255" s="100">
        <f t="shared" si="77"/>
        <v>8.1715548999999998E-2</v>
      </c>
      <c r="M255" s="100">
        <f t="shared" si="78"/>
        <v>6.1339718676938215</v>
      </c>
      <c r="N255" s="88"/>
      <c r="O255" s="45">
        <v>70</v>
      </c>
      <c r="P255" s="45">
        <v>80</v>
      </c>
      <c r="Q255" s="100">
        <f t="shared" si="79"/>
        <v>8.1715548999999998E-2</v>
      </c>
      <c r="R255" s="100">
        <v>0</v>
      </c>
      <c r="T255" s="27"/>
      <c r="U255" s="50">
        <f t="shared" si="80"/>
        <v>0</v>
      </c>
    </row>
    <row r="256" spans="1:21" x14ac:dyDescent="0.3">
      <c r="A256" s="13" t="str">
        <f t="shared" si="70"/>
        <v>(80, 90]</v>
      </c>
      <c r="B256" s="89">
        <v>687046</v>
      </c>
      <c r="C256" s="89">
        <v>5843072460</v>
      </c>
      <c r="D256" s="27">
        <f t="shared" si="71"/>
        <v>6.8704600000000001E-3</v>
      </c>
      <c r="E256" s="90">
        <f t="shared" si="72"/>
        <v>85.046306360855013</v>
      </c>
      <c r="F256" s="88"/>
      <c r="G256" s="13" t="str">
        <f t="shared" si="73"/>
        <v>(80, 90]</v>
      </c>
      <c r="H256" s="86">
        <v>11.276828916841085</v>
      </c>
      <c r="I256" s="27">
        <f t="shared" si="74"/>
        <v>7.7477002000000003E-2</v>
      </c>
      <c r="J256" s="27">
        <f t="shared" si="75"/>
        <v>7.7477001999999989E-2</v>
      </c>
      <c r="K256" s="87">
        <f t="shared" si="76"/>
        <v>77477002</v>
      </c>
      <c r="L256" s="100">
        <f t="shared" si="77"/>
        <v>7.7477002000000003E-2</v>
      </c>
      <c r="M256" s="100">
        <f t="shared" si="78"/>
        <v>6.5891328480125768</v>
      </c>
      <c r="N256" s="88"/>
      <c r="O256" s="45">
        <v>80</v>
      </c>
      <c r="P256" s="45">
        <v>90</v>
      </c>
      <c r="Q256" s="100">
        <f t="shared" si="79"/>
        <v>7.7477002000000003E-2</v>
      </c>
      <c r="R256" s="100">
        <v>0</v>
      </c>
      <c r="T256" s="27"/>
      <c r="U256" s="50">
        <f t="shared" si="80"/>
        <v>0</v>
      </c>
    </row>
    <row r="257" spans="1:21" x14ac:dyDescent="0.3">
      <c r="A257" s="13" t="str">
        <f t="shared" si="70"/>
        <v>(90, 100]</v>
      </c>
      <c r="B257" s="89">
        <v>686419</v>
      </c>
      <c r="C257" s="89">
        <v>6526978080</v>
      </c>
      <c r="D257" s="27">
        <f t="shared" si="71"/>
        <v>6.86419E-3</v>
      </c>
      <c r="E257" s="90">
        <f t="shared" si="72"/>
        <v>95.087374912407725</v>
      </c>
      <c r="F257" s="88"/>
      <c r="G257" s="13" t="str">
        <f t="shared" si="73"/>
        <v>(90, 100]</v>
      </c>
      <c r="H257" s="86">
        <v>10.252115981638038</v>
      </c>
      <c r="I257" s="27">
        <f t="shared" si="74"/>
        <v>7.0372472000000005E-2</v>
      </c>
      <c r="J257" s="27">
        <f t="shared" si="75"/>
        <v>7.0372471999999991E-2</v>
      </c>
      <c r="K257" s="87">
        <f t="shared" si="76"/>
        <v>70372472</v>
      </c>
      <c r="L257" s="100">
        <f t="shared" si="77"/>
        <v>7.0372472000000005E-2</v>
      </c>
      <c r="M257" s="100">
        <f t="shared" si="78"/>
        <v>6.6915336285769156</v>
      </c>
      <c r="N257" s="88"/>
      <c r="O257" s="45">
        <v>90</v>
      </c>
      <c r="P257" s="45">
        <v>100</v>
      </c>
      <c r="Q257" s="100">
        <f t="shared" si="79"/>
        <v>7.0372472000000005E-2</v>
      </c>
      <c r="R257" s="100">
        <v>0</v>
      </c>
      <c r="T257" s="27"/>
      <c r="U257" s="50">
        <f t="shared" si="80"/>
        <v>0</v>
      </c>
    </row>
    <row r="258" spans="1:21" x14ac:dyDescent="0.3">
      <c r="A258" s="13" t="str">
        <f t="shared" si="70"/>
        <v>(100, 120]</v>
      </c>
      <c r="B258" s="89">
        <v>1384118</v>
      </c>
      <c r="C258" s="89">
        <v>15235699520</v>
      </c>
      <c r="D258" s="27">
        <f t="shared" si="71"/>
        <v>1.384118E-2</v>
      </c>
      <c r="E258" s="90">
        <f t="shared" si="72"/>
        <v>110.0751490841099</v>
      </c>
      <c r="F258" s="88"/>
      <c r="G258" s="13" t="str">
        <f t="shared" si="73"/>
        <v>(100, 120]</v>
      </c>
      <c r="H258" s="86">
        <v>4.9095145067111332</v>
      </c>
      <c r="I258" s="27">
        <f t="shared" si="74"/>
        <v>6.7953474E-2</v>
      </c>
      <c r="J258" s="27">
        <f t="shared" si="75"/>
        <v>6.7953473999999986E-2</v>
      </c>
      <c r="K258" s="87">
        <f t="shared" si="76"/>
        <v>67953474</v>
      </c>
      <c r="L258" s="100">
        <f t="shared" si="77"/>
        <v>6.7953474E-2</v>
      </c>
      <c r="M258" s="100">
        <f t="shared" si="78"/>
        <v>7.4799887813331853</v>
      </c>
      <c r="N258" s="88"/>
      <c r="O258" s="45">
        <v>100</v>
      </c>
      <c r="P258" s="45">
        <v>120</v>
      </c>
      <c r="Q258" s="100">
        <f t="shared" si="79"/>
        <v>6.7953474E-2</v>
      </c>
      <c r="R258" s="100">
        <v>0.19038512128462146</v>
      </c>
      <c r="T258" s="27"/>
      <c r="U258" s="50">
        <f t="shared" si="80"/>
        <v>0</v>
      </c>
    </row>
    <row r="259" spans="1:21" x14ac:dyDescent="0.3">
      <c r="A259" s="13" t="str">
        <f t="shared" si="70"/>
        <v>(120, 140]</v>
      </c>
      <c r="B259" s="89">
        <v>1395375</v>
      </c>
      <c r="C259" s="89">
        <v>18150787700</v>
      </c>
      <c r="D259" s="27">
        <f t="shared" si="71"/>
        <v>1.3953749999999999E-2</v>
      </c>
      <c r="E259" s="90">
        <f t="shared" si="72"/>
        <v>130.07820621696678</v>
      </c>
      <c r="F259" s="88"/>
      <c r="G259" s="13" t="str">
        <f t="shared" si="73"/>
        <v>(120, 140]</v>
      </c>
      <c r="H259" s="86">
        <v>4.6443050792797642</v>
      </c>
      <c r="I259" s="27">
        <f t="shared" si="74"/>
        <v>6.4805472000000003E-2</v>
      </c>
      <c r="J259" s="27">
        <f t="shared" si="75"/>
        <v>6.4805471999999989E-2</v>
      </c>
      <c r="K259" s="87">
        <f t="shared" si="76"/>
        <v>64805472</v>
      </c>
      <c r="L259" s="100">
        <f t="shared" si="77"/>
        <v>6.4805472000000003E-2</v>
      </c>
      <c r="M259" s="100">
        <f t="shared" si="78"/>
        <v>8.4297795508038664</v>
      </c>
      <c r="N259" s="88"/>
      <c r="O259" s="45">
        <v>120</v>
      </c>
      <c r="P259" s="45">
        <v>140</v>
      </c>
      <c r="Q259" s="100">
        <f t="shared" si="79"/>
        <v>6.4805472000000003E-2</v>
      </c>
      <c r="R259" s="100">
        <v>0.16559557398714689</v>
      </c>
      <c r="T259" s="27"/>
      <c r="U259" s="50">
        <f t="shared" si="80"/>
        <v>0</v>
      </c>
    </row>
    <row r="260" spans="1:21" x14ac:dyDescent="0.3">
      <c r="A260" s="13" t="str">
        <f t="shared" si="70"/>
        <v>(140, 160]</v>
      </c>
      <c r="B260" s="89">
        <v>1410717</v>
      </c>
      <c r="C260" s="89">
        <v>21172870160</v>
      </c>
      <c r="D260" s="27">
        <f t="shared" si="71"/>
        <v>1.410717E-2</v>
      </c>
      <c r="E260" s="90">
        <f t="shared" si="72"/>
        <v>150.08587944995347</v>
      </c>
      <c r="F260" s="88"/>
      <c r="G260" s="13" t="str">
        <f t="shared" si="73"/>
        <v>(140, 160]</v>
      </c>
      <c r="H260" s="86">
        <v>3.9321189863027097</v>
      </c>
      <c r="I260" s="27">
        <f t="shared" si="74"/>
        <v>5.5471070999999997E-2</v>
      </c>
      <c r="J260" s="27">
        <f t="shared" si="75"/>
        <v>5.5471070999999983E-2</v>
      </c>
      <c r="K260" s="87">
        <f t="shared" si="76"/>
        <v>55471071</v>
      </c>
      <c r="L260" s="100">
        <f t="shared" si="77"/>
        <v>5.5471070999999997E-2</v>
      </c>
      <c r="M260" s="100">
        <f t="shared" si="78"/>
        <v>8.3254244750658088</v>
      </c>
      <c r="N260" s="88"/>
      <c r="O260" s="45">
        <v>140</v>
      </c>
      <c r="P260" s="45">
        <v>160</v>
      </c>
      <c r="Q260" s="100">
        <f t="shared" si="79"/>
        <v>5.5471070999999997E-2</v>
      </c>
      <c r="R260" s="100">
        <v>0.13174008258088099</v>
      </c>
      <c r="T260" s="27"/>
      <c r="U260" s="50">
        <f t="shared" si="80"/>
        <v>0</v>
      </c>
    </row>
    <row r="261" spans="1:21" x14ac:dyDescent="0.3">
      <c r="A261" s="13" t="str">
        <f t="shared" si="70"/>
        <v>(160, 180]</v>
      </c>
      <c r="B261" s="89">
        <v>1426406</v>
      </c>
      <c r="C261" s="89">
        <v>24258213210</v>
      </c>
      <c r="D261" s="27">
        <f t="shared" si="71"/>
        <v>1.426406E-2</v>
      </c>
      <c r="E261" s="90">
        <f t="shared" si="72"/>
        <v>170.06527741750946</v>
      </c>
      <c r="F261" s="88"/>
      <c r="G261" s="13" t="str">
        <f t="shared" si="73"/>
        <v>(160, 180]</v>
      </c>
      <c r="H261" s="86">
        <v>2.9618838535452037</v>
      </c>
      <c r="I261" s="27">
        <f t="shared" si="74"/>
        <v>4.2248489E-2</v>
      </c>
      <c r="J261" s="27">
        <f t="shared" si="75"/>
        <v>4.2248488999999993E-2</v>
      </c>
      <c r="K261" s="87">
        <f t="shared" si="76"/>
        <v>42248489</v>
      </c>
      <c r="L261" s="100">
        <f t="shared" si="77"/>
        <v>4.2248489E-2</v>
      </c>
      <c r="M261" s="100">
        <f t="shared" si="78"/>
        <v>7.1850010022555972</v>
      </c>
      <c r="N261" s="88"/>
      <c r="O261" s="45">
        <v>160</v>
      </c>
      <c r="P261" s="45">
        <v>180</v>
      </c>
      <c r="Q261" s="100">
        <f t="shared" si="79"/>
        <v>4.2248489E-2</v>
      </c>
      <c r="R261" s="100">
        <v>9.2868193114418324E-2</v>
      </c>
      <c r="T261" s="27"/>
      <c r="U261" s="50">
        <f t="shared" si="80"/>
        <v>0</v>
      </c>
    </row>
    <row r="262" spans="1:21" x14ac:dyDescent="0.3">
      <c r="A262" s="13" t="str">
        <f t="shared" si="70"/>
        <v>(180, 200]</v>
      </c>
      <c r="B262" s="89">
        <v>1441195</v>
      </c>
      <c r="C262" s="89">
        <v>27394015950</v>
      </c>
      <c r="D262" s="27">
        <f t="shared" si="71"/>
        <v>1.441195E-2</v>
      </c>
      <c r="E262" s="90">
        <f t="shared" si="72"/>
        <v>190.0784831337883</v>
      </c>
      <c r="F262" s="88"/>
      <c r="G262" s="13" t="str">
        <f t="shared" si="73"/>
        <v>(180, 200]</v>
      </c>
      <c r="H262" s="86">
        <v>2.1622158000825706</v>
      </c>
      <c r="I262" s="27">
        <f t="shared" si="74"/>
        <v>3.1161746000000004E-2</v>
      </c>
      <c r="J262" s="27">
        <f t="shared" si="75"/>
        <v>3.1161745999999997E-2</v>
      </c>
      <c r="K262" s="87">
        <f t="shared" si="76"/>
        <v>31161746</v>
      </c>
      <c r="L262" s="100">
        <f t="shared" si="77"/>
        <v>3.1161746000000001E-2</v>
      </c>
      <c r="M262" s="100">
        <f t="shared" si="78"/>
        <v>5.9231774114803954</v>
      </c>
      <c r="N262" s="88"/>
      <c r="O262" s="45">
        <v>180</v>
      </c>
      <c r="P262" s="45">
        <v>200</v>
      </c>
      <c r="Q262" s="100">
        <f t="shared" si="79"/>
        <v>3.1161746000000001E-2</v>
      </c>
      <c r="R262" s="100">
        <v>7.7661853931942249E-2</v>
      </c>
      <c r="T262" s="27"/>
      <c r="U262" s="50">
        <f t="shared" si="80"/>
        <v>0</v>
      </c>
    </row>
    <row r="263" spans="1:21" x14ac:dyDescent="0.3">
      <c r="A263" s="13" t="str">
        <f t="shared" si="70"/>
        <v>(200, 250]</v>
      </c>
      <c r="B263" s="89">
        <v>3649300</v>
      </c>
      <c r="C263" s="89">
        <v>82156881130</v>
      </c>
      <c r="D263" s="27">
        <f t="shared" si="71"/>
        <v>3.6492999999999998E-2</v>
      </c>
      <c r="E263" s="90">
        <f t="shared" si="72"/>
        <v>225.13052127805332</v>
      </c>
      <c r="F263" s="88"/>
      <c r="G263" s="13" t="str">
        <f t="shared" si="73"/>
        <v>(200, 250]</v>
      </c>
      <c r="H263" s="86">
        <v>0.85391022935905525</v>
      </c>
      <c r="I263" s="27">
        <f t="shared" si="74"/>
        <v>3.1161746000000001E-2</v>
      </c>
      <c r="J263" s="27">
        <f t="shared" si="75"/>
        <v>3.1161745999999994E-2</v>
      </c>
      <c r="K263" s="87">
        <f t="shared" si="76"/>
        <v>31161746</v>
      </c>
      <c r="L263" s="100">
        <f t="shared" si="77"/>
        <v>3.1161746000000001E-2</v>
      </c>
      <c r="M263" s="100">
        <f t="shared" si="78"/>
        <v>7.0154601209142928</v>
      </c>
      <c r="N263" s="88"/>
      <c r="O263" s="45">
        <v>200</v>
      </c>
      <c r="P263" s="45">
        <v>250</v>
      </c>
      <c r="Q263" s="100">
        <f t="shared" si="79"/>
        <v>3.1161746000000001E-2</v>
      </c>
      <c r="R263" s="100">
        <v>7.8106011937272138E-2</v>
      </c>
      <c r="T263" s="27"/>
      <c r="U263" s="50">
        <f t="shared" si="80"/>
        <v>0</v>
      </c>
    </row>
    <row r="264" spans="1:21" x14ac:dyDescent="0.3">
      <c r="A264" s="13" t="str">
        <f t="shared" si="70"/>
        <v>(250, 300]</v>
      </c>
      <c r="B264" s="89">
        <v>3704048</v>
      </c>
      <c r="C264" s="89">
        <v>101896147240</v>
      </c>
      <c r="D264" s="27">
        <f t="shared" si="71"/>
        <v>3.7040480000000001E-2</v>
      </c>
      <c r="E264" s="90">
        <f t="shared" si="72"/>
        <v>275.09402480745388</v>
      </c>
      <c r="F264" s="88"/>
      <c r="G264" s="13" t="str">
        <f t="shared" si="73"/>
        <v>(250, 300]</v>
      </c>
      <c r="H264" s="86">
        <v>0.84128893578052988</v>
      </c>
      <c r="I264" s="27">
        <f t="shared" si="74"/>
        <v>3.1161746000000001E-2</v>
      </c>
      <c r="J264" s="27">
        <f t="shared" si="75"/>
        <v>3.1161745999999994E-2</v>
      </c>
      <c r="K264" s="87">
        <f t="shared" si="76"/>
        <v>31161746</v>
      </c>
      <c r="L264" s="100">
        <f t="shared" si="77"/>
        <v>3.1161746000000001E-2</v>
      </c>
      <c r="M264" s="100">
        <f t="shared" si="78"/>
        <v>8.5724101271675774</v>
      </c>
      <c r="N264" s="88"/>
      <c r="O264" s="45">
        <v>250</v>
      </c>
      <c r="P264" s="45">
        <v>300</v>
      </c>
      <c r="Q264" s="100">
        <f t="shared" si="79"/>
        <v>3.1161746000000001E-2</v>
      </c>
      <c r="R264" s="100">
        <v>6.2218464746621578E-2</v>
      </c>
      <c r="T264" s="27"/>
      <c r="U264" s="50">
        <f t="shared" si="80"/>
        <v>0</v>
      </c>
    </row>
    <row r="265" spans="1:21" x14ac:dyDescent="0.3">
      <c r="A265" s="13" t="str">
        <f t="shared" si="70"/>
        <v>(300, 350]</v>
      </c>
      <c r="B265" s="89">
        <v>3727507</v>
      </c>
      <c r="C265" s="89">
        <v>121168199700</v>
      </c>
      <c r="D265" s="27">
        <f t="shared" si="71"/>
        <v>3.727507E-2</v>
      </c>
      <c r="E265" s="90">
        <f t="shared" si="72"/>
        <v>325.06498230586823</v>
      </c>
      <c r="F265" s="88"/>
      <c r="G265" s="13" t="str">
        <f t="shared" si="73"/>
        <v>(300, 350]</v>
      </c>
      <c r="H265" s="86">
        <v>0.83599429860225616</v>
      </c>
      <c r="I265" s="27">
        <f t="shared" si="74"/>
        <v>3.1161746000000001E-2</v>
      </c>
      <c r="J265" s="27">
        <f t="shared" si="75"/>
        <v>3.1161745999999994E-2</v>
      </c>
      <c r="K265" s="87">
        <f t="shared" si="76"/>
        <v>31161746</v>
      </c>
      <c r="L265" s="100">
        <f t="shared" si="77"/>
        <v>3.1161746000000001E-2</v>
      </c>
      <c r="M265" s="100">
        <f t="shared" si="78"/>
        <v>10.129592412109961</v>
      </c>
      <c r="N265" s="88"/>
      <c r="O265" s="45">
        <v>300</v>
      </c>
      <c r="P265" s="45">
        <v>350</v>
      </c>
      <c r="Q265" s="100">
        <f t="shared" si="79"/>
        <v>3.1161746000000001E-2</v>
      </c>
      <c r="R265" s="100">
        <v>5.4238473650861686E-2</v>
      </c>
      <c r="T265" s="27"/>
      <c r="U265" s="50">
        <f t="shared" si="80"/>
        <v>0</v>
      </c>
    </row>
    <row r="266" spans="1:21" x14ac:dyDescent="0.3">
      <c r="A266" s="13" t="str">
        <f t="shared" ref="A266:A297" si="81">"("&amp;$O266&amp;", "&amp;$P266&amp;"]"</f>
        <v>(350, 400]</v>
      </c>
      <c r="B266" s="89">
        <v>3721118</v>
      </c>
      <c r="C266" s="89">
        <v>139550861920</v>
      </c>
      <c r="D266" s="27">
        <f t="shared" ref="D266:D297" si="82">IFERROR(B266/SUM($B$234:$B$297),0)</f>
        <v>3.7211180000000003E-2</v>
      </c>
      <c r="E266" s="90">
        <f t="shared" ref="E266:E297" si="83">IFERROR(C266/B266/$B$3,0)</f>
        <v>375.02401676055422</v>
      </c>
      <c r="F266" s="88"/>
      <c r="G266" s="13" t="str">
        <f t="shared" ref="G266:G297" si="84">"("&amp;$O266&amp;", "&amp;$P266&amp;"]"</f>
        <v>(350, 400]</v>
      </c>
      <c r="H266" s="86">
        <v>1.256144497433298</v>
      </c>
      <c r="I266" s="27">
        <f t="shared" ref="I266:I297" si="85">D266*H266</f>
        <v>4.6742618999999992E-2</v>
      </c>
      <c r="J266" s="27">
        <f t="shared" ref="J266:J297" si="86">IFERROR(I266/SUM($I$234:$I$297),0)</f>
        <v>4.6742618999999985E-2</v>
      </c>
      <c r="K266" s="87">
        <f t="shared" ref="K266:K297" si="87">INT(J266*$B$2)</f>
        <v>46742619</v>
      </c>
      <c r="L266" s="100">
        <f t="shared" ref="L266:L297" si="88">IFERROR(K266/SUM($K$234:$K$297),0)</f>
        <v>4.6742618999999999E-2</v>
      </c>
      <c r="M266" s="100">
        <f t="shared" ref="M266:M297" si="89">L266*E266</f>
        <v>17.529604731288199</v>
      </c>
      <c r="N266" s="88"/>
      <c r="O266" s="45">
        <v>350</v>
      </c>
      <c r="P266" s="45">
        <v>400</v>
      </c>
      <c r="Q266" s="100">
        <f t="shared" ref="Q266:Q297" si="90">L266</f>
        <v>4.6742618999999999E-2</v>
      </c>
      <c r="R266" s="100">
        <v>3.1967103383605242E-2</v>
      </c>
      <c r="T266" s="27"/>
      <c r="U266" s="50">
        <f t="shared" ref="U266:U297" si="91">IFERROR(ROUND(T266/L266,2),0)</f>
        <v>0</v>
      </c>
    </row>
    <row r="267" spans="1:21" x14ac:dyDescent="0.3">
      <c r="A267" s="13" t="str">
        <f t="shared" si="81"/>
        <v>(400, 450]</v>
      </c>
      <c r="B267" s="89">
        <v>3689328</v>
      </c>
      <c r="C267" s="89">
        <v>156800049440</v>
      </c>
      <c r="D267" s="27">
        <f t="shared" si="82"/>
        <v>3.6893280000000001E-2</v>
      </c>
      <c r="E267" s="90">
        <f t="shared" si="83"/>
        <v>425.00978346192045</v>
      </c>
      <c r="F267" s="88"/>
      <c r="G267" s="13" t="str">
        <f t="shared" si="84"/>
        <v>(400, 450]</v>
      </c>
      <c r="H267" s="86">
        <v>0.84464558315227056</v>
      </c>
      <c r="I267" s="27">
        <f t="shared" si="85"/>
        <v>3.1161746000000001E-2</v>
      </c>
      <c r="J267" s="27">
        <f t="shared" si="86"/>
        <v>3.1161745999999994E-2</v>
      </c>
      <c r="K267" s="87">
        <f t="shared" si="87"/>
        <v>31161746</v>
      </c>
      <c r="L267" s="100">
        <f t="shared" si="88"/>
        <v>3.1161746000000001E-2</v>
      </c>
      <c r="M267" s="100">
        <f t="shared" si="89"/>
        <v>13.244046919755366</v>
      </c>
      <c r="N267" s="88"/>
      <c r="O267" s="45">
        <v>400</v>
      </c>
      <c r="P267" s="45">
        <v>450</v>
      </c>
      <c r="Q267" s="100">
        <f t="shared" si="90"/>
        <v>3.1161746000000001E-2</v>
      </c>
      <c r="R267" s="100">
        <v>2.673084232077011E-2</v>
      </c>
      <c r="T267" s="27"/>
      <c r="U267" s="50">
        <f t="shared" si="91"/>
        <v>0</v>
      </c>
    </row>
    <row r="268" spans="1:21" x14ac:dyDescent="0.3">
      <c r="A268" s="13" t="str">
        <f t="shared" si="81"/>
        <v>(450, 500]</v>
      </c>
      <c r="B268" s="89">
        <v>3637035</v>
      </c>
      <c r="C268" s="89">
        <v>172748316950</v>
      </c>
      <c r="D268" s="27">
        <f t="shared" si="82"/>
        <v>3.6370350000000003E-2</v>
      </c>
      <c r="E268" s="90">
        <f t="shared" si="83"/>
        <v>474.97018024297262</v>
      </c>
      <c r="F268" s="88"/>
      <c r="G268" s="13" t="str">
        <f t="shared" si="84"/>
        <v>(450, 500]</v>
      </c>
      <c r="H268" s="86">
        <v>1.2686503979202839</v>
      </c>
      <c r="I268" s="27">
        <f t="shared" si="85"/>
        <v>4.6141259000000004E-2</v>
      </c>
      <c r="J268" s="27">
        <f t="shared" si="86"/>
        <v>4.6141258999999997E-2</v>
      </c>
      <c r="K268" s="87">
        <f t="shared" si="87"/>
        <v>46141259</v>
      </c>
      <c r="L268" s="100">
        <f t="shared" si="88"/>
        <v>4.6141258999999997E-2</v>
      </c>
      <c r="M268" s="100">
        <f t="shared" si="89"/>
        <v>21.915722103867679</v>
      </c>
      <c r="N268" s="88"/>
      <c r="O268" s="45">
        <v>450</v>
      </c>
      <c r="P268" s="45">
        <v>500</v>
      </c>
      <c r="Q268" s="100">
        <f t="shared" si="90"/>
        <v>4.6141258999999997E-2</v>
      </c>
      <c r="R268" s="100">
        <v>2.4327817291933809E-2</v>
      </c>
      <c r="T268" s="27"/>
      <c r="U268" s="50">
        <f t="shared" si="91"/>
        <v>0</v>
      </c>
    </row>
    <row r="269" spans="1:21" x14ac:dyDescent="0.3">
      <c r="A269" s="13" t="str">
        <f t="shared" si="81"/>
        <v>(500, 550]</v>
      </c>
      <c r="B269" s="89">
        <v>3560403</v>
      </c>
      <c r="C269" s="89">
        <v>186902718830</v>
      </c>
      <c r="D269" s="27">
        <f t="shared" si="82"/>
        <v>3.5604030000000002E-2</v>
      </c>
      <c r="E269" s="90">
        <f t="shared" si="83"/>
        <v>524.9482118456815</v>
      </c>
      <c r="F269" s="88"/>
      <c r="G269" s="13" t="str">
        <f t="shared" si="84"/>
        <v>(500, 550]</v>
      </c>
      <c r="H269" s="86">
        <v>0.73448536584201274</v>
      </c>
      <c r="I269" s="27">
        <f t="shared" si="85"/>
        <v>2.6150639E-2</v>
      </c>
      <c r="J269" s="27">
        <f t="shared" si="86"/>
        <v>2.6150638999999993E-2</v>
      </c>
      <c r="K269" s="87">
        <f t="shared" si="87"/>
        <v>26150639</v>
      </c>
      <c r="L269" s="100">
        <f t="shared" si="88"/>
        <v>2.6150639E-2</v>
      </c>
      <c r="M269" s="100">
        <f t="shared" si="89"/>
        <v>13.72773118167194</v>
      </c>
      <c r="N269" s="88"/>
      <c r="O269" s="45">
        <v>500</v>
      </c>
      <c r="P269" s="45">
        <v>550</v>
      </c>
      <c r="Q269" s="100">
        <f t="shared" si="90"/>
        <v>2.6150639E-2</v>
      </c>
      <c r="R269" s="100">
        <v>2.8445086341341037E-2</v>
      </c>
      <c r="T269" s="27"/>
      <c r="U269" s="50">
        <f t="shared" si="91"/>
        <v>0</v>
      </c>
    </row>
    <row r="270" spans="1:21" x14ac:dyDescent="0.3">
      <c r="A270" s="13" t="str">
        <f t="shared" si="81"/>
        <v>(550, 600]</v>
      </c>
      <c r="B270" s="89">
        <v>3467580</v>
      </c>
      <c r="C270" s="89">
        <v>199359997250</v>
      </c>
      <c r="D270" s="27">
        <f t="shared" si="82"/>
        <v>3.46758E-2</v>
      </c>
      <c r="E270" s="90">
        <f t="shared" si="83"/>
        <v>574.92544440214795</v>
      </c>
      <c r="F270" s="88"/>
      <c r="G270" s="13" t="str">
        <f t="shared" si="84"/>
        <v>(550, 600]</v>
      </c>
      <c r="H270" s="86">
        <v>0.63303496963300054</v>
      </c>
      <c r="I270" s="27">
        <f t="shared" si="85"/>
        <v>2.1950994000000001E-2</v>
      </c>
      <c r="J270" s="27">
        <f t="shared" si="86"/>
        <v>2.1950993999999998E-2</v>
      </c>
      <c r="K270" s="87">
        <f t="shared" si="87"/>
        <v>21950994</v>
      </c>
      <c r="L270" s="100">
        <f t="shared" si="88"/>
        <v>2.1950994000000001E-2</v>
      </c>
      <c r="M270" s="100">
        <f t="shared" si="89"/>
        <v>12.620184980518884</v>
      </c>
      <c r="N270" s="88"/>
      <c r="O270" s="45">
        <v>550</v>
      </c>
      <c r="P270" s="45">
        <v>600</v>
      </c>
      <c r="Q270" s="100">
        <f t="shared" si="90"/>
        <v>2.1950994000000001E-2</v>
      </c>
      <c r="R270" s="100">
        <v>1.2014650144175801E-2</v>
      </c>
      <c r="T270" s="27"/>
      <c r="U270" s="50">
        <f t="shared" si="91"/>
        <v>0</v>
      </c>
    </row>
    <row r="271" spans="1:21" x14ac:dyDescent="0.3">
      <c r="A271" s="13" t="str">
        <f t="shared" si="81"/>
        <v>(600, 650]</v>
      </c>
      <c r="B271" s="89">
        <v>3361112</v>
      </c>
      <c r="C271" s="89">
        <v>210042400860</v>
      </c>
      <c r="D271" s="27">
        <f t="shared" si="82"/>
        <v>3.3611120000000001E-2</v>
      </c>
      <c r="E271" s="90">
        <f t="shared" si="83"/>
        <v>624.9193744808266</v>
      </c>
      <c r="F271" s="88"/>
      <c r="G271" s="13" t="str">
        <f t="shared" si="84"/>
        <v>(600, 650]</v>
      </c>
      <c r="H271" s="86">
        <v>0.54240358548004342</v>
      </c>
      <c r="I271" s="27">
        <f t="shared" si="85"/>
        <v>1.8230791999999999E-2</v>
      </c>
      <c r="J271" s="27">
        <f t="shared" si="86"/>
        <v>1.8230791999999996E-2</v>
      </c>
      <c r="K271" s="87">
        <f t="shared" si="87"/>
        <v>18230792</v>
      </c>
      <c r="L271" s="100">
        <f t="shared" si="88"/>
        <v>1.8230791999999999E-2</v>
      </c>
      <c r="M271" s="100">
        <f t="shared" si="89"/>
        <v>11.392775132930057</v>
      </c>
      <c r="N271" s="88"/>
      <c r="O271" s="45">
        <v>600</v>
      </c>
      <c r="P271" s="45">
        <v>650</v>
      </c>
      <c r="Q271" s="100">
        <f t="shared" si="90"/>
        <v>1.8230791999999999E-2</v>
      </c>
      <c r="R271" s="100">
        <v>3.7226010446712123E-3</v>
      </c>
      <c r="T271" s="27"/>
      <c r="U271" s="50">
        <f t="shared" si="91"/>
        <v>0</v>
      </c>
    </row>
    <row r="272" spans="1:21" x14ac:dyDescent="0.3">
      <c r="A272" s="13" t="str">
        <f t="shared" si="81"/>
        <v>(650, 700]</v>
      </c>
      <c r="B272" s="89">
        <v>3244389</v>
      </c>
      <c r="C272" s="89">
        <v>218962468470</v>
      </c>
      <c r="D272" s="27">
        <f t="shared" si="82"/>
        <v>3.2443890000000003E-2</v>
      </c>
      <c r="E272" s="90">
        <f t="shared" si="83"/>
        <v>674.89585394969583</v>
      </c>
      <c r="F272" s="88"/>
      <c r="G272" s="13" t="str">
        <f t="shared" si="84"/>
        <v>(650, 700]</v>
      </c>
      <c r="H272" s="86">
        <v>0.46255806563269691</v>
      </c>
      <c r="I272" s="27">
        <f t="shared" si="85"/>
        <v>1.5007183E-2</v>
      </c>
      <c r="J272" s="27">
        <f t="shared" si="86"/>
        <v>1.5007182999999997E-2</v>
      </c>
      <c r="K272" s="87">
        <f t="shared" si="87"/>
        <v>15007183</v>
      </c>
      <c r="L272" s="100">
        <f t="shared" si="88"/>
        <v>1.5007183E-2</v>
      </c>
      <c r="M272" s="100">
        <f t="shared" si="89"/>
        <v>10.128285586164358</v>
      </c>
      <c r="N272" s="88"/>
      <c r="O272" s="45">
        <v>650</v>
      </c>
      <c r="P272" s="45">
        <v>700</v>
      </c>
      <c r="Q272" s="100">
        <f t="shared" si="90"/>
        <v>1.5007183E-2</v>
      </c>
      <c r="R272" s="100">
        <v>2.2526660270319925E-3</v>
      </c>
      <c r="T272" s="27"/>
      <c r="U272" s="50">
        <f t="shared" si="91"/>
        <v>0</v>
      </c>
    </row>
    <row r="273" spans="1:21" x14ac:dyDescent="0.3">
      <c r="A273" s="13" t="str">
        <f t="shared" si="81"/>
        <v>(700, 750]</v>
      </c>
      <c r="B273" s="89">
        <v>3117886</v>
      </c>
      <c r="C273" s="89">
        <v>226007827170</v>
      </c>
      <c r="D273" s="27">
        <f t="shared" si="82"/>
        <v>3.1178859999999999E-2</v>
      </c>
      <c r="E273" s="90">
        <f t="shared" si="83"/>
        <v>724.87521086402774</v>
      </c>
      <c r="F273" s="88"/>
      <c r="G273" s="13" t="str">
        <f t="shared" si="84"/>
        <v>(700, 750]</v>
      </c>
      <c r="H273" s="86">
        <v>0.39318592790114842</v>
      </c>
      <c r="I273" s="27">
        <f t="shared" si="85"/>
        <v>1.2259089000000001E-2</v>
      </c>
      <c r="J273" s="27">
        <f t="shared" si="86"/>
        <v>1.2259088999999997E-2</v>
      </c>
      <c r="K273" s="87">
        <f t="shared" si="87"/>
        <v>12259089</v>
      </c>
      <c r="L273" s="100">
        <f t="shared" si="88"/>
        <v>1.2259089000000001E-2</v>
      </c>
      <c r="M273" s="100">
        <f t="shared" si="89"/>
        <v>8.8863097238758844</v>
      </c>
      <c r="N273" s="88"/>
      <c r="O273" s="45">
        <v>700</v>
      </c>
      <c r="P273" s="45">
        <v>750</v>
      </c>
      <c r="Q273" s="100">
        <f t="shared" si="90"/>
        <v>1.2259089000000001E-2</v>
      </c>
      <c r="R273" s="100">
        <v>2.2741570272898845E-3</v>
      </c>
      <c r="T273" s="27"/>
      <c r="U273" s="50">
        <f t="shared" si="91"/>
        <v>0</v>
      </c>
    </row>
    <row r="274" spans="1:21" x14ac:dyDescent="0.3">
      <c r="A274" s="13" t="str">
        <f t="shared" si="81"/>
        <v>(750, 800]</v>
      </c>
      <c r="B274" s="89">
        <v>2985046</v>
      </c>
      <c r="C274" s="89">
        <v>231297465550</v>
      </c>
      <c r="D274" s="27">
        <f t="shared" si="82"/>
        <v>2.9850459999999999E-2</v>
      </c>
      <c r="E274" s="90">
        <f t="shared" si="83"/>
        <v>774.85394044178884</v>
      </c>
      <c r="F274" s="88"/>
      <c r="G274" s="13" t="str">
        <f t="shared" si="84"/>
        <v>(750, 800]</v>
      </c>
      <c r="H274" s="86">
        <v>0.33325898495366574</v>
      </c>
      <c r="I274" s="27">
        <f t="shared" si="85"/>
        <v>9.9479340000000003E-3</v>
      </c>
      <c r="J274" s="27">
        <f t="shared" si="86"/>
        <v>9.9479339999999986E-3</v>
      </c>
      <c r="K274" s="87">
        <f t="shared" si="87"/>
        <v>9947934</v>
      </c>
      <c r="L274" s="100">
        <f t="shared" si="88"/>
        <v>9.9479340000000003E-3</v>
      </c>
      <c r="M274" s="100">
        <f t="shared" si="89"/>
        <v>7.7081958591548467</v>
      </c>
      <c r="N274" s="88"/>
      <c r="O274" s="45">
        <v>750</v>
      </c>
      <c r="P274" s="45">
        <v>800</v>
      </c>
      <c r="Q274" s="100">
        <f t="shared" si="90"/>
        <v>9.9479340000000003E-3</v>
      </c>
      <c r="R274" s="100">
        <v>2.2816250273795004E-3</v>
      </c>
      <c r="T274" s="27"/>
      <c r="U274" s="50">
        <f t="shared" si="91"/>
        <v>0</v>
      </c>
    </row>
    <row r="275" spans="1:21" x14ac:dyDescent="0.3">
      <c r="A275" s="13" t="str">
        <f t="shared" si="81"/>
        <v>(800, 850]</v>
      </c>
      <c r="B275" s="89">
        <v>2846134</v>
      </c>
      <c r="C275" s="89">
        <v>234762575600</v>
      </c>
      <c r="D275" s="27">
        <f t="shared" si="82"/>
        <v>2.8461340000000002E-2</v>
      </c>
      <c r="E275" s="90">
        <f t="shared" si="83"/>
        <v>824.84723347530371</v>
      </c>
      <c r="F275" s="88"/>
      <c r="G275" s="13" t="str">
        <f t="shared" si="84"/>
        <v>(800, 850]</v>
      </c>
      <c r="H275" s="86">
        <v>0.28196834723874559</v>
      </c>
      <c r="I275" s="27">
        <f t="shared" si="85"/>
        <v>8.0251969999999995E-3</v>
      </c>
      <c r="J275" s="27">
        <f t="shared" si="86"/>
        <v>8.0251969999999978E-3</v>
      </c>
      <c r="K275" s="87">
        <f t="shared" si="87"/>
        <v>8025197</v>
      </c>
      <c r="L275" s="100">
        <f t="shared" si="88"/>
        <v>8.0251969999999995E-3</v>
      </c>
      <c r="M275" s="100">
        <f t="shared" si="89"/>
        <v>6.6195615435443065</v>
      </c>
      <c r="N275" s="88"/>
      <c r="O275" s="45">
        <v>800</v>
      </c>
      <c r="P275" s="45">
        <v>850</v>
      </c>
      <c r="Q275" s="100">
        <f t="shared" si="90"/>
        <v>8.0251969999999995E-3</v>
      </c>
      <c r="R275" s="100">
        <v>1.5291920183503043E-3</v>
      </c>
      <c r="T275" s="27"/>
      <c r="U275" s="50">
        <f t="shared" si="91"/>
        <v>0</v>
      </c>
    </row>
    <row r="276" spans="1:21" x14ac:dyDescent="0.3">
      <c r="A276" s="13" t="str">
        <f t="shared" si="81"/>
        <v>(850, 900]</v>
      </c>
      <c r="B276" s="89">
        <v>2705788</v>
      </c>
      <c r="C276" s="89">
        <v>236711777420</v>
      </c>
      <c r="D276" s="27">
        <f t="shared" si="82"/>
        <v>2.7057879999999999E-2</v>
      </c>
      <c r="E276" s="90">
        <f t="shared" si="83"/>
        <v>874.83489992564091</v>
      </c>
      <c r="F276" s="88"/>
      <c r="G276" s="13" t="str">
        <f t="shared" si="84"/>
        <v>(850, 900]</v>
      </c>
      <c r="H276" s="86">
        <v>0.23804947024674514</v>
      </c>
      <c r="I276" s="27">
        <f t="shared" si="85"/>
        <v>6.4411140000000004E-3</v>
      </c>
      <c r="J276" s="27">
        <f t="shared" si="86"/>
        <v>6.4411139999999987E-3</v>
      </c>
      <c r="K276" s="92">
        <f t="shared" si="87"/>
        <v>6441114</v>
      </c>
      <c r="L276" s="100">
        <f t="shared" si="88"/>
        <v>6.4411140000000004E-3</v>
      </c>
      <c r="M276" s="100">
        <f t="shared" si="89"/>
        <v>5.6349113215996454</v>
      </c>
      <c r="N276" s="88"/>
      <c r="O276" s="45">
        <v>850</v>
      </c>
      <c r="P276" s="45">
        <v>900</v>
      </c>
      <c r="Q276" s="100">
        <f t="shared" si="90"/>
        <v>6.4411140000000004E-3</v>
      </c>
      <c r="R276" s="100">
        <v>1.5278220183338642E-3</v>
      </c>
      <c r="T276" s="27"/>
      <c r="U276" s="50">
        <f t="shared" si="91"/>
        <v>0</v>
      </c>
    </row>
    <row r="277" spans="1:21" x14ac:dyDescent="0.3">
      <c r="A277" s="13" t="str">
        <f t="shared" si="81"/>
        <v>(900, 950]</v>
      </c>
      <c r="B277" s="89">
        <v>2566488</v>
      </c>
      <c r="C277" s="89">
        <v>237355964190</v>
      </c>
      <c r="D277" s="27">
        <f t="shared" si="82"/>
        <v>2.5664880000000001E-2</v>
      </c>
      <c r="E277" s="90">
        <f t="shared" si="83"/>
        <v>924.82787447282044</v>
      </c>
      <c r="F277" s="88"/>
      <c r="G277" s="13" t="str">
        <f t="shared" si="84"/>
        <v>(900, 950]</v>
      </c>
      <c r="H277" s="86">
        <v>0.20051011343127262</v>
      </c>
      <c r="I277" s="27">
        <f t="shared" si="85"/>
        <v>5.1460680000000002E-3</v>
      </c>
      <c r="J277" s="27">
        <f t="shared" si="86"/>
        <v>5.1460679999999993E-3</v>
      </c>
      <c r="K277" s="92">
        <f t="shared" si="87"/>
        <v>5146068</v>
      </c>
      <c r="L277" s="100">
        <f t="shared" si="88"/>
        <v>5.1460680000000002E-3</v>
      </c>
      <c r="M277" s="100">
        <f t="shared" si="89"/>
        <v>4.7592271303325981</v>
      </c>
      <c r="N277" s="88"/>
      <c r="O277" s="45">
        <v>900</v>
      </c>
      <c r="P277" s="45">
        <v>950</v>
      </c>
      <c r="Q277" s="100">
        <f t="shared" si="90"/>
        <v>5.1460680000000002E-3</v>
      </c>
      <c r="R277" s="100">
        <v>1.5125650181507801E-3</v>
      </c>
      <c r="T277" s="27"/>
      <c r="U277" s="50">
        <f t="shared" si="91"/>
        <v>0</v>
      </c>
    </row>
    <row r="278" spans="1:21" x14ac:dyDescent="0.3">
      <c r="A278" s="13" t="str">
        <f t="shared" si="81"/>
        <v>(950, 1000]</v>
      </c>
      <c r="B278" s="89">
        <v>2426350</v>
      </c>
      <c r="C278" s="89">
        <v>236526316260</v>
      </c>
      <c r="D278" s="27">
        <f t="shared" si="82"/>
        <v>2.42635E-2</v>
      </c>
      <c r="E278" s="90">
        <f t="shared" si="83"/>
        <v>974.82356733364929</v>
      </c>
      <c r="F278" s="88"/>
      <c r="G278" s="13" t="str">
        <f t="shared" si="84"/>
        <v>(950, 1000]</v>
      </c>
      <c r="H278" s="86">
        <v>0.16875603272405054</v>
      </c>
      <c r="I278" s="27">
        <f t="shared" si="85"/>
        <v>4.0946120000000001E-3</v>
      </c>
      <c r="J278" s="27">
        <f t="shared" si="86"/>
        <v>4.0946119999999992E-3</v>
      </c>
      <c r="K278" s="92">
        <f t="shared" si="87"/>
        <v>4094612</v>
      </c>
      <c r="L278" s="100">
        <f t="shared" si="88"/>
        <v>4.0946120000000001E-3</v>
      </c>
      <c r="M278" s="100">
        <f t="shared" si="89"/>
        <v>3.9915242766871684</v>
      </c>
      <c r="N278" s="88"/>
      <c r="O278" s="45">
        <v>950</v>
      </c>
      <c r="P278" s="45">
        <v>1000</v>
      </c>
      <c r="Q278" s="100">
        <f t="shared" si="90"/>
        <v>4.0946120000000001E-3</v>
      </c>
      <c r="R278" s="100">
        <v>1.4996680179960161E-3</v>
      </c>
      <c r="T278" s="27"/>
      <c r="U278" s="50">
        <f t="shared" si="91"/>
        <v>0</v>
      </c>
    </row>
    <row r="279" spans="1:21" x14ac:dyDescent="0.3">
      <c r="A279" s="13" t="str">
        <f t="shared" si="81"/>
        <v>(1000, 2000]</v>
      </c>
      <c r="B279" s="89">
        <v>25444487</v>
      </c>
      <c r="C279" s="89">
        <v>3510915219740</v>
      </c>
      <c r="D279" s="27">
        <f t="shared" si="82"/>
        <v>0.25444486999999999</v>
      </c>
      <c r="E279" s="90">
        <f t="shared" si="83"/>
        <v>1379.8333681241047</v>
      </c>
      <c r="F279" s="88"/>
      <c r="G279" s="13" t="str">
        <f t="shared" si="84"/>
        <v>(1000, 2000]</v>
      </c>
      <c r="H279" s="86">
        <v>2.2627730714319372E-3</v>
      </c>
      <c r="I279" s="27">
        <f t="shared" si="85"/>
        <v>5.75751E-4</v>
      </c>
      <c r="J279" s="27">
        <f t="shared" si="86"/>
        <v>5.7575099999999989E-4</v>
      </c>
      <c r="K279" s="92">
        <f t="shared" si="87"/>
        <v>575751</v>
      </c>
      <c r="L279" s="100">
        <f t="shared" si="88"/>
        <v>5.75751E-4</v>
      </c>
      <c r="M279" s="100">
        <f t="shared" si="89"/>
        <v>0.79444044153082138</v>
      </c>
      <c r="N279" s="88"/>
      <c r="O279" s="45">
        <v>1000</v>
      </c>
      <c r="P279" s="45">
        <v>2000</v>
      </c>
      <c r="Q279" s="100">
        <f t="shared" si="90"/>
        <v>5.75751E-4</v>
      </c>
      <c r="R279" s="100">
        <v>3.8625470463505645E-3</v>
      </c>
      <c r="T279" s="27"/>
      <c r="U279" s="50">
        <f t="shared" si="91"/>
        <v>0</v>
      </c>
    </row>
    <row r="280" spans="1:21" x14ac:dyDescent="0.3">
      <c r="A280" s="13" t="str">
        <f t="shared" si="81"/>
        <v>(2000, 3000]</v>
      </c>
      <c r="B280" s="89">
        <v>4789678</v>
      </c>
      <c r="C280" s="89">
        <v>1127426457590</v>
      </c>
      <c r="D280" s="27">
        <f t="shared" si="82"/>
        <v>4.789678E-2</v>
      </c>
      <c r="E280" s="90">
        <f t="shared" si="83"/>
        <v>2353.8669146234884</v>
      </c>
      <c r="F280" s="88"/>
      <c r="G280" s="13" t="str">
        <f t="shared" si="84"/>
        <v>(2000, 3000]</v>
      </c>
      <c r="H280" s="86">
        <v>7.0526661708782937E-5</v>
      </c>
      <c r="I280" s="27">
        <f t="shared" si="85"/>
        <v>3.3780000000000005E-6</v>
      </c>
      <c r="J280" s="27">
        <f t="shared" si="86"/>
        <v>3.3779999999999997E-6</v>
      </c>
      <c r="K280" s="92">
        <f t="shared" si="87"/>
        <v>3378</v>
      </c>
      <c r="L280" s="100">
        <f t="shared" si="88"/>
        <v>3.3780000000000001E-6</v>
      </c>
      <c r="M280" s="100">
        <f t="shared" si="89"/>
        <v>7.9513624375981435E-3</v>
      </c>
      <c r="N280" s="88"/>
      <c r="O280" s="45">
        <v>2000</v>
      </c>
      <c r="P280" s="45">
        <v>3000</v>
      </c>
      <c r="Q280" s="100">
        <f t="shared" si="90"/>
        <v>3.3780000000000001E-6</v>
      </c>
      <c r="R280" s="100">
        <v>1.7462260209547122E-3</v>
      </c>
      <c r="T280" s="27"/>
      <c r="U280" s="50">
        <f t="shared" si="91"/>
        <v>0</v>
      </c>
    </row>
    <row r="281" spans="1:21" x14ac:dyDescent="0.3">
      <c r="A281" s="13" t="str">
        <f t="shared" si="81"/>
        <v>(3000, 4000]</v>
      </c>
      <c r="B281" s="89">
        <v>707366</v>
      </c>
      <c r="C281" s="89">
        <v>236624116450</v>
      </c>
      <c r="D281" s="27">
        <f t="shared" si="82"/>
        <v>7.0736599999999998E-3</v>
      </c>
      <c r="E281" s="90">
        <f t="shared" si="83"/>
        <v>3345.1440477772471</v>
      </c>
      <c r="F281" s="88"/>
      <c r="G281" s="13" t="str">
        <f t="shared" si="84"/>
        <v>(3000, 4000]</v>
      </c>
      <c r="H281" s="86">
        <v>1.979173440623383E-6</v>
      </c>
      <c r="I281" s="27">
        <f t="shared" si="85"/>
        <v>1.4E-8</v>
      </c>
      <c r="J281" s="27">
        <f t="shared" si="86"/>
        <v>1.3999999999999996E-8</v>
      </c>
      <c r="K281" s="92">
        <f t="shared" si="87"/>
        <v>14</v>
      </c>
      <c r="L281" s="100">
        <f t="shared" si="88"/>
        <v>1.4E-8</v>
      </c>
      <c r="M281" s="100">
        <f t="shared" si="89"/>
        <v>4.683201666888146E-5</v>
      </c>
      <c r="N281" s="88"/>
      <c r="O281" s="45">
        <v>3000</v>
      </c>
      <c r="P281" s="45">
        <v>4000</v>
      </c>
      <c r="Q281" s="100">
        <f t="shared" si="90"/>
        <v>1.4E-8</v>
      </c>
      <c r="R281" s="100">
        <v>6.3937700767252408E-4</v>
      </c>
      <c r="T281" s="27"/>
      <c r="U281" s="50">
        <f t="shared" si="91"/>
        <v>0</v>
      </c>
    </row>
    <row r="282" spans="1:21" x14ac:dyDescent="0.3">
      <c r="A282" s="13" t="str">
        <f t="shared" si="81"/>
        <v>(4000, 5000]</v>
      </c>
      <c r="B282" s="89">
        <v>96606</v>
      </c>
      <c r="C282" s="89">
        <v>41965357330</v>
      </c>
      <c r="D282" s="27">
        <f t="shared" si="82"/>
        <v>9.6606000000000003E-4</v>
      </c>
      <c r="E282" s="90">
        <f t="shared" si="83"/>
        <v>4343.9700774279036</v>
      </c>
      <c r="F282" s="88"/>
      <c r="G282" s="13" t="str">
        <f t="shared" si="84"/>
        <v>(4000, 5000]</v>
      </c>
      <c r="H282" s="86">
        <v>0</v>
      </c>
      <c r="I282" s="27">
        <f t="shared" si="85"/>
        <v>0</v>
      </c>
      <c r="J282" s="27">
        <f t="shared" si="86"/>
        <v>0</v>
      </c>
      <c r="K282" s="92">
        <f t="shared" si="87"/>
        <v>0</v>
      </c>
      <c r="L282" s="100">
        <f t="shared" si="88"/>
        <v>0</v>
      </c>
      <c r="M282" s="100">
        <f t="shared" si="89"/>
        <v>0</v>
      </c>
      <c r="N282" s="88"/>
      <c r="O282" s="45">
        <v>4000</v>
      </c>
      <c r="P282" s="45">
        <v>5000</v>
      </c>
      <c r="Q282" s="100">
        <f t="shared" si="90"/>
        <v>0</v>
      </c>
      <c r="R282" s="100">
        <v>3.3850700406208405E-4</v>
      </c>
      <c r="T282" s="27"/>
      <c r="U282" s="50">
        <f t="shared" si="91"/>
        <v>0</v>
      </c>
    </row>
    <row r="283" spans="1:21" x14ac:dyDescent="0.3">
      <c r="A283" s="13" t="str">
        <f t="shared" si="81"/>
        <v>(5000, 6000]</v>
      </c>
      <c r="B283" s="89">
        <v>13203</v>
      </c>
      <c r="C283" s="89">
        <v>7056897200</v>
      </c>
      <c r="D283" s="27">
        <f t="shared" si="82"/>
        <v>1.3202999999999999E-4</v>
      </c>
      <c r="E283" s="90">
        <f t="shared" si="83"/>
        <v>5344.9194879951528</v>
      </c>
      <c r="F283" s="88"/>
      <c r="G283" s="13" t="str">
        <f t="shared" si="84"/>
        <v>(5000, 6000]</v>
      </c>
      <c r="H283" s="86">
        <v>0</v>
      </c>
      <c r="I283" s="27">
        <f t="shared" si="85"/>
        <v>0</v>
      </c>
      <c r="J283" s="27">
        <f t="shared" si="86"/>
        <v>0</v>
      </c>
      <c r="K283" s="92">
        <f t="shared" si="87"/>
        <v>0</v>
      </c>
      <c r="L283" s="100">
        <f t="shared" si="88"/>
        <v>0</v>
      </c>
      <c r="M283" s="100">
        <f t="shared" si="89"/>
        <v>0</v>
      </c>
      <c r="N283" s="88"/>
      <c r="O283" s="45">
        <v>5000</v>
      </c>
      <c r="P283" s="45">
        <v>6000</v>
      </c>
      <c r="Q283" s="100">
        <f t="shared" si="90"/>
        <v>0</v>
      </c>
      <c r="R283" s="100">
        <v>2.9639800355677604E-4</v>
      </c>
      <c r="T283" s="27"/>
      <c r="U283" s="50">
        <f t="shared" si="91"/>
        <v>0</v>
      </c>
    </row>
    <row r="284" spans="1:21" x14ac:dyDescent="0.3">
      <c r="A284" s="13" t="str">
        <f t="shared" si="81"/>
        <v>(6000, 7000]</v>
      </c>
      <c r="B284" s="89">
        <v>1882</v>
      </c>
      <c r="C284" s="89">
        <v>1194385120</v>
      </c>
      <c r="D284" s="27">
        <f t="shared" si="82"/>
        <v>1.8819999999999999E-5</v>
      </c>
      <c r="E284" s="90">
        <f t="shared" si="83"/>
        <v>6346.3608926673742</v>
      </c>
      <c r="F284" s="88"/>
      <c r="G284" s="13" t="str">
        <f t="shared" si="84"/>
        <v>(6000, 7000]</v>
      </c>
      <c r="H284" s="86">
        <v>0</v>
      </c>
      <c r="I284" s="27">
        <f t="shared" si="85"/>
        <v>0</v>
      </c>
      <c r="J284" s="27">
        <f t="shared" si="86"/>
        <v>0</v>
      </c>
      <c r="K284" s="92">
        <f t="shared" si="87"/>
        <v>0</v>
      </c>
      <c r="L284" s="100">
        <f t="shared" si="88"/>
        <v>0</v>
      </c>
      <c r="M284" s="100">
        <f t="shared" si="89"/>
        <v>0</v>
      </c>
      <c r="N284" s="88"/>
      <c r="O284" s="45">
        <v>6000</v>
      </c>
      <c r="P284" s="45">
        <v>7000</v>
      </c>
      <c r="Q284" s="100">
        <f t="shared" si="90"/>
        <v>0</v>
      </c>
      <c r="R284" s="100">
        <v>2.1737400260848802E-4</v>
      </c>
      <c r="T284" s="27"/>
      <c r="U284" s="50">
        <f t="shared" si="91"/>
        <v>0</v>
      </c>
    </row>
    <row r="285" spans="1:21" x14ac:dyDescent="0.3">
      <c r="A285" s="13" t="str">
        <f t="shared" si="81"/>
        <v>(7000, 8000]</v>
      </c>
      <c r="B285" s="89">
        <v>284</v>
      </c>
      <c r="C285" s="89">
        <v>209094350</v>
      </c>
      <c r="D285" s="27">
        <f t="shared" si="82"/>
        <v>2.8399999999999999E-6</v>
      </c>
      <c r="E285" s="90">
        <f t="shared" si="83"/>
        <v>7362.477112676057</v>
      </c>
      <c r="F285" s="88"/>
      <c r="G285" s="13" t="str">
        <f t="shared" si="84"/>
        <v>(7000, 8000]</v>
      </c>
      <c r="H285" s="86">
        <v>0</v>
      </c>
      <c r="I285" s="27">
        <f t="shared" si="85"/>
        <v>0</v>
      </c>
      <c r="J285" s="27">
        <f t="shared" si="86"/>
        <v>0</v>
      </c>
      <c r="K285" s="92">
        <f t="shared" si="87"/>
        <v>0</v>
      </c>
      <c r="L285" s="100">
        <f t="shared" si="88"/>
        <v>0</v>
      </c>
      <c r="M285" s="100">
        <f t="shared" si="89"/>
        <v>0</v>
      </c>
      <c r="N285" s="88"/>
      <c r="O285" s="45">
        <v>7000</v>
      </c>
      <c r="P285" s="45">
        <v>8000</v>
      </c>
      <c r="Q285" s="100">
        <f t="shared" si="90"/>
        <v>0</v>
      </c>
      <c r="R285" s="100">
        <v>0</v>
      </c>
      <c r="T285" s="27"/>
      <c r="U285" s="50">
        <f t="shared" si="91"/>
        <v>0</v>
      </c>
    </row>
    <row r="286" spans="1:21" x14ac:dyDescent="0.3">
      <c r="A286" s="13" t="str">
        <f t="shared" si="81"/>
        <v>(8000, 9000]</v>
      </c>
      <c r="B286" s="89">
        <v>40</v>
      </c>
      <c r="C286" s="89">
        <v>33560900</v>
      </c>
      <c r="D286" s="27">
        <f t="shared" si="82"/>
        <v>3.9999999999999998E-7</v>
      </c>
      <c r="E286" s="90">
        <f t="shared" si="83"/>
        <v>8390.2250000000004</v>
      </c>
      <c r="F286" s="88"/>
      <c r="G286" s="13" t="str">
        <f t="shared" si="84"/>
        <v>(8000, 9000]</v>
      </c>
      <c r="H286" s="86">
        <v>0</v>
      </c>
      <c r="I286" s="27">
        <f t="shared" si="85"/>
        <v>0</v>
      </c>
      <c r="J286" s="27">
        <f t="shared" si="86"/>
        <v>0</v>
      </c>
      <c r="K286" s="92">
        <f t="shared" si="87"/>
        <v>0</v>
      </c>
      <c r="L286" s="100">
        <f t="shared" si="88"/>
        <v>0</v>
      </c>
      <c r="M286" s="100">
        <f t="shared" si="89"/>
        <v>0</v>
      </c>
      <c r="N286" s="88"/>
      <c r="O286" s="45">
        <v>8000</v>
      </c>
      <c r="P286" s="45">
        <v>9000</v>
      </c>
      <c r="Q286" s="100">
        <f t="shared" si="90"/>
        <v>0</v>
      </c>
      <c r="R286" s="100">
        <v>0</v>
      </c>
      <c r="T286" s="27"/>
      <c r="U286" s="50">
        <f t="shared" si="91"/>
        <v>0</v>
      </c>
    </row>
    <row r="287" spans="1:21" x14ac:dyDescent="0.3">
      <c r="A287" s="13" t="str">
        <f t="shared" si="81"/>
        <v>(9000, 10000]</v>
      </c>
      <c r="B287" s="89">
        <v>14</v>
      </c>
      <c r="C287" s="89">
        <v>13023890</v>
      </c>
      <c r="D287" s="27">
        <f t="shared" si="82"/>
        <v>1.4000000000000001E-7</v>
      </c>
      <c r="E287" s="90">
        <f t="shared" si="83"/>
        <v>9302.778571428571</v>
      </c>
      <c r="F287" s="88"/>
      <c r="G287" s="13" t="str">
        <f t="shared" si="84"/>
        <v>(9000, 10000]</v>
      </c>
      <c r="H287" s="86">
        <v>0</v>
      </c>
      <c r="I287" s="27">
        <f t="shared" si="85"/>
        <v>0</v>
      </c>
      <c r="J287" s="27">
        <f t="shared" si="86"/>
        <v>0</v>
      </c>
      <c r="K287" s="92">
        <f t="shared" si="87"/>
        <v>0</v>
      </c>
      <c r="L287" s="100">
        <f t="shared" si="88"/>
        <v>0</v>
      </c>
      <c r="M287" s="100">
        <f t="shared" si="89"/>
        <v>0</v>
      </c>
      <c r="N287" s="88"/>
      <c r="O287" s="45">
        <v>9000</v>
      </c>
      <c r="P287" s="45">
        <v>10000</v>
      </c>
      <c r="Q287" s="100">
        <f t="shared" si="90"/>
        <v>0</v>
      </c>
      <c r="R287" s="100">
        <v>0</v>
      </c>
      <c r="T287" s="27"/>
      <c r="U287" s="50">
        <f t="shared" si="91"/>
        <v>0</v>
      </c>
    </row>
    <row r="288" spans="1:21" x14ac:dyDescent="0.3">
      <c r="A288" s="13" t="str">
        <f t="shared" si="81"/>
        <v>(10000, 20000]</v>
      </c>
      <c r="B288" s="89">
        <v>1</v>
      </c>
      <c r="C288" s="89">
        <v>1208130</v>
      </c>
      <c r="D288" s="27">
        <f t="shared" si="82"/>
        <v>1E-8</v>
      </c>
      <c r="E288" s="90">
        <f t="shared" si="83"/>
        <v>12081.3</v>
      </c>
      <c r="F288" s="88"/>
      <c r="G288" s="13" t="str">
        <f t="shared" si="84"/>
        <v>(10000, 20000]</v>
      </c>
      <c r="H288" s="86">
        <v>0</v>
      </c>
      <c r="I288" s="27">
        <f t="shared" si="85"/>
        <v>0</v>
      </c>
      <c r="J288" s="27">
        <f t="shared" si="86"/>
        <v>0</v>
      </c>
      <c r="K288" s="92">
        <f t="shared" si="87"/>
        <v>0</v>
      </c>
      <c r="L288" s="100">
        <f t="shared" si="88"/>
        <v>0</v>
      </c>
      <c r="M288" s="100">
        <f t="shared" si="89"/>
        <v>0</v>
      </c>
      <c r="N288" s="88"/>
      <c r="O288" s="45">
        <v>10000</v>
      </c>
      <c r="P288" s="45">
        <v>20000</v>
      </c>
      <c r="Q288" s="100">
        <f t="shared" si="90"/>
        <v>0</v>
      </c>
      <c r="R288" s="100">
        <v>0</v>
      </c>
      <c r="T288" s="27"/>
      <c r="U288" s="50">
        <f t="shared" si="91"/>
        <v>0</v>
      </c>
    </row>
    <row r="289" spans="1:21" x14ac:dyDescent="0.3">
      <c r="A289" s="13" t="str">
        <f t="shared" si="81"/>
        <v>(20000, 30000]</v>
      </c>
      <c r="B289" s="89">
        <v>0</v>
      </c>
      <c r="C289" s="89">
        <v>0</v>
      </c>
      <c r="D289" s="27">
        <f t="shared" si="82"/>
        <v>0</v>
      </c>
      <c r="E289" s="90">
        <f t="shared" si="83"/>
        <v>0</v>
      </c>
      <c r="F289" s="88"/>
      <c r="G289" s="13" t="str">
        <f t="shared" si="84"/>
        <v>(20000, 30000]</v>
      </c>
      <c r="H289" s="86">
        <v>0</v>
      </c>
      <c r="I289" s="27">
        <f t="shared" si="85"/>
        <v>0</v>
      </c>
      <c r="J289" s="27">
        <f t="shared" si="86"/>
        <v>0</v>
      </c>
      <c r="K289" s="92">
        <f t="shared" si="87"/>
        <v>0</v>
      </c>
      <c r="L289" s="100">
        <f t="shared" si="88"/>
        <v>0</v>
      </c>
      <c r="M289" s="100">
        <f t="shared" si="89"/>
        <v>0</v>
      </c>
      <c r="N289" s="88"/>
      <c r="O289" s="45">
        <v>20000</v>
      </c>
      <c r="P289" s="45">
        <v>30000</v>
      </c>
      <c r="Q289" s="100">
        <f t="shared" si="90"/>
        <v>0</v>
      </c>
      <c r="R289" s="100">
        <v>0</v>
      </c>
      <c r="T289" s="27"/>
      <c r="U289" s="50">
        <f t="shared" si="91"/>
        <v>0</v>
      </c>
    </row>
    <row r="290" spans="1:21" x14ac:dyDescent="0.3">
      <c r="A290" s="13" t="str">
        <f t="shared" si="81"/>
        <v>(30000, 40000]</v>
      </c>
      <c r="B290" s="89">
        <v>0</v>
      </c>
      <c r="C290" s="89">
        <v>0</v>
      </c>
      <c r="D290" s="27">
        <f t="shared" si="82"/>
        <v>0</v>
      </c>
      <c r="E290" s="90">
        <f t="shared" si="83"/>
        <v>0</v>
      </c>
      <c r="F290" s="88"/>
      <c r="G290" s="13" t="str">
        <f t="shared" si="84"/>
        <v>(30000, 40000]</v>
      </c>
      <c r="H290" s="86">
        <v>0</v>
      </c>
      <c r="I290" s="27">
        <f t="shared" si="85"/>
        <v>0</v>
      </c>
      <c r="J290" s="27">
        <f t="shared" si="86"/>
        <v>0</v>
      </c>
      <c r="K290" s="92">
        <f t="shared" si="87"/>
        <v>0</v>
      </c>
      <c r="L290" s="100">
        <f t="shared" si="88"/>
        <v>0</v>
      </c>
      <c r="M290" s="100">
        <f t="shared" si="89"/>
        <v>0</v>
      </c>
      <c r="N290" s="88"/>
      <c r="O290" s="45">
        <v>30000</v>
      </c>
      <c r="P290" s="45">
        <v>40000</v>
      </c>
      <c r="Q290" s="100">
        <f t="shared" si="90"/>
        <v>0</v>
      </c>
      <c r="R290" s="100">
        <v>0</v>
      </c>
      <c r="T290" s="27"/>
      <c r="U290" s="50">
        <f t="shared" si="91"/>
        <v>0</v>
      </c>
    </row>
    <row r="291" spans="1:21" x14ac:dyDescent="0.3">
      <c r="A291" s="13" t="str">
        <f t="shared" si="81"/>
        <v>(40000, 50000]</v>
      </c>
      <c r="B291" s="89">
        <v>0</v>
      </c>
      <c r="C291" s="89">
        <v>0</v>
      </c>
      <c r="D291" s="27">
        <f t="shared" si="82"/>
        <v>0</v>
      </c>
      <c r="E291" s="90">
        <f t="shared" si="83"/>
        <v>0</v>
      </c>
      <c r="F291" s="88"/>
      <c r="G291" s="13" t="str">
        <f t="shared" si="84"/>
        <v>(40000, 50000]</v>
      </c>
      <c r="H291" s="86">
        <v>0</v>
      </c>
      <c r="I291" s="27">
        <f t="shared" si="85"/>
        <v>0</v>
      </c>
      <c r="J291" s="27">
        <f t="shared" si="86"/>
        <v>0</v>
      </c>
      <c r="K291" s="92">
        <f t="shared" si="87"/>
        <v>0</v>
      </c>
      <c r="L291" s="100">
        <f t="shared" si="88"/>
        <v>0</v>
      </c>
      <c r="M291" s="100">
        <f t="shared" si="89"/>
        <v>0</v>
      </c>
      <c r="N291" s="88"/>
      <c r="O291" s="45">
        <v>40000</v>
      </c>
      <c r="P291" s="45">
        <v>50000</v>
      </c>
      <c r="Q291" s="100">
        <f t="shared" si="90"/>
        <v>0</v>
      </c>
      <c r="R291" s="100">
        <v>0</v>
      </c>
      <c r="T291" s="27"/>
      <c r="U291" s="50">
        <f t="shared" si="91"/>
        <v>0</v>
      </c>
    </row>
    <row r="292" spans="1:21" x14ac:dyDescent="0.3">
      <c r="A292" s="13" t="str">
        <f t="shared" si="81"/>
        <v>(50000, 60000]</v>
      </c>
      <c r="B292" s="89">
        <v>0</v>
      </c>
      <c r="C292" s="89">
        <v>0</v>
      </c>
      <c r="D292" s="27">
        <f t="shared" si="82"/>
        <v>0</v>
      </c>
      <c r="E292" s="90">
        <f t="shared" si="83"/>
        <v>0</v>
      </c>
      <c r="F292" s="88"/>
      <c r="G292" s="13" t="str">
        <f t="shared" si="84"/>
        <v>(50000, 60000]</v>
      </c>
      <c r="H292" s="86">
        <v>0</v>
      </c>
      <c r="I292" s="27">
        <f t="shared" si="85"/>
        <v>0</v>
      </c>
      <c r="J292" s="27">
        <f t="shared" si="86"/>
        <v>0</v>
      </c>
      <c r="K292" s="92">
        <f t="shared" si="87"/>
        <v>0</v>
      </c>
      <c r="L292" s="100">
        <f t="shared" si="88"/>
        <v>0</v>
      </c>
      <c r="M292" s="100">
        <f t="shared" si="89"/>
        <v>0</v>
      </c>
      <c r="N292" s="88"/>
      <c r="O292" s="45">
        <v>50000</v>
      </c>
      <c r="P292" s="45">
        <v>60000</v>
      </c>
      <c r="Q292" s="100">
        <f t="shared" si="90"/>
        <v>0</v>
      </c>
      <c r="R292" s="100">
        <v>0</v>
      </c>
      <c r="T292" s="27"/>
      <c r="U292" s="50">
        <f t="shared" si="91"/>
        <v>0</v>
      </c>
    </row>
    <row r="293" spans="1:21" x14ac:dyDescent="0.3">
      <c r="A293" s="13" t="str">
        <f t="shared" si="81"/>
        <v>(60000, 70000]</v>
      </c>
      <c r="B293" s="89">
        <v>0</v>
      </c>
      <c r="C293" s="89">
        <v>0</v>
      </c>
      <c r="D293" s="27">
        <f t="shared" si="82"/>
        <v>0</v>
      </c>
      <c r="E293" s="90">
        <f t="shared" si="83"/>
        <v>0</v>
      </c>
      <c r="F293" s="88"/>
      <c r="G293" s="13" t="str">
        <f t="shared" si="84"/>
        <v>(60000, 70000]</v>
      </c>
      <c r="H293" s="86">
        <v>0</v>
      </c>
      <c r="I293" s="27">
        <f t="shared" si="85"/>
        <v>0</v>
      </c>
      <c r="J293" s="27">
        <f t="shared" si="86"/>
        <v>0</v>
      </c>
      <c r="K293" s="92">
        <f t="shared" si="87"/>
        <v>0</v>
      </c>
      <c r="L293" s="100">
        <f t="shared" si="88"/>
        <v>0</v>
      </c>
      <c r="M293" s="100">
        <f t="shared" si="89"/>
        <v>0</v>
      </c>
      <c r="N293" s="88"/>
      <c r="O293" s="45">
        <v>60000</v>
      </c>
      <c r="P293" s="45">
        <v>70000</v>
      </c>
      <c r="Q293" s="100">
        <f t="shared" si="90"/>
        <v>0</v>
      </c>
      <c r="R293" s="100">
        <v>0</v>
      </c>
      <c r="T293" s="27"/>
      <c r="U293" s="50">
        <f t="shared" si="91"/>
        <v>0</v>
      </c>
    </row>
    <row r="294" spans="1:21" x14ac:dyDescent="0.3">
      <c r="A294" s="13" t="str">
        <f t="shared" si="81"/>
        <v>(70000, 80000]</v>
      </c>
      <c r="B294" s="89">
        <v>0</v>
      </c>
      <c r="C294" s="89">
        <v>0</v>
      </c>
      <c r="D294" s="27">
        <f t="shared" si="82"/>
        <v>0</v>
      </c>
      <c r="E294" s="90">
        <f t="shared" si="83"/>
        <v>0</v>
      </c>
      <c r="F294" s="88"/>
      <c r="G294" s="13" t="str">
        <f t="shared" si="84"/>
        <v>(70000, 80000]</v>
      </c>
      <c r="H294" s="86">
        <v>0</v>
      </c>
      <c r="I294" s="27">
        <f t="shared" si="85"/>
        <v>0</v>
      </c>
      <c r="J294" s="27">
        <f t="shared" si="86"/>
        <v>0</v>
      </c>
      <c r="K294" s="92">
        <f t="shared" si="87"/>
        <v>0</v>
      </c>
      <c r="L294" s="100">
        <f t="shared" si="88"/>
        <v>0</v>
      </c>
      <c r="M294" s="100">
        <f t="shared" si="89"/>
        <v>0</v>
      </c>
      <c r="N294" s="88"/>
      <c r="O294" s="45">
        <v>70000</v>
      </c>
      <c r="P294" s="45">
        <v>80000</v>
      </c>
      <c r="Q294" s="100">
        <f t="shared" si="90"/>
        <v>0</v>
      </c>
      <c r="R294" s="100">
        <v>0</v>
      </c>
      <c r="T294" s="27"/>
      <c r="U294" s="50">
        <f t="shared" si="91"/>
        <v>0</v>
      </c>
    </row>
    <row r="295" spans="1:21" x14ac:dyDescent="0.3">
      <c r="A295" s="13" t="str">
        <f t="shared" si="81"/>
        <v>(80000, 90000]</v>
      </c>
      <c r="B295" s="89">
        <v>0</v>
      </c>
      <c r="C295" s="89">
        <v>0</v>
      </c>
      <c r="D295" s="27">
        <f t="shared" si="82"/>
        <v>0</v>
      </c>
      <c r="E295" s="90">
        <f t="shared" si="83"/>
        <v>0</v>
      </c>
      <c r="F295" s="88"/>
      <c r="G295" s="13" t="str">
        <f t="shared" si="84"/>
        <v>(80000, 90000]</v>
      </c>
      <c r="H295" s="86">
        <v>0</v>
      </c>
      <c r="I295" s="27">
        <f t="shared" si="85"/>
        <v>0</v>
      </c>
      <c r="J295" s="27">
        <f t="shared" si="86"/>
        <v>0</v>
      </c>
      <c r="K295" s="92">
        <f t="shared" si="87"/>
        <v>0</v>
      </c>
      <c r="L295" s="100">
        <f t="shared" si="88"/>
        <v>0</v>
      </c>
      <c r="M295" s="100">
        <f t="shared" si="89"/>
        <v>0</v>
      </c>
      <c r="N295" s="88"/>
      <c r="O295" s="45">
        <v>80000</v>
      </c>
      <c r="P295" s="45">
        <v>90000</v>
      </c>
      <c r="Q295" s="100">
        <f t="shared" si="90"/>
        <v>0</v>
      </c>
      <c r="R295" s="100">
        <v>0</v>
      </c>
      <c r="T295" s="27"/>
      <c r="U295" s="50">
        <f t="shared" si="91"/>
        <v>0</v>
      </c>
    </row>
    <row r="296" spans="1:21" x14ac:dyDescent="0.3">
      <c r="A296" s="13" t="str">
        <f t="shared" si="81"/>
        <v>(90000, 100000]</v>
      </c>
      <c r="B296" s="89">
        <v>0</v>
      </c>
      <c r="C296" s="89">
        <v>0</v>
      </c>
      <c r="D296" s="27">
        <f t="shared" si="82"/>
        <v>0</v>
      </c>
      <c r="E296" s="90">
        <f t="shared" si="83"/>
        <v>0</v>
      </c>
      <c r="F296" s="88"/>
      <c r="G296" s="13" t="str">
        <f t="shared" si="84"/>
        <v>(90000, 100000]</v>
      </c>
      <c r="H296" s="86">
        <v>0</v>
      </c>
      <c r="I296" s="27">
        <f t="shared" si="85"/>
        <v>0</v>
      </c>
      <c r="J296" s="27">
        <f t="shared" si="86"/>
        <v>0</v>
      </c>
      <c r="K296" s="92">
        <f t="shared" si="87"/>
        <v>0</v>
      </c>
      <c r="L296" s="100">
        <f t="shared" si="88"/>
        <v>0</v>
      </c>
      <c r="M296" s="100">
        <f t="shared" si="89"/>
        <v>0</v>
      </c>
      <c r="N296" s="88"/>
      <c r="O296" s="45">
        <v>90000</v>
      </c>
      <c r="P296" s="45">
        <v>100000</v>
      </c>
      <c r="Q296" s="100">
        <f t="shared" si="90"/>
        <v>0</v>
      </c>
      <c r="R296" s="100">
        <v>0</v>
      </c>
      <c r="T296" s="27"/>
      <c r="U296" s="50">
        <f t="shared" si="91"/>
        <v>0</v>
      </c>
    </row>
    <row r="297" spans="1:21" x14ac:dyDescent="0.3">
      <c r="A297" s="13" t="str">
        <f t="shared" si="81"/>
        <v>(100000, 9999999]</v>
      </c>
      <c r="B297" s="89">
        <v>0</v>
      </c>
      <c r="C297" s="89">
        <v>0</v>
      </c>
      <c r="D297" s="27">
        <f t="shared" si="82"/>
        <v>0</v>
      </c>
      <c r="E297" s="90">
        <f t="shared" si="83"/>
        <v>0</v>
      </c>
      <c r="F297" s="88"/>
      <c r="G297" s="13" t="str">
        <f t="shared" si="84"/>
        <v>(100000, 9999999]</v>
      </c>
      <c r="H297" s="86">
        <v>0</v>
      </c>
      <c r="I297" s="27">
        <f t="shared" si="85"/>
        <v>0</v>
      </c>
      <c r="J297" s="27">
        <f t="shared" si="86"/>
        <v>0</v>
      </c>
      <c r="K297" s="92">
        <f t="shared" si="87"/>
        <v>0</v>
      </c>
      <c r="L297" s="100">
        <f t="shared" si="88"/>
        <v>0</v>
      </c>
      <c r="M297" s="100">
        <f t="shared" si="89"/>
        <v>0</v>
      </c>
      <c r="N297" s="88"/>
      <c r="O297" s="45">
        <v>100000</v>
      </c>
      <c r="P297" s="45">
        <v>9999999</v>
      </c>
      <c r="Q297" s="100">
        <f t="shared" si="90"/>
        <v>0</v>
      </c>
      <c r="R297" s="100">
        <v>0</v>
      </c>
      <c r="T297" s="27"/>
      <c r="U297" s="50">
        <f t="shared" si="91"/>
        <v>0</v>
      </c>
    </row>
  </sheetData>
  <phoneticPr fontId="20" type="noConversion"/>
  <conditionalFormatting sqref="D79">
    <cfRule type="cellIs" dxfId="9" priority="40" operator="lessThan">
      <formula>0.001</formula>
    </cfRule>
  </conditionalFormatting>
  <conditionalFormatting sqref="D86:D149">
    <cfRule type="cellIs" dxfId="8" priority="54" operator="lessThan">
      <formula>0.001</formula>
    </cfRule>
  </conditionalFormatting>
  <conditionalFormatting sqref="D15:D78">
    <cfRule type="cellIs" dxfId="7" priority="55" operator="lessThan">
      <formula>0.001</formula>
    </cfRule>
  </conditionalFormatting>
  <conditionalFormatting sqref="D163:D226">
    <cfRule type="cellIs" dxfId="6" priority="50" operator="lessThan">
      <formula>0.001</formula>
    </cfRule>
  </conditionalFormatting>
  <conditionalFormatting sqref="D156">
    <cfRule type="cellIs" dxfId="5" priority="39" operator="lessThan">
      <formula>0.001</formula>
    </cfRule>
  </conditionalFormatting>
  <conditionalFormatting sqref="D234:D297">
    <cfRule type="cellIs" dxfId="4" priority="34" operator="lessThan">
      <formula>0.001</formula>
    </cfRule>
  </conditionalFormatting>
  <conditionalFormatting sqref="Y15:Z78">
    <cfRule type="cellIs" dxfId="3" priority="25" operator="equal">
      <formula>0</formula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{8026D4EE-AAFF-42AF-8009-F91CC5E6F23F}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{742211AB-C6FE-4738-AD28-00E0B713F6DA}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{2E2EA040-00D4-4EE9-A56A-6500123F0711}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{DC00D97E-6987-4A21-8567-584E632AFB2B}</x14:id>
        </ext>
      </extLst>
    </cfRule>
  </conditionalFormatting>
  <conditionalFormatting sqref="L163:L2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{EB9EEC23-5FFA-4CB8-99A8-15AC75B633BE}</x14:id>
        </ext>
      </extLst>
    </cfRule>
  </conditionalFormatting>
  <conditionalFormatting sqref="M163:M22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{DEF13EA5-DB4C-4085-8099-04A82B761C28}</x14:id>
        </ext>
      </extLst>
    </cfRule>
  </conditionalFormatting>
  <conditionalFormatting sqref="L234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{2FA2BCAD-83AB-4BD2-9B94-517FE745AD86}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{C17DC77F-CAB6-4491-9365-3F64F5EB10AB}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{D06FD325-66B3-414B-903B-705C8EDA180E}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{FAFFB501-BF65-4699-AA9E-9CFF90E5EFD4}</x14:id>
        </ext>
      </extLst>
    </cfRule>
  </conditionalFormatting>
  <conditionalFormatting sqref="Q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{D39D1103-4260-4D6C-A858-0276CEDD53A2}</x14:id>
        </ext>
      </extLst>
    </cfRule>
  </conditionalFormatting>
  <conditionalFormatting sqref="Q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{6CFADB27-53B0-4171-8901-019E473B2132}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26D4EE-AAFF-42AF-8009-F91CC5E6F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742211AB-C6FE-4738-AD28-00E0B713F6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2E2EA040-00D4-4EE9-A56A-6500123F07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C00D97E-6987-4A21-8567-584E632AFB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EB9EEC23-5FFA-4CB8-99A8-15AC75B633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DEF13EA5-DB4C-4085-8099-04A82B761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FA2BCAD-83AB-4BD2-9B94-517FE745AD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C17DC77F-CAB6-4491-9365-3F64F5EB1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D06FD325-66B3-414B-903B-705C8EDA18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FAFFB501-BF65-4699-AA9E-9CFF90E5E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  <x14:conditionalFormatting xmlns:xm="http://schemas.microsoft.com/office/excel/2006/main">
          <x14:cfRule type="dataBar" id="{D39D1103-4260-4D6C-A858-0276CEDD53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Q163:R226</xm:sqref>
        </x14:conditionalFormatting>
        <x14:conditionalFormatting xmlns:xm="http://schemas.microsoft.com/office/excel/2006/main">
          <x14:cfRule type="dataBar" id="{6CFADB27-53B0-4171-8901-019E473B21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A18" workbookViewId="0">
      <selection activeCell="M110" sqref="G90:M110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0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0" customWidth="1"/>
    <col min="15" max="15" width="17.88671875" style="30" bestFit="1" customWidth="1"/>
    <col min="16" max="16" width="14.6640625" style="30" bestFit="1" customWidth="1"/>
    <col min="17" max="18" width="13.21875" style="4" bestFit="1" customWidth="1"/>
    <col min="20" max="20" width="9.6640625" style="4" customWidth="1"/>
    <col min="21" max="22" width="8.88671875" style="4" customWidth="1"/>
    <col min="23" max="16384" width="8.88671875" style="4"/>
  </cols>
  <sheetData>
    <row r="1" spans="1:21" x14ac:dyDescent="0.3">
      <c r="A1" s="29"/>
      <c r="B1" s="1"/>
      <c r="E1" s="1"/>
      <c r="G1" s="35"/>
      <c r="H1" s="29"/>
      <c r="I1" s="29"/>
      <c r="J1" s="29"/>
      <c r="K1" s="29"/>
      <c r="L1" s="29"/>
      <c r="M1" s="29"/>
      <c r="Q1" s="29"/>
      <c r="R1" s="29"/>
    </row>
    <row r="2" spans="1:21" x14ac:dyDescent="0.3">
      <c r="A2" s="45" t="s">
        <v>90</v>
      </c>
      <c r="B2" s="74">
        <v>1000000000</v>
      </c>
      <c r="C2" s="1"/>
      <c r="F2" s="36"/>
      <c r="G2" s="36"/>
      <c r="K2" s="29"/>
      <c r="L2" s="29"/>
      <c r="M2" s="29"/>
      <c r="Q2" s="29"/>
      <c r="R2" s="29"/>
    </row>
    <row r="3" spans="1:21" x14ac:dyDescent="0.3">
      <c r="A3" s="45" t="s">
        <v>5</v>
      </c>
      <c r="B3" s="74">
        <f>Overview!A7</f>
        <v>100</v>
      </c>
      <c r="C3" s="1"/>
      <c r="F3" s="36"/>
      <c r="G3" s="37"/>
    </row>
    <row r="4" spans="1:21" x14ac:dyDescent="0.3">
      <c r="F4" s="36"/>
      <c r="G4" s="36"/>
      <c r="I4" s="1"/>
      <c r="K4" s="38"/>
      <c r="L4" s="39"/>
      <c r="M4" s="75"/>
      <c r="N4" s="76"/>
      <c r="O4" s="76"/>
      <c r="P4" s="76"/>
      <c r="Q4" s="39"/>
      <c r="R4" s="39"/>
    </row>
    <row r="5" spans="1:21" x14ac:dyDescent="0.3">
      <c r="A5" s="29"/>
      <c r="B5" s="29"/>
      <c r="C5" s="1" t="s">
        <v>91</v>
      </c>
      <c r="F5" s="4"/>
      <c r="G5" s="30"/>
      <c r="I5" s="36"/>
      <c r="K5" s="40"/>
      <c r="L5" s="39"/>
      <c r="M5" s="75"/>
      <c r="N5" s="76"/>
      <c r="O5" s="76"/>
      <c r="P5" s="76"/>
      <c r="Q5" s="39"/>
      <c r="R5" s="39"/>
    </row>
    <row r="6" spans="1:21" x14ac:dyDescent="0.3">
      <c r="A6" s="41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2" t="s">
        <v>97</v>
      </c>
      <c r="J6" s="43" t="s">
        <v>98</v>
      </c>
      <c r="K6" s="37"/>
      <c r="L6" s="37"/>
      <c r="M6" s="44"/>
      <c r="Q6" s="37"/>
      <c r="R6" s="37"/>
    </row>
    <row r="7" spans="1:21" x14ac:dyDescent="0.3">
      <c r="A7" s="45" t="s">
        <v>9</v>
      </c>
      <c r="B7" s="45">
        <f>Overview!B11</f>
        <v>1</v>
      </c>
      <c r="C7" s="77">
        <f>SUM(M15:M79)</f>
        <v>0.65000000879947628</v>
      </c>
      <c r="D7" s="77">
        <f>SUM(M86:M149)*F7</f>
        <v>0.27000000022676518</v>
      </c>
      <c r="E7" s="78">
        <f>SUM(C7:D7)</f>
        <v>0.92000000902624146</v>
      </c>
      <c r="F7" s="31">
        <f>L79</f>
        <v>7.6923077075739645E-3</v>
      </c>
      <c r="G7" s="32">
        <f>1/F7</f>
        <v>129.999999742</v>
      </c>
      <c r="H7" s="33">
        <f>D7*G7</f>
        <v>35.099999959819471</v>
      </c>
      <c r="I7" s="79">
        <f>IFERROR(LOOKUP(2,1/(K15:K78&lt;&gt;0),P15:P78),0)</f>
        <v>30</v>
      </c>
      <c r="J7" s="79">
        <f>IFERROR(LOOKUP(2,1/(K86:K149&lt;&gt;0),P86:P149),0)</f>
        <v>120</v>
      </c>
      <c r="K7" s="36"/>
      <c r="L7" s="37"/>
      <c r="M7" s="44"/>
      <c r="Q7" s="37"/>
      <c r="R7" s="37"/>
    </row>
    <row r="8" spans="1:21" x14ac:dyDescent="0.3">
      <c r="L8" s="37"/>
      <c r="M8" s="44"/>
      <c r="Q8" s="37"/>
      <c r="R8" s="37"/>
    </row>
    <row r="9" spans="1:21" x14ac:dyDescent="0.3">
      <c r="A9" s="29"/>
      <c r="B9" s="1"/>
      <c r="C9" s="81"/>
      <c r="D9" s="29"/>
      <c r="E9" s="1"/>
      <c r="G9" s="35"/>
      <c r="H9" s="29"/>
      <c r="I9" s="29"/>
      <c r="J9" s="29"/>
      <c r="K9" s="47"/>
      <c r="L9" s="98"/>
      <c r="M9" s="98"/>
      <c r="Q9" s="98"/>
      <c r="R9" s="98"/>
    </row>
    <row r="10" spans="1:21" x14ac:dyDescent="0.3">
      <c r="A10" s="29"/>
      <c r="B10" s="1"/>
      <c r="C10" s="1"/>
      <c r="D10" s="81"/>
      <c r="E10" s="1"/>
      <c r="G10" s="35"/>
      <c r="H10" s="29"/>
      <c r="I10" s="29"/>
      <c r="J10" s="29"/>
      <c r="K10" s="47"/>
      <c r="L10" s="98"/>
      <c r="M10" s="98"/>
      <c r="Q10" s="98"/>
      <c r="R10" s="98"/>
    </row>
    <row r="11" spans="1:21" s="62" customFormat="1" ht="15.6" customHeight="1" x14ac:dyDescent="0.3">
      <c r="A11" s="63" t="s">
        <v>9</v>
      </c>
      <c r="B11" s="63" t="s">
        <v>17</v>
      </c>
      <c r="C11" s="63"/>
      <c r="D11" s="82"/>
      <c r="E11" s="59"/>
      <c r="F11" s="60"/>
      <c r="G11" s="63" t="s">
        <v>9</v>
      </c>
      <c r="H11" s="63" t="s">
        <v>17</v>
      </c>
      <c r="I11" s="58"/>
      <c r="J11" s="58"/>
      <c r="K11" s="61"/>
      <c r="L11" s="99"/>
      <c r="M11" s="99"/>
      <c r="N11" s="60"/>
      <c r="O11" s="63" t="s">
        <v>9</v>
      </c>
      <c r="P11" s="63" t="s">
        <v>17</v>
      </c>
      <c r="Q11" s="99"/>
      <c r="R11" s="99"/>
    </row>
    <row r="12" spans="1:21" x14ac:dyDescent="0.3">
      <c r="A12" s="29"/>
      <c r="B12" s="1"/>
      <c r="C12" s="1"/>
      <c r="D12" s="81"/>
      <c r="E12" s="1"/>
      <c r="G12" s="35"/>
      <c r="H12" s="29"/>
      <c r="I12" s="29"/>
      <c r="J12" s="29"/>
      <c r="K12" s="47"/>
      <c r="L12" s="98"/>
      <c r="M12" s="98"/>
      <c r="Q12" s="98"/>
      <c r="R12" s="98"/>
    </row>
    <row r="13" spans="1:21" x14ac:dyDescent="0.3">
      <c r="A13" s="48" t="s">
        <v>100</v>
      </c>
      <c r="B13" s="83">
        <v>100000000</v>
      </c>
      <c r="C13" s="1"/>
      <c r="D13" s="1"/>
      <c r="E13" s="1"/>
      <c r="G13" s="48" t="s">
        <v>101</v>
      </c>
      <c r="H13" s="29"/>
      <c r="I13" s="29"/>
      <c r="J13" s="29"/>
      <c r="K13" s="29"/>
      <c r="L13" s="29"/>
      <c r="M13" s="29"/>
      <c r="Q13" s="29"/>
      <c r="R13" s="29"/>
    </row>
    <row r="14" spans="1:21" x14ac:dyDescent="0.3">
      <c r="A14" s="9" t="s">
        <v>19</v>
      </c>
      <c r="B14" s="9" t="s">
        <v>102</v>
      </c>
      <c r="C14" s="9" t="s">
        <v>103</v>
      </c>
      <c r="D14" s="9" t="s">
        <v>94</v>
      </c>
      <c r="E14" s="9" t="s">
        <v>104</v>
      </c>
      <c r="G14" s="9" t="s">
        <v>19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94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1" x14ac:dyDescent="0.3">
      <c r="A15" s="13" t="str">
        <f t="shared" ref="A15:A46" si="0">"("&amp;$O15&amp;", "&amp;$P15&amp;"]"</f>
        <v>(-1, 0]</v>
      </c>
      <c r="B15" s="84">
        <v>63158298</v>
      </c>
      <c r="C15" s="84">
        <v>0</v>
      </c>
      <c r="D15" s="28">
        <f t="shared" ref="D15:D46" si="1">IFERROR(B15/SUM($B$15:$B$78),0)</f>
        <v>0.63158298000000002</v>
      </c>
      <c r="E15" s="85">
        <f t="shared" ref="E15:E46" si="2">IFERROR(C15/B15/$B$3,0)</f>
        <v>0</v>
      </c>
      <c r="G15" s="13" t="str">
        <f t="shared" ref="G15:G46" si="3">"("&amp;$O15&amp;", "&amp;$P15&amp;"]"</f>
        <v>(-1, 0]</v>
      </c>
      <c r="H15" s="86">
        <v>1.1850963384098794</v>
      </c>
      <c r="I15" s="27">
        <f t="shared" ref="I15:I46" si="4">D15*H15</f>
        <v>0.74848667700000004</v>
      </c>
      <c r="J15" s="27">
        <f t="shared" ref="J15:J46" si="5">IFERROR(I15/SUM($I$15:$I$78),0)</f>
        <v>0.74848667699999993</v>
      </c>
      <c r="K15" s="87">
        <f t="shared" ref="K15:K46" si="6">INT(J15*$B$2)</f>
        <v>748486677</v>
      </c>
      <c r="L15" s="100">
        <f t="shared" ref="L15:L46" si="7">IFERROR(K15/SUM($K$15:$K$79),0)</f>
        <v>0.74272908716549646</v>
      </c>
      <c r="M15" s="100">
        <f t="shared" ref="M15:M46" si="8">L15*E15</f>
        <v>0</v>
      </c>
      <c r="N15" s="88"/>
      <c r="O15" s="49">
        <v>-1</v>
      </c>
      <c r="P15" s="49">
        <v>0</v>
      </c>
      <c r="Q15" s="100">
        <f t="shared" ref="Q15:Q46" si="9">L15</f>
        <v>0.74272908716549646</v>
      </c>
      <c r="R15" s="100">
        <v>0.72379899999999997</v>
      </c>
      <c r="T15" s="27"/>
      <c r="U15" s="50">
        <f t="shared" ref="U15:U46" si="10">IFERROR(ROUND(T15/L15,2),0)</f>
        <v>0</v>
      </c>
    </row>
    <row r="16" spans="1:21" x14ac:dyDescent="0.3">
      <c r="A16" s="13" t="str">
        <f t="shared" si="0"/>
        <v>(0, 1]</v>
      </c>
      <c r="B16" s="89">
        <v>16876413</v>
      </c>
      <c r="C16" s="89">
        <v>699136795</v>
      </c>
      <c r="D16" s="27">
        <f t="shared" si="1"/>
        <v>0.16876413000000001</v>
      </c>
      <c r="E16" s="90">
        <f t="shared" si="2"/>
        <v>0.41426859783533387</v>
      </c>
      <c r="G16" s="13" t="str">
        <f t="shared" si="3"/>
        <v>(0, 1]</v>
      </c>
      <c r="H16" s="86">
        <v>0.83707212545699128</v>
      </c>
      <c r="I16" s="27">
        <f t="shared" si="4"/>
        <v>0.141267749</v>
      </c>
      <c r="J16" s="27">
        <f t="shared" si="5"/>
        <v>0.14126774899999997</v>
      </c>
      <c r="K16" s="87">
        <f t="shared" si="6"/>
        <v>141267749</v>
      </c>
      <c r="L16" s="100">
        <f t="shared" si="7"/>
        <v>0.14018107400553567</v>
      </c>
      <c r="M16" s="100">
        <f t="shared" si="8"/>
        <v>5.8072616971324431E-2</v>
      </c>
      <c r="N16" s="88"/>
      <c r="O16" s="45">
        <v>0</v>
      </c>
      <c r="P16" s="45">
        <v>1</v>
      </c>
      <c r="Q16" s="100">
        <f t="shared" si="9"/>
        <v>0.14018107400553567</v>
      </c>
      <c r="R16" s="100">
        <v>0.15426599999999999</v>
      </c>
      <c r="T16" s="27"/>
      <c r="U16" s="50">
        <f t="shared" si="10"/>
        <v>0</v>
      </c>
    </row>
    <row r="17" spans="1:21" x14ac:dyDescent="0.3">
      <c r="A17" s="13" t="str">
        <f t="shared" si="0"/>
        <v>(1, 2]</v>
      </c>
      <c r="B17" s="89">
        <v>4919274</v>
      </c>
      <c r="C17" s="89">
        <v>738797665</v>
      </c>
      <c r="D17" s="27">
        <f t="shared" si="1"/>
        <v>4.9192739999999999E-2</v>
      </c>
      <c r="E17" s="90">
        <f t="shared" si="2"/>
        <v>1.5018428837263387</v>
      </c>
      <c r="F17" s="51"/>
      <c r="G17" s="13" t="str">
        <f t="shared" si="3"/>
        <v>(1, 2]</v>
      </c>
      <c r="H17" s="86">
        <v>0.71965448560092415</v>
      </c>
      <c r="I17" s="27">
        <f t="shared" si="4"/>
        <v>3.5401776000000003E-2</v>
      </c>
      <c r="J17" s="27">
        <f t="shared" si="5"/>
        <v>3.5401775999999996E-2</v>
      </c>
      <c r="K17" s="87">
        <f t="shared" si="6"/>
        <v>35401776</v>
      </c>
      <c r="L17" s="100">
        <f t="shared" si="7"/>
        <v>3.5129454645613394E-2</v>
      </c>
      <c r="M17" s="100">
        <f t="shared" si="8"/>
        <v>5.275892146870164E-2</v>
      </c>
      <c r="N17" s="88"/>
      <c r="O17" s="45">
        <v>1</v>
      </c>
      <c r="P17" s="45">
        <v>2</v>
      </c>
      <c r="Q17" s="100">
        <f t="shared" si="9"/>
        <v>3.5129454645613394E-2</v>
      </c>
      <c r="R17" s="100">
        <v>4.5428000000000003E-2</v>
      </c>
      <c r="T17" s="27"/>
      <c r="U17" s="50">
        <f t="shared" si="10"/>
        <v>0</v>
      </c>
    </row>
    <row r="18" spans="1:21" x14ac:dyDescent="0.3">
      <c r="A18" s="13" t="str">
        <f t="shared" si="0"/>
        <v>(2, 3]</v>
      </c>
      <c r="B18" s="89">
        <v>2781312</v>
      </c>
      <c r="C18" s="89">
        <v>702841175</v>
      </c>
      <c r="D18" s="27">
        <f t="shared" si="1"/>
        <v>2.781312E-2</v>
      </c>
      <c r="E18" s="90">
        <f t="shared" si="2"/>
        <v>2.527013060742556</v>
      </c>
      <c r="F18" s="51"/>
      <c r="G18" s="13" t="str">
        <f t="shared" si="3"/>
        <v>(2, 3]</v>
      </c>
      <c r="H18" s="86">
        <v>0.70905425209397577</v>
      </c>
      <c r="I18" s="27">
        <f t="shared" si="4"/>
        <v>1.9721011E-2</v>
      </c>
      <c r="J18" s="27">
        <f t="shared" si="5"/>
        <v>1.9721010999999997E-2</v>
      </c>
      <c r="K18" s="87">
        <f t="shared" si="6"/>
        <v>19721011</v>
      </c>
      <c r="L18" s="100">
        <f t="shared" si="7"/>
        <v>1.956931091508355E-2</v>
      </c>
      <c r="M18" s="100">
        <f t="shared" si="8"/>
        <v>4.945190427214799E-2</v>
      </c>
      <c r="N18" s="88"/>
      <c r="O18" s="45">
        <v>2</v>
      </c>
      <c r="P18" s="45">
        <v>3</v>
      </c>
      <c r="Q18" s="100">
        <f t="shared" si="9"/>
        <v>1.956931091508355E-2</v>
      </c>
      <c r="R18" s="100">
        <v>2.0910000000000002E-2</v>
      </c>
      <c r="T18" s="27"/>
      <c r="U18" s="50">
        <f t="shared" si="10"/>
        <v>0</v>
      </c>
    </row>
    <row r="19" spans="1:21" x14ac:dyDescent="0.3">
      <c r="A19" s="13" t="str">
        <f t="shared" si="0"/>
        <v>(3, 4]</v>
      </c>
      <c r="B19" s="89">
        <v>1804736</v>
      </c>
      <c r="C19" s="89">
        <v>642489850</v>
      </c>
      <c r="D19" s="27">
        <f t="shared" si="1"/>
        <v>1.8047359999999998E-2</v>
      </c>
      <c r="E19" s="90">
        <f t="shared" si="2"/>
        <v>3.560021244104401</v>
      </c>
      <c r="F19" s="91"/>
      <c r="G19" s="13" t="str">
        <f t="shared" si="3"/>
        <v>(3, 4]</v>
      </c>
      <c r="H19" s="86">
        <v>0.68970131919571631</v>
      </c>
      <c r="I19" s="27">
        <f t="shared" si="4"/>
        <v>1.2447288000000001E-2</v>
      </c>
      <c r="J19" s="27">
        <f t="shared" si="5"/>
        <v>1.2447287999999997E-2</v>
      </c>
      <c r="K19" s="87">
        <f t="shared" si="6"/>
        <v>12447288</v>
      </c>
      <c r="L19" s="100">
        <f t="shared" si="7"/>
        <v>1.2351539630579207E-2</v>
      </c>
      <c r="M19" s="100">
        <f t="shared" si="8"/>
        <v>4.39717434822594E-2</v>
      </c>
      <c r="N19" s="88"/>
      <c r="O19" s="45">
        <v>3</v>
      </c>
      <c r="P19" s="45">
        <v>4</v>
      </c>
      <c r="Q19" s="100">
        <f t="shared" si="9"/>
        <v>1.2351539630579207E-2</v>
      </c>
      <c r="R19" s="100">
        <v>1.2886E-2</v>
      </c>
      <c r="T19" s="27"/>
      <c r="U19" s="50">
        <f t="shared" si="10"/>
        <v>0</v>
      </c>
    </row>
    <row r="20" spans="1:21" x14ac:dyDescent="0.3">
      <c r="A20" s="13" t="str">
        <f t="shared" si="0"/>
        <v>(4, 5]</v>
      </c>
      <c r="B20" s="89">
        <v>1388618</v>
      </c>
      <c r="C20" s="89">
        <v>628814705</v>
      </c>
      <c r="D20" s="27">
        <f t="shared" si="1"/>
        <v>1.388618E-2</v>
      </c>
      <c r="E20" s="90">
        <f t="shared" si="2"/>
        <v>4.528349085205579</v>
      </c>
      <c r="F20" s="91"/>
      <c r="G20" s="13" t="str">
        <f t="shared" si="3"/>
        <v>(4, 5]</v>
      </c>
      <c r="H20" s="86">
        <v>0.72577224261820028</v>
      </c>
      <c r="I20" s="27">
        <f t="shared" si="4"/>
        <v>1.0078204E-2</v>
      </c>
      <c r="J20" s="27">
        <f t="shared" si="5"/>
        <v>1.0078203999999999E-2</v>
      </c>
      <c r="K20" s="87">
        <f t="shared" si="6"/>
        <v>10078204</v>
      </c>
      <c r="L20" s="100">
        <f t="shared" si="7"/>
        <v>1.0000679353692298E-2</v>
      </c>
      <c r="M20" s="100">
        <f t="shared" si="8"/>
        <v>4.5286567202726835E-2</v>
      </c>
      <c r="N20" s="88"/>
      <c r="O20" s="45">
        <v>4</v>
      </c>
      <c r="P20" s="45">
        <v>5</v>
      </c>
      <c r="Q20" s="100">
        <f t="shared" si="9"/>
        <v>1.0000679353692298E-2</v>
      </c>
      <c r="R20" s="100">
        <v>8.4060000000000003E-3</v>
      </c>
      <c r="T20" s="27"/>
      <c r="U20" s="50">
        <f t="shared" si="10"/>
        <v>0</v>
      </c>
    </row>
    <row r="21" spans="1:21" x14ac:dyDescent="0.3">
      <c r="A21" s="13" t="str">
        <f t="shared" si="0"/>
        <v>(5, 6]</v>
      </c>
      <c r="B21" s="89">
        <v>1054928</v>
      </c>
      <c r="C21" s="89">
        <v>585289750</v>
      </c>
      <c r="D21" s="27">
        <f t="shared" si="1"/>
        <v>1.0549279999999999E-2</v>
      </c>
      <c r="E21" s="90">
        <f t="shared" si="2"/>
        <v>5.5481487836136685</v>
      </c>
      <c r="F21" s="91"/>
      <c r="G21" s="13" t="str">
        <f t="shared" si="3"/>
        <v>(5, 6]</v>
      </c>
      <c r="H21" s="86">
        <v>0.39148520088574762</v>
      </c>
      <c r="I21" s="27">
        <f t="shared" si="4"/>
        <v>4.1298869999999996E-3</v>
      </c>
      <c r="J21" s="27">
        <f t="shared" si="5"/>
        <v>4.1298869999999988E-3</v>
      </c>
      <c r="K21" s="87">
        <f t="shared" si="6"/>
        <v>4129887</v>
      </c>
      <c r="L21" s="100">
        <f t="shared" si="7"/>
        <v>4.0981186383984907E-3</v>
      </c>
      <c r="M21" s="100">
        <f t="shared" si="8"/>
        <v>2.2736971938735091E-2</v>
      </c>
      <c r="N21" s="88"/>
      <c r="O21" s="45">
        <v>5</v>
      </c>
      <c r="P21" s="45">
        <v>6</v>
      </c>
      <c r="Q21" s="100">
        <f t="shared" si="9"/>
        <v>4.0981186383984907E-3</v>
      </c>
      <c r="R21" s="100">
        <v>6.5170000000000002E-3</v>
      </c>
      <c r="T21" s="27"/>
      <c r="U21" s="50">
        <f t="shared" si="10"/>
        <v>0</v>
      </c>
    </row>
    <row r="22" spans="1:21" x14ac:dyDescent="0.3">
      <c r="A22" s="13" t="str">
        <f t="shared" si="0"/>
        <v>(6, 7]</v>
      </c>
      <c r="B22" s="89">
        <v>822756</v>
      </c>
      <c r="C22" s="89">
        <v>536070235</v>
      </c>
      <c r="D22" s="27">
        <f t="shared" si="1"/>
        <v>8.2275600000000001E-3</v>
      </c>
      <c r="E22" s="90">
        <f t="shared" si="2"/>
        <v>6.5155433081010656</v>
      </c>
      <c r="F22" s="91"/>
      <c r="G22" s="13" t="str">
        <f t="shared" si="3"/>
        <v>(6, 7]</v>
      </c>
      <c r="H22" s="86">
        <v>0.4295824035315452</v>
      </c>
      <c r="I22" s="27">
        <f t="shared" si="4"/>
        <v>3.534415E-3</v>
      </c>
      <c r="J22" s="27">
        <f t="shared" si="5"/>
        <v>3.5344149999999991E-3</v>
      </c>
      <c r="K22" s="87">
        <f t="shared" si="6"/>
        <v>3534415</v>
      </c>
      <c r="L22" s="100">
        <f t="shared" si="7"/>
        <v>3.507227192253735E-3</v>
      </c>
      <c r="M22" s="100">
        <f t="shared" si="8"/>
        <v>2.2851490662478914E-2</v>
      </c>
      <c r="N22" s="88"/>
      <c r="O22" s="45">
        <v>6</v>
      </c>
      <c r="P22" s="45">
        <v>7</v>
      </c>
      <c r="Q22" s="100">
        <f t="shared" si="9"/>
        <v>3.507227192253735E-3</v>
      </c>
      <c r="R22" s="100">
        <v>3.5239999999999998E-3</v>
      </c>
      <c r="T22" s="27"/>
      <c r="U22" s="50">
        <f t="shared" si="10"/>
        <v>0</v>
      </c>
    </row>
    <row r="23" spans="1:21" x14ac:dyDescent="0.3">
      <c r="A23" s="13" t="str">
        <f t="shared" si="0"/>
        <v>(7, 8]</v>
      </c>
      <c r="B23" s="89">
        <v>739053</v>
      </c>
      <c r="C23" s="89">
        <v>557412515</v>
      </c>
      <c r="D23" s="27">
        <f t="shared" si="1"/>
        <v>7.3905300000000002E-3</v>
      </c>
      <c r="E23" s="90">
        <f t="shared" si="2"/>
        <v>7.5422536002154104</v>
      </c>
      <c r="F23" s="91"/>
      <c r="G23" s="13" t="str">
        <f t="shared" si="3"/>
        <v>(7, 8]</v>
      </c>
      <c r="H23" s="86">
        <v>0.41585704949442054</v>
      </c>
      <c r="I23" s="27">
        <f t="shared" si="4"/>
        <v>3.0734040000000001E-3</v>
      </c>
      <c r="J23" s="27">
        <f t="shared" si="5"/>
        <v>3.0734039999999992E-3</v>
      </c>
      <c r="K23" s="87">
        <f t="shared" si="6"/>
        <v>3073404</v>
      </c>
      <c r="L23" s="100">
        <f t="shared" si="7"/>
        <v>3.0497624307223112E-3</v>
      </c>
      <c r="M23" s="100">
        <f t="shared" si="8"/>
        <v>2.3002081672917053E-2</v>
      </c>
      <c r="N23" s="88"/>
      <c r="O23" s="45">
        <v>7</v>
      </c>
      <c r="P23" s="45">
        <v>8</v>
      </c>
      <c r="Q23" s="100">
        <f t="shared" si="9"/>
        <v>3.0497624307223112E-3</v>
      </c>
      <c r="R23" s="100">
        <v>3.9699999999999996E-3</v>
      </c>
      <c r="T23" s="27"/>
      <c r="U23" s="50">
        <f t="shared" si="10"/>
        <v>0</v>
      </c>
    </row>
    <row r="24" spans="1:21" x14ac:dyDescent="0.3">
      <c r="A24" s="13" t="str">
        <f t="shared" si="0"/>
        <v>(8, 9]</v>
      </c>
      <c r="B24" s="89">
        <v>612975</v>
      </c>
      <c r="C24" s="89">
        <v>522293700</v>
      </c>
      <c r="D24" s="27">
        <f t="shared" si="1"/>
        <v>6.1297499999999998E-3</v>
      </c>
      <c r="E24" s="90">
        <f t="shared" si="2"/>
        <v>8.5206362412822703</v>
      </c>
      <c r="F24" s="91"/>
      <c r="G24" s="13" t="str">
        <f t="shared" si="3"/>
        <v>(8, 9]</v>
      </c>
      <c r="H24" s="86">
        <v>0.42722737468901667</v>
      </c>
      <c r="I24" s="27">
        <f t="shared" si="4"/>
        <v>2.618797E-3</v>
      </c>
      <c r="J24" s="27">
        <f t="shared" si="5"/>
        <v>2.6187969999999995E-3</v>
      </c>
      <c r="K24" s="87">
        <f t="shared" si="6"/>
        <v>2618797</v>
      </c>
      <c r="L24" s="100">
        <f t="shared" si="7"/>
        <v>2.5986524076523285E-3</v>
      </c>
      <c r="M24" s="100">
        <f t="shared" si="8"/>
        <v>2.2142171883137857E-2</v>
      </c>
      <c r="N24" s="88"/>
      <c r="O24" s="45">
        <v>8</v>
      </c>
      <c r="P24" s="45">
        <v>9</v>
      </c>
      <c r="Q24" s="100">
        <f t="shared" si="9"/>
        <v>2.5986524076523285E-3</v>
      </c>
      <c r="R24" s="100">
        <v>3.2269999999999998E-3</v>
      </c>
      <c r="T24" s="27"/>
      <c r="U24" s="50">
        <f t="shared" si="10"/>
        <v>0</v>
      </c>
    </row>
    <row r="25" spans="1:21" x14ac:dyDescent="0.3">
      <c r="A25" s="13" t="str">
        <f t="shared" si="0"/>
        <v>(9, 10]</v>
      </c>
      <c r="B25" s="89">
        <v>504471</v>
      </c>
      <c r="C25" s="89">
        <v>480919445</v>
      </c>
      <c r="D25" s="27">
        <f t="shared" si="1"/>
        <v>5.04471E-3</v>
      </c>
      <c r="E25" s="90">
        <f t="shared" si="2"/>
        <v>9.5331435305498236</v>
      </c>
      <c r="F25" s="91"/>
      <c r="G25" s="13" t="str">
        <f t="shared" si="3"/>
        <v>(9, 10]</v>
      </c>
      <c r="H25" s="86">
        <v>0.51023269920372027</v>
      </c>
      <c r="I25" s="27">
        <f t="shared" si="4"/>
        <v>2.5739759999999995E-3</v>
      </c>
      <c r="J25" s="27">
        <f t="shared" si="5"/>
        <v>2.5739759999999991E-3</v>
      </c>
      <c r="K25" s="87">
        <f t="shared" si="6"/>
        <v>2573976</v>
      </c>
      <c r="L25" s="100">
        <f t="shared" si="7"/>
        <v>2.5541761845760897E-3</v>
      </c>
      <c r="M25" s="100">
        <f t="shared" si="8"/>
        <v>2.4349328169875981E-2</v>
      </c>
      <c r="N25" s="88"/>
      <c r="O25" s="45">
        <v>9</v>
      </c>
      <c r="P25" s="45">
        <v>10</v>
      </c>
      <c r="Q25" s="100">
        <f t="shared" si="9"/>
        <v>2.5541761845760897E-3</v>
      </c>
      <c r="R25" s="100">
        <v>2.1020000000000001E-3</v>
      </c>
      <c r="T25" s="27"/>
      <c r="U25" s="50">
        <f t="shared" si="10"/>
        <v>0</v>
      </c>
    </row>
    <row r="26" spans="1:21" x14ac:dyDescent="0.3">
      <c r="A26" s="13" t="str">
        <f t="shared" si="0"/>
        <v>(10, 15]</v>
      </c>
      <c r="B26" s="89">
        <v>1725366</v>
      </c>
      <c r="C26" s="89">
        <v>2123294015</v>
      </c>
      <c r="D26" s="27">
        <f t="shared" si="1"/>
        <v>1.7253660000000001E-2</v>
      </c>
      <c r="E26" s="90">
        <f t="shared" si="2"/>
        <v>12.306339727339012</v>
      </c>
      <c r="F26" s="91"/>
      <c r="G26" s="13" t="str">
        <f t="shared" si="3"/>
        <v>(10, 15]</v>
      </c>
      <c r="H26" s="86">
        <v>0.55591584626102519</v>
      </c>
      <c r="I26" s="27">
        <f t="shared" si="4"/>
        <v>9.5915830000000007E-3</v>
      </c>
      <c r="J26" s="27">
        <f t="shared" si="5"/>
        <v>9.591582999999999E-3</v>
      </c>
      <c r="K26" s="87">
        <f t="shared" si="6"/>
        <v>9591583</v>
      </c>
      <c r="L26" s="100">
        <f t="shared" si="7"/>
        <v>9.5178015921612638E-3</v>
      </c>
      <c r="M26" s="100">
        <f t="shared" si="8"/>
        <v>0.11712929985054465</v>
      </c>
      <c r="N26" s="88"/>
      <c r="O26" s="45">
        <v>10</v>
      </c>
      <c r="P26" s="45">
        <v>15</v>
      </c>
      <c r="Q26" s="100">
        <f t="shared" si="9"/>
        <v>9.5178015921612638E-3</v>
      </c>
      <c r="R26" s="100">
        <v>6.4320000000000002E-3</v>
      </c>
      <c r="T26" s="27"/>
      <c r="U26" s="50">
        <f t="shared" si="10"/>
        <v>0</v>
      </c>
    </row>
    <row r="27" spans="1:21" x14ac:dyDescent="0.3">
      <c r="A27" s="13" t="str">
        <f t="shared" si="0"/>
        <v>(15, 20]</v>
      </c>
      <c r="B27" s="89">
        <v>1006446</v>
      </c>
      <c r="C27" s="89">
        <v>1745472585</v>
      </c>
      <c r="D27" s="27">
        <f t="shared" si="1"/>
        <v>1.0064460000000001E-2</v>
      </c>
      <c r="E27" s="90">
        <f t="shared" si="2"/>
        <v>17.342933301935723</v>
      </c>
      <c r="F27" s="91"/>
      <c r="G27" s="13" t="str">
        <f t="shared" si="3"/>
        <v>(15, 20]</v>
      </c>
      <c r="H27" s="86">
        <v>0.29073949322666093</v>
      </c>
      <c r="I27" s="27">
        <f t="shared" si="4"/>
        <v>2.9261360000000002E-3</v>
      </c>
      <c r="J27" s="27">
        <f t="shared" si="5"/>
        <v>2.9261359999999998E-3</v>
      </c>
      <c r="K27" s="87">
        <f t="shared" si="6"/>
        <v>2926136</v>
      </c>
      <c r="L27" s="100">
        <f t="shared" si="7"/>
        <v>2.9036272614937904E-3</v>
      </c>
      <c r="M27" s="100">
        <f t="shared" si="8"/>
        <v>5.0357413929769085E-2</v>
      </c>
      <c r="N27" s="88"/>
      <c r="O27" s="45">
        <v>15</v>
      </c>
      <c r="P27" s="45">
        <v>20</v>
      </c>
      <c r="Q27" s="100">
        <f t="shared" si="9"/>
        <v>2.9036272614937904E-3</v>
      </c>
      <c r="R27" s="100">
        <v>2.823E-3</v>
      </c>
      <c r="T27" s="27"/>
      <c r="U27" s="50">
        <f t="shared" si="10"/>
        <v>0</v>
      </c>
    </row>
    <row r="28" spans="1:21" x14ac:dyDescent="0.3">
      <c r="A28" s="13" t="str">
        <f t="shared" si="0"/>
        <v>(20, 25]</v>
      </c>
      <c r="B28" s="89">
        <v>645892</v>
      </c>
      <c r="C28" s="89">
        <v>1447532990</v>
      </c>
      <c r="D28" s="27">
        <f t="shared" si="1"/>
        <v>6.4589199999999999E-3</v>
      </c>
      <c r="E28" s="90">
        <f t="shared" si="2"/>
        <v>22.411378218030258</v>
      </c>
      <c r="F28" s="91"/>
      <c r="G28" s="13" t="str">
        <f t="shared" si="3"/>
        <v>(20, 25]</v>
      </c>
      <c r="H28" s="86">
        <v>0.35985319527103604</v>
      </c>
      <c r="I28" s="27">
        <f t="shared" si="4"/>
        <v>2.324263E-3</v>
      </c>
      <c r="J28" s="27">
        <f t="shared" si="5"/>
        <v>2.3242629999999996E-3</v>
      </c>
      <c r="K28" s="87">
        <f t="shared" si="6"/>
        <v>2324263</v>
      </c>
      <c r="L28" s="100">
        <f t="shared" si="7"/>
        <v>2.3063840538106711E-3</v>
      </c>
      <c r="M28" s="100">
        <f t="shared" si="8"/>
        <v>5.1689245345984798E-2</v>
      </c>
      <c r="N28" s="88"/>
      <c r="O28" s="45">
        <v>20</v>
      </c>
      <c r="P28" s="45">
        <v>25</v>
      </c>
      <c r="Q28" s="100">
        <f t="shared" si="9"/>
        <v>2.3063840538106711E-3</v>
      </c>
      <c r="R28" s="100">
        <v>1.6130000000000001E-3</v>
      </c>
      <c r="T28" s="27"/>
      <c r="U28" s="50">
        <f t="shared" si="10"/>
        <v>0</v>
      </c>
    </row>
    <row r="29" spans="1:21" x14ac:dyDescent="0.3">
      <c r="A29" s="13" t="str">
        <f t="shared" si="0"/>
        <v>(25, 30]</v>
      </c>
      <c r="B29" s="89">
        <v>449894</v>
      </c>
      <c r="C29" s="89">
        <v>1230844040</v>
      </c>
      <c r="D29" s="27">
        <f t="shared" si="1"/>
        <v>4.4989399999999999E-3</v>
      </c>
      <c r="E29" s="90">
        <f t="shared" si="2"/>
        <v>27.358534232508099</v>
      </c>
      <c r="F29" s="91"/>
      <c r="G29" s="13" t="str">
        <f t="shared" si="3"/>
        <v>(25, 30]</v>
      </c>
      <c r="H29" s="86">
        <v>0.40561421134756187</v>
      </c>
      <c r="I29" s="27">
        <f t="shared" si="4"/>
        <v>1.824834E-3</v>
      </c>
      <c r="J29" s="27">
        <f t="shared" si="5"/>
        <v>1.8248339999999996E-3</v>
      </c>
      <c r="K29" s="87">
        <f t="shared" si="6"/>
        <v>1824834</v>
      </c>
      <c r="L29" s="100">
        <f t="shared" si="7"/>
        <v>1.8107968153567569E-3</v>
      </c>
      <c r="M29" s="100">
        <f t="shared" si="8"/>
        <v>4.9540746661054479E-2</v>
      </c>
      <c r="N29" s="88"/>
      <c r="O29" s="45">
        <v>25</v>
      </c>
      <c r="P29" s="45">
        <v>30</v>
      </c>
      <c r="Q29" s="100">
        <f t="shared" si="9"/>
        <v>1.8107968153567569E-3</v>
      </c>
      <c r="R29" s="100">
        <v>1.3159999999999999E-3</v>
      </c>
      <c r="T29" s="27"/>
      <c r="U29" s="50">
        <f t="shared" si="10"/>
        <v>0</v>
      </c>
    </row>
    <row r="30" spans="1:21" x14ac:dyDescent="0.3">
      <c r="A30" s="13" t="str">
        <f t="shared" si="0"/>
        <v>(30, 35]</v>
      </c>
      <c r="B30" s="89">
        <v>317761</v>
      </c>
      <c r="C30" s="89">
        <v>1030035465</v>
      </c>
      <c r="D30" s="27">
        <f t="shared" si="1"/>
        <v>3.17761E-3</v>
      </c>
      <c r="E30" s="90">
        <f t="shared" si="2"/>
        <v>32.415414887289501</v>
      </c>
      <c r="F30" s="91"/>
      <c r="G30" s="13" t="str">
        <f t="shared" si="3"/>
        <v>(30, 35]</v>
      </c>
      <c r="H30" s="86">
        <v>0</v>
      </c>
      <c r="I30" s="27">
        <f t="shared" si="4"/>
        <v>0</v>
      </c>
      <c r="J30" s="27">
        <f t="shared" si="5"/>
        <v>0</v>
      </c>
      <c r="K30" s="87">
        <f t="shared" si="6"/>
        <v>0</v>
      </c>
      <c r="L30" s="100">
        <f t="shared" si="7"/>
        <v>0</v>
      </c>
      <c r="M30" s="100">
        <f t="shared" si="8"/>
        <v>0</v>
      </c>
      <c r="N30" s="88"/>
      <c r="O30" s="45">
        <v>30</v>
      </c>
      <c r="P30" s="45">
        <v>35</v>
      </c>
      <c r="Q30" s="100">
        <f t="shared" si="9"/>
        <v>0</v>
      </c>
      <c r="R30" s="100">
        <v>6.3699999999999998E-4</v>
      </c>
      <c r="T30" s="27"/>
      <c r="U30" s="50">
        <f t="shared" si="10"/>
        <v>0</v>
      </c>
    </row>
    <row r="31" spans="1:21" x14ac:dyDescent="0.3">
      <c r="A31" s="13" t="str">
        <f t="shared" si="0"/>
        <v>(35, 40]</v>
      </c>
      <c r="B31" s="89">
        <v>244540</v>
      </c>
      <c r="C31" s="89">
        <v>915157425</v>
      </c>
      <c r="D31" s="27">
        <f t="shared" si="1"/>
        <v>2.4453999999999999E-3</v>
      </c>
      <c r="E31" s="90">
        <f t="shared" si="2"/>
        <v>37.423629058640714</v>
      </c>
      <c r="F31" s="91"/>
      <c r="G31" s="13" t="str">
        <f t="shared" si="3"/>
        <v>(35, 40]</v>
      </c>
      <c r="H31" s="86">
        <v>0</v>
      </c>
      <c r="I31" s="27">
        <f t="shared" si="4"/>
        <v>0</v>
      </c>
      <c r="J31" s="27">
        <f t="shared" si="5"/>
        <v>0</v>
      </c>
      <c r="K31" s="87">
        <f t="shared" si="6"/>
        <v>0</v>
      </c>
      <c r="L31" s="100">
        <f t="shared" si="7"/>
        <v>0</v>
      </c>
      <c r="M31" s="100">
        <f t="shared" si="8"/>
        <v>0</v>
      </c>
      <c r="N31" s="88"/>
      <c r="O31" s="45">
        <v>35</v>
      </c>
      <c r="P31" s="45">
        <v>40</v>
      </c>
      <c r="Q31" s="100">
        <f t="shared" si="9"/>
        <v>0</v>
      </c>
      <c r="R31" s="100">
        <v>4.46E-4</v>
      </c>
      <c r="T31" s="27"/>
      <c r="U31" s="50">
        <f t="shared" si="10"/>
        <v>0</v>
      </c>
    </row>
    <row r="32" spans="1:21" x14ac:dyDescent="0.3">
      <c r="A32" s="13" t="str">
        <f t="shared" si="0"/>
        <v>(40, 45]</v>
      </c>
      <c r="B32" s="89">
        <v>179656</v>
      </c>
      <c r="C32" s="89">
        <v>762030540</v>
      </c>
      <c r="D32" s="27">
        <f t="shared" si="1"/>
        <v>1.79656E-3</v>
      </c>
      <c r="E32" s="90">
        <f t="shared" si="2"/>
        <v>42.416091864452063</v>
      </c>
      <c r="F32" s="91"/>
      <c r="G32" s="13" t="str">
        <f t="shared" si="3"/>
        <v>(40, 45]</v>
      </c>
      <c r="H32" s="86">
        <v>0</v>
      </c>
      <c r="I32" s="27">
        <f t="shared" si="4"/>
        <v>0</v>
      </c>
      <c r="J32" s="27">
        <f t="shared" si="5"/>
        <v>0</v>
      </c>
      <c r="K32" s="87">
        <f t="shared" si="6"/>
        <v>0</v>
      </c>
      <c r="L32" s="100">
        <f t="shared" si="7"/>
        <v>0</v>
      </c>
      <c r="M32" s="100">
        <f t="shared" si="8"/>
        <v>0</v>
      </c>
      <c r="N32" s="88"/>
      <c r="O32" s="45">
        <v>40</v>
      </c>
      <c r="P32" s="45">
        <v>45</v>
      </c>
      <c r="Q32" s="100">
        <f t="shared" si="9"/>
        <v>0</v>
      </c>
      <c r="R32" s="100">
        <v>2.7599999999999999E-4</v>
      </c>
      <c r="T32" s="27"/>
      <c r="U32" s="50">
        <f t="shared" si="10"/>
        <v>0</v>
      </c>
    </row>
    <row r="33" spans="1:21" x14ac:dyDescent="0.3">
      <c r="A33" s="13" t="str">
        <f t="shared" si="0"/>
        <v>(45, 50]</v>
      </c>
      <c r="B33" s="89">
        <v>142163</v>
      </c>
      <c r="C33" s="89">
        <v>674891370</v>
      </c>
      <c r="D33" s="27">
        <f t="shared" si="1"/>
        <v>1.4216299999999999E-3</v>
      </c>
      <c r="E33" s="90">
        <f t="shared" si="2"/>
        <v>47.473067535153312</v>
      </c>
      <c r="F33" s="91"/>
      <c r="G33" s="13" t="str">
        <f t="shared" si="3"/>
        <v>(45, 50]</v>
      </c>
      <c r="H33" s="86">
        <v>0</v>
      </c>
      <c r="I33" s="27">
        <f t="shared" si="4"/>
        <v>0</v>
      </c>
      <c r="J33" s="27">
        <f t="shared" si="5"/>
        <v>0</v>
      </c>
      <c r="K33" s="87">
        <f t="shared" si="6"/>
        <v>0</v>
      </c>
      <c r="L33" s="100">
        <f t="shared" si="7"/>
        <v>0</v>
      </c>
      <c r="M33" s="100">
        <f t="shared" si="8"/>
        <v>0</v>
      </c>
      <c r="N33" s="88"/>
      <c r="O33" s="45">
        <v>45</v>
      </c>
      <c r="P33" s="45">
        <v>50</v>
      </c>
      <c r="Q33" s="100">
        <f t="shared" si="9"/>
        <v>0</v>
      </c>
      <c r="R33" s="100">
        <v>2.34E-4</v>
      </c>
      <c r="T33" s="27"/>
      <c r="U33" s="50">
        <f t="shared" si="10"/>
        <v>0</v>
      </c>
    </row>
    <row r="34" spans="1:21" x14ac:dyDescent="0.3">
      <c r="A34" s="13" t="str">
        <f t="shared" si="0"/>
        <v>(50, 60]</v>
      </c>
      <c r="B34" s="89">
        <v>197909</v>
      </c>
      <c r="C34" s="89">
        <v>1080524535</v>
      </c>
      <c r="D34" s="27">
        <f t="shared" si="1"/>
        <v>1.9790900000000002E-3</v>
      </c>
      <c r="E34" s="90">
        <f t="shared" si="2"/>
        <v>54.597038790555253</v>
      </c>
      <c r="F34" s="91"/>
      <c r="G34" s="13" t="str">
        <f t="shared" si="3"/>
        <v>(50, 60]</v>
      </c>
      <c r="H34" s="86">
        <v>0</v>
      </c>
      <c r="I34" s="27">
        <f t="shared" si="4"/>
        <v>0</v>
      </c>
      <c r="J34" s="27">
        <f t="shared" si="5"/>
        <v>0</v>
      </c>
      <c r="K34" s="87">
        <f t="shared" si="6"/>
        <v>0</v>
      </c>
      <c r="L34" s="100">
        <f t="shared" si="7"/>
        <v>0</v>
      </c>
      <c r="M34" s="100">
        <f t="shared" si="8"/>
        <v>0</v>
      </c>
      <c r="N34" s="88"/>
      <c r="O34" s="45">
        <v>50</v>
      </c>
      <c r="P34" s="45">
        <v>60</v>
      </c>
      <c r="Q34" s="100">
        <f t="shared" si="9"/>
        <v>0</v>
      </c>
      <c r="R34" s="100">
        <v>5.0900000000000001E-4</v>
      </c>
      <c r="T34" s="27"/>
      <c r="U34" s="50">
        <f t="shared" si="10"/>
        <v>0</v>
      </c>
    </row>
    <row r="35" spans="1:21" x14ac:dyDescent="0.3">
      <c r="A35" s="13" t="str">
        <f t="shared" si="0"/>
        <v>(60, 70]</v>
      </c>
      <c r="B35" s="89">
        <v>127627</v>
      </c>
      <c r="C35" s="89">
        <v>825831205</v>
      </c>
      <c r="D35" s="27">
        <f t="shared" si="1"/>
        <v>1.2762699999999999E-3</v>
      </c>
      <c r="E35" s="90">
        <f t="shared" si="2"/>
        <v>64.706622031388349</v>
      </c>
      <c r="F35" s="91"/>
      <c r="G35" s="13" t="str">
        <f t="shared" si="3"/>
        <v>(60, 70]</v>
      </c>
      <c r="H35" s="86">
        <v>0</v>
      </c>
      <c r="I35" s="27">
        <f t="shared" si="4"/>
        <v>0</v>
      </c>
      <c r="J35" s="27">
        <f t="shared" si="5"/>
        <v>0</v>
      </c>
      <c r="K35" s="87">
        <f t="shared" si="6"/>
        <v>0</v>
      </c>
      <c r="L35" s="100">
        <f t="shared" si="7"/>
        <v>0</v>
      </c>
      <c r="M35" s="100">
        <f t="shared" si="8"/>
        <v>0</v>
      </c>
      <c r="N35" s="88"/>
      <c r="O35" s="45">
        <v>60</v>
      </c>
      <c r="P35" s="45">
        <v>70</v>
      </c>
      <c r="Q35" s="100">
        <f t="shared" si="9"/>
        <v>0</v>
      </c>
      <c r="R35" s="100">
        <v>2.9700000000000001E-4</v>
      </c>
      <c r="T35" s="27"/>
      <c r="U35" s="50">
        <f t="shared" si="10"/>
        <v>0</v>
      </c>
    </row>
    <row r="36" spans="1:21" x14ac:dyDescent="0.3">
      <c r="A36" s="13" t="str">
        <f t="shared" si="0"/>
        <v>(70, 80]</v>
      </c>
      <c r="B36" s="89">
        <v>86303</v>
      </c>
      <c r="C36" s="89">
        <v>644686110</v>
      </c>
      <c r="D36" s="27">
        <f t="shared" si="1"/>
        <v>8.6302999999999998E-4</v>
      </c>
      <c r="E36" s="90">
        <f t="shared" si="2"/>
        <v>74.700312851233448</v>
      </c>
      <c r="F36" s="91"/>
      <c r="G36" s="13" t="str">
        <f t="shared" si="3"/>
        <v>(70, 80]</v>
      </c>
      <c r="H36" s="86">
        <v>0</v>
      </c>
      <c r="I36" s="27">
        <f t="shared" si="4"/>
        <v>0</v>
      </c>
      <c r="J36" s="27">
        <f t="shared" si="5"/>
        <v>0</v>
      </c>
      <c r="K36" s="87">
        <f t="shared" si="6"/>
        <v>0</v>
      </c>
      <c r="L36" s="100">
        <f t="shared" si="7"/>
        <v>0</v>
      </c>
      <c r="M36" s="100">
        <f t="shared" si="8"/>
        <v>0</v>
      </c>
      <c r="N36" s="88"/>
      <c r="O36" s="45">
        <v>70</v>
      </c>
      <c r="P36" s="45">
        <v>80</v>
      </c>
      <c r="Q36" s="100">
        <f t="shared" si="9"/>
        <v>0</v>
      </c>
      <c r="R36" s="100">
        <v>1.06E-4</v>
      </c>
      <c r="T36" s="27"/>
      <c r="U36" s="50">
        <f t="shared" si="10"/>
        <v>0</v>
      </c>
    </row>
    <row r="37" spans="1:21" x14ac:dyDescent="0.3">
      <c r="A37" s="13" t="str">
        <f t="shared" si="0"/>
        <v>(80, 90]</v>
      </c>
      <c r="B37" s="89">
        <v>57330</v>
      </c>
      <c r="C37" s="89">
        <v>485593470</v>
      </c>
      <c r="D37" s="27">
        <f t="shared" si="1"/>
        <v>5.733E-4</v>
      </c>
      <c r="E37" s="90">
        <f t="shared" si="2"/>
        <v>84.701459968602833</v>
      </c>
      <c r="F37" s="91"/>
      <c r="G37" s="13" t="str">
        <f t="shared" si="3"/>
        <v>(80, 90]</v>
      </c>
      <c r="H37" s="86">
        <v>0</v>
      </c>
      <c r="I37" s="27">
        <f t="shared" si="4"/>
        <v>0</v>
      </c>
      <c r="J37" s="27">
        <f t="shared" si="5"/>
        <v>0</v>
      </c>
      <c r="K37" s="87">
        <f t="shared" si="6"/>
        <v>0</v>
      </c>
      <c r="L37" s="100">
        <f t="shared" si="7"/>
        <v>0</v>
      </c>
      <c r="M37" s="100">
        <f t="shared" si="8"/>
        <v>0</v>
      </c>
      <c r="N37" s="88"/>
      <c r="O37" s="45">
        <v>80</v>
      </c>
      <c r="P37" s="45">
        <v>90</v>
      </c>
      <c r="Q37" s="100">
        <f t="shared" si="9"/>
        <v>0</v>
      </c>
      <c r="R37" s="100">
        <v>6.3999999999999997E-5</v>
      </c>
      <c r="T37" s="27"/>
      <c r="U37" s="50">
        <f t="shared" si="10"/>
        <v>0</v>
      </c>
    </row>
    <row r="38" spans="1:21" x14ac:dyDescent="0.3">
      <c r="A38" s="13" t="str">
        <f t="shared" si="0"/>
        <v>(90, 100]</v>
      </c>
      <c r="B38" s="89">
        <v>41519</v>
      </c>
      <c r="C38" s="89">
        <v>393665645</v>
      </c>
      <c r="D38" s="27">
        <f t="shared" si="1"/>
        <v>4.1519000000000001E-4</v>
      </c>
      <c r="E38" s="90">
        <f t="shared" si="2"/>
        <v>94.81578193116404</v>
      </c>
      <c r="F38" s="91"/>
      <c r="G38" s="13" t="str">
        <f t="shared" si="3"/>
        <v>(90, 100]</v>
      </c>
      <c r="H38" s="86">
        <v>0</v>
      </c>
      <c r="I38" s="27">
        <f t="shared" si="4"/>
        <v>0</v>
      </c>
      <c r="J38" s="27">
        <f t="shared" si="5"/>
        <v>0</v>
      </c>
      <c r="K38" s="87">
        <f t="shared" si="6"/>
        <v>0</v>
      </c>
      <c r="L38" s="100">
        <f t="shared" si="7"/>
        <v>0</v>
      </c>
      <c r="M38" s="100">
        <f t="shared" si="8"/>
        <v>0</v>
      </c>
      <c r="N38" s="88"/>
      <c r="O38" s="45">
        <v>90</v>
      </c>
      <c r="P38" s="45">
        <v>100</v>
      </c>
      <c r="Q38" s="100">
        <f t="shared" si="9"/>
        <v>0</v>
      </c>
      <c r="R38" s="100">
        <v>1.06E-4</v>
      </c>
      <c r="T38" s="27"/>
      <c r="U38" s="50">
        <f t="shared" si="10"/>
        <v>0</v>
      </c>
    </row>
    <row r="39" spans="1:21" x14ac:dyDescent="0.3">
      <c r="A39" s="13" t="str">
        <f t="shared" si="0"/>
        <v>(100, 120]</v>
      </c>
      <c r="B39" s="89">
        <v>48985</v>
      </c>
      <c r="C39" s="89">
        <v>533016825</v>
      </c>
      <c r="D39" s="27">
        <f t="shared" si="1"/>
        <v>4.8985000000000001E-4</v>
      </c>
      <c r="E39" s="90">
        <f t="shared" si="2"/>
        <v>108.8122537511483</v>
      </c>
      <c r="F39" s="91"/>
      <c r="G39" s="13" t="str">
        <f t="shared" si="3"/>
        <v>(100, 120]</v>
      </c>
      <c r="H39" s="86">
        <v>0</v>
      </c>
      <c r="I39" s="27">
        <f t="shared" si="4"/>
        <v>0</v>
      </c>
      <c r="J39" s="27">
        <f t="shared" si="5"/>
        <v>0</v>
      </c>
      <c r="K39" s="87">
        <f t="shared" si="6"/>
        <v>0</v>
      </c>
      <c r="L39" s="100">
        <f t="shared" si="7"/>
        <v>0</v>
      </c>
      <c r="M39" s="100">
        <f t="shared" si="8"/>
        <v>0</v>
      </c>
      <c r="N39" s="88"/>
      <c r="O39" s="45">
        <v>100</v>
      </c>
      <c r="P39" s="45">
        <v>120</v>
      </c>
      <c r="Q39" s="100">
        <f t="shared" si="9"/>
        <v>0</v>
      </c>
      <c r="R39" s="100">
        <v>6.3999999999999997E-5</v>
      </c>
      <c r="T39" s="27"/>
      <c r="U39" s="50">
        <f t="shared" si="10"/>
        <v>0</v>
      </c>
    </row>
    <row r="40" spans="1:21" x14ac:dyDescent="0.3">
      <c r="A40" s="13" t="str">
        <f t="shared" si="0"/>
        <v>(120, 140]</v>
      </c>
      <c r="B40" s="89">
        <v>27006</v>
      </c>
      <c r="C40" s="89">
        <v>348675365</v>
      </c>
      <c r="D40" s="27">
        <f t="shared" si="1"/>
        <v>2.7006000000000003E-4</v>
      </c>
      <c r="E40" s="90">
        <f t="shared" si="2"/>
        <v>129.11033288898764</v>
      </c>
      <c r="F40" s="91"/>
      <c r="G40" s="13" t="str">
        <f t="shared" si="3"/>
        <v>(120, 140]</v>
      </c>
      <c r="H40" s="86">
        <v>0</v>
      </c>
      <c r="I40" s="27">
        <f t="shared" si="4"/>
        <v>0</v>
      </c>
      <c r="J40" s="27">
        <f t="shared" si="5"/>
        <v>0</v>
      </c>
      <c r="K40" s="87">
        <f t="shared" si="6"/>
        <v>0</v>
      </c>
      <c r="L40" s="100">
        <f t="shared" si="7"/>
        <v>0</v>
      </c>
      <c r="M40" s="100">
        <f t="shared" si="8"/>
        <v>0</v>
      </c>
      <c r="N40" s="88"/>
      <c r="O40" s="45">
        <v>120</v>
      </c>
      <c r="P40" s="45">
        <v>140</v>
      </c>
      <c r="Q40" s="100">
        <f t="shared" si="9"/>
        <v>0</v>
      </c>
      <c r="R40" s="100">
        <v>2.0999999999999999E-5</v>
      </c>
      <c r="T40" s="27"/>
      <c r="U40" s="50">
        <f t="shared" si="10"/>
        <v>0</v>
      </c>
    </row>
    <row r="41" spans="1:21" x14ac:dyDescent="0.3">
      <c r="A41" s="13" t="str">
        <f t="shared" si="0"/>
        <v>(140, 160]</v>
      </c>
      <c r="B41" s="89">
        <v>14837</v>
      </c>
      <c r="C41" s="89">
        <v>221045255</v>
      </c>
      <c r="D41" s="27">
        <f t="shared" si="1"/>
        <v>1.4836999999999999E-4</v>
      </c>
      <c r="E41" s="90">
        <f t="shared" si="2"/>
        <v>148.98244591224639</v>
      </c>
      <c r="F41" s="91"/>
      <c r="G41" s="13" t="str">
        <f t="shared" si="3"/>
        <v>(140, 160]</v>
      </c>
      <c r="H41" s="86">
        <v>0</v>
      </c>
      <c r="I41" s="27">
        <f t="shared" si="4"/>
        <v>0</v>
      </c>
      <c r="J41" s="27">
        <f t="shared" si="5"/>
        <v>0</v>
      </c>
      <c r="K41" s="87">
        <f t="shared" si="6"/>
        <v>0</v>
      </c>
      <c r="L41" s="100">
        <f t="shared" si="7"/>
        <v>0</v>
      </c>
      <c r="M41" s="100">
        <f t="shared" si="8"/>
        <v>0</v>
      </c>
      <c r="N41" s="88"/>
      <c r="O41" s="45">
        <v>140</v>
      </c>
      <c r="P41" s="45">
        <v>160</v>
      </c>
      <c r="Q41" s="100">
        <f t="shared" si="9"/>
        <v>0</v>
      </c>
      <c r="R41" s="100">
        <v>0</v>
      </c>
      <c r="T41" s="27"/>
      <c r="U41" s="50">
        <f t="shared" si="10"/>
        <v>0</v>
      </c>
    </row>
    <row r="42" spans="1:21" x14ac:dyDescent="0.3">
      <c r="A42" s="13" t="str">
        <f t="shared" si="0"/>
        <v>(160, 180]</v>
      </c>
      <c r="B42" s="89">
        <v>8313</v>
      </c>
      <c r="C42" s="89">
        <v>140534300</v>
      </c>
      <c r="D42" s="27">
        <f t="shared" si="1"/>
        <v>8.3129999999999999E-5</v>
      </c>
      <c r="E42" s="90">
        <f t="shared" si="2"/>
        <v>169.05365090821604</v>
      </c>
      <c r="F42" s="91"/>
      <c r="G42" s="13" t="str">
        <f t="shared" si="3"/>
        <v>(160, 180]</v>
      </c>
      <c r="H42" s="86">
        <v>0</v>
      </c>
      <c r="I42" s="27">
        <f t="shared" si="4"/>
        <v>0</v>
      </c>
      <c r="J42" s="27">
        <f t="shared" si="5"/>
        <v>0</v>
      </c>
      <c r="K42" s="87">
        <f t="shared" si="6"/>
        <v>0</v>
      </c>
      <c r="L42" s="100">
        <f t="shared" si="7"/>
        <v>0</v>
      </c>
      <c r="M42" s="100">
        <f t="shared" si="8"/>
        <v>0</v>
      </c>
      <c r="N42" s="88"/>
      <c r="O42" s="45">
        <v>160</v>
      </c>
      <c r="P42" s="45">
        <v>180</v>
      </c>
      <c r="Q42" s="100">
        <f t="shared" si="9"/>
        <v>0</v>
      </c>
      <c r="R42" s="100">
        <v>0</v>
      </c>
      <c r="T42" s="27"/>
      <c r="U42" s="50">
        <f t="shared" si="10"/>
        <v>0</v>
      </c>
    </row>
    <row r="43" spans="1:21" x14ac:dyDescent="0.3">
      <c r="A43" s="13" t="str">
        <f t="shared" si="0"/>
        <v>(180, 200]</v>
      </c>
      <c r="B43" s="89">
        <v>5457</v>
      </c>
      <c r="C43" s="89">
        <v>103367990</v>
      </c>
      <c r="D43" s="27">
        <f t="shared" si="1"/>
        <v>5.4570000000000001E-5</v>
      </c>
      <c r="E43" s="90">
        <f t="shared" si="2"/>
        <v>189.4227414330218</v>
      </c>
      <c r="F43" s="91"/>
      <c r="G43" s="13" t="str">
        <f t="shared" si="3"/>
        <v>(180, 200]</v>
      </c>
      <c r="H43" s="86">
        <v>0</v>
      </c>
      <c r="I43" s="27">
        <f t="shared" si="4"/>
        <v>0</v>
      </c>
      <c r="J43" s="27">
        <f t="shared" si="5"/>
        <v>0</v>
      </c>
      <c r="K43" s="87">
        <f t="shared" si="6"/>
        <v>0</v>
      </c>
      <c r="L43" s="100">
        <f t="shared" si="7"/>
        <v>0</v>
      </c>
      <c r="M43" s="100">
        <f t="shared" si="8"/>
        <v>0</v>
      </c>
      <c r="N43" s="88"/>
      <c r="O43" s="45">
        <v>180</v>
      </c>
      <c r="P43" s="45">
        <v>200</v>
      </c>
      <c r="Q43" s="100">
        <f t="shared" si="9"/>
        <v>0</v>
      </c>
      <c r="R43" s="100">
        <v>2.0999999999999999E-5</v>
      </c>
      <c r="T43" s="27"/>
      <c r="U43" s="50">
        <f t="shared" si="10"/>
        <v>0</v>
      </c>
    </row>
    <row r="44" spans="1:21" x14ac:dyDescent="0.3">
      <c r="A44" s="13" t="str">
        <f t="shared" si="0"/>
        <v>(200, 250]</v>
      </c>
      <c r="B44" s="89">
        <v>6034</v>
      </c>
      <c r="C44" s="89">
        <v>133032990</v>
      </c>
      <c r="D44" s="27">
        <f t="shared" si="1"/>
        <v>6.0340000000000002E-5</v>
      </c>
      <c r="E44" s="90">
        <f t="shared" si="2"/>
        <v>220.47230692741132</v>
      </c>
      <c r="F44" s="91"/>
      <c r="G44" s="13" t="str">
        <f t="shared" si="3"/>
        <v>(200, 250]</v>
      </c>
      <c r="H44" s="86">
        <v>0</v>
      </c>
      <c r="I44" s="27">
        <f t="shared" si="4"/>
        <v>0</v>
      </c>
      <c r="J44" s="27">
        <f t="shared" si="5"/>
        <v>0</v>
      </c>
      <c r="K44" s="87">
        <f t="shared" si="6"/>
        <v>0</v>
      </c>
      <c r="L44" s="100">
        <f t="shared" si="7"/>
        <v>0</v>
      </c>
      <c r="M44" s="100">
        <f t="shared" si="8"/>
        <v>0</v>
      </c>
      <c r="N44" s="88"/>
      <c r="O44" s="45">
        <v>200</v>
      </c>
      <c r="P44" s="45">
        <v>250</v>
      </c>
      <c r="Q44" s="100">
        <f t="shared" si="9"/>
        <v>0</v>
      </c>
      <c r="R44" s="100">
        <v>0</v>
      </c>
      <c r="T44" s="27"/>
      <c r="U44" s="50">
        <f t="shared" si="10"/>
        <v>0</v>
      </c>
    </row>
    <row r="45" spans="1:21" x14ac:dyDescent="0.3">
      <c r="A45" s="13" t="str">
        <f t="shared" si="0"/>
        <v>(250, 300]</v>
      </c>
      <c r="B45" s="89">
        <v>2245</v>
      </c>
      <c r="C45" s="89">
        <v>60681755</v>
      </c>
      <c r="D45" s="27">
        <f t="shared" si="1"/>
        <v>2.245E-5</v>
      </c>
      <c r="E45" s="90">
        <f t="shared" si="2"/>
        <v>270.29734966592429</v>
      </c>
      <c r="F45" s="91"/>
      <c r="G45" s="13" t="str">
        <f t="shared" si="3"/>
        <v>(250, 300]</v>
      </c>
      <c r="H45" s="86">
        <v>0</v>
      </c>
      <c r="I45" s="27">
        <f t="shared" si="4"/>
        <v>0</v>
      </c>
      <c r="J45" s="27">
        <f t="shared" si="5"/>
        <v>0</v>
      </c>
      <c r="K45" s="87">
        <f t="shared" si="6"/>
        <v>0</v>
      </c>
      <c r="L45" s="100">
        <f t="shared" si="7"/>
        <v>0</v>
      </c>
      <c r="M45" s="100">
        <f t="shared" si="8"/>
        <v>0</v>
      </c>
      <c r="N45" s="88"/>
      <c r="O45" s="45">
        <v>250</v>
      </c>
      <c r="P45" s="45">
        <v>300</v>
      </c>
      <c r="Q45" s="100">
        <f t="shared" si="9"/>
        <v>0</v>
      </c>
      <c r="R45" s="100">
        <v>0</v>
      </c>
      <c r="T45" s="27"/>
      <c r="U45" s="50">
        <f t="shared" si="10"/>
        <v>0</v>
      </c>
    </row>
    <row r="46" spans="1:21" x14ac:dyDescent="0.3">
      <c r="A46" s="13" t="str">
        <f t="shared" si="0"/>
        <v>(300, 350]</v>
      </c>
      <c r="B46" s="89">
        <v>886</v>
      </c>
      <c r="C46" s="89">
        <v>28453345</v>
      </c>
      <c r="D46" s="27">
        <f t="shared" si="1"/>
        <v>8.8599999999999999E-6</v>
      </c>
      <c r="E46" s="90">
        <f t="shared" si="2"/>
        <v>321.14384875846503</v>
      </c>
      <c r="F46" s="91"/>
      <c r="G46" s="13" t="str">
        <f t="shared" si="3"/>
        <v>(300, 350]</v>
      </c>
      <c r="H46" s="86">
        <v>0</v>
      </c>
      <c r="I46" s="27">
        <f t="shared" si="4"/>
        <v>0</v>
      </c>
      <c r="J46" s="27">
        <f t="shared" si="5"/>
        <v>0</v>
      </c>
      <c r="K46" s="87">
        <f t="shared" si="6"/>
        <v>0</v>
      </c>
      <c r="L46" s="100">
        <f t="shared" si="7"/>
        <v>0</v>
      </c>
      <c r="M46" s="100">
        <f t="shared" si="8"/>
        <v>0</v>
      </c>
      <c r="N46" s="88"/>
      <c r="O46" s="45">
        <v>300</v>
      </c>
      <c r="P46" s="45">
        <v>350</v>
      </c>
      <c r="Q46" s="100">
        <f t="shared" si="9"/>
        <v>0</v>
      </c>
      <c r="R46" s="100">
        <v>0</v>
      </c>
      <c r="T46" s="27"/>
      <c r="U46" s="50">
        <f t="shared" si="10"/>
        <v>0</v>
      </c>
    </row>
    <row r="47" spans="1:21" x14ac:dyDescent="0.3">
      <c r="A47" s="13" t="str">
        <f t="shared" ref="A47:A78" si="11">"("&amp;$O47&amp;", "&amp;$P47&amp;"]"</f>
        <v>(350, 400]</v>
      </c>
      <c r="B47" s="89">
        <v>512</v>
      </c>
      <c r="C47" s="89">
        <v>19122280</v>
      </c>
      <c r="D47" s="27">
        <f t="shared" ref="D47:D78" si="12">IFERROR(B47/SUM($B$15:$B$78),0)</f>
        <v>5.1200000000000001E-6</v>
      </c>
      <c r="E47" s="90">
        <f t="shared" ref="E47:E79" si="13">IFERROR(C47/B47/$B$3,0)</f>
        <v>373.48203124999998</v>
      </c>
      <c r="F47" s="91"/>
      <c r="G47" s="13" t="str">
        <f t="shared" ref="G47:G78" si="14">"("&amp;$O47&amp;", "&amp;$P47&amp;"]"</f>
        <v>(350, 400]</v>
      </c>
      <c r="H47" s="86">
        <v>0</v>
      </c>
      <c r="I47" s="27">
        <f t="shared" ref="I47:I78" si="15">D47*H47</f>
        <v>0</v>
      </c>
      <c r="J47" s="27">
        <f t="shared" ref="J47:J78" si="16">IFERROR(I47/SUM($I$15:$I$78),0)</f>
        <v>0</v>
      </c>
      <c r="K47" s="87">
        <f t="shared" ref="K47:K78" si="17">INT(J47*$B$2)</f>
        <v>0</v>
      </c>
      <c r="L47" s="100">
        <f t="shared" ref="L47:L78" si="18">IFERROR(K47/SUM($K$15:$K$79),0)</f>
        <v>0</v>
      </c>
      <c r="M47" s="100">
        <f t="shared" ref="M47:M78" si="19">L47*E47</f>
        <v>0</v>
      </c>
      <c r="N47" s="88"/>
      <c r="O47" s="45">
        <v>350</v>
      </c>
      <c r="P47" s="45">
        <v>400</v>
      </c>
      <c r="Q47" s="100">
        <f t="shared" ref="Q47:Q78" si="20">L47</f>
        <v>0</v>
      </c>
      <c r="R47" s="100">
        <v>0</v>
      </c>
      <c r="T47" s="27"/>
      <c r="U47" s="50">
        <f t="shared" ref="U47:U78" si="21">IFERROR(ROUND(T47/L47,2),0)</f>
        <v>0</v>
      </c>
    </row>
    <row r="48" spans="1:21" x14ac:dyDescent="0.3">
      <c r="A48" s="13" t="str">
        <f t="shared" si="11"/>
        <v>(400, 450]</v>
      </c>
      <c r="B48" s="89">
        <v>206</v>
      </c>
      <c r="C48" s="89">
        <v>8655025</v>
      </c>
      <c r="D48" s="27">
        <f t="shared" si="12"/>
        <v>2.0600000000000002E-6</v>
      </c>
      <c r="E48" s="90">
        <f t="shared" si="13"/>
        <v>420.14684466019418</v>
      </c>
      <c r="F48" s="91"/>
      <c r="G48" s="13" t="str">
        <f t="shared" si="14"/>
        <v>(400, 450]</v>
      </c>
      <c r="H48" s="86">
        <v>0</v>
      </c>
      <c r="I48" s="27">
        <f t="shared" si="15"/>
        <v>0</v>
      </c>
      <c r="J48" s="27">
        <f t="shared" si="16"/>
        <v>0</v>
      </c>
      <c r="K48" s="87">
        <f t="shared" si="17"/>
        <v>0</v>
      </c>
      <c r="L48" s="100">
        <f t="shared" si="18"/>
        <v>0</v>
      </c>
      <c r="M48" s="100">
        <f t="shared" si="19"/>
        <v>0</v>
      </c>
      <c r="N48" s="88"/>
      <c r="O48" s="45">
        <v>400</v>
      </c>
      <c r="P48" s="45">
        <v>450</v>
      </c>
      <c r="Q48" s="100">
        <f t="shared" si="20"/>
        <v>0</v>
      </c>
      <c r="R48" s="100">
        <v>0</v>
      </c>
      <c r="T48" s="27"/>
      <c r="U48" s="50">
        <f t="shared" si="21"/>
        <v>0</v>
      </c>
    </row>
    <row r="49" spans="1:21" x14ac:dyDescent="0.3">
      <c r="A49" s="13" t="str">
        <f t="shared" si="11"/>
        <v>(450, 500]</v>
      </c>
      <c r="B49" s="89">
        <v>105</v>
      </c>
      <c r="C49" s="89">
        <v>4985150</v>
      </c>
      <c r="D49" s="27">
        <f t="shared" si="12"/>
        <v>1.0499999999999999E-6</v>
      </c>
      <c r="E49" s="90">
        <f t="shared" si="13"/>
        <v>474.77619047619044</v>
      </c>
      <c r="F49" s="91"/>
      <c r="G49" s="13" t="str">
        <f t="shared" si="14"/>
        <v>(450, 500]</v>
      </c>
      <c r="H49" s="86">
        <v>0</v>
      </c>
      <c r="I49" s="27">
        <f t="shared" si="15"/>
        <v>0</v>
      </c>
      <c r="J49" s="27">
        <f t="shared" si="16"/>
        <v>0</v>
      </c>
      <c r="K49" s="87">
        <f t="shared" si="17"/>
        <v>0</v>
      </c>
      <c r="L49" s="100">
        <f t="shared" si="18"/>
        <v>0</v>
      </c>
      <c r="M49" s="100">
        <f t="shared" si="19"/>
        <v>0</v>
      </c>
      <c r="N49" s="88"/>
      <c r="O49" s="45">
        <v>450</v>
      </c>
      <c r="P49" s="45">
        <v>500</v>
      </c>
      <c r="Q49" s="100">
        <f t="shared" si="20"/>
        <v>0</v>
      </c>
      <c r="R49" s="100">
        <v>0</v>
      </c>
      <c r="T49" s="27"/>
      <c r="U49" s="50">
        <f t="shared" si="21"/>
        <v>0</v>
      </c>
    </row>
    <row r="50" spans="1:21" x14ac:dyDescent="0.3">
      <c r="A50" s="13" t="str">
        <f t="shared" si="11"/>
        <v>(500, 550]</v>
      </c>
      <c r="B50" s="89">
        <v>59</v>
      </c>
      <c r="C50" s="89">
        <v>3071890</v>
      </c>
      <c r="D50" s="27">
        <f t="shared" si="12"/>
        <v>5.8999999999999996E-7</v>
      </c>
      <c r="E50" s="90">
        <f t="shared" si="13"/>
        <v>520.65932203389832</v>
      </c>
      <c r="F50" s="91"/>
      <c r="G50" s="13" t="str">
        <f t="shared" si="14"/>
        <v>(500, 550]</v>
      </c>
      <c r="H50" s="86">
        <v>0</v>
      </c>
      <c r="I50" s="27">
        <f t="shared" si="15"/>
        <v>0</v>
      </c>
      <c r="J50" s="27">
        <f t="shared" si="16"/>
        <v>0</v>
      </c>
      <c r="K50" s="87">
        <f t="shared" si="17"/>
        <v>0</v>
      </c>
      <c r="L50" s="100">
        <f t="shared" si="18"/>
        <v>0</v>
      </c>
      <c r="M50" s="100">
        <f t="shared" si="19"/>
        <v>0</v>
      </c>
      <c r="N50" s="88"/>
      <c r="O50" s="45">
        <v>500</v>
      </c>
      <c r="P50" s="45">
        <v>550</v>
      </c>
      <c r="Q50" s="100">
        <f t="shared" si="20"/>
        <v>0</v>
      </c>
      <c r="R50" s="100">
        <v>0</v>
      </c>
      <c r="T50" s="27"/>
      <c r="U50" s="50">
        <f t="shared" si="21"/>
        <v>0</v>
      </c>
    </row>
    <row r="51" spans="1:21" x14ac:dyDescent="0.3">
      <c r="A51" s="13" t="str">
        <f t="shared" si="11"/>
        <v>(550, 600]</v>
      </c>
      <c r="B51" s="89">
        <v>51</v>
      </c>
      <c r="C51" s="89">
        <v>2886405</v>
      </c>
      <c r="D51" s="27">
        <f t="shared" si="12"/>
        <v>5.0999999999999999E-7</v>
      </c>
      <c r="E51" s="90">
        <f t="shared" si="13"/>
        <v>565.96176470588239</v>
      </c>
      <c r="F51" s="91"/>
      <c r="G51" s="13" t="str">
        <f t="shared" si="14"/>
        <v>(550, 600]</v>
      </c>
      <c r="H51" s="86">
        <v>0</v>
      </c>
      <c r="I51" s="27">
        <f t="shared" si="15"/>
        <v>0</v>
      </c>
      <c r="J51" s="27">
        <f t="shared" si="16"/>
        <v>0</v>
      </c>
      <c r="K51" s="87">
        <f t="shared" si="17"/>
        <v>0</v>
      </c>
      <c r="L51" s="100">
        <f t="shared" si="18"/>
        <v>0</v>
      </c>
      <c r="M51" s="100">
        <f t="shared" si="19"/>
        <v>0</v>
      </c>
      <c r="N51" s="88"/>
      <c r="O51" s="45">
        <v>550</v>
      </c>
      <c r="P51" s="45">
        <v>600</v>
      </c>
      <c r="Q51" s="100">
        <f t="shared" si="20"/>
        <v>0</v>
      </c>
      <c r="R51" s="100">
        <v>0</v>
      </c>
      <c r="T51" s="27"/>
      <c r="U51" s="50">
        <f t="shared" si="21"/>
        <v>0</v>
      </c>
    </row>
    <row r="52" spans="1:21" x14ac:dyDescent="0.3">
      <c r="A52" s="13" t="str">
        <f t="shared" si="11"/>
        <v>(600, 650]</v>
      </c>
      <c r="B52" s="89">
        <v>16</v>
      </c>
      <c r="C52" s="89">
        <v>991510</v>
      </c>
      <c r="D52" s="27">
        <f t="shared" si="12"/>
        <v>1.6E-7</v>
      </c>
      <c r="E52" s="90">
        <f t="shared" si="13"/>
        <v>619.69375000000002</v>
      </c>
      <c r="F52" s="91"/>
      <c r="G52" s="13" t="str">
        <f t="shared" si="14"/>
        <v>(600, 650]</v>
      </c>
      <c r="H52" s="86">
        <v>0</v>
      </c>
      <c r="I52" s="27">
        <f t="shared" si="15"/>
        <v>0</v>
      </c>
      <c r="J52" s="27">
        <f t="shared" si="16"/>
        <v>0</v>
      </c>
      <c r="K52" s="87">
        <f t="shared" si="17"/>
        <v>0</v>
      </c>
      <c r="L52" s="100">
        <f t="shared" si="18"/>
        <v>0</v>
      </c>
      <c r="M52" s="100">
        <f t="shared" si="19"/>
        <v>0</v>
      </c>
      <c r="N52" s="88"/>
      <c r="O52" s="45">
        <v>600</v>
      </c>
      <c r="P52" s="45">
        <v>650</v>
      </c>
      <c r="Q52" s="100">
        <f t="shared" si="20"/>
        <v>0</v>
      </c>
      <c r="R52" s="100">
        <v>0</v>
      </c>
      <c r="T52" s="27"/>
      <c r="U52" s="50">
        <f t="shared" si="21"/>
        <v>0</v>
      </c>
    </row>
    <row r="53" spans="1:21" x14ac:dyDescent="0.3">
      <c r="A53" s="13" t="str">
        <f t="shared" si="11"/>
        <v>(650, 700]</v>
      </c>
      <c r="B53" s="89">
        <v>9</v>
      </c>
      <c r="C53" s="89">
        <v>598905</v>
      </c>
      <c r="D53" s="27">
        <f t="shared" si="12"/>
        <v>8.9999999999999999E-8</v>
      </c>
      <c r="E53" s="90">
        <f t="shared" si="13"/>
        <v>665.45</v>
      </c>
      <c r="F53" s="91"/>
      <c r="G53" s="13" t="str">
        <f t="shared" si="14"/>
        <v>(650, 700]</v>
      </c>
      <c r="H53" s="86">
        <v>0</v>
      </c>
      <c r="I53" s="27">
        <f t="shared" si="15"/>
        <v>0</v>
      </c>
      <c r="J53" s="27">
        <f t="shared" si="16"/>
        <v>0</v>
      </c>
      <c r="K53" s="87">
        <f t="shared" si="17"/>
        <v>0</v>
      </c>
      <c r="L53" s="100">
        <f t="shared" si="18"/>
        <v>0</v>
      </c>
      <c r="M53" s="100">
        <f t="shared" si="19"/>
        <v>0</v>
      </c>
      <c r="N53" s="88"/>
      <c r="O53" s="45">
        <v>650</v>
      </c>
      <c r="P53" s="45">
        <v>700</v>
      </c>
      <c r="Q53" s="100">
        <f t="shared" si="20"/>
        <v>0</v>
      </c>
      <c r="R53" s="100">
        <v>0</v>
      </c>
      <c r="T53" s="27"/>
      <c r="U53" s="50">
        <f t="shared" si="21"/>
        <v>0</v>
      </c>
    </row>
    <row r="54" spans="1:21" x14ac:dyDescent="0.3">
      <c r="A54" s="13" t="str">
        <f t="shared" si="11"/>
        <v>(700, 750]</v>
      </c>
      <c r="B54" s="89">
        <v>15</v>
      </c>
      <c r="C54" s="89">
        <v>1097550</v>
      </c>
      <c r="D54" s="27">
        <f t="shared" si="12"/>
        <v>1.4999999999999999E-7</v>
      </c>
      <c r="E54" s="90">
        <f t="shared" si="13"/>
        <v>731.7</v>
      </c>
      <c r="F54" s="91"/>
      <c r="G54" s="13" t="str">
        <f t="shared" si="14"/>
        <v>(700, 750]</v>
      </c>
      <c r="H54" s="86">
        <v>0</v>
      </c>
      <c r="I54" s="27">
        <f t="shared" si="15"/>
        <v>0</v>
      </c>
      <c r="J54" s="27">
        <f t="shared" si="16"/>
        <v>0</v>
      </c>
      <c r="K54" s="87">
        <f t="shared" si="17"/>
        <v>0</v>
      </c>
      <c r="L54" s="100">
        <f t="shared" si="18"/>
        <v>0</v>
      </c>
      <c r="M54" s="100">
        <f t="shared" si="19"/>
        <v>0</v>
      </c>
      <c r="N54" s="88"/>
      <c r="O54" s="45">
        <v>700</v>
      </c>
      <c r="P54" s="45">
        <v>750</v>
      </c>
      <c r="Q54" s="100">
        <f t="shared" si="20"/>
        <v>0</v>
      </c>
      <c r="R54" s="100">
        <v>0</v>
      </c>
      <c r="T54" s="27"/>
      <c r="U54" s="50">
        <f t="shared" si="21"/>
        <v>0</v>
      </c>
    </row>
    <row r="55" spans="1:21" x14ac:dyDescent="0.3">
      <c r="A55" s="13" t="str">
        <f t="shared" si="11"/>
        <v>(750, 800]</v>
      </c>
      <c r="B55" s="89">
        <v>3</v>
      </c>
      <c r="C55" s="89">
        <v>227865</v>
      </c>
      <c r="D55" s="27">
        <f t="shared" si="12"/>
        <v>2.9999999999999997E-8</v>
      </c>
      <c r="E55" s="90">
        <f t="shared" si="13"/>
        <v>759.55</v>
      </c>
      <c r="F55" s="91"/>
      <c r="G55" s="13" t="str">
        <f t="shared" si="14"/>
        <v>(750, 800]</v>
      </c>
      <c r="H55" s="86">
        <v>0</v>
      </c>
      <c r="I55" s="27">
        <f t="shared" si="15"/>
        <v>0</v>
      </c>
      <c r="J55" s="27">
        <f t="shared" si="16"/>
        <v>0</v>
      </c>
      <c r="K55" s="87">
        <f t="shared" si="17"/>
        <v>0</v>
      </c>
      <c r="L55" s="100">
        <f t="shared" si="18"/>
        <v>0</v>
      </c>
      <c r="M55" s="100">
        <f t="shared" si="19"/>
        <v>0</v>
      </c>
      <c r="N55" s="88"/>
      <c r="O55" s="45">
        <v>750</v>
      </c>
      <c r="P55" s="45">
        <v>800</v>
      </c>
      <c r="Q55" s="100">
        <f t="shared" si="20"/>
        <v>0</v>
      </c>
      <c r="R55" s="100">
        <v>0</v>
      </c>
      <c r="T55" s="27"/>
      <c r="U55" s="50">
        <f t="shared" si="21"/>
        <v>0</v>
      </c>
    </row>
    <row r="56" spans="1:21" x14ac:dyDescent="0.3">
      <c r="A56" s="13" t="str">
        <f t="shared" si="11"/>
        <v>(800, 850]</v>
      </c>
      <c r="B56" s="89">
        <v>6</v>
      </c>
      <c r="C56" s="89">
        <v>496640</v>
      </c>
      <c r="D56" s="27">
        <f t="shared" si="12"/>
        <v>5.9999999999999995E-8</v>
      </c>
      <c r="E56" s="90">
        <f t="shared" si="13"/>
        <v>827.73333333333323</v>
      </c>
      <c r="F56" s="91"/>
      <c r="G56" s="13" t="str">
        <f t="shared" si="14"/>
        <v>(800, 850]</v>
      </c>
      <c r="H56" s="86">
        <v>0</v>
      </c>
      <c r="I56" s="27">
        <f t="shared" si="15"/>
        <v>0</v>
      </c>
      <c r="J56" s="27">
        <f t="shared" si="16"/>
        <v>0</v>
      </c>
      <c r="K56" s="87">
        <f t="shared" si="17"/>
        <v>0</v>
      </c>
      <c r="L56" s="100">
        <f t="shared" si="18"/>
        <v>0</v>
      </c>
      <c r="M56" s="100">
        <f t="shared" si="19"/>
        <v>0</v>
      </c>
      <c r="N56" s="88"/>
      <c r="O56" s="45">
        <v>800</v>
      </c>
      <c r="P56" s="45">
        <v>850</v>
      </c>
      <c r="Q56" s="100">
        <f t="shared" si="20"/>
        <v>0</v>
      </c>
      <c r="R56" s="100">
        <v>0</v>
      </c>
      <c r="T56" s="27"/>
      <c r="U56" s="50">
        <f t="shared" si="21"/>
        <v>0</v>
      </c>
    </row>
    <row r="57" spans="1:21" x14ac:dyDescent="0.3">
      <c r="A57" s="13" t="str">
        <f t="shared" si="11"/>
        <v>(850, 900]</v>
      </c>
      <c r="B57" s="89">
        <v>1</v>
      </c>
      <c r="C57" s="89">
        <v>85750</v>
      </c>
      <c r="D57" s="27">
        <f t="shared" si="12"/>
        <v>1E-8</v>
      </c>
      <c r="E57" s="90">
        <f t="shared" si="13"/>
        <v>857.5</v>
      </c>
      <c r="F57" s="91"/>
      <c r="G57" s="13" t="str">
        <f t="shared" si="14"/>
        <v>(850, 900]</v>
      </c>
      <c r="H57" s="86">
        <v>0</v>
      </c>
      <c r="I57" s="27">
        <f t="shared" si="15"/>
        <v>0</v>
      </c>
      <c r="J57" s="27">
        <f t="shared" si="16"/>
        <v>0</v>
      </c>
      <c r="K57" s="92">
        <f t="shared" si="17"/>
        <v>0</v>
      </c>
      <c r="L57" s="100">
        <f t="shared" si="18"/>
        <v>0</v>
      </c>
      <c r="M57" s="100">
        <f t="shared" si="19"/>
        <v>0</v>
      </c>
      <c r="N57" s="88"/>
      <c r="O57" s="45">
        <v>850</v>
      </c>
      <c r="P57" s="45">
        <v>900</v>
      </c>
      <c r="Q57" s="100">
        <f t="shared" si="20"/>
        <v>0</v>
      </c>
      <c r="R57" s="100">
        <v>0</v>
      </c>
      <c r="T57" s="27"/>
      <c r="U57" s="50">
        <f t="shared" si="21"/>
        <v>0</v>
      </c>
    </row>
    <row r="58" spans="1:21" x14ac:dyDescent="0.3">
      <c r="A58" s="13" t="str">
        <f t="shared" si="11"/>
        <v>(900, 950]</v>
      </c>
      <c r="B58" s="89">
        <v>1</v>
      </c>
      <c r="C58" s="89">
        <v>93670</v>
      </c>
      <c r="D58" s="27">
        <f t="shared" si="12"/>
        <v>1E-8</v>
      </c>
      <c r="E58" s="90">
        <f t="shared" si="13"/>
        <v>936.7</v>
      </c>
      <c r="F58" s="91"/>
      <c r="G58" s="13" t="str">
        <f t="shared" si="14"/>
        <v>(900, 950]</v>
      </c>
      <c r="H58" s="86">
        <v>0</v>
      </c>
      <c r="I58" s="27">
        <f t="shared" si="15"/>
        <v>0</v>
      </c>
      <c r="J58" s="27">
        <f t="shared" si="16"/>
        <v>0</v>
      </c>
      <c r="K58" s="92">
        <f t="shared" si="17"/>
        <v>0</v>
      </c>
      <c r="L58" s="100">
        <f t="shared" si="18"/>
        <v>0</v>
      </c>
      <c r="M58" s="100">
        <f t="shared" si="19"/>
        <v>0</v>
      </c>
      <c r="N58" s="88"/>
      <c r="O58" s="45">
        <v>900</v>
      </c>
      <c r="P58" s="45">
        <v>950</v>
      </c>
      <c r="Q58" s="100">
        <f t="shared" si="20"/>
        <v>0</v>
      </c>
      <c r="R58" s="100">
        <v>0</v>
      </c>
      <c r="T58" s="27"/>
      <c r="U58" s="50">
        <f t="shared" si="21"/>
        <v>0</v>
      </c>
    </row>
    <row r="59" spans="1:21" x14ac:dyDescent="0.3">
      <c r="A59" s="13" t="str">
        <f t="shared" si="11"/>
        <v>(950, 1000]</v>
      </c>
      <c r="B59" s="89">
        <v>1</v>
      </c>
      <c r="C59" s="89">
        <v>98184.999999999985</v>
      </c>
      <c r="D59" s="27">
        <f t="shared" si="12"/>
        <v>1E-8</v>
      </c>
      <c r="E59" s="90">
        <f t="shared" si="13"/>
        <v>981.84999999999991</v>
      </c>
      <c r="F59" s="91"/>
      <c r="G59" s="13" t="str">
        <f t="shared" si="14"/>
        <v>(950, 1000]</v>
      </c>
      <c r="H59" s="86">
        <v>0</v>
      </c>
      <c r="I59" s="27">
        <f t="shared" si="15"/>
        <v>0</v>
      </c>
      <c r="J59" s="27">
        <f t="shared" si="16"/>
        <v>0</v>
      </c>
      <c r="K59" s="92">
        <f t="shared" si="17"/>
        <v>0</v>
      </c>
      <c r="L59" s="100">
        <f t="shared" si="18"/>
        <v>0</v>
      </c>
      <c r="M59" s="100">
        <f t="shared" si="19"/>
        <v>0</v>
      </c>
      <c r="N59" s="88"/>
      <c r="O59" s="45">
        <v>950</v>
      </c>
      <c r="P59" s="45">
        <v>1000</v>
      </c>
      <c r="Q59" s="100">
        <f t="shared" si="20"/>
        <v>0</v>
      </c>
      <c r="R59" s="100">
        <v>0</v>
      </c>
      <c r="T59" s="27"/>
      <c r="U59" s="50">
        <f t="shared" si="21"/>
        <v>0</v>
      </c>
    </row>
    <row r="60" spans="1:21" x14ac:dyDescent="0.3">
      <c r="A60" s="13" t="str">
        <f t="shared" si="11"/>
        <v>(1000, 2000]</v>
      </c>
      <c r="B60" s="89">
        <v>12</v>
      </c>
      <c r="C60" s="89">
        <v>1427060</v>
      </c>
      <c r="D60" s="27">
        <f t="shared" si="12"/>
        <v>1.1999999999999999E-7</v>
      </c>
      <c r="E60" s="90">
        <f t="shared" si="13"/>
        <v>1189.2166666666667</v>
      </c>
      <c r="F60" s="91"/>
      <c r="G60" s="13" t="str">
        <f t="shared" si="14"/>
        <v>(1000, 2000]</v>
      </c>
      <c r="H60" s="86">
        <v>0</v>
      </c>
      <c r="I60" s="27">
        <f t="shared" si="15"/>
        <v>0</v>
      </c>
      <c r="J60" s="27">
        <f t="shared" si="16"/>
        <v>0</v>
      </c>
      <c r="K60" s="92">
        <f t="shared" si="17"/>
        <v>0</v>
      </c>
      <c r="L60" s="100">
        <f t="shared" si="18"/>
        <v>0</v>
      </c>
      <c r="M60" s="100">
        <f t="shared" si="19"/>
        <v>0</v>
      </c>
      <c r="N60" s="88"/>
      <c r="O60" s="45">
        <v>1000</v>
      </c>
      <c r="P60" s="45">
        <v>2000</v>
      </c>
      <c r="Q60" s="100">
        <f t="shared" si="20"/>
        <v>0</v>
      </c>
      <c r="R60" s="100">
        <v>0</v>
      </c>
      <c r="T60" s="27"/>
      <c r="U60" s="50">
        <f t="shared" si="21"/>
        <v>0</v>
      </c>
    </row>
    <row r="61" spans="1:21" x14ac:dyDescent="0.3">
      <c r="A61" s="13" t="str">
        <f t="shared" si="11"/>
        <v>(2000, 3000]</v>
      </c>
      <c r="B61" s="89">
        <v>0</v>
      </c>
      <c r="C61" s="89">
        <v>0</v>
      </c>
      <c r="D61" s="27">
        <f t="shared" si="12"/>
        <v>0</v>
      </c>
      <c r="E61" s="90">
        <f t="shared" si="13"/>
        <v>0</v>
      </c>
      <c r="F61" s="91"/>
      <c r="G61" s="13" t="str">
        <f t="shared" si="14"/>
        <v>(2000, 3000]</v>
      </c>
      <c r="H61" s="86">
        <v>0</v>
      </c>
      <c r="I61" s="27">
        <f t="shared" si="15"/>
        <v>0</v>
      </c>
      <c r="J61" s="27">
        <f t="shared" si="16"/>
        <v>0</v>
      </c>
      <c r="K61" s="92">
        <f t="shared" si="17"/>
        <v>0</v>
      </c>
      <c r="L61" s="100">
        <f t="shared" si="18"/>
        <v>0</v>
      </c>
      <c r="M61" s="100">
        <f t="shared" si="19"/>
        <v>0</v>
      </c>
      <c r="N61" s="88"/>
      <c r="O61" s="45">
        <v>2000</v>
      </c>
      <c r="P61" s="45">
        <v>3000</v>
      </c>
      <c r="Q61" s="100">
        <f t="shared" si="20"/>
        <v>0</v>
      </c>
      <c r="R61" s="100">
        <v>0</v>
      </c>
      <c r="T61" s="27"/>
      <c r="U61" s="50">
        <f t="shared" si="21"/>
        <v>0</v>
      </c>
    </row>
    <row r="62" spans="1:21" x14ac:dyDescent="0.3">
      <c r="A62" s="13" t="str">
        <f t="shared" si="11"/>
        <v>(3000, 4000]</v>
      </c>
      <c r="B62" s="89">
        <v>0</v>
      </c>
      <c r="C62" s="89">
        <v>0</v>
      </c>
      <c r="D62" s="27">
        <f t="shared" si="12"/>
        <v>0</v>
      </c>
      <c r="E62" s="90">
        <f t="shared" si="13"/>
        <v>0</v>
      </c>
      <c r="F62" s="91"/>
      <c r="G62" s="13" t="str">
        <f t="shared" si="14"/>
        <v>(3000, 4000]</v>
      </c>
      <c r="H62" s="86">
        <v>0</v>
      </c>
      <c r="I62" s="27">
        <f t="shared" si="15"/>
        <v>0</v>
      </c>
      <c r="J62" s="27">
        <f t="shared" si="16"/>
        <v>0</v>
      </c>
      <c r="K62" s="92">
        <f t="shared" si="17"/>
        <v>0</v>
      </c>
      <c r="L62" s="100">
        <f t="shared" si="18"/>
        <v>0</v>
      </c>
      <c r="M62" s="100">
        <f t="shared" si="19"/>
        <v>0</v>
      </c>
      <c r="N62" s="88"/>
      <c r="O62" s="45">
        <v>3000</v>
      </c>
      <c r="P62" s="45">
        <v>4000</v>
      </c>
      <c r="Q62" s="100">
        <f t="shared" si="20"/>
        <v>0</v>
      </c>
      <c r="R62" s="100">
        <v>0</v>
      </c>
      <c r="T62" s="27"/>
      <c r="U62" s="50">
        <f t="shared" si="21"/>
        <v>0</v>
      </c>
    </row>
    <row r="63" spans="1:21" x14ac:dyDescent="0.3">
      <c r="A63" s="13" t="str">
        <f t="shared" si="11"/>
        <v>(4000, 5000]</v>
      </c>
      <c r="B63" s="89">
        <v>0</v>
      </c>
      <c r="C63" s="89">
        <v>0</v>
      </c>
      <c r="D63" s="27">
        <f t="shared" si="12"/>
        <v>0</v>
      </c>
      <c r="E63" s="90">
        <f t="shared" si="13"/>
        <v>0</v>
      </c>
      <c r="F63" s="91"/>
      <c r="G63" s="13" t="str">
        <f t="shared" si="14"/>
        <v>(4000, 5000]</v>
      </c>
      <c r="H63" s="86">
        <v>0</v>
      </c>
      <c r="I63" s="27">
        <f t="shared" si="15"/>
        <v>0</v>
      </c>
      <c r="J63" s="27">
        <f t="shared" si="16"/>
        <v>0</v>
      </c>
      <c r="K63" s="92">
        <f t="shared" si="17"/>
        <v>0</v>
      </c>
      <c r="L63" s="100">
        <f t="shared" si="18"/>
        <v>0</v>
      </c>
      <c r="M63" s="100">
        <f t="shared" si="19"/>
        <v>0</v>
      </c>
      <c r="N63" s="88"/>
      <c r="O63" s="45">
        <v>4000</v>
      </c>
      <c r="P63" s="45">
        <v>5000</v>
      </c>
      <c r="Q63" s="100">
        <f t="shared" si="20"/>
        <v>0</v>
      </c>
      <c r="R63" s="100">
        <v>0</v>
      </c>
      <c r="T63" s="27"/>
      <c r="U63" s="50">
        <f t="shared" si="21"/>
        <v>0</v>
      </c>
    </row>
    <row r="64" spans="1:21" x14ac:dyDescent="0.3">
      <c r="A64" s="13" t="str">
        <f t="shared" si="11"/>
        <v>(5000, 6000]</v>
      </c>
      <c r="B64" s="89">
        <v>0</v>
      </c>
      <c r="C64" s="89">
        <v>0</v>
      </c>
      <c r="D64" s="27">
        <f t="shared" si="12"/>
        <v>0</v>
      </c>
      <c r="E64" s="90">
        <f t="shared" si="13"/>
        <v>0</v>
      </c>
      <c r="F64" s="91"/>
      <c r="G64" s="13" t="str">
        <f t="shared" si="14"/>
        <v>(5000, 6000]</v>
      </c>
      <c r="H64" s="86">
        <v>0</v>
      </c>
      <c r="I64" s="27">
        <f t="shared" si="15"/>
        <v>0</v>
      </c>
      <c r="J64" s="27">
        <f t="shared" si="16"/>
        <v>0</v>
      </c>
      <c r="K64" s="92">
        <f t="shared" si="17"/>
        <v>0</v>
      </c>
      <c r="L64" s="100">
        <f t="shared" si="18"/>
        <v>0</v>
      </c>
      <c r="M64" s="100">
        <f t="shared" si="19"/>
        <v>0</v>
      </c>
      <c r="N64" s="88"/>
      <c r="O64" s="45">
        <v>5000</v>
      </c>
      <c r="P64" s="45">
        <v>6000</v>
      </c>
      <c r="Q64" s="100">
        <f t="shared" si="20"/>
        <v>0</v>
      </c>
      <c r="R64" s="100">
        <v>0</v>
      </c>
      <c r="T64" s="27"/>
      <c r="U64" s="50">
        <f t="shared" si="21"/>
        <v>0</v>
      </c>
    </row>
    <row r="65" spans="1:21" x14ac:dyDescent="0.3">
      <c r="A65" s="13" t="str">
        <f t="shared" si="11"/>
        <v>(6000, 7000]</v>
      </c>
      <c r="B65" s="89">
        <v>0</v>
      </c>
      <c r="C65" s="89">
        <v>0</v>
      </c>
      <c r="D65" s="27">
        <f t="shared" si="12"/>
        <v>0</v>
      </c>
      <c r="E65" s="90">
        <f t="shared" si="13"/>
        <v>0</v>
      </c>
      <c r="F65" s="91"/>
      <c r="G65" s="13" t="str">
        <f t="shared" si="14"/>
        <v>(6000, 7000]</v>
      </c>
      <c r="H65" s="86">
        <v>0</v>
      </c>
      <c r="I65" s="27">
        <f t="shared" si="15"/>
        <v>0</v>
      </c>
      <c r="J65" s="27">
        <f t="shared" si="16"/>
        <v>0</v>
      </c>
      <c r="K65" s="92">
        <f t="shared" si="17"/>
        <v>0</v>
      </c>
      <c r="L65" s="100">
        <f t="shared" si="18"/>
        <v>0</v>
      </c>
      <c r="M65" s="100">
        <f t="shared" si="19"/>
        <v>0</v>
      </c>
      <c r="N65" s="88"/>
      <c r="O65" s="45">
        <v>6000</v>
      </c>
      <c r="P65" s="45">
        <v>7000</v>
      </c>
      <c r="Q65" s="100">
        <f t="shared" si="20"/>
        <v>0</v>
      </c>
      <c r="R65" s="100">
        <v>0</v>
      </c>
      <c r="T65" s="27"/>
      <c r="U65" s="50">
        <f t="shared" si="21"/>
        <v>0</v>
      </c>
    </row>
    <row r="66" spans="1:21" x14ac:dyDescent="0.3">
      <c r="A66" s="13" t="str">
        <f t="shared" si="11"/>
        <v>(7000, 8000]</v>
      </c>
      <c r="B66" s="89">
        <v>0</v>
      </c>
      <c r="C66" s="89">
        <v>0</v>
      </c>
      <c r="D66" s="27">
        <f t="shared" si="12"/>
        <v>0</v>
      </c>
      <c r="E66" s="90">
        <f t="shared" si="13"/>
        <v>0</v>
      </c>
      <c r="F66" s="91"/>
      <c r="G66" s="13" t="str">
        <f t="shared" si="14"/>
        <v>(7000, 8000]</v>
      </c>
      <c r="H66" s="86">
        <v>0</v>
      </c>
      <c r="I66" s="27">
        <f t="shared" si="15"/>
        <v>0</v>
      </c>
      <c r="J66" s="27">
        <f t="shared" si="16"/>
        <v>0</v>
      </c>
      <c r="K66" s="92">
        <f t="shared" si="17"/>
        <v>0</v>
      </c>
      <c r="L66" s="100">
        <f t="shared" si="18"/>
        <v>0</v>
      </c>
      <c r="M66" s="100">
        <f t="shared" si="19"/>
        <v>0</v>
      </c>
      <c r="N66" s="88"/>
      <c r="O66" s="45">
        <v>7000</v>
      </c>
      <c r="P66" s="45">
        <v>8000</v>
      </c>
      <c r="Q66" s="100">
        <f t="shared" si="20"/>
        <v>0</v>
      </c>
      <c r="R66" s="100">
        <v>0</v>
      </c>
      <c r="T66" s="27"/>
      <c r="U66" s="50">
        <f t="shared" si="21"/>
        <v>0</v>
      </c>
    </row>
    <row r="67" spans="1:21" x14ac:dyDescent="0.3">
      <c r="A67" s="13" t="str">
        <f t="shared" si="11"/>
        <v>(8000, 9000]</v>
      </c>
      <c r="B67" s="89">
        <v>0</v>
      </c>
      <c r="C67" s="89">
        <v>0</v>
      </c>
      <c r="D67" s="27">
        <f t="shared" si="12"/>
        <v>0</v>
      </c>
      <c r="E67" s="90">
        <f t="shared" si="13"/>
        <v>0</v>
      </c>
      <c r="F67" s="91"/>
      <c r="G67" s="13" t="str">
        <f t="shared" si="14"/>
        <v>(8000, 9000]</v>
      </c>
      <c r="H67" s="86">
        <v>0</v>
      </c>
      <c r="I67" s="27">
        <f t="shared" si="15"/>
        <v>0</v>
      </c>
      <c r="J67" s="27">
        <f t="shared" si="16"/>
        <v>0</v>
      </c>
      <c r="K67" s="92">
        <f t="shared" si="17"/>
        <v>0</v>
      </c>
      <c r="L67" s="100">
        <f t="shared" si="18"/>
        <v>0</v>
      </c>
      <c r="M67" s="100">
        <f t="shared" si="19"/>
        <v>0</v>
      </c>
      <c r="N67" s="88"/>
      <c r="O67" s="45">
        <v>8000</v>
      </c>
      <c r="P67" s="45">
        <v>9000</v>
      </c>
      <c r="Q67" s="100">
        <f t="shared" si="20"/>
        <v>0</v>
      </c>
      <c r="R67" s="100">
        <v>0</v>
      </c>
      <c r="T67" s="27"/>
      <c r="U67" s="50">
        <f t="shared" si="21"/>
        <v>0</v>
      </c>
    </row>
    <row r="68" spans="1:21" x14ac:dyDescent="0.3">
      <c r="A68" s="13" t="str">
        <f t="shared" si="11"/>
        <v>(9000, 10000]</v>
      </c>
      <c r="B68" s="89">
        <v>0</v>
      </c>
      <c r="C68" s="89">
        <v>0</v>
      </c>
      <c r="D68" s="27">
        <f t="shared" si="12"/>
        <v>0</v>
      </c>
      <c r="E68" s="90">
        <f t="shared" si="13"/>
        <v>0</v>
      </c>
      <c r="F68" s="91"/>
      <c r="G68" s="13" t="str">
        <f t="shared" si="14"/>
        <v>(9000, 10000]</v>
      </c>
      <c r="H68" s="86">
        <v>0</v>
      </c>
      <c r="I68" s="27">
        <f t="shared" si="15"/>
        <v>0</v>
      </c>
      <c r="J68" s="27">
        <f t="shared" si="16"/>
        <v>0</v>
      </c>
      <c r="K68" s="92">
        <f t="shared" si="17"/>
        <v>0</v>
      </c>
      <c r="L68" s="100">
        <f t="shared" si="18"/>
        <v>0</v>
      </c>
      <c r="M68" s="100">
        <f t="shared" si="19"/>
        <v>0</v>
      </c>
      <c r="N68" s="88"/>
      <c r="O68" s="45">
        <v>9000</v>
      </c>
      <c r="P68" s="45">
        <v>10000</v>
      </c>
      <c r="Q68" s="100">
        <f t="shared" si="20"/>
        <v>0</v>
      </c>
      <c r="R68" s="100">
        <v>0</v>
      </c>
      <c r="T68" s="27"/>
      <c r="U68" s="50">
        <f t="shared" si="21"/>
        <v>0</v>
      </c>
    </row>
    <row r="69" spans="1:21" x14ac:dyDescent="0.3">
      <c r="A69" s="13" t="str">
        <f t="shared" si="11"/>
        <v>(10000, 20000]</v>
      </c>
      <c r="B69" s="89">
        <v>0</v>
      </c>
      <c r="C69" s="89">
        <v>0</v>
      </c>
      <c r="D69" s="27">
        <f t="shared" si="12"/>
        <v>0</v>
      </c>
      <c r="E69" s="90">
        <f t="shared" si="13"/>
        <v>0</v>
      </c>
      <c r="F69" s="91"/>
      <c r="G69" s="13" t="str">
        <f t="shared" si="14"/>
        <v>(10000, 20000]</v>
      </c>
      <c r="H69" s="86">
        <v>0</v>
      </c>
      <c r="I69" s="27">
        <f t="shared" si="15"/>
        <v>0</v>
      </c>
      <c r="J69" s="27">
        <f t="shared" si="16"/>
        <v>0</v>
      </c>
      <c r="K69" s="92">
        <f t="shared" si="17"/>
        <v>0</v>
      </c>
      <c r="L69" s="100">
        <f t="shared" si="18"/>
        <v>0</v>
      </c>
      <c r="M69" s="100">
        <f t="shared" si="19"/>
        <v>0</v>
      </c>
      <c r="N69" s="88"/>
      <c r="O69" s="45">
        <v>10000</v>
      </c>
      <c r="P69" s="45">
        <v>20000</v>
      </c>
      <c r="Q69" s="100">
        <f t="shared" si="20"/>
        <v>0</v>
      </c>
      <c r="R69" s="100">
        <v>0</v>
      </c>
      <c r="T69" s="27"/>
      <c r="U69" s="50">
        <f t="shared" si="21"/>
        <v>0</v>
      </c>
    </row>
    <row r="70" spans="1:21" x14ac:dyDescent="0.3">
      <c r="A70" s="13" t="str">
        <f t="shared" si="11"/>
        <v>(20000, 30000]</v>
      </c>
      <c r="B70" s="89">
        <v>0</v>
      </c>
      <c r="C70" s="89">
        <v>0</v>
      </c>
      <c r="D70" s="27">
        <f t="shared" si="12"/>
        <v>0</v>
      </c>
      <c r="E70" s="90">
        <f t="shared" si="13"/>
        <v>0</v>
      </c>
      <c r="F70" s="91"/>
      <c r="G70" s="13" t="str">
        <f t="shared" si="14"/>
        <v>(20000, 30000]</v>
      </c>
      <c r="H70" s="86">
        <v>0</v>
      </c>
      <c r="I70" s="27">
        <f t="shared" si="15"/>
        <v>0</v>
      </c>
      <c r="J70" s="27">
        <f t="shared" si="16"/>
        <v>0</v>
      </c>
      <c r="K70" s="92">
        <f t="shared" si="17"/>
        <v>0</v>
      </c>
      <c r="L70" s="100">
        <f t="shared" si="18"/>
        <v>0</v>
      </c>
      <c r="M70" s="100">
        <f t="shared" si="19"/>
        <v>0</v>
      </c>
      <c r="N70" s="88"/>
      <c r="O70" s="45">
        <v>20000</v>
      </c>
      <c r="P70" s="45">
        <v>30000</v>
      </c>
      <c r="Q70" s="100">
        <f t="shared" si="20"/>
        <v>0</v>
      </c>
      <c r="R70" s="100">
        <v>0</v>
      </c>
      <c r="T70" s="27"/>
      <c r="U70" s="50">
        <f t="shared" si="21"/>
        <v>0</v>
      </c>
    </row>
    <row r="71" spans="1:21" x14ac:dyDescent="0.3">
      <c r="A71" s="13" t="str">
        <f t="shared" si="11"/>
        <v>(30000, 40000]</v>
      </c>
      <c r="B71" s="89">
        <v>0</v>
      </c>
      <c r="C71" s="89">
        <v>0</v>
      </c>
      <c r="D71" s="27">
        <f t="shared" si="12"/>
        <v>0</v>
      </c>
      <c r="E71" s="90">
        <f t="shared" si="13"/>
        <v>0</v>
      </c>
      <c r="F71" s="91"/>
      <c r="G71" s="13" t="str">
        <f t="shared" si="14"/>
        <v>(30000, 40000]</v>
      </c>
      <c r="H71" s="86">
        <v>0</v>
      </c>
      <c r="I71" s="27">
        <f t="shared" si="15"/>
        <v>0</v>
      </c>
      <c r="J71" s="27">
        <f t="shared" si="16"/>
        <v>0</v>
      </c>
      <c r="K71" s="92">
        <f t="shared" si="17"/>
        <v>0</v>
      </c>
      <c r="L71" s="100">
        <f t="shared" si="18"/>
        <v>0</v>
      </c>
      <c r="M71" s="100">
        <f t="shared" si="19"/>
        <v>0</v>
      </c>
      <c r="N71" s="88"/>
      <c r="O71" s="45">
        <v>30000</v>
      </c>
      <c r="P71" s="45">
        <v>40000</v>
      </c>
      <c r="Q71" s="100">
        <f t="shared" si="20"/>
        <v>0</v>
      </c>
      <c r="R71" s="100">
        <v>0</v>
      </c>
      <c r="T71" s="27"/>
      <c r="U71" s="50">
        <f t="shared" si="21"/>
        <v>0</v>
      </c>
    </row>
    <row r="72" spans="1:21" x14ac:dyDescent="0.3">
      <c r="A72" s="13" t="str">
        <f t="shared" si="11"/>
        <v>(40000, 50000]</v>
      </c>
      <c r="B72" s="89">
        <v>0</v>
      </c>
      <c r="C72" s="89">
        <v>0</v>
      </c>
      <c r="D72" s="27">
        <f t="shared" si="12"/>
        <v>0</v>
      </c>
      <c r="E72" s="90">
        <f t="shared" si="13"/>
        <v>0</v>
      </c>
      <c r="F72" s="91"/>
      <c r="G72" s="13" t="str">
        <f t="shared" si="14"/>
        <v>(40000, 50000]</v>
      </c>
      <c r="H72" s="86">
        <v>0</v>
      </c>
      <c r="I72" s="27">
        <f t="shared" si="15"/>
        <v>0</v>
      </c>
      <c r="J72" s="27">
        <f t="shared" si="16"/>
        <v>0</v>
      </c>
      <c r="K72" s="92">
        <f t="shared" si="17"/>
        <v>0</v>
      </c>
      <c r="L72" s="100">
        <f t="shared" si="18"/>
        <v>0</v>
      </c>
      <c r="M72" s="100">
        <f t="shared" si="19"/>
        <v>0</v>
      </c>
      <c r="N72" s="88"/>
      <c r="O72" s="45">
        <v>40000</v>
      </c>
      <c r="P72" s="45">
        <v>50000</v>
      </c>
      <c r="Q72" s="100">
        <f t="shared" si="20"/>
        <v>0</v>
      </c>
      <c r="R72" s="100">
        <v>0</v>
      </c>
      <c r="T72" s="27"/>
      <c r="U72" s="50">
        <f t="shared" si="21"/>
        <v>0</v>
      </c>
    </row>
    <row r="73" spans="1:21" x14ac:dyDescent="0.3">
      <c r="A73" s="13" t="str">
        <f t="shared" si="11"/>
        <v>(50000, 60000]</v>
      </c>
      <c r="B73" s="89">
        <v>0</v>
      </c>
      <c r="C73" s="89">
        <v>0</v>
      </c>
      <c r="D73" s="27">
        <f t="shared" si="12"/>
        <v>0</v>
      </c>
      <c r="E73" s="90">
        <f t="shared" si="13"/>
        <v>0</v>
      </c>
      <c r="F73" s="91"/>
      <c r="G73" s="13" t="str">
        <f t="shared" si="14"/>
        <v>(50000, 60000]</v>
      </c>
      <c r="H73" s="86">
        <v>0</v>
      </c>
      <c r="I73" s="27">
        <f t="shared" si="15"/>
        <v>0</v>
      </c>
      <c r="J73" s="27">
        <f t="shared" si="16"/>
        <v>0</v>
      </c>
      <c r="K73" s="92">
        <f t="shared" si="17"/>
        <v>0</v>
      </c>
      <c r="L73" s="100">
        <f t="shared" si="18"/>
        <v>0</v>
      </c>
      <c r="M73" s="100">
        <f t="shared" si="19"/>
        <v>0</v>
      </c>
      <c r="N73" s="88"/>
      <c r="O73" s="45">
        <v>50000</v>
      </c>
      <c r="P73" s="45">
        <v>60000</v>
      </c>
      <c r="Q73" s="100">
        <f t="shared" si="20"/>
        <v>0</v>
      </c>
      <c r="R73" s="100">
        <v>0</v>
      </c>
      <c r="T73" s="27"/>
      <c r="U73" s="50">
        <f t="shared" si="21"/>
        <v>0</v>
      </c>
    </row>
    <row r="74" spans="1:21" x14ac:dyDescent="0.3">
      <c r="A74" s="13" t="str">
        <f t="shared" si="11"/>
        <v>(60000, 70000]</v>
      </c>
      <c r="B74" s="89">
        <v>0</v>
      </c>
      <c r="C74" s="89">
        <v>0</v>
      </c>
      <c r="D74" s="27">
        <f t="shared" si="12"/>
        <v>0</v>
      </c>
      <c r="E74" s="90">
        <f t="shared" si="13"/>
        <v>0</v>
      </c>
      <c r="F74" s="91"/>
      <c r="G74" s="13" t="str">
        <f t="shared" si="14"/>
        <v>(60000, 70000]</v>
      </c>
      <c r="H74" s="86">
        <v>0</v>
      </c>
      <c r="I74" s="27">
        <f t="shared" si="15"/>
        <v>0</v>
      </c>
      <c r="J74" s="27">
        <f t="shared" si="16"/>
        <v>0</v>
      </c>
      <c r="K74" s="92">
        <f t="shared" si="17"/>
        <v>0</v>
      </c>
      <c r="L74" s="100">
        <f t="shared" si="18"/>
        <v>0</v>
      </c>
      <c r="M74" s="100">
        <f t="shared" si="19"/>
        <v>0</v>
      </c>
      <c r="N74" s="88"/>
      <c r="O74" s="45">
        <v>60000</v>
      </c>
      <c r="P74" s="45">
        <v>70000</v>
      </c>
      <c r="Q74" s="100">
        <f t="shared" si="20"/>
        <v>0</v>
      </c>
      <c r="R74" s="100">
        <v>0</v>
      </c>
      <c r="T74" s="27"/>
      <c r="U74" s="50">
        <f t="shared" si="21"/>
        <v>0</v>
      </c>
    </row>
    <row r="75" spans="1:21" x14ac:dyDescent="0.3">
      <c r="A75" s="13" t="str">
        <f t="shared" si="11"/>
        <v>(70000, 80000]</v>
      </c>
      <c r="B75" s="89">
        <v>0</v>
      </c>
      <c r="C75" s="89">
        <v>0</v>
      </c>
      <c r="D75" s="27">
        <f t="shared" si="12"/>
        <v>0</v>
      </c>
      <c r="E75" s="90">
        <f t="shared" si="13"/>
        <v>0</v>
      </c>
      <c r="F75" s="91"/>
      <c r="G75" s="13" t="str">
        <f t="shared" si="14"/>
        <v>(70000, 80000]</v>
      </c>
      <c r="H75" s="86">
        <v>0</v>
      </c>
      <c r="I75" s="27">
        <f t="shared" si="15"/>
        <v>0</v>
      </c>
      <c r="J75" s="27">
        <f t="shared" si="16"/>
        <v>0</v>
      </c>
      <c r="K75" s="92">
        <f t="shared" si="17"/>
        <v>0</v>
      </c>
      <c r="L75" s="100">
        <f t="shared" si="18"/>
        <v>0</v>
      </c>
      <c r="M75" s="100">
        <f t="shared" si="19"/>
        <v>0</v>
      </c>
      <c r="N75" s="88"/>
      <c r="O75" s="45">
        <v>70000</v>
      </c>
      <c r="P75" s="45">
        <v>80000</v>
      </c>
      <c r="Q75" s="100">
        <f t="shared" si="20"/>
        <v>0</v>
      </c>
      <c r="R75" s="100">
        <v>0</v>
      </c>
      <c r="T75" s="27"/>
      <c r="U75" s="50">
        <f t="shared" si="21"/>
        <v>0</v>
      </c>
    </row>
    <row r="76" spans="1:21" x14ac:dyDescent="0.3">
      <c r="A76" s="13" t="str">
        <f t="shared" si="11"/>
        <v>(80000, 90000]</v>
      </c>
      <c r="B76" s="89">
        <v>0</v>
      </c>
      <c r="C76" s="89">
        <v>0</v>
      </c>
      <c r="D76" s="27">
        <f t="shared" si="12"/>
        <v>0</v>
      </c>
      <c r="E76" s="90">
        <f t="shared" si="13"/>
        <v>0</v>
      </c>
      <c r="F76" s="91"/>
      <c r="G76" s="13" t="str">
        <f t="shared" si="14"/>
        <v>(80000, 90000]</v>
      </c>
      <c r="H76" s="86">
        <v>0</v>
      </c>
      <c r="I76" s="27">
        <f t="shared" si="15"/>
        <v>0</v>
      </c>
      <c r="J76" s="27">
        <f t="shared" si="16"/>
        <v>0</v>
      </c>
      <c r="K76" s="92">
        <f t="shared" si="17"/>
        <v>0</v>
      </c>
      <c r="L76" s="100">
        <f t="shared" si="18"/>
        <v>0</v>
      </c>
      <c r="M76" s="100">
        <f t="shared" si="19"/>
        <v>0</v>
      </c>
      <c r="N76" s="88"/>
      <c r="O76" s="45">
        <v>80000</v>
      </c>
      <c r="P76" s="45">
        <v>90000</v>
      </c>
      <c r="Q76" s="100">
        <f t="shared" si="20"/>
        <v>0</v>
      </c>
      <c r="R76" s="100">
        <v>0</v>
      </c>
      <c r="T76" s="27"/>
      <c r="U76" s="50">
        <f t="shared" si="21"/>
        <v>0</v>
      </c>
    </row>
    <row r="77" spans="1:21" x14ac:dyDescent="0.3">
      <c r="A77" s="13" t="str">
        <f t="shared" si="11"/>
        <v>(90000, 100000]</v>
      </c>
      <c r="B77" s="89">
        <v>0</v>
      </c>
      <c r="C77" s="89">
        <v>0</v>
      </c>
      <c r="D77" s="27">
        <f t="shared" si="12"/>
        <v>0</v>
      </c>
      <c r="E77" s="90">
        <f t="shared" si="13"/>
        <v>0</v>
      </c>
      <c r="F77" s="91"/>
      <c r="G77" s="13" t="str">
        <f t="shared" si="14"/>
        <v>(90000, 100000]</v>
      </c>
      <c r="H77" s="86">
        <v>0</v>
      </c>
      <c r="I77" s="27">
        <f t="shared" si="15"/>
        <v>0</v>
      </c>
      <c r="J77" s="27">
        <f t="shared" si="16"/>
        <v>0</v>
      </c>
      <c r="K77" s="92">
        <f t="shared" si="17"/>
        <v>0</v>
      </c>
      <c r="L77" s="100">
        <f t="shared" si="18"/>
        <v>0</v>
      </c>
      <c r="M77" s="100">
        <f t="shared" si="19"/>
        <v>0</v>
      </c>
      <c r="N77" s="88"/>
      <c r="O77" s="45">
        <v>90000</v>
      </c>
      <c r="P77" s="45">
        <v>100000</v>
      </c>
      <c r="Q77" s="100">
        <f t="shared" si="20"/>
        <v>0</v>
      </c>
      <c r="R77" s="100">
        <v>0</v>
      </c>
      <c r="T77" s="27"/>
      <c r="U77" s="50">
        <f t="shared" si="21"/>
        <v>0</v>
      </c>
    </row>
    <row r="78" spans="1:21" x14ac:dyDescent="0.3">
      <c r="A78" s="13" t="str">
        <f t="shared" si="11"/>
        <v>(100000, 9999999]</v>
      </c>
      <c r="B78" s="89">
        <v>0</v>
      </c>
      <c r="C78" s="89">
        <v>0</v>
      </c>
      <c r="D78" s="27">
        <f t="shared" si="12"/>
        <v>0</v>
      </c>
      <c r="E78" s="90">
        <f t="shared" si="13"/>
        <v>0</v>
      </c>
      <c r="F78" s="91"/>
      <c r="G78" s="13" t="str">
        <f t="shared" si="14"/>
        <v>(100000, 9999999]</v>
      </c>
      <c r="H78" s="86">
        <v>0</v>
      </c>
      <c r="I78" s="27">
        <f t="shared" si="15"/>
        <v>0</v>
      </c>
      <c r="J78" s="27">
        <f t="shared" si="16"/>
        <v>0</v>
      </c>
      <c r="K78" s="92">
        <f t="shared" si="17"/>
        <v>0</v>
      </c>
      <c r="L78" s="100">
        <f t="shared" si="18"/>
        <v>0</v>
      </c>
      <c r="M78" s="100">
        <f t="shared" si="19"/>
        <v>0</v>
      </c>
      <c r="N78" s="88"/>
      <c r="O78" s="45">
        <v>100000</v>
      </c>
      <c r="P78" s="45">
        <v>9999999</v>
      </c>
      <c r="Q78" s="100">
        <f t="shared" si="20"/>
        <v>0</v>
      </c>
      <c r="R78" s="100">
        <v>0</v>
      </c>
      <c r="T78" s="27"/>
      <c r="U78" s="50">
        <f t="shared" si="21"/>
        <v>0</v>
      </c>
    </row>
    <row r="79" spans="1:21" x14ac:dyDescent="0.3">
      <c r="A79" s="13" t="s">
        <v>18</v>
      </c>
      <c r="B79" s="89">
        <v>884620</v>
      </c>
      <c r="C79" s="89">
        <v>191585310</v>
      </c>
      <c r="D79" s="27">
        <f>B79/B13</f>
        <v>8.8462000000000002E-3</v>
      </c>
      <c r="E79" s="90">
        <f t="shared" si="13"/>
        <v>2.1657356831181751</v>
      </c>
      <c r="F79" s="91"/>
      <c r="G79" s="13" t="s">
        <v>18</v>
      </c>
      <c r="H79" s="86">
        <v>0.87630146277497678</v>
      </c>
      <c r="I79" s="27">
        <f t="shared" ref="I79" si="22">D79*H79</f>
        <v>7.7519379999999999E-3</v>
      </c>
      <c r="J79" s="27">
        <f>I79</f>
        <v>7.7519379999999999E-3</v>
      </c>
      <c r="K79" s="92">
        <f t="shared" ref="K79" si="23">INT(J79*$B$2)</f>
        <v>7751938</v>
      </c>
      <c r="L79" s="100">
        <f t="shared" ref="L79" si="24">IFERROR(K79/SUM($K$15:$K$79),0)</f>
        <v>7.6923077075739645E-3</v>
      </c>
      <c r="M79" s="100">
        <f t="shared" ref="M79" si="25">L79*E79</f>
        <v>1.6659505287817903E-2</v>
      </c>
      <c r="Q79" s="100"/>
      <c r="R79" s="100"/>
      <c r="T79" s="30"/>
      <c r="U79" s="30"/>
    </row>
    <row r="81" spans="1:21" x14ac:dyDescent="0.3">
      <c r="A81" s="29"/>
      <c r="B81" s="1"/>
      <c r="C81" s="93"/>
      <c r="D81" s="1"/>
      <c r="E81" s="1"/>
      <c r="G81" s="35"/>
      <c r="H81" s="29"/>
      <c r="I81" s="29"/>
      <c r="J81" s="29"/>
      <c r="K81" s="83"/>
      <c r="L81" s="29"/>
      <c r="M81" s="29"/>
      <c r="Q81" s="29"/>
      <c r="R81" s="29"/>
    </row>
    <row r="82" spans="1:21" s="62" customFormat="1" ht="15.6" customHeight="1" x14ac:dyDescent="0.3">
      <c r="A82" s="63" t="s">
        <v>9</v>
      </c>
      <c r="B82" s="63" t="s">
        <v>18</v>
      </c>
      <c r="C82" s="63"/>
      <c r="D82" s="82"/>
      <c r="E82" s="59"/>
      <c r="F82" s="60"/>
      <c r="G82" s="63" t="s">
        <v>9</v>
      </c>
      <c r="H82" s="63" t="s">
        <v>18</v>
      </c>
      <c r="I82" s="58"/>
      <c r="J82" s="58"/>
      <c r="K82" s="61"/>
      <c r="L82" s="99"/>
      <c r="M82" s="99"/>
      <c r="N82" s="60"/>
      <c r="O82" s="63" t="s">
        <v>9</v>
      </c>
      <c r="P82" s="63" t="s">
        <v>18</v>
      </c>
      <c r="Q82" s="99"/>
      <c r="R82" s="99"/>
    </row>
    <row r="83" spans="1:21" x14ac:dyDescent="0.3">
      <c r="A83" s="29"/>
      <c r="B83" s="1"/>
      <c r="C83" s="1"/>
      <c r="D83" s="1"/>
      <c r="E83" s="1"/>
      <c r="G83" s="35"/>
      <c r="H83" s="29"/>
      <c r="I83" s="29"/>
      <c r="J83" s="29"/>
      <c r="K83" s="29"/>
      <c r="L83" s="29"/>
      <c r="M83" s="29"/>
      <c r="Q83" s="29"/>
      <c r="R83" s="29"/>
    </row>
    <row r="84" spans="1:21" x14ac:dyDescent="0.3">
      <c r="A84" s="48" t="s">
        <v>100</v>
      </c>
      <c r="B84" s="48"/>
      <c r="C84" s="1"/>
      <c r="D84" s="1"/>
      <c r="E84" s="1"/>
      <c r="G84" s="48" t="s">
        <v>101</v>
      </c>
      <c r="H84" s="29"/>
      <c r="I84" s="29"/>
      <c r="J84" s="29"/>
      <c r="K84" s="29"/>
      <c r="L84" s="29"/>
      <c r="M84" s="29"/>
      <c r="Q84" s="29"/>
      <c r="R84" s="29"/>
    </row>
    <row r="85" spans="1:21" x14ac:dyDescent="0.3">
      <c r="A85" s="9" t="s">
        <v>19</v>
      </c>
      <c r="B85" s="9" t="s">
        <v>102</v>
      </c>
      <c r="C85" s="9" t="s">
        <v>103</v>
      </c>
      <c r="D85" s="9" t="s">
        <v>94</v>
      </c>
      <c r="E85" s="9" t="s">
        <v>104</v>
      </c>
      <c r="G85" s="9" t="s">
        <v>19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94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 x14ac:dyDescent="0.3">
      <c r="A86" s="13" t="str">
        <f t="shared" ref="A86:A117" si="26">"("&amp;$O86&amp;", "&amp;$P86&amp;"]"</f>
        <v>(-1, 0]</v>
      </c>
      <c r="B86" s="84">
        <v>665</v>
      </c>
      <c r="C86" s="84">
        <v>0</v>
      </c>
      <c r="D86" s="27">
        <f t="shared" ref="D86:D117" si="27">IFERROR(B86/SUM($B$86:$B$149),0)</f>
        <v>7.3617974741838922E-4</v>
      </c>
      <c r="E86" s="85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6">
        <v>0</v>
      </c>
      <c r="I86" s="27">
        <f t="shared" ref="I86:I117" si="30">D86*H86</f>
        <v>0</v>
      </c>
      <c r="J86" s="27">
        <f t="shared" ref="J86:J117" si="31">IFERROR(I86/SUM($I$86:$I$149),0)</f>
        <v>0</v>
      </c>
      <c r="K86" s="87">
        <f t="shared" ref="K86:K117" si="32">INT(J86*$B$2)</f>
        <v>0</v>
      </c>
      <c r="L86" s="100">
        <f t="shared" ref="L86:L117" si="33">IFERROR(K86/SUM($K$86:$K$149),0)</f>
        <v>0</v>
      </c>
      <c r="M86" s="100">
        <f t="shared" ref="M86:M117" si="34">L86*E86</f>
        <v>0</v>
      </c>
      <c r="N86" s="88"/>
      <c r="O86" s="49">
        <v>-1</v>
      </c>
      <c r="P86" s="49">
        <v>0</v>
      </c>
      <c r="Q86" s="100">
        <f t="shared" ref="Q86:Q117" si="35">L86</f>
        <v>0</v>
      </c>
      <c r="R86" s="100">
        <v>2.069E-2</v>
      </c>
      <c r="T86" s="27"/>
      <c r="U86" s="50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9">
        <v>2570</v>
      </c>
      <c r="C87" s="89">
        <v>147410</v>
      </c>
      <c r="D87" s="27">
        <f t="shared" si="27"/>
        <v>2.8450856403988878E-3</v>
      </c>
      <c r="E87" s="90">
        <f t="shared" si="28"/>
        <v>0.57357976653696496</v>
      </c>
      <c r="G87" s="13" t="str">
        <f t="shared" si="29"/>
        <v>(0, 1]</v>
      </c>
      <c r="H87" s="86">
        <v>0</v>
      </c>
      <c r="I87" s="27">
        <f t="shared" si="30"/>
        <v>0</v>
      </c>
      <c r="J87" s="27">
        <f t="shared" si="31"/>
        <v>0</v>
      </c>
      <c r="K87" s="87">
        <f t="shared" si="32"/>
        <v>0</v>
      </c>
      <c r="L87" s="100">
        <f t="shared" si="33"/>
        <v>0</v>
      </c>
      <c r="M87" s="100">
        <f t="shared" si="34"/>
        <v>0</v>
      </c>
      <c r="N87" s="88"/>
      <c r="O87" s="45">
        <v>0</v>
      </c>
      <c r="P87" s="45">
        <v>1</v>
      </c>
      <c r="Q87" s="100">
        <f t="shared" si="35"/>
        <v>0</v>
      </c>
      <c r="R87" s="100">
        <v>6.8970000000000004E-3</v>
      </c>
      <c r="T87" s="27"/>
      <c r="U87" s="50">
        <f t="shared" si="36"/>
        <v>0</v>
      </c>
    </row>
    <row r="88" spans="1:21" x14ac:dyDescent="0.3">
      <c r="A88" s="13" t="str">
        <f t="shared" si="26"/>
        <v>(1, 2]</v>
      </c>
      <c r="B88" s="89">
        <v>2952</v>
      </c>
      <c r="C88" s="89">
        <v>464050</v>
      </c>
      <c r="D88" s="27">
        <f t="shared" si="27"/>
        <v>3.2679738562091504E-3</v>
      </c>
      <c r="E88" s="90">
        <f t="shared" si="28"/>
        <v>1.5719850948509486</v>
      </c>
      <c r="F88" s="51"/>
      <c r="G88" s="13" t="str">
        <f t="shared" si="29"/>
        <v>(1, 2]</v>
      </c>
      <c r="H88" s="86">
        <v>0</v>
      </c>
      <c r="I88" s="27">
        <f t="shared" si="30"/>
        <v>0</v>
      </c>
      <c r="J88" s="27">
        <f t="shared" si="31"/>
        <v>0</v>
      </c>
      <c r="K88" s="87">
        <f t="shared" si="32"/>
        <v>0</v>
      </c>
      <c r="L88" s="100">
        <f t="shared" si="33"/>
        <v>0</v>
      </c>
      <c r="M88" s="100">
        <f t="shared" si="34"/>
        <v>0</v>
      </c>
      <c r="N88" s="67"/>
      <c r="O88" s="45">
        <v>1</v>
      </c>
      <c r="P88" s="45">
        <v>2</v>
      </c>
      <c r="Q88" s="100">
        <f t="shared" si="35"/>
        <v>0</v>
      </c>
      <c r="R88" s="100">
        <v>6.8970000000000004E-3</v>
      </c>
      <c r="T88" s="27"/>
      <c r="U88" s="50">
        <f t="shared" si="36"/>
        <v>0</v>
      </c>
    </row>
    <row r="89" spans="1:21" x14ac:dyDescent="0.3">
      <c r="A89" s="13" t="str">
        <f t="shared" si="26"/>
        <v>(2, 3]</v>
      </c>
      <c r="B89" s="89">
        <v>3190</v>
      </c>
      <c r="C89" s="89">
        <v>818790</v>
      </c>
      <c r="D89" s="27">
        <f t="shared" si="27"/>
        <v>3.5314487131799422E-3</v>
      </c>
      <c r="E89" s="90">
        <f t="shared" si="28"/>
        <v>2.566739811912226</v>
      </c>
      <c r="F89" s="88"/>
      <c r="G89" s="13" t="str">
        <f t="shared" si="29"/>
        <v>(2, 3]</v>
      </c>
      <c r="H89" s="86">
        <v>0</v>
      </c>
      <c r="I89" s="27">
        <f t="shared" si="30"/>
        <v>0</v>
      </c>
      <c r="J89" s="27">
        <f t="shared" si="31"/>
        <v>0</v>
      </c>
      <c r="K89" s="87">
        <f t="shared" si="32"/>
        <v>0</v>
      </c>
      <c r="L89" s="100">
        <f t="shared" si="33"/>
        <v>0</v>
      </c>
      <c r="M89" s="100">
        <f t="shared" si="34"/>
        <v>0</v>
      </c>
      <c r="N89" s="67"/>
      <c r="O89" s="45">
        <v>2</v>
      </c>
      <c r="P89" s="45">
        <v>3</v>
      </c>
      <c r="Q89" s="100">
        <f t="shared" si="35"/>
        <v>0</v>
      </c>
      <c r="R89" s="100">
        <v>6.8970000000000004E-3</v>
      </c>
      <c r="T89" s="27"/>
      <c r="U89" s="50">
        <f t="shared" si="36"/>
        <v>0</v>
      </c>
    </row>
    <row r="90" spans="1:21" x14ac:dyDescent="0.3">
      <c r="A90" s="13" t="str">
        <f t="shared" si="26"/>
        <v>(3, 4]</v>
      </c>
      <c r="B90" s="89">
        <v>3085</v>
      </c>
      <c r="C90" s="89">
        <v>1101530</v>
      </c>
      <c r="D90" s="27">
        <f t="shared" si="27"/>
        <v>3.4152098056928282E-3</v>
      </c>
      <c r="E90" s="90">
        <f t="shared" si="28"/>
        <v>3.5705996758508918</v>
      </c>
      <c r="F90" s="88"/>
      <c r="G90" s="13" t="str">
        <f t="shared" si="29"/>
        <v>(3, 4]</v>
      </c>
      <c r="H90" s="86">
        <v>0</v>
      </c>
      <c r="I90" s="27">
        <f t="shared" si="30"/>
        <v>0</v>
      </c>
      <c r="J90" s="27">
        <f t="shared" si="31"/>
        <v>0</v>
      </c>
      <c r="K90" s="87">
        <f t="shared" si="32"/>
        <v>0</v>
      </c>
      <c r="L90" s="100">
        <f t="shared" si="33"/>
        <v>0</v>
      </c>
      <c r="M90" s="100">
        <f t="shared" si="34"/>
        <v>0</v>
      </c>
      <c r="N90" s="67"/>
      <c r="O90" s="45">
        <v>3</v>
      </c>
      <c r="P90" s="45">
        <v>4</v>
      </c>
      <c r="Q90" s="100">
        <f t="shared" si="35"/>
        <v>0</v>
      </c>
      <c r="R90" s="100">
        <v>6.8970000000000004E-3</v>
      </c>
      <c r="T90" s="27"/>
      <c r="U90" s="50">
        <f t="shared" si="36"/>
        <v>0</v>
      </c>
    </row>
    <row r="91" spans="1:21" x14ac:dyDescent="0.3">
      <c r="A91" s="13" t="str">
        <f t="shared" si="26"/>
        <v>(4, 5]</v>
      </c>
      <c r="B91" s="89">
        <v>3243</v>
      </c>
      <c r="C91" s="89">
        <v>1483760</v>
      </c>
      <c r="D91" s="27">
        <f t="shared" si="27"/>
        <v>3.5901216855305806E-3</v>
      </c>
      <c r="E91" s="90">
        <f t="shared" si="28"/>
        <v>4.575269811902559</v>
      </c>
      <c r="F91" s="88"/>
      <c r="G91" s="13" t="str">
        <f t="shared" si="29"/>
        <v>(4, 5]</v>
      </c>
      <c r="H91" s="86">
        <v>0</v>
      </c>
      <c r="I91" s="27">
        <f t="shared" si="30"/>
        <v>0</v>
      </c>
      <c r="J91" s="27">
        <f t="shared" si="31"/>
        <v>0</v>
      </c>
      <c r="K91" s="87">
        <f t="shared" si="32"/>
        <v>0</v>
      </c>
      <c r="L91" s="100">
        <f t="shared" si="33"/>
        <v>0</v>
      </c>
      <c r="M91" s="100">
        <f t="shared" si="34"/>
        <v>0</v>
      </c>
      <c r="N91" s="67"/>
      <c r="O91" s="45">
        <v>4</v>
      </c>
      <c r="P91" s="45">
        <v>5</v>
      </c>
      <c r="Q91" s="100">
        <f t="shared" si="35"/>
        <v>0</v>
      </c>
      <c r="R91" s="100">
        <v>6.8970000000000004E-3</v>
      </c>
      <c r="T91" s="27"/>
      <c r="U91" s="50">
        <f t="shared" si="36"/>
        <v>0</v>
      </c>
    </row>
    <row r="92" spans="1:21" x14ac:dyDescent="0.3">
      <c r="A92" s="13" t="str">
        <f t="shared" si="26"/>
        <v>(5, 6]</v>
      </c>
      <c r="B92" s="89">
        <v>3363</v>
      </c>
      <c r="C92" s="89">
        <v>1870270</v>
      </c>
      <c r="D92" s="27">
        <f t="shared" si="27"/>
        <v>3.7229661512301398E-3</v>
      </c>
      <c r="E92" s="90">
        <f t="shared" si="28"/>
        <v>5.5613143027059175</v>
      </c>
      <c r="F92" s="88"/>
      <c r="G92" s="13" t="str">
        <f t="shared" si="29"/>
        <v>(5, 6]</v>
      </c>
      <c r="H92" s="86">
        <v>7.9664006588403211</v>
      </c>
      <c r="I92" s="27">
        <f t="shared" si="30"/>
        <v>2.965864E-2</v>
      </c>
      <c r="J92" s="27">
        <f t="shared" si="31"/>
        <v>2.965864E-2</v>
      </c>
      <c r="K92" s="87">
        <f t="shared" si="32"/>
        <v>29658640</v>
      </c>
      <c r="L92" s="100">
        <f t="shared" si="33"/>
        <v>2.965864E-2</v>
      </c>
      <c r="M92" s="100">
        <f t="shared" si="34"/>
        <v>0.16494101883080584</v>
      </c>
      <c r="N92" s="67"/>
      <c r="O92" s="45">
        <v>5</v>
      </c>
      <c r="P92" s="45">
        <v>6</v>
      </c>
      <c r="Q92" s="100">
        <f t="shared" si="35"/>
        <v>2.965864E-2</v>
      </c>
      <c r="R92" s="100">
        <v>6.8970000000000004E-3</v>
      </c>
      <c r="T92" s="27"/>
      <c r="U92" s="50">
        <f t="shared" si="36"/>
        <v>0</v>
      </c>
    </row>
    <row r="93" spans="1:21" x14ac:dyDescent="0.3">
      <c r="A93" s="13" t="str">
        <f t="shared" si="26"/>
        <v>(6, 7]</v>
      </c>
      <c r="B93" s="89">
        <v>3253</v>
      </c>
      <c r="C93" s="89">
        <v>2130620</v>
      </c>
      <c r="D93" s="27">
        <f t="shared" si="27"/>
        <v>3.6011920576722108E-3</v>
      </c>
      <c r="E93" s="90">
        <f t="shared" si="28"/>
        <v>6.5497079618813405</v>
      </c>
      <c r="F93" s="88"/>
      <c r="G93" s="13" t="str">
        <f t="shared" si="29"/>
        <v>(6, 7]</v>
      </c>
      <c r="H93" s="86">
        <v>7.1323282925939138</v>
      </c>
      <c r="I93" s="27">
        <f t="shared" si="30"/>
        <v>2.5684884000000002E-2</v>
      </c>
      <c r="J93" s="27">
        <f t="shared" si="31"/>
        <v>2.5684884000000002E-2</v>
      </c>
      <c r="K93" s="87">
        <f t="shared" si="32"/>
        <v>25684884</v>
      </c>
      <c r="L93" s="100">
        <f t="shared" si="33"/>
        <v>2.5684884000000002E-2</v>
      </c>
      <c r="M93" s="100">
        <f t="shared" si="34"/>
        <v>0.16822848923479866</v>
      </c>
      <c r="N93" s="88"/>
      <c r="O93" s="45">
        <v>6</v>
      </c>
      <c r="P93" s="45">
        <v>7</v>
      </c>
      <c r="Q93" s="100">
        <f t="shared" si="35"/>
        <v>2.5684884000000002E-2</v>
      </c>
      <c r="R93" s="100">
        <v>2.069E-2</v>
      </c>
      <c r="T93" s="27"/>
      <c r="U93" s="50">
        <f t="shared" si="36"/>
        <v>0</v>
      </c>
    </row>
    <row r="94" spans="1:21" x14ac:dyDescent="0.3">
      <c r="A94" s="13" t="str">
        <f t="shared" si="26"/>
        <v>(7, 8]</v>
      </c>
      <c r="B94" s="89">
        <v>3352</v>
      </c>
      <c r="C94" s="89">
        <v>2531820</v>
      </c>
      <c r="D94" s="27">
        <f t="shared" si="27"/>
        <v>3.7107887418743467E-3</v>
      </c>
      <c r="E94" s="90">
        <f t="shared" si="28"/>
        <v>7.5531622911694516</v>
      </c>
      <c r="F94" s="88"/>
      <c r="G94" s="13" t="str">
        <f t="shared" si="29"/>
        <v>(7, 8]</v>
      </c>
      <c r="H94" s="86">
        <v>7.4571833442673032</v>
      </c>
      <c r="I94" s="27">
        <f t="shared" si="30"/>
        <v>2.7672031999999999E-2</v>
      </c>
      <c r="J94" s="27">
        <f t="shared" si="31"/>
        <v>2.7672031999999999E-2</v>
      </c>
      <c r="K94" s="87">
        <f t="shared" si="32"/>
        <v>27672032</v>
      </c>
      <c r="L94" s="100">
        <f t="shared" si="33"/>
        <v>2.7672031999999999E-2</v>
      </c>
      <c r="M94" s="100">
        <f t="shared" si="34"/>
        <v>0.20901134862243437</v>
      </c>
      <c r="N94" s="88"/>
      <c r="O94" s="45">
        <v>7</v>
      </c>
      <c r="P94" s="45">
        <v>8</v>
      </c>
      <c r="Q94" s="100">
        <f t="shared" si="35"/>
        <v>2.7672031999999999E-2</v>
      </c>
      <c r="R94" s="100">
        <v>0</v>
      </c>
      <c r="T94" s="27"/>
      <c r="U94" s="50">
        <f t="shared" si="36"/>
        <v>0</v>
      </c>
    </row>
    <row r="95" spans="1:21" x14ac:dyDescent="0.3">
      <c r="A95" s="13" t="str">
        <f t="shared" si="26"/>
        <v>(8, 9]</v>
      </c>
      <c r="B95" s="89">
        <v>3325</v>
      </c>
      <c r="C95" s="89">
        <v>2846900</v>
      </c>
      <c r="D95" s="27">
        <f t="shared" si="27"/>
        <v>3.6808987370919462E-3</v>
      </c>
      <c r="E95" s="90">
        <f t="shared" si="28"/>
        <v>8.5621052631578944</v>
      </c>
      <c r="F95" s="88"/>
      <c r="G95" s="13" t="str">
        <f t="shared" si="29"/>
        <v>(8, 9]</v>
      </c>
      <c r="H95" s="86">
        <v>7.242239981059849</v>
      </c>
      <c r="I95" s="27">
        <f t="shared" si="30"/>
        <v>2.6657951999999999E-2</v>
      </c>
      <c r="J95" s="27">
        <f t="shared" si="31"/>
        <v>2.6657951999999999E-2</v>
      </c>
      <c r="K95" s="87">
        <f t="shared" si="32"/>
        <v>26657952</v>
      </c>
      <c r="L95" s="100">
        <f t="shared" si="33"/>
        <v>2.6657951999999999E-2</v>
      </c>
      <c r="M95" s="100">
        <f t="shared" si="34"/>
        <v>0.22824819112421052</v>
      </c>
      <c r="N95" s="88"/>
      <c r="O95" s="45">
        <v>8</v>
      </c>
      <c r="P95" s="45">
        <v>9</v>
      </c>
      <c r="Q95" s="100">
        <f t="shared" si="35"/>
        <v>2.6657951999999999E-2</v>
      </c>
      <c r="R95" s="100">
        <v>6.8970000000000004E-3</v>
      </c>
      <c r="T95" s="27"/>
      <c r="U95" s="50">
        <f t="shared" si="36"/>
        <v>0</v>
      </c>
    </row>
    <row r="96" spans="1:21" x14ac:dyDescent="0.3">
      <c r="A96" s="13" t="str">
        <f t="shared" si="26"/>
        <v>(9, 10]</v>
      </c>
      <c r="B96" s="89">
        <v>3492</v>
      </c>
      <c r="C96" s="89">
        <v>3338370</v>
      </c>
      <c r="D96" s="27">
        <f t="shared" si="27"/>
        <v>3.8657739518571654E-3</v>
      </c>
      <c r="E96" s="90">
        <f t="shared" si="28"/>
        <v>9.5600515463917528</v>
      </c>
      <c r="F96" s="88"/>
      <c r="G96" s="13" t="str">
        <f t="shared" si="29"/>
        <v>(9, 10]</v>
      </c>
      <c r="H96" s="86">
        <v>7.4181000640824744</v>
      </c>
      <c r="I96" s="27">
        <f t="shared" si="30"/>
        <v>2.8676698E-2</v>
      </c>
      <c r="J96" s="27">
        <f t="shared" si="31"/>
        <v>2.8676698E-2</v>
      </c>
      <c r="K96" s="87">
        <f t="shared" si="32"/>
        <v>28676698</v>
      </c>
      <c r="L96" s="100">
        <f t="shared" si="33"/>
        <v>2.8676698E-2</v>
      </c>
      <c r="M96" s="100">
        <f t="shared" si="34"/>
        <v>0.2741507110603093</v>
      </c>
      <c r="N96" s="88"/>
      <c r="O96" s="45">
        <v>9</v>
      </c>
      <c r="P96" s="45">
        <v>10</v>
      </c>
      <c r="Q96" s="100">
        <f t="shared" si="35"/>
        <v>2.8676698E-2</v>
      </c>
      <c r="R96" s="100">
        <v>0</v>
      </c>
      <c r="T96" s="27"/>
      <c r="U96" s="50">
        <f t="shared" si="36"/>
        <v>0</v>
      </c>
    </row>
    <row r="97" spans="1:21" x14ac:dyDescent="0.3">
      <c r="A97" s="13" t="str">
        <f t="shared" si="26"/>
        <v>(10, 15]</v>
      </c>
      <c r="B97" s="89">
        <v>17430</v>
      </c>
      <c r="C97" s="89">
        <v>21901860</v>
      </c>
      <c r="D97" s="27">
        <f t="shared" si="27"/>
        <v>1.9295658642860938E-2</v>
      </c>
      <c r="E97" s="90">
        <f t="shared" si="28"/>
        <v>12.565611015490534</v>
      </c>
      <c r="F97" s="88"/>
      <c r="G97" s="13" t="str">
        <f t="shared" si="29"/>
        <v>(10, 15]</v>
      </c>
      <c r="H97" s="86">
        <v>6.5888456234189325</v>
      </c>
      <c r="I97" s="27">
        <f t="shared" si="30"/>
        <v>0.12713611599999999</v>
      </c>
      <c r="J97" s="27">
        <f t="shared" si="31"/>
        <v>0.12713611599999999</v>
      </c>
      <c r="K97" s="87">
        <f t="shared" si="32"/>
        <v>127136116</v>
      </c>
      <c r="L97" s="100">
        <f t="shared" si="33"/>
        <v>0.12713611599999999</v>
      </c>
      <c r="M97" s="100">
        <f t="shared" si="34"/>
        <v>1.5975429796762821</v>
      </c>
      <c r="N97" s="88"/>
      <c r="O97" s="45">
        <v>10</v>
      </c>
      <c r="P97" s="45">
        <v>15</v>
      </c>
      <c r="Q97" s="100">
        <f t="shared" si="35"/>
        <v>0.12713611599999999</v>
      </c>
      <c r="R97" s="100">
        <v>6.2068999999999999E-2</v>
      </c>
      <c r="T97" s="27"/>
      <c r="U97" s="50">
        <f t="shared" si="36"/>
        <v>0</v>
      </c>
    </row>
    <row r="98" spans="1:21" x14ac:dyDescent="0.3">
      <c r="A98" s="13" t="str">
        <f t="shared" si="26"/>
        <v>(15, 20]</v>
      </c>
      <c r="B98" s="89">
        <v>17780</v>
      </c>
      <c r="C98" s="89">
        <v>31214840</v>
      </c>
      <c r="D98" s="27">
        <f t="shared" si="27"/>
        <v>1.9683121667817986E-2</v>
      </c>
      <c r="E98" s="90">
        <f t="shared" si="28"/>
        <v>17.556152980877393</v>
      </c>
      <c r="F98" s="88"/>
      <c r="G98" s="13" t="str">
        <f t="shared" si="29"/>
        <v>(15, 20]</v>
      </c>
      <c r="H98" s="86">
        <v>4.6899614582443192</v>
      </c>
      <c r="I98" s="27">
        <f t="shared" si="30"/>
        <v>9.2313082000000005E-2</v>
      </c>
      <c r="J98" s="27">
        <f t="shared" si="31"/>
        <v>9.2313082000000005E-2</v>
      </c>
      <c r="K98" s="87">
        <f t="shared" si="32"/>
        <v>92313082</v>
      </c>
      <c r="L98" s="100">
        <f t="shared" si="33"/>
        <v>9.2313082000000005E-2</v>
      </c>
      <c r="M98" s="100">
        <f t="shared" si="34"/>
        <v>1.6206625897282794</v>
      </c>
      <c r="N98" s="88"/>
      <c r="O98" s="45">
        <v>15</v>
      </c>
      <c r="P98" s="45">
        <v>20</v>
      </c>
      <c r="Q98" s="100">
        <f t="shared" si="35"/>
        <v>9.2313082000000005E-2</v>
      </c>
      <c r="R98" s="100">
        <v>2.7585999999999999E-2</v>
      </c>
      <c r="T98" s="27"/>
      <c r="U98" s="50">
        <f t="shared" si="36"/>
        <v>0</v>
      </c>
    </row>
    <row r="99" spans="1:21" x14ac:dyDescent="0.3">
      <c r="A99" s="13" t="str">
        <f t="shared" si="26"/>
        <v>(20, 25]</v>
      </c>
      <c r="B99" s="89">
        <v>18010</v>
      </c>
      <c r="C99" s="89">
        <v>40636630</v>
      </c>
      <c r="D99" s="27">
        <f t="shared" si="27"/>
        <v>1.9937740227075472E-2</v>
      </c>
      <c r="E99" s="90">
        <f t="shared" si="28"/>
        <v>22.563370349805663</v>
      </c>
      <c r="F99" s="88"/>
      <c r="G99" s="13" t="str">
        <f t="shared" si="29"/>
        <v>(20, 25]</v>
      </c>
      <c r="H99" s="86">
        <v>4.595273534338701</v>
      </c>
      <c r="I99" s="27">
        <f t="shared" si="30"/>
        <v>9.1619370000000006E-2</v>
      </c>
      <c r="J99" s="27">
        <f t="shared" si="31"/>
        <v>9.1619370000000006E-2</v>
      </c>
      <c r="K99" s="87">
        <f t="shared" si="32"/>
        <v>91619370</v>
      </c>
      <c r="L99" s="100">
        <f t="shared" si="33"/>
        <v>9.1619370000000006E-2</v>
      </c>
      <c r="M99" s="100">
        <f t="shared" si="34"/>
        <v>2.0672417765258744</v>
      </c>
      <c r="N99" s="88"/>
      <c r="O99" s="45">
        <v>20</v>
      </c>
      <c r="P99" s="45">
        <v>25</v>
      </c>
      <c r="Q99" s="100">
        <f t="shared" si="35"/>
        <v>9.1619370000000006E-2</v>
      </c>
      <c r="R99" s="100">
        <v>2.069E-2</v>
      </c>
      <c r="T99" s="27"/>
      <c r="U99" s="50">
        <f t="shared" si="36"/>
        <v>0</v>
      </c>
    </row>
    <row r="100" spans="1:21" x14ac:dyDescent="0.3">
      <c r="A100" s="13" t="str">
        <f t="shared" si="26"/>
        <v>(25, 30]</v>
      </c>
      <c r="B100" s="89">
        <v>18190</v>
      </c>
      <c r="C100" s="89">
        <v>50129430</v>
      </c>
      <c r="D100" s="27">
        <f t="shared" si="27"/>
        <v>2.0137006925624812E-2</v>
      </c>
      <c r="E100" s="90">
        <f t="shared" si="28"/>
        <v>27.558785046728971</v>
      </c>
      <c r="F100" s="88"/>
      <c r="G100" s="13" t="str">
        <f t="shared" si="29"/>
        <v>(25, 30]</v>
      </c>
      <c r="H100" s="86">
        <v>3.646540534609346</v>
      </c>
      <c r="I100" s="27">
        <f t="shared" si="30"/>
        <v>7.3430412E-2</v>
      </c>
      <c r="J100" s="27">
        <f t="shared" si="31"/>
        <v>7.3430412E-2</v>
      </c>
      <c r="K100" s="87">
        <f t="shared" si="32"/>
        <v>73430412</v>
      </c>
      <c r="L100" s="100">
        <f t="shared" si="33"/>
        <v>7.3430412E-2</v>
      </c>
      <c r="M100" s="100">
        <f t="shared" si="34"/>
        <v>2.0236529402007477</v>
      </c>
      <c r="N100" s="88"/>
      <c r="O100" s="45">
        <v>25</v>
      </c>
      <c r="P100" s="45">
        <v>30</v>
      </c>
      <c r="Q100" s="100">
        <f t="shared" si="35"/>
        <v>7.3430412E-2</v>
      </c>
      <c r="R100" s="100">
        <v>8.9654999999999999E-2</v>
      </c>
      <c r="T100" s="27"/>
      <c r="U100" s="50">
        <f t="shared" si="36"/>
        <v>0</v>
      </c>
    </row>
    <row r="101" spans="1:21" x14ac:dyDescent="0.3">
      <c r="A101" s="13" t="str">
        <f t="shared" si="26"/>
        <v>(30, 35]</v>
      </c>
      <c r="B101" s="89">
        <v>18466</v>
      </c>
      <c r="C101" s="89">
        <v>60125590</v>
      </c>
      <c r="D101" s="27">
        <f t="shared" si="27"/>
        <v>2.0442549196733797E-2</v>
      </c>
      <c r="E101" s="90">
        <f t="shared" si="28"/>
        <v>32.560159211523882</v>
      </c>
      <c r="F101" s="88"/>
      <c r="G101" s="13" t="str">
        <f t="shared" si="29"/>
        <v>(30, 35]</v>
      </c>
      <c r="H101" s="86">
        <v>3.229568502667389</v>
      </c>
      <c r="I101" s="27">
        <f t="shared" si="30"/>
        <v>6.6020613000000006E-2</v>
      </c>
      <c r="J101" s="27">
        <f t="shared" si="31"/>
        <v>6.6020613000000006E-2</v>
      </c>
      <c r="K101" s="87">
        <f t="shared" si="32"/>
        <v>66020613</v>
      </c>
      <c r="L101" s="100">
        <f t="shared" si="33"/>
        <v>6.6020613000000006E-2</v>
      </c>
      <c r="M101" s="100">
        <f t="shared" si="34"/>
        <v>2.1496416705224037</v>
      </c>
      <c r="N101" s="88"/>
      <c r="O101" s="45">
        <v>30</v>
      </c>
      <c r="P101" s="45">
        <v>35</v>
      </c>
      <c r="Q101" s="100">
        <f t="shared" si="35"/>
        <v>6.6020613000000006E-2</v>
      </c>
      <c r="R101" s="100">
        <v>3.4483E-2</v>
      </c>
      <c r="T101" s="27"/>
      <c r="U101" s="50">
        <f t="shared" si="36"/>
        <v>0</v>
      </c>
    </row>
    <row r="102" spans="1:21" x14ac:dyDescent="0.3">
      <c r="A102" s="13" t="str">
        <f t="shared" si="26"/>
        <v>(35, 40]</v>
      </c>
      <c r="B102" s="89">
        <v>18563</v>
      </c>
      <c r="C102" s="89">
        <v>69737690</v>
      </c>
      <c r="D102" s="27">
        <f t="shared" si="27"/>
        <v>2.0549931806507608E-2</v>
      </c>
      <c r="E102" s="90">
        <f t="shared" si="28"/>
        <v>37.568113990195549</v>
      </c>
      <c r="F102" s="88"/>
      <c r="G102" s="13" t="str">
        <f t="shared" si="29"/>
        <v>(35, 40]</v>
      </c>
      <c r="H102" s="86">
        <v>3.1111544603643808</v>
      </c>
      <c r="I102" s="27">
        <f t="shared" si="30"/>
        <v>6.3934011999999998E-2</v>
      </c>
      <c r="J102" s="27">
        <f t="shared" si="31"/>
        <v>6.3934011999999998E-2</v>
      </c>
      <c r="K102" s="87">
        <f t="shared" si="32"/>
        <v>63934012</v>
      </c>
      <c r="L102" s="100">
        <f t="shared" si="33"/>
        <v>6.3934011999999998E-2</v>
      </c>
      <c r="M102" s="100">
        <f t="shared" si="34"/>
        <v>2.40188025066653</v>
      </c>
      <c r="N102" s="88"/>
      <c r="O102" s="45">
        <v>35</v>
      </c>
      <c r="P102" s="45">
        <v>40</v>
      </c>
      <c r="Q102" s="100">
        <f t="shared" si="35"/>
        <v>6.3934011999999998E-2</v>
      </c>
      <c r="R102" s="100">
        <v>6.2068999999999999E-2</v>
      </c>
      <c r="T102" s="27"/>
      <c r="U102" s="50">
        <f t="shared" si="36"/>
        <v>0</v>
      </c>
    </row>
    <row r="103" spans="1:21" x14ac:dyDescent="0.3">
      <c r="A103" s="13" t="str">
        <f t="shared" si="26"/>
        <v>(40, 45]</v>
      </c>
      <c r="B103" s="89">
        <v>18326</v>
      </c>
      <c r="C103" s="89">
        <v>77995350</v>
      </c>
      <c r="D103" s="27">
        <f t="shared" si="27"/>
        <v>2.0287563986750978E-2</v>
      </c>
      <c r="E103" s="90">
        <f t="shared" si="28"/>
        <v>42.55994215868165</v>
      </c>
      <c r="F103" s="88"/>
      <c r="G103" s="13" t="str">
        <f t="shared" si="29"/>
        <v>(40, 45]</v>
      </c>
      <c r="H103" s="86">
        <v>3.3782049458849723</v>
      </c>
      <c r="I103" s="27">
        <f t="shared" si="30"/>
        <v>6.8535549000000001E-2</v>
      </c>
      <c r="J103" s="27">
        <f t="shared" si="31"/>
        <v>6.8535549000000001E-2</v>
      </c>
      <c r="K103" s="87">
        <f t="shared" si="32"/>
        <v>68535549</v>
      </c>
      <c r="L103" s="100">
        <f t="shared" si="33"/>
        <v>6.8535549000000001E-2</v>
      </c>
      <c r="M103" s="100">
        <f t="shared" si="34"/>
        <v>2.9168690012534921</v>
      </c>
      <c r="N103" s="88"/>
      <c r="O103" s="45">
        <v>40</v>
      </c>
      <c r="P103" s="45">
        <v>45</v>
      </c>
      <c r="Q103" s="100">
        <f t="shared" si="35"/>
        <v>6.8535549000000001E-2</v>
      </c>
      <c r="R103" s="100">
        <v>5.5171999999999999E-2</v>
      </c>
      <c r="T103" s="27"/>
      <c r="U103" s="50">
        <f t="shared" si="36"/>
        <v>0</v>
      </c>
    </row>
    <row r="104" spans="1:21" x14ac:dyDescent="0.3">
      <c r="A104" s="13" t="str">
        <f t="shared" si="26"/>
        <v>(45, 50]</v>
      </c>
      <c r="B104" s="89">
        <v>18369</v>
      </c>
      <c r="C104" s="89">
        <v>87342830</v>
      </c>
      <c r="D104" s="27">
        <f t="shared" si="27"/>
        <v>2.0335166586959986E-2</v>
      </c>
      <c r="E104" s="90">
        <f t="shared" si="28"/>
        <v>47.549039142032768</v>
      </c>
      <c r="F104" s="88"/>
      <c r="G104" s="13" t="str">
        <f t="shared" si="29"/>
        <v>(45, 50]</v>
      </c>
      <c r="H104" s="86">
        <v>2.902644772915238</v>
      </c>
      <c r="I104" s="27">
        <f t="shared" si="30"/>
        <v>5.9025765000000001E-2</v>
      </c>
      <c r="J104" s="27">
        <f t="shared" si="31"/>
        <v>5.9025765000000001E-2</v>
      </c>
      <c r="K104" s="87">
        <f t="shared" si="32"/>
        <v>59025765</v>
      </c>
      <c r="L104" s="100">
        <f t="shared" si="33"/>
        <v>5.9025765000000001E-2</v>
      </c>
      <c r="M104" s="100">
        <f t="shared" si="34"/>
        <v>2.806618410373428</v>
      </c>
      <c r="N104" s="88"/>
      <c r="O104" s="45">
        <v>45</v>
      </c>
      <c r="P104" s="45">
        <v>50</v>
      </c>
      <c r="Q104" s="100">
        <f t="shared" si="35"/>
        <v>5.9025765000000001E-2</v>
      </c>
      <c r="R104" s="100">
        <v>4.8275999999999999E-2</v>
      </c>
      <c r="T104" s="27"/>
      <c r="U104" s="50">
        <f t="shared" si="36"/>
        <v>0</v>
      </c>
    </row>
    <row r="105" spans="1:21" x14ac:dyDescent="0.3">
      <c r="A105" s="13" t="str">
        <f t="shared" si="26"/>
        <v>(50, 60]</v>
      </c>
      <c r="B105" s="89">
        <v>36485</v>
      </c>
      <c r="C105" s="89">
        <v>200841120</v>
      </c>
      <c r="D105" s="27">
        <f t="shared" si="27"/>
        <v>4.0390252758736735E-2</v>
      </c>
      <c r="E105" s="90">
        <f t="shared" si="28"/>
        <v>55.047586679457311</v>
      </c>
      <c r="F105" s="88"/>
      <c r="G105" s="13" t="str">
        <f t="shared" si="29"/>
        <v>(50, 60]</v>
      </c>
      <c r="H105" s="86">
        <v>1.8322624134604357</v>
      </c>
      <c r="I105" s="27">
        <f t="shared" si="30"/>
        <v>7.4005541999999994E-2</v>
      </c>
      <c r="J105" s="27">
        <f t="shared" si="31"/>
        <v>7.4005541999999994E-2</v>
      </c>
      <c r="K105" s="87">
        <f t="shared" si="32"/>
        <v>74005542</v>
      </c>
      <c r="L105" s="100">
        <f t="shared" si="33"/>
        <v>7.4005541999999994E-2</v>
      </c>
      <c r="M105" s="100">
        <f t="shared" si="34"/>
        <v>4.073826488005218</v>
      </c>
      <c r="N105" s="88"/>
      <c r="O105" s="45">
        <v>50</v>
      </c>
      <c r="P105" s="45">
        <v>60</v>
      </c>
      <c r="Q105" s="100">
        <f t="shared" si="35"/>
        <v>7.4005541999999994E-2</v>
      </c>
      <c r="R105" s="100">
        <v>4.8275999999999999E-2</v>
      </c>
      <c r="T105" s="27"/>
      <c r="U105" s="50">
        <f t="shared" si="36"/>
        <v>0</v>
      </c>
    </row>
    <row r="106" spans="1:21" x14ac:dyDescent="0.3">
      <c r="A106" s="13" t="str">
        <f t="shared" si="26"/>
        <v>(60, 70]</v>
      </c>
      <c r="B106" s="89">
        <v>36008</v>
      </c>
      <c r="C106" s="89">
        <v>234235180</v>
      </c>
      <c r="D106" s="27">
        <f t="shared" si="27"/>
        <v>3.9862196007580994E-2</v>
      </c>
      <c r="E106" s="90">
        <f t="shared" si="28"/>
        <v>65.050872028438121</v>
      </c>
      <c r="F106" s="88"/>
      <c r="G106" s="13" t="str">
        <f t="shared" si="29"/>
        <v>(60, 70]</v>
      </c>
      <c r="H106" s="86">
        <v>0.90557670212486108</v>
      </c>
      <c r="I106" s="27">
        <f t="shared" si="30"/>
        <v>3.6098275999999999E-2</v>
      </c>
      <c r="J106" s="27">
        <f t="shared" si="31"/>
        <v>3.6098275999999999E-2</v>
      </c>
      <c r="K106" s="87">
        <f t="shared" si="32"/>
        <v>36098276</v>
      </c>
      <c r="L106" s="100">
        <f t="shared" si="33"/>
        <v>3.6098275999999999E-2</v>
      </c>
      <c r="M106" s="100">
        <f t="shared" si="34"/>
        <v>2.3482243325232393</v>
      </c>
      <c r="N106" s="88"/>
      <c r="O106" s="45">
        <v>60</v>
      </c>
      <c r="P106" s="45">
        <v>70</v>
      </c>
      <c r="Q106" s="100">
        <f t="shared" si="35"/>
        <v>3.6098275999999999E-2</v>
      </c>
      <c r="R106" s="100">
        <v>6.8966E-2</v>
      </c>
      <c r="T106" s="27"/>
      <c r="U106" s="50">
        <f t="shared" si="36"/>
        <v>0</v>
      </c>
    </row>
    <row r="107" spans="1:21" x14ac:dyDescent="0.3">
      <c r="A107" s="13" t="str">
        <f t="shared" si="26"/>
        <v>(70, 80]</v>
      </c>
      <c r="B107" s="89">
        <v>34720</v>
      </c>
      <c r="C107" s="89">
        <v>260530020</v>
      </c>
      <c r="D107" s="27">
        <f t="shared" si="27"/>
        <v>3.8436332075739058E-2</v>
      </c>
      <c r="E107" s="90">
        <f t="shared" si="28"/>
        <v>75.037448156682032</v>
      </c>
      <c r="F107" s="88"/>
      <c r="G107" s="13" t="str">
        <f t="shared" si="29"/>
        <v>(70, 80]</v>
      </c>
      <c r="H107" s="86">
        <v>0.78098003578617514</v>
      </c>
      <c r="I107" s="27">
        <f t="shared" si="30"/>
        <v>3.0018008000000002E-2</v>
      </c>
      <c r="J107" s="27">
        <f t="shared" si="31"/>
        <v>3.0018008000000002E-2</v>
      </c>
      <c r="K107" s="87">
        <f t="shared" si="32"/>
        <v>30018008</v>
      </c>
      <c r="L107" s="100">
        <f t="shared" si="33"/>
        <v>3.0018007999999999E-2</v>
      </c>
      <c r="M107" s="100">
        <f t="shared" si="34"/>
        <v>2.2524747190668664</v>
      </c>
      <c r="N107" s="88"/>
      <c r="O107" s="45">
        <v>70</v>
      </c>
      <c r="P107" s="45">
        <v>80</v>
      </c>
      <c r="Q107" s="100">
        <f t="shared" si="35"/>
        <v>3.0018007999999999E-2</v>
      </c>
      <c r="R107" s="100">
        <v>3.4483E-2</v>
      </c>
      <c r="T107" s="27"/>
      <c r="U107" s="50">
        <f t="shared" si="36"/>
        <v>0</v>
      </c>
    </row>
    <row r="108" spans="1:21" x14ac:dyDescent="0.3">
      <c r="A108" s="13" t="str">
        <f t="shared" si="26"/>
        <v>(80, 90]</v>
      </c>
      <c r="B108" s="89">
        <v>33992</v>
      </c>
      <c r="C108" s="89">
        <v>288994940</v>
      </c>
      <c r="D108" s="27">
        <f t="shared" si="27"/>
        <v>3.7630408983828398E-2</v>
      </c>
      <c r="E108" s="90">
        <f t="shared" si="28"/>
        <v>85.018516121440328</v>
      </c>
      <c r="F108" s="88"/>
      <c r="G108" s="13" t="str">
        <f t="shared" si="29"/>
        <v>(80, 90]</v>
      </c>
      <c r="H108" s="86">
        <v>0.63501778602165226</v>
      </c>
      <c r="I108" s="27">
        <f t="shared" si="30"/>
        <v>2.3895979000000001E-2</v>
      </c>
      <c r="J108" s="27">
        <f t="shared" si="31"/>
        <v>2.3895979000000001E-2</v>
      </c>
      <c r="K108" s="87">
        <f t="shared" si="32"/>
        <v>23895979</v>
      </c>
      <c r="L108" s="100">
        <f t="shared" si="33"/>
        <v>2.3895979000000001E-2</v>
      </c>
      <c r="M108" s="100">
        <f t="shared" si="34"/>
        <v>2.0316006758490994</v>
      </c>
      <c r="N108" s="88"/>
      <c r="O108" s="45">
        <v>80</v>
      </c>
      <c r="P108" s="45">
        <v>90</v>
      </c>
      <c r="Q108" s="100">
        <f t="shared" si="35"/>
        <v>2.3895979000000001E-2</v>
      </c>
      <c r="R108" s="100">
        <v>6.8966E-2</v>
      </c>
      <c r="T108" s="27"/>
      <c r="U108" s="50">
        <f t="shared" si="36"/>
        <v>0</v>
      </c>
    </row>
    <row r="109" spans="1:21" x14ac:dyDescent="0.3">
      <c r="A109" s="13" t="str">
        <f t="shared" si="26"/>
        <v>(90, 100]</v>
      </c>
      <c r="B109" s="89">
        <v>32853</v>
      </c>
      <c r="C109" s="89">
        <v>312144880</v>
      </c>
      <c r="D109" s="27">
        <f t="shared" si="27"/>
        <v>3.636949359689675E-2</v>
      </c>
      <c r="E109" s="90">
        <f t="shared" si="28"/>
        <v>95.012595501171887</v>
      </c>
      <c r="F109" s="88"/>
      <c r="G109" s="13" t="str">
        <f t="shared" si="29"/>
        <v>(90, 100]</v>
      </c>
      <c r="H109" s="94">
        <v>0.64371811880266649</v>
      </c>
      <c r="I109" s="52">
        <f t="shared" si="30"/>
        <v>2.3411702E-2</v>
      </c>
      <c r="J109" s="52">
        <f t="shared" si="31"/>
        <v>2.3411702E-2</v>
      </c>
      <c r="K109" s="87">
        <f t="shared" si="32"/>
        <v>23411702</v>
      </c>
      <c r="L109" s="100">
        <f t="shared" si="33"/>
        <v>2.3411702E-2</v>
      </c>
      <c r="M109" s="100">
        <f t="shared" si="34"/>
        <v>2.2244065721199768</v>
      </c>
      <c r="N109" s="88"/>
      <c r="O109" s="45">
        <v>90</v>
      </c>
      <c r="P109" s="45">
        <v>100</v>
      </c>
      <c r="Q109" s="100">
        <f t="shared" si="35"/>
        <v>2.3411702E-2</v>
      </c>
      <c r="R109" s="100">
        <v>2.7585999999999999E-2</v>
      </c>
      <c r="T109" s="27"/>
      <c r="U109" s="50">
        <f t="shared" si="36"/>
        <v>0</v>
      </c>
    </row>
    <row r="110" spans="1:21" x14ac:dyDescent="0.3">
      <c r="A110" s="13" t="str">
        <f t="shared" si="26"/>
        <v>(100, 120]</v>
      </c>
      <c r="B110" s="89">
        <v>61613</v>
      </c>
      <c r="C110" s="89">
        <v>677396210</v>
      </c>
      <c r="D110" s="27">
        <f t="shared" si="27"/>
        <v>6.8207883876224382E-2</v>
      </c>
      <c r="E110" s="90">
        <f t="shared" si="28"/>
        <v>109.94371480044796</v>
      </c>
      <c r="F110" s="88"/>
      <c r="G110" s="13" t="str">
        <f t="shared" si="29"/>
        <v>(100, 120]</v>
      </c>
      <c r="H110" s="94">
        <v>0.47216489018252639</v>
      </c>
      <c r="I110" s="52">
        <f t="shared" si="30"/>
        <v>3.2205367999999998E-2</v>
      </c>
      <c r="J110" s="52">
        <f t="shared" si="31"/>
        <v>3.2205367999999998E-2</v>
      </c>
      <c r="K110" s="87">
        <f t="shared" si="32"/>
        <v>32205368</v>
      </c>
      <c r="L110" s="100">
        <f t="shared" si="33"/>
        <v>3.2205367999999998E-2</v>
      </c>
      <c r="M110" s="100">
        <f t="shared" si="34"/>
        <v>3.5407777944354732</v>
      </c>
      <c r="N110" s="88"/>
      <c r="O110" s="45">
        <v>100</v>
      </c>
      <c r="P110" s="45">
        <v>120</v>
      </c>
      <c r="Q110" s="100">
        <f t="shared" si="35"/>
        <v>3.2205367999999998E-2</v>
      </c>
      <c r="R110" s="100">
        <v>6.8966E-2</v>
      </c>
      <c r="T110" s="27"/>
      <c r="U110" s="50">
        <f t="shared" si="36"/>
        <v>0</v>
      </c>
    </row>
    <row r="111" spans="1:21" x14ac:dyDescent="0.3">
      <c r="A111" s="13" t="str">
        <f t="shared" si="26"/>
        <v>(120, 140]</v>
      </c>
      <c r="B111" s="89">
        <v>57264</v>
      </c>
      <c r="C111" s="89">
        <v>743983350</v>
      </c>
      <c r="D111" s="27">
        <f t="shared" si="27"/>
        <v>6.3393379031829539E-2</v>
      </c>
      <c r="E111" s="90">
        <f t="shared" si="28"/>
        <v>129.92165234702429</v>
      </c>
      <c r="F111" s="88"/>
      <c r="G111" s="13" t="str">
        <f t="shared" si="29"/>
        <v>(120, 140]</v>
      </c>
      <c r="H111" s="94">
        <v>0</v>
      </c>
      <c r="I111" s="52">
        <f t="shared" si="30"/>
        <v>0</v>
      </c>
      <c r="J111" s="52">
        <f t="shared" si="31"/>
        <v>0</v>
      </c>
      <c r="K111" s="87">
        <f t="shared" si="32"/>
        <v>0</v>
      </c>
      <c r="L111" s="100">
        <f t="shared" si="33"/>
        <v>0</v>
      </c>
      <c r="M111" s="100">
        <f t="shared" si="34"/>
        <v>0</v>
      </c>
      <c r="N111" s="88"/>
      <c r="O111" s="45">
        <v>120</v>
      </c>
      <c r="P111" s="45">
        <v>140</v>
      </c>
      <c r="Q111" s="100">
        <f t="shared" si="35"/>
        <v>0</v>
      </c>
      <c r="R111" s="100">
        <v>2.7585999999999999E-2</v>
      </c>
      <c r="T111" s="27"/>
      <c r="U111" s="50">
        <f t="shared" si="36"/>
        <v>0</v>
      </c>
    </row>
    <row r="112" spans="1:21" x14ac:dyDescent="0.3">
      <c r="A112" s="13" t="str">
        <f t="shared" si="26"/>
        <v>(140, 160]</v>
      </c>
      <c r="B112" s="89">
        <v>51941</v>
      </c>
      <c r="C112" s="89">
        <v>778437850</v>
      </c>
      <c r="D112" s="27">
        <f t="shared" si="27"/>
        <v>5.750061994083993E-2</v>
      </c>
      <c r="E112" s="90">
        <f t="shared" si="28"/>
        <v>149.86963092739839</v>
      </c>
      <c r="F112" s="88"/>
      <c r="G112" s="13" t="str">
        <f t="shared" si="29"/>
        <v>(140, 160]</v>
      </c>
      <c r="H112" s="94">
        <v>0</v>
      </c>
      <c r="I112" s="52">
        <f t="shared" si="30"/>
        <v>0</v>
      </c>
      <c r="J112" s="52">
        <f t="shared" si="31"/>
        <v>0</v>
      </c>
      <c r="K112" s="87">
        <f t="shared" si="32"/>
        <v>0</v>
      </c>
      <c r="L112" s="100">
        <f t="shared" si="33"/>
        <v>0</v>
      </c>
      <c r="M112" s="100">
        <f t="shared" si="34"/>
        <v>0</v>
      </c>
      <c r="N112" s="88"/>
      <c r="O112" s="45">
        <v>140</v>
      </c>
      <c r="P112" s="45">
        <v>160</v>
      </c>
      <c r="Q112" s="100">
        <f t="shared" si="35"/>
        <v>0</v>
      </c>
      <c r="R112" s="100">
        <v>4.8275999999999999E-2</v>
      </c>
      <c r="T112" s="27"/>
      <c r="U112" s="50">
        <f t="shared" si="36"/>
        <v>0</v>
      </c>
    </row>
    <row r="113" spans="1:21" x14ac:dyDescent="0.3">
      <c r="A113" s="13" t="str">
        <f t="shared" si="26"/>
        <v>(160, 180]</v>
      </c>
      <c r="B113" s="89">
        <v>46900</v>
      </c>
      <c r="C113" s="89">
        <v>796650960</v>
      </c>
      <c r="D113" s="27">
        <f t="shared" si="27"/>
        <v>5.1920045344244291E-2</v>
      </c>
      <c r="E113" s="90">
        <f t="shared" si="28"/>
        <v>169.8616119402985</v>
      </c>
      <c r="F113" s="88"/>
      <c r="G113" s="13" t="str">
        <f t="shared" si="29"/>
        <v>(160, 180]</v>
      </c>
      <c r="H113" s="94">
        <v>0</v>
      </c>
      <c r="I113" s="52">
        <f t="shared" si="30"/>
        <v>0</v>
      </c>
      <c r="J113" s="52">
        <f t="shared" si="31"/>
        <v>0</v>
      </c>
      <c r="K113" s="87">
        <f t="shared" si="32"/>
        <v>0</v>
      </c>
      <c r="L113" s="100">
        <f t="shared" si="33"/>
        <v>0</v>
      </c>
      <c r="M113" s="100">
        <f t="shared" si="34"/>
        <v>0</v>
      </c>
      <c r="N113" s="88"/>
      <c r="O113" s="45">
        <v>160</v>
      </c>
      <c r="P113" s="45">
        <v>180</v>
      </c>
      <c r="Q113" s="100">
        <f t="shared" si="35"/>
        <v>0</v>
      </c>
      <c r="R113" s="100">
        <v>2.7585999999999999E-2</v>
      </c>
      <c r="T113" s="27"/>
      <c r="U113" s="50">
        <f t="shared" si="36"/>
        <v>0</v>
      </c>
    </row>
    <row r="114" spans="1:21" x14ac:dyDescent="0.3">
      <c r="A114" s="13" t="str">
        <f t="shared" si="26"/>
        <v>(180, 200]</v>
      </c>
      <c r="B114" s="89">
        <v>41188</v>
      </c>
      <c r="C114" s="89">
        <v>781898810</v>
      </c>
      <c r="D114" s="27">
        <f t="shared" si="27"/>
        <v>4.5596648776945282E-2</v>
      </c>
      <c r="E114" s="90">
        <f t="shared" si="28"/>
        <v>189.83655676410606</v>
      </c>
      <c r="F114" s="88"/>
      <c r="G114" s="13" t="str">
        <f t="shared" si="29"/>
        <v>(180, 200]</v>
      </c>
      <c r="H114" s="94">
        <v>0</v>
      </c>
      <c r="I114" s="52">
        <f t="shared" si="30"/>
        <v>0</v>
      </c>
      <c r="J114" s="52">
        <f t="shared" si="31"/>
        <v>0</v>
      </c>
      <c r="K114" s="87">
        <f t="shared" si="32"/>
        <v>0</v>
      </c>
      <c r="L114" s="100">
        <f t="shared" si="33"/>
        <v>0</v>
      </c>
      <c r="M114" s="100">
        <f t="shared" si="34"/>
        <v>0</v>
      </c>
      <c r="N114" s="88"/>
      <c r="O114" s="45">
        <v>180</v>
      </c>
      <c r="P114" s="45">
        <v>200</v>
      </c>
      <c r="Q114" s="100">
        <f t="shared" si="35"/>
        <v>0</v>
      </c>
      <c r="R114" s="100">
        <v>3.4483E-2</v>
      </c>
      <c r="T114" s="27"/>
      <c r="U114" s="50">
        <f t="shared" si="36"/>
        <v>0</v>
      </c>
    </row>
    <row r="115" spans="1:21" x14ac:dyDescent="0.3">
      <c r="A115" s="13" t="str">
        <f t="shared" si="26"/>
        <v>(200, 250]</v>
      </c>
      <c r="B115" s="89">
        <v>84619</v>
      </c>
      <c r="C115" s="89">
        <v>1893483550</v>
      </c>
      <c r="D115" s="27">
        <f t="shared" si="27"/>
        <v>9.3676382025258159E-2</v>
      </c>
      <c r="E115" s="90">
        <f t="shared" si="28"/>
        <v>223.76576773537857</v>
      </c>
      <c r="F115" s="88"/>
      <c r="G115" s="13" t="str">
        <f t="shared" si="29"/>
        <v>(200, 250]</v>
      </c>
      <c r="H115" s="94">
        <v>0</v>
      </c>
      <c r="I115" s="52">
        <f t="shared" si="30"/>
        <v>0</v>
      </c>
      <c r="J115" s="52">
        <f t="shared" si="31"/>
        <v>0</v>
      </c>
      <c r="K115" s="87">
        <f t="shared" si="32"/>
        <v>0</v>
      </c>
      <c r="L115" s="100">
        <f t="shared" si="33"/>
        <v>0</v>
      </c>
      <c r="M115" s="100">
        <f t="shared" si="34"/>
        <v>0</v>
      </c>
      <c r="N115" s="88"/>
      <c r="O115" s="45">
        <v>200</v>
      </c>
      <c r="P115" s="45">
        <v>250</v>
      </c>
      <c r="Q115" s="100">
        <f t="shared" si="35"/>
        <v>0</v>
      </c>
      <c r="R115" s="100">
        <v>1.3793E-2</v>
      </c>
      <c r="T115" s="27"/>
      <c r="U115" s="50">
        <f t="shared" si="36"/>
        <v>0</v>
      </c>
    </row>
    <row r="116" spans="1:21" x14ac:dyDescent="0.3">
      <c r="A116" s="13" t="str">
        <f t="shared" si="26"/>
        <v>(250, 300]</v>
      </c>
      <c r="B116" s="89">
        <v>61962</v>
      </c>
      <c r="C116" s="89">
        <v>1695595580</v>
      </c>
      <c r="D116" s="27">
        <f t="shared" si="27"/>
        <v>6.8594239863967274E-2</v>
      </c>
      <c r="E116" s="90">
        <f t="shared" si="28"/>
        <v>273.65087957135017</v>
      </c>
      <c r="F116" s="88"/>
      <c r="G116" s="13" t="str">
        <f t="shared" si="29"/>
        <v>(250, 300]</v>
      </c>
      <c r="H116" s="94">
        <v>0</v>
      </c>
      <c r="I116" s="52">
        <f t="shared" si="30"/>
        <v>0</v>
      </c>
      <c r="J116" s="52">
        <f t="shared" si="31"/>
        <v>0</v>
      </c>
      <c r="K116" s="87">
        <f t="shared" si="32"/>
        <v>0</v>
      </c>
      <c r="L116" s="100">
        <f t="shared" si="33"/>
        <v>0</v>
      </c>
      <c r="M116" s="100">
        <f t="shared" si="34"/>
        <v>0</v>
      </c>
      <c r="N116" s="88"/>
      <c r="O116" s="45">
        <v>250</v>
      </c>
      <c r="P116" s="45">
        <v>300</v>
      </c>
      <c r="Q116" s="100">
        <f t="shared" si="35"/>
        <v>0</v>
      </c>
      <c r="R116" s="100">
        <v>1.3793E-2</v>
      </c>
      <c r="T116" s="27"/>
      <c r="U116" s="50">
        <f t="shared" si="36"/>
        <v>0</v>
      </c>
    </row>
    <row r="117" spans="1:21" x14ac:dyDescent="0.3">
      <c r="A117" s="13" t="str">
        <f t="shared" si="26"/>
        <v>(300, 350]</v>
      </c>
      <c r="B117" s="89">
        <v>43621</v>
      </c>
      <c r="C117" s="89">
        <v>1411307190</v>
      </c>
      <c r="D117" s="27">
        <f t="shared" si="27"/>
        <v>4.8290070319003842E-2</v>
      </c>
      <c r="E117" s="90">
        <f t="shared" si="28"/>
        <v>323.53847688040167</v>
      </c>
      <c r="F117" s="88"/>
      <c r="G117" s="13" t="str">
        <f t="shared" si="29"/>
        <v>(300, 350]</v>
      </c>
      <c r="H117" s="94">
        <v>0</v>
      </c>
      <c r="I117" s="52">
        <f t="shared" si="30"/>
        <v>0</v>
      </c>
      <c r="J117" s="52">
        <f t="shared" si="31"/>
        <v>0</v>
      </c>
      <c r="K117" s="87">
        <f t="shared" si="32"/>
        <v>0</v>
      </c>
      <c r="L117" s="100">
        <f t="shared" si="33"/>
        <v>0</v>
      </c>
      <c r="M117" s="100">
        <f t="shared" si="34"/>
        <v>0</v>
      </c>
      <c r="N117" s="88"/>
      <c r="O117" s="45">
        <v>300</v>
      </c>
      <c r="P117" s="45">
        <v>350</v>
      </c>
      <c r="Q117" s="100">
        <f t="shared" si="35"/>
        <v>0</v>
      </c>
      <c r="R117" s="100">
        <v>6.8970000000000004E-3</v>
      </c>
      <c r="T117" s="27"/>
      <c r="U117" s="50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9">
        <v>31523</v>
      </c>
      <c r="C118" s="89">
        <v>1177904800</v>
      </c>
      <c r="D118" s="27">
        <f t="shared" ref="D118:D149" si="38">IFERROR(B118/SUM($B$86:$B$149),0)</f>
        <v>3.4897134102059975E-2</v>
      </c>
      <c r="E118" s="90">
        <f t="shared" ref="E118:E149" si="39">IFERROR(C118/B118/$B$3,0)</f>
        <v>373.6651968404023</v>
      </c>
      <c r="F118" s="88"/>
      <c r="G118" s="13" t="str">
        <f t="shared" ref="G118:G149" si="40">"("&amp;$O118&amp;", "&amp;$P118&amp;"]"</f>
        <v>(350, 400]</v>
      </c>
      <c r="H118" s="94">
        <v>0</v>
      </c>
      <c r="I118" s="52">
        <f t="shared" ref="I118:I149" si="41">D118*H118</f>
        <v>0</v>
      </c>
      <c r="J118" s="52">
        <f t="shared" ref="J118:J149" si="42">IFERROR(I118/SUM($I$86:$I$149),0)</f>
        <v>0</v>
      </c>
      <c r="K118" s="87">
        <f t="shared" ref="K118:K149" si="43">INT(J118*$B$2)</f>
        <v>0</v>
      </c>
      <c r="L118" s="100">
        <f t="shared" ref="L118:L149" si="44">IFERROR(K118/SUM($K$86:$K$149),0)</f>
        <v>0</v>
      </c>
      <c r="M118" s="100">
        <f t="shared" ref="M118:M149" si="45">L118*E118</f>
        <v>0</v>
      </c>
      <c r="N118" s="88"/>
      <c r="O118" s="45">
        <v>350</v>
      </c>
      <c r="P118" s="45">
        <v>400</v>
      </c>
      <c r="Q118" s="100">
        <f t="shared" ref="Q118:Q149" si="46">L118</f>
        <v>0</v>
      </c>
      <c r="R118" s="100">
        <v>6.8970000000000004E-3</v>
      </c>
      <c r="T118" s="27"/>
      <c r="U118" s="50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9">
        <v>21903</v>
      </c>
      <c r="C119" s="89">
        <v>927877470</v>
      </c>
      <c r="D119" s="27">
        <f t="shared" si="38"/>
        <v>2.4247436101811997E-2</v>
      </c>
      <c r="E119" s="90">
        <f t="shared" si="39"/>
        <v>423.63031091631279</v>
      </c>
      <c r="F119" s="88"/>
      <c r="G119" s="13" t="str">
        <f t="shared" si="40"/>
        <v>(400, 450]</v>
      </c>
      <c r="H119" s="94">
        <v>0</v>
      </c>
      <c r="I119" s="52">
        <f t="shared" si="41"/>
        <v>0</v>
      </c>
      <c r="J119" s="52">
        <f t="shared" si="42"/>
        <v>0</v>
      </c>
      <c r="K119" s="87">
        <f t="shared" si="43"/>
        <v>0</v>
      </c>
      <c r="L119" s="100">
        <f t="shared" si="44"/>
        <v>0</v>
      </c>
      <c r="M119" s="100">
        <f t="shared" si="45"/>
        <v>0</v>
      </c>
      <c r="N119" s="88"/>
      <c r="O119" s="45">
        <v>400</v>
      </c>
      <c r="P119" s="45">
        <v>450</v>
      </c>
      <c r="Q119" s="100">
        <f t="shared" si="46"/>
        <v>0</v>
      </c>
      <c r="R119" s="100">
        <v>0</v>
      </c>
      <c r="T119" s="27"/>
      <c r="U119" s="50">
        <f t="shared" si="47"/>
        <v>0</v>
      </c>
    </row>
    <row r="120" spans="1:21" x14ac:dyDescent="0.3">
      <c r="A120" s="13" t="str">
        <f t="shared" si="37"/>
        <v>(450, 500]</v>
      </c>
      <c r="B120" s="89">
        <v>14979</v>
      </c>
      <c r="C120" s="89">
        <v>709430460</v>
      </c>
      <c r="D120" s="27">
        <f t="shared" si="38"/>
        <v>1.6582310430947447E-2</v>
      </c>
      <c r="E120" s="90">
        <f t="shared" si="39"/>
        <v>473.61670338473863</v>
      </c>
      <c r="F120" s="88"/>
      <c r="G120" s="13" t="str">
        <f t="shared" si="40"/>
        <v>(450, 500]</v>
      </c>
      <c r="H120" s="94">
        <v>0</v>
      </c>
      <c r="I120" s="52">
        <f t="shared" si="41"/>
        <v>0</v>
      </c>
      <c r="J120" s="52">
        <f t="shared" si="42"/>
        <v>0</v>
      </c>
      <c r="K120" s="87">
        <f t="shared" si="43"/>
        <v>0</v>
      </c>
      <c r="L120" s="100">
        <f t="shared" si="44"/>
        <v>0</v>
      </c>
      <c r="M120" s="100">
        <f t="shared" si="45"/>
        <v>0</v>
      </c>
      <c r="N120" s="88"/>
      <c r="O120" s="45">
        <v>450</v>
      </c>
      <c r="P120" s="45">
        <v>500</v>
      </c>
      <c r="Q120" s="100">
        <f t="shared" si="46"/>
        <v>0</v>
      </c>
      <c r="R120" s="100">
        <v>0</v>
      </c>
      <c r="T120" s="27"/>
      <c r="U120" s="50">
        <f t="shared" si="47"/>
        <v>0</v>
      </c>
    </row>
    <row r="121" spans="1:21" x14ac:dyDescent="0.3">
      <c r="A121" s="13" t="str">
        <f t="shared" si="37"/>
        <v>(500, 550]</v>
      </c>
      <c r="B121" s="89">
        <v>10564</v>
      </c>
      <c r="C121" s="89">
        <v>552954780</v>
      </c>
      <c r="D121" s="27">
        <f t="shared" si="38"/>
        <v>1.169474113041784E-2</v>
      </c>
      <c r="E121" s="90">
        <f t="shared" si="39"/>
        <v>523.43315032184773</v>
      </c>
      <c r="F121" s="88"/>
      <c r="G121" s="13" t="str">
        <f t="shared" si="40"/>
        <v>(500, 550]</v>
      </c>
      <c r="H121" s="94">
        <v>0</v>
      </c>
      <c r="I121" s="52">
        <f t="shared" si="41"/>
        <v>0</v>
      </c>
      <c r="J121" s="52">
        <f t="shared" si="42"/>
        <v>0</v>
      </c>
      <c r="K121" s="87">
        <f t="shared" si="43"/>
        <v>0</v>
      </c>
      <c r="L121" s="100">
        <f t="shared" si="44"/>
        <v>0</v>
      </c>
      <c r="M121" s="100">
        <f t="shared" si="45"/>
        <v>0</v>
      </c>
      <c r="N121" s="88"/>
      <c r="O121" s="45">
        <v>500</v>
      </c>
      <c r="P121" s="45">
        <v>550</v>
      </c>
      <c r="Q121" s="100">
        <f t="shared" si="46"/>
        <v>0</v>
      </c>
      <c r="R121" s="100">
        <v>0</v>
      </c>
      <c r="T121" s="27"/>
      <c r="U121" s="50">
        <f t="shared" si="47"/>
        <v>0</v>
      </c>
    </row>
    <row r="122" spans="1:21" x14ac:dyDescent="0.3">
      <c r="A122" s="13" t="str">
        <f t="shared" si="37"/>
        <v>(550, 600]</v>
      </c>
      <c r="B122" s="89">
        <v>7083</v>
      </c>
      <c r="C122" s="89">
        <v>406177510</v>
      </c>
      <c r="D122" s="27">
        <f t="shared" si="38"/>
        <v>7.8411445879164668E-3</v>
      </c>
      <c r="E122" s="90">
        <f t="shared" si="39"/>
        <v>573.45405901454183</v>
      </c>
      <c r="F122" s="88"/>
      <c r="G122" s="13" t="str">
        <f t="shared" si="40"/>
        <v>(550, 600]</v>
      </c>
      <c r="H122" s="86">
        <v>0</v>
      </c>
      <c r="I122" s="27">
        <f t="shared" si="41"/>
        <v>0</v>
      </c>
      <c r="J122" s="27">
        <f t="shared" si="42"/>
        <v>0</v>
      </c>
      <c r="K122" s="87">
        <f t="shared" si="43"/>
        <v>0</v>
      </c>
      <c r="L122" s="100">
        <f t="shared" si="44"/>
        <v>0</v>
      </c>
      <c r="M122" s="100">
        <f t="shared" si="45"/>
        <v>0</v>
      </c>
      <c r="N122" s="88"/>
      <c r="O122" s="45">
        <v>550</v>
      </c>
      <c r="P122" s="45">
        <v>600</v>
      </c>
      <c r="Q122" s="100">
        <f t="shared" si="46"/>
        <v>0</v>
      </c>
      <c r="R122" s="100">
        <v>0</v>
      </c>
      <c r="T122" s="27"/>
      <c r="U122" s="50">
        <f t="shared" si="47"/>
        <v>0</v>
      </c>
    </row>
    <row r="123" spans="1:21" x14ac:dyDescent="0.3">
      <c r="A123" s="13" t="str">
        <f t="shared" si="37"/>
        <v>(600, 650]</v>
      </c>
      <c r="B123" s="89">
        <v>5068</v>
      </c>
      <c r="C123" s="89">
        <v>316021120</v>
      </c>
      <c r="D123" s="27">
        <f t="shared" si="38"/>
        <v>5.6104646013780402E-3</v>
      </c>
      <c r="E123" s="90">
        <f t="shared" si="39"/>
        <v>623.5617995264405</v>
      </c>
      <c r="F123" s="88"/>
      <c r="G123" s="13" t="str">
        <f t="shared" si="40"/>
        <v>(600, 650]</v>
      </c>
      <c r="H123" s="86">
        <v>0</v>
      </c>
      <c r="I123" s="27">
        <f t="shared" si="41"/>
        <v>0</v>
      </c>
      <c r="J123" s="27">
        <f t="shared" si="42"/>
        <v>0</v>
      </c>
      <c r="K123" s="87">
        <f t="shared" si="43"/>
        <v>0</v>
      </c>
      <c r="L123" s="100">
        <f t="shared" si="44"/>
        <v>0</v>
      </c>
      <c r="M123" s="100">
        <f t="shared" si="45"/>
        <v>0</v>
      </c>
      <c r="N123" s="88"/>
      <c r="O123" s="45">
        <v>600</v>
      </c>
      <c r="P123" s="45">
        <v>650</v>
      </c>
      <c r="Q123" s="100">
        <f t="shared" si="46"/>
        <v>0</v>
      </c>
      <c r="R123" s="100">
        <v>6.8970000000000004E-3</v>
      </c>
      <c r="T123" s="27"/>
      <c r="U123" s="50">
        <f t="shared" si="47"/>
        <v>0</v>
      </c>
    </row>
    <row r="124" spans="1:21" x14ac:dyDescent="0.3">
      <c r="A124" s="13" t="str">
        <f t="shared" si="37"/>
        <v>(650, 700]</v>
      </c>
      <c r="B124" s="89">
        <v>3560</v>
      </c>
      <c r="C124" s="89">
        <v>239632370</v>
      </c>
      <c r="D124" s="27">
        <f t="shared" si="38"/>
        <v>3.9410524824202492E-3</v>
      </c>
      <c r="E124" s="90">
        <f t="shared" si="39"/>
        <v>673.12463483146075</v>
      </c>
      <c r="F124" s="88"/>
      <c r="G124" s="13" t="str">
        <f t="shared" si="40"/>
        <v>(650, 700]</v>
      </c>
      <c r="H124" s="86">
        <v>0</v>
      </c>
      <c r="I124" s="27">
        <f t="shared" si="41"/>
        <v>0</v>
      </c>
      <c r="J124" s="27">
        <f t="shared" si="42"/>
        <v>0</v>
      </c>
      <c r="K124" s="87">
        <f t="shared" si="43"/>
        <v>0</v>
      </c>
      <c r="L124" s="100">
        <f t="shared" si="44"/>
        <v>0</v>
      </c>
      <c r="M124" s="100">
        <f t="shared" si="45"/>
        <v>0</v>
      </c>
      <c r="N124" s="88"/>
      <c r="O124" s="45">
        <v>650</v>
      </c>
      <c r="P124" s="45">
        <v>700</v>
      </c>
      <c r="Q124" s="100">
        <f t="shared" si="46"/>
        <v>0</v>
      </c>
      <c r="R124" s="100">
        <v>0</v>
      </c>
      <c r="T124" s="27"/>
      <c r="U124" s="50">
        <f t="shared" si="47"/>
        <v>0</v>
      </c>
    </row>
    <row r="125" spans="1:21" x14ac:dyDescent="0.3">
      <c r="A125" s="13" t="str">
        <f t="shared" si="37"/>
        <v>(700, 750]</v>
      </c>
      <c r="B125" s="89">
        <v>2235</v>
      </c>
      <c r="C125" s="89">
        <v>161754240</v>
      </c>
      <c r="D125" s="27">
        <f t="shared" si="38"/>
        <v>2.4742281736542856E-3</v>
      </c>
      <c r="E125" s="90">
        <f t="shared" si="39"/>
        <v>723.73261744966442</v>
      </c>
      <c r="F125" s="88"/>
      <c r="G125" s="13" t="str">
        <f t="shared" si="40"/>
        <v>(700, 750]</v>
      </c>
      <c r="H125" s="86">
        <v>0</v>
      </c>
      <c r="I125" s="27">
        <f t="shared" si="41"/>
        <v>0</v>
      </c>
      <c r="J125" s="27">
        <f t="shared" si="42"/>
        <v>0</v>
      </c>
      <c r="K125" s="87">
        <f t="shared" si="43"/>
        <v>0</v>
      </c>
      <c r="L125" s="100">
        <f t="shared" si="44"/>
        <v>0</v>
      </c>
      <c r="M125" s="100">
        <f t="shared" si="45"/>
        <v>0</v>
      </c>
      <c r="N125" s="88"/>
      <c r="O125" s="45">
        <v>700</v>
      </c>
      <c r="P125" s="45">
        <v>750</v>
      </c>
      <c r="Q125" s="100">
        <f t="shared" si="46"/>
        <v>0</v>
      </c>
      <c r="R125" s="100">
        <v>0</v>
      </c>
      <c r="T125" s="27"/>
      <c r="U125" s="50">
        <f t="shared" si="47"/>
        <v>0</v>
      </c>
    </row>
    <row r="126" spans="1:21" x14ac:dyDescent="0.3">
      <c r="A126" s="13" t="str">
        <f t="shared" si="37"/>
        <v>(750, 800]</v>
      </c>
      <c r="B126" s="89">
        <v>1653</v>
      </c>
      <c r="C126" s="89">
        <v>127813000</v>
      </c>
      <c r="D126" s="27">
        <f t="shared" si="38"/>
        <v>1.8299325150114246E-3</v>
      </c>
      <c r="E126" s="90">
        <f t="shared" si="39"/>
        <v>773.21839080459768</v>
      </c>
      <c r="F126" s="88"/>
      <c r="G126" s="13" t="str">
        <f t="shared" si="40"/>
        <v>(750, 800]</v>
      </c>
      <c r="H126" s="86">
        <v>0</v>
      </c>
      <c r="I126" s="27">
        <f t="shared" si="41"/>
        <v>0</v>
      </c>
      <c r="J126" s="27">
        <f t="shared" si="42"/>
        <v>0</v>
      </c>
      <c r="K126" s="87">
        <f t="shared" si="43"/>
        <v>0</v>
      </c>
      <c r="L126" s="100">
        <f t="shared" si="44"/>
        <v>0</v>
      </c>
      <c r="M126" s="100">
        <f t="shared" si="45"/>
        <v>0</v>
      </c>
      <c r="N126" s="88"/>
      <c r="O126" s="45">
        <v>750</v>
      </c>
      <c r="P126" s="45">
        <v>800</v>
      </c>
      <c r="Q126" s="100">
        <f t="shared" si="46"/>
        <v>0</v>
      </c>
      <c r="R126" s="100">
        <v>0</v>
      </c>
      <c r="T126" s="27"/>
      <c r="U126" s="50">
        <f t="shared" si="47"/>
        <v>0</v>
      </c>
    </row>
    <row r="127" spans="1:21" x14ac:dyDescent="0.3">
      <c r="A127" s="13" t="str">
        <f t="shared" si="37"/>
        <v>(800, 850]</v>
      </c>
      <c r="B127" s="89">
        <v>1106</v>
      </c>
      <c r="C127" s="89">
        <v>91064960</v>
      </c>
      <c r="D127" s="27">
        <f t="shared" si="38"/>
        <v>1.2243831588642684E-3</v>
      </c>
      <c r="E127" s="90">
        <f t="shared" si="39"/>
        <v>823.37215189873416</v>
      </c>
      <c r="F127" s="88"/>
      <c r="G127" s="13" t="str">
        <f t="shared" si="40"/>
        <v>(800, 850]</v>
      </c>
      <c r="H127" s="86">
        <v>0</v>
      </c>
      <c r="I127" s="27">
        <f t="shared" si="41"/>
        <v>0</v>
      </c>
      <c r="J127" s="27">
        <f t="shared" si="42"/>
        <v>0</v>
      </c>
      <c r="K127" s="87">
        <f t="shared" si="43"/>
        <v>0</v>
      </c>
      <c r="L127" s="100">
        <f t="shared" si="44"/>
        <v>0</v>
      </c>
      <c r="M127" s="100">
        <f t="shared" si="45"/>
        <v>0</v>
      </c>
      <c r="N127" s="88"/>
      <c r="O127" s="45">
        <v>800</v>
      </c>
      <c r="P127" s="45">
        <v>850</v>
      </c>
      <c r="Q127" s="100">
        <f t="shared" si="46"/>
        <v>0</v>
      </c>
      <c r="R127" s="100">
        <v>0</v>
      </c>
      <c r="T127" s="27"/>
      <c r="U127" s="50">
        <f t="shared" si="47"/>
        <v>0</v>
      </c>
    </row>
    <row r="128" spans="1:21" x14ac:dyDescent="0.3">
      <c r="A128" s="13" t="str">
        <f t="shared" si="37"/>
        <v>(850, 900]</v>
      </c>
      <c r="B128" s="89">
        <v>851</v>
      </c>
      <c r="C128" s="89">
        <v>74263480</v>
      </c>
      <c r="D128" s="27">
        <f t="shared" si="38"/>
        <v>9.4208866925270555E-4</v>
      </c>
      <c r="E128" s="90">
        <f t="shared" si="39"/>
        <v>872.66133960047011</v>
      </c>
      <c r="F128" s="88"/>
      <c r="G128" s="13" t="str">
        <f t="shared" si="40"/>
        <v>(850, 900]</v>
      </c>
      <c r="H128" s="86">
        <v>0</v>
      </c>
      <c r="I128" s="27">
        <f t="shared" si="41"/>
        <v>0</v>
      </c>
      <c r="J128" s="27">
        <f t="shared" si="42"/>
        <v>0</v>
      </c>
      <c r="K128" s="92">
        <f t="shared" si="43"/>
        <v>0</v>
      </c>
      <c r="L128" s="100">
        <f t="shared" si="44"/>
        <v>0</v>
      </c>
      <c r="M128" s="100">
        <f t="shared" si="45"/>
        <v>0</v>
      </c>
      <c r="N128" s="88"/>
      <c r="O128" s="45">
        <v>850</v>
      </c>
      <c r="P128" s="45">
        <v>900</v>
      </c>
      <c r="Q128" s="100">
        <f t="shared" si="46"/>
        <v>0</v>
      </c>
      <c r="R128" s="100">
        <v>0</v>
      </c>
      <c r="T128" s="27"/>
      <c r="U128" s="50">
        <f t="shared" si="47"/>
        <v>0</v>
      </c>
    </row>
    <row r="129" spans="1:21" x14ac:dyDescent="0.3">
      <c r="A129" s="13" t="str">
        <f t="shared" si="37"/>
        <v>(900, 950]</v>
      </c>
      <c r="B129" s="89">
        <v>579</v>
      </c>
      <c r="C129" s="89">
        <v>53414620</v>
      </c>
      <c r="D129" s="27">
        <f t="shared" si="38"/>
        <v>6.4097454700037197E-4</v>
      </c>
      <c r="E129" s="90">
        <f t="shared" si="39"/>
        <v>922.53229706390323</v>
      </c>
      <c r="F129" s="88"/>
      <c r="G129" s="13" t="str">
        <f t="shared" si="40"/>
        <v>(900, 950]</v>
      </c>
      <c r="H129" s="86">
        <v>0</v>
      </c>
      <c r="I129" s="27">
        <f t="shared" si="41"/>
        <v>0</v>
      </c>
      <c r="J129" s="27">
        <f t="shared" si="42"/>
        <v>0</v>
      </c>
      <c r="K129" s="92">
        <f t="shared" si="43"/>
        <v>0</v>
      </c>
      <c r="L129" s="100">
        <f t="shared" si="44"/>
        <v>0</v>
      </c>
      <c r="M129" s="100">
        <f t="shared" si="45"/>
        <v>0</v>
      </c>
      <c r="N129" s="88"/>
      <c r="O129" s="45">
        <v>900</v>
      </c>
      <c r="P129" s="45">
        <v>950</v>
      </c>
      <c r="Q129" s="100">
        <f t="shared" si="46"/>
        <v>0</v>
      </c>
      <c r="R129" s="100">
        <v>6.8970000000000004E-3</v>
      </c>
      <c r="T129" s="27"/>
      <c r="U129" s="50">
        <f t="shared" si="47"/>
        <v>0</v>
      </c>
    </row>
    <row r="130" spans="1:21" x14ac:dyDescent="0.3">
      <c r="A130" s="13" t="str">
        <f t="shared" si="37"/>
        <v>(950, 1000]</v>
      </c>
      <c r="B130" s="89">
        <v>407</v>
      </c>
      <c r="C130" s="89">
        <v>39643630</v>
      </c>
      <c r="D130" s="27">
        <f t="shared" si="38"/>
        <v>4.5056414616433745E-4</v>
      </c>
      <c r="E130" s="90">
        <f t="shared" si="39"/>
        <v>974.04496314496316</v>
      </c>
      <c r="F130" s="88"/>
      <c r="G130" s="13" t="str">
        <f t="shared" si="40"/>
        <v>(950, 1000]</v>
      </c>
      <c r="H130" s="86">
        <v>0</v>
      </c>
      <c r="I130" s="27">
        <f t="shared" si="41"/>
        <v>0</v>
      </c>
      <c r="J130" s="27">
        <f t="shared" si="42"/>
        <v>0</v>
      </c>
      <c r="K130" s="92">
        <f t="shared" si="43"/>
        <v>0</v>
      </c>
      <c r="L130" s="100">
        <f t="shared" si="44"/>
        <v>0</v>
      </c>
      <c r="M130" s="100">
        <f t="shared" si="45"/>
        <v>0</v>
      </c>
      <c r="N130" s="88"/>
      <c r="O130" s="45">
        <v>950</v>
      </c>
      <c r="P130" s="45">
        <v>1000</v>
      </c>
      <c r="Q130" s="100">
        <f t="shared" si="46"/>
        <v>0</v>
      </c>
      <c r="R130" s="100">
        <v>0</v>
      </c>
      <c r="T130" s="27"/>
      <c r="U130" s="50">
        <f t="shared" si="47"/>
        <v>0</v>
      </c>
    </row>
    <row r="131" spans="1:21" x14ac:dyDescent="0.3">
      <c r="A131" s="13" t="str">
        <f t="shared" si="37"/>
        <v>(1000, 2000]</v>
      </c>
      <c r="B131" s="89">
        <v>1005</v>
      </c>
      <c r="C131" s="89">
        <v>116357560</v>
      </c>
      <c r="D131" s="27">
        <f t="shared" si="38"/>
        <v>1.1125724002338062E-3</v>
      </c>
      <c r="E131" s="90">
        <f t="shared" si="39"/>
        <v>1157.7866666666666</v>
      </c>
      <c r="F131" s="88"/>
      <c r="G131" s="13" t="str">
        <f t="shared" si="40"/>
        <v>(1000, 2000]</v>
      </c>
      <c r="H131" s="86">
        <v>0</v>
      </c>
      <c r="I131" s="27">
        <f t="shared" si="41"/>
        <v>0</v>
      </c>
      <c r="J131" s="27">
        <f t="shared" si="42"/>
        <v>0</v>
      </c>
      <c r="K131" s="92">
        <f t="shared" si="43"/>
        <v>0</v>
      </c>
      <c r="L131" s="100">
        <f t="shared" si="44"/>
        <v>0</v>
      </c>
      <c r="M131" s="100">
        <f t="shared" si="45"/>
        <v>0</v>
      </c>
      <c r="N131" s="88"/>
      <c r="O131" s="45">
        <v>1000</v>
      </c>
      <c r="P131" s="45">
        <v>2000</v>
      </c>
      <c r="Q131" s="100">
        <f t="shared" si="46"/>
        <v>0</v>
      </c>
      <c r="R131" s="100">
        <v>0</v>
      </c>
      <c r="T131" s="27"/>
      <c r="U131" s="50">
        <f t="shared" si="47"/>
        <v>0</v>
      </c>
    </row>
    <row r="132" spans="1:21" x14ac:dyDescent="0.3">
      <c r="A132" s="13" t="str">
        <f t="shared" si="37"/>
        <v>(2000, 3000]</v>
      </c>
      <c r="B132" s="89">
        <v>5</v>
      </c>
      <c r="C132" s="89">
        <v>1063560</v>
      </c>
      <c r="D132" s="27">
        <f t="shared" si="38"/>
        <v>5.5351860708149563E-6</v>
      </c>
      <c r="E132" s="90">
        <f t="shared" si="39"/>
        <v>2127.12</v>
      </c>
      <c r="F132" s="88"/>
      <c r="G132" s="13" t="str">
        <f t="shared" si="40"/>
        <v>(2000, 3000]</v>
      </c>
      <c r="H132" s="86">
        <v>0</v>
      </c>
      <c r="I132" s="27">
        <f t="shared" si="41"/>
        <v>0</v>
      </c>
      <c r="J132" s="27">
        <f t="shared" si="42"/>
        <v>0</v>
      </c>
      <c r="K132" s="92">
        <f t="shared" si="43"/>
        <v>0</v>
      </c>
      <c r="L132" s="100">
        <f t="shared" si="44"/>
        <v>0</v>
      </c>
      <c r="M132" s="100">
        <f t="shared" si="45"/>
        <v>0</v>
      </c>
      <c r="N132" s="88"/>
      <c r="O132" s="45">
        <v>2000</v>
      </c>
      <c r="P132" s="45">
        <v>3000</v>
      </c>
      <c r="Q132" s="100">
        <f t="shared" si="46"/>
        <v>0</v>
      </c>
      <c r="R132" s="100">
        <v>0</v>
      </c>
      <c r="T132" s="27"/>
      <c r="U132" s="50">
        <f t="shared" si="47"/>
        <v>0</v>
      </c>
    </row>
    <row r="133" spans="1:21" x14ac:dyDescent="0.3">
      <c r="A133" s="13" t="str">
        <f t="shared" si="37"/>
        <v>(3000, 4000]</v>
      </c>
      <c r="B133" s="89">
        <v>1</v>
      </c>
      <c r="C133" s="89">
        <v>329060</v>
      </c>
      <c r="D133" s="27">
        <f t="shared" si="38"/>
        <v>1.1070372141629912E-6</v>
      </c>
      <c r="E133" s="90">
        <f t="shared" si="39"/>
        <v>3290.6</v>
      </c>
      <c r="F133" s="88"/>
      <c r="G133" s="13" t="str">
        <f t="shared" si="40"/>
        <v>(3000, 4000]</v>
      </c>
      <c r="H133" s="86">
        <v>0</v>
      </c>
      <c r="I133" s="27">
        <f t="shared" si="41"/>
        <v>0</v>
      </c>
      <c r="J133" s="27">
        <f t="shared" si="42"/>
        <v>0</v>
      </c>
      <c r="K133" s="92">
        <f t="shared" si="43"/>
        <v>0</v>
      </c>
      <c r="L133" s="100">
        <f t="shared" si="44"/>
        <v>0</v>
      </c>
      <c r="M133" s="100">
        <f t="shared" si="45"/>
        <v>0</v>
      </c>
      <c r="N133" s="88"/>
      <c r="O133" s="45">
        <v>3000</v>
      </c>
      <c r="P133" s="45">
        <v>4000</v>
      </c>
      <c r="Q133" s="100">
        <f t="shared" si="46"/>
        <v>0</v>
      </c>
      <c r="R133" s="100">
        <v>0</v>
      </c>
      <c r="T133" s="27"/>
      <c r="U133" s="50">
        <f t="shared" si="47"/>
        <v>0</v>
      </c>
    </row>
    <row r="134" spans="1:21" x14ac:dyDescent="0.3">
      <c r="A134" s="13" t="str">
        <f t="shared" si="37"/>
        <v>(4000, 5000]</v>
      </c>
      <c r="B134" s="89">
        <v>0</v>
      </c>
      <c r="C134" s="89">
        <v>0</v>
      </c>
      <c r="D134" s="27">
        <f t="shared" si="38"/>
        <v>0</v>
      </c>
      <c r="E134" s="90">
        <f t="shared" si="39"/>
        <v>0</v>
      </c>
      <c r="F134" s="88"/>
      <c r="G134" s="13" t="str">
        <f t="shared" si="40"/>
        <v>(4000, 5000]</v>
      </c>
      <c r="H134" s="86">
        <v>0</v>
      </c>
      <c r="I134" s="27">
        <f t="shared" si="41"/>
        <v>0</v>
      </c>
      <c r="J134" s="27">
        <f t="shared" si="42"/>
        <v>0</v>
      </c>
      <c r="K134" s="92">
        <f t="shared" si="43"/>
        <v>0</v>
      </c>
      <c r="L134" s="100">
        <f t="shared" si="44"/>
        <v>0</v>
      </c>
      <c r="M134" s="100">
        <f t="shared" si="45"/>
        <v>0</v>
      </c>
      <c r="N134" s="88"/>
      <c r="O134" s="45">
        <v>4000</v>
      </c>
      <c r="P134" s="45">
        <v>5000</v>
      </c>
      <c r="Q134" s="100">
        <f t="shared" si="46"/>
        <v>0</v>
      </c>
      <c r="R134" s="100">
        <v>0</v>
      </c>
      <c r="T134" s="27"/>
      <c r="U134" s="50">
        <f t="shared" si="47"/>
        <v>0</v>
      </c>
    </row>
    <row r="135" spans="1:21" x14ac:dyDescent="0.3">
      <c r="A135" s="13" t="str">
        <f t="shared" si="37"/>
        <v>(5000, 6000]</v>
      </c>
      <c r="B135" s="89">
        <v>0</v>
      </c>
      <c r="C135" s="89">
        <v>0</v>
      </c>
      <c r="D135" s="27">
        <f t="shared" si="38"/>
        <v>0</v>
      </c>
      <c r="E135" s="90">
        <f t="shared" si="39"/>
        <v>0</v>
      </c>
      <c r="F135" s="88"/>
      <c r="G135" s="13" t="str">
        <f t="shared" si="40"/>
        <v>(5000, 6000]</v>
      </c>
      <c r="H135" s="86">
        <v>0</v>
      </c>
      <c r="I135" s="27">
        <f t="shared" si="41"/>
        <v>0</v>
      </c>
      <c r="J135" s="27">
        <f t="shared" si="42"/>
        <v>0</v>
      </c>
      <c r="K135" s="92">
        <f t="shared" si="43"/>
        <v>0</v>
      </c>
      <c r="L135" s="100">
        <f t="shared" si="44"/>
        <v>0</v>
      </c>
      <c r="M135" s="100">
        <f t="shared" si="45"/>
        <v>0</v>
      </c>
      <c r="N135" s="88"/>
      <c r="O135" s="45">
        <v>5000</v>
      </c>
      <c r="P135" s="45">
        <v>6000</v>
      </c>
      <c r="Q135" s="100">
        <f t="shared" si="46"/>
        <v>0</v>
      </c>
      <c r="R135" s="100">
        <v>0</v>
      </c>
      <c r="T135" s="27"/>
      <c r="U135" s="50">
        <f t="shared" si="47"/>
        <v>0</v>
      </c>
    </row>
    <row r="136" spans="1:21" x14ac:dyDescent="0.3">
      <c r="A136" s="13" t="str">
        <f t="shared" si="37"/>
        <v>(6000, 7000]</v>
      </c>
      <c r="B136" s="89">
        <v>0</v>
      </c>
      <c r="C136" s="89">
        <v>0</v>
      </c>
      <c r="D136" s="27">
        <f t="shared" si="38"/>
        <v>0</v>
      </c>
      <c r="E136" s="90">
        <f t="shared" si="39"/>
        <v>0</v>
      </c>
      <c r="F136" s="88"/>
      <c r="G136" s="13" t="str">
        <f t="shared" si="40"/>
        <v>(6000, 7000]</v>
      </c>
      <c r="H136" s="86">
        <v>0</v>
      </c>
      <c r="I136" s="27">
        <f t="shared" si="41"/>
        <v>0</v>
      </c>
      <c r="J136" s="27">
        <f t="shared" si="42"/>
        <v>0</v>
      </c>
      <c r="K136" s="92">
        <f t="shared" si="43"/>
        <v>0</v>
      </c>
      <c r="L136" s="100">
        <f t="shared" si="44"/>
        <v>0</v>
      </c>
      <c r="M136" s="100">
        <f t="shared" si="45"/>
        <v>0</v>
      </c>
      <c r="N136" s="88"/>
      <c r="O136" s="45">
        <v>6000</v>
      </c>
      <c r="P136" s="45">
        <v>7000</v>
      </c>
      <c r="Q136" s="100">
        <f t="shared" si="46"/>
        <v>0</v>
      </c>
      <c r="R136" s="100">
        <v>0</v>
      </c>
      <c r="T136" s="27"/>
      <c r="U136" s="50">
        <f t="shared" si="47"/>
        <v>0</v>
      </c>
    </row>
    <row r="137" spans="1:21" x14ac:dyDescent="0.3">
      <c r="A137" s="13" t="str">
        <f t="shared" si="37"/>
        <v>(7000, 8000]</v>
      </c>
      <c r="B137" s="89">
        <v>0</v>
      </c>
      <c r="C137" s="89">
        <v>0</v>
      </c>
      <c r="D137" s="27">
        <f t="shared" si="38"/>
        <v>0</v>
      </c>
      <c r="E137" s="90">
        <f t="shared" si="39"/>
        <v>0</v>
      </c>
      <c r="F137" s="88"/>
      <c r="G137" s="13" t="str">
        <f t="shared" si="40"/>
        <v>(7000, 8000]</v>
      </c>
      <c r="H137" s="86">
        <v>0</v>
      </c>
      <c r="I137" s="27">
        <f t="shared" si="41"/>
        <v>0</v>
      </c>
      <c r="J137" s="27">
        <f t="shared" si="42"/>
        <v>0</v>
      </c>
      <c r="K137" s="92">
        <f t="shared" si="43"/>
        <v>0</v>
      </c>
      <c r="L137" s="100">
        <f t="shared" si="44"/>
        <v>0</v>
      </c>
      <c r="M137" s="100">
        <f t="shared" si="45"/>
        <v>0</v>
      </c>
      <c r="N137" s="88"/>
      <c r="O137" s="45">
        <v>7000</v>
      </c>
      <c r="P137" s="45">
        <v>8000</v>
      </c>
      <c r="Q137" s="100">
        <f t="shared" si="46"/>
        <v>0</v>
      </c>
      <c r="R137" s="100">
        <v>0</v>
      </c>
      <c r="T137" s="27"/>
      <c r="U137" s="50">
        <f t="shared" si="47"/>
        <v>0</v>
      </c>
    </row>
    <row r="138" spans="1:21" x14ac:dyDescent="0.3">
      <c r="A138" s="13" t="str">
        <f t="shared" si="37"/>
        <v>(8000, 9000]</v>
      </c>
      <c r="B138" s="89">
        <v>0</v>
      </c>
      <c r="C138" s="89">
        <v>0</v>
      </c>
      <c r="D138" s="27">
        <f t="shared" si="38"/>
        <v>0</v>
      </c>
      <c r="E138" s="90">
        <f t="shared" si="39"/>
        <v>0</v>
      </c>
      <c r="F138" s="88"/>
      <c r="G138" s="13" t="str">
        <f t="shared" si="40"/>
        <v>(8000, 9000]</v>
      </c>
      <c r="H138" s="86">
        <v>0</v>
      </c>
      <c r="I138" s="27">
        <f t="shared" si="41"/>
        <v>0</v>
      </c>
      <c r="J138" s="27">
        <f t="shared" si="42"/>
        <v>0</v>
      </c>
      <c r="K138" s="92">
        <f t="shared" si="43"/>
        <v>0</v>
      </c>
      <c r="L138" s="100">
        <f t="shared" si="44"/>
        <v>0</v>
      </c>
      <c r="M138" s="100">
        <f t="shared" si="45"/>
        <v>0</v>
      </c>
      <c r="N138" s="88"/>
      <c r="O138" s="45">
        <v>8000</v>
      </c>
      <c r="P138" s="45">
        <v>9000</v>
      </c>
      <c r="Q138" s="100">
        <f t="shared" si="46"/>
        <v>0</v>
      </c>
      <c r="R138" s="100">
        <v>0</v>
      </c>
      <c r="T138" s="27"/>
      <c r="U138" s="50">
        <f t="shared" si="47"/>
        <v>0</v>
      </c>
    </row>
    <row r="139" spans="1:21" x14ac:dyDescent="0.3">
      <c r="A139" s="13" t="str">
        <f t="shared" si="37"/>
        <v>(9000, 10000]</v>
      </c>
      <c r="B139" s="89">
        <v>0</v>
      </c>
      <c r="C139" s="89">
        <v>0</v>
      </c>
      <c r="D139" s="27">
        <f t="shared" si="38"/>
        <v>0</v>
      </c>
      <c r="E139" s="90">
        <f t="shared" si="39"/>
        <v>0</v>
      </c>
      <c r="F139" s="88"/>
      <c r="G139" s="13" t="str">
        <f t="shared" si="40"/>
        <v>(9000, 10000]</v>
      </c>
      <c r="H139" s="86">
        <v>0</v>
      </c>
      <c r="I139" s="27">
        <f t="shared" si="41"/>
        <v>0</v>
      </c>
      <c r="J139" s="27">
        <f t="shared" si="42"/>
        <v>0</v>
      </c>
      <c r="K139" s="92">
        <f t="shared" si="43"/>
        <v>0</v>
      </c>
      <c r="L139" s="100">
        <f t="shared" si="44"/>
        <v>0</v>
      </c>
      <c r="M139" s="100">
        <f t="shared" si="45"/>
        <v>0</v>
      </c>
      <c r="N139" s="88"/>
      <c r="O139" s="45">
        <v>9000</v>
      </c>
      <c r="P139" s="45">
        <v>10000</v>
      </c>
      <c r="Q139" s="100">
        <f t="shared" si="46"/>
        <v>0</v>
      </c>
      <c r="R139" s="100">
        <v>0</v>
      </c>
      <c r="T139" s="27"/>
      <c r="U139" s="50">
        <f t="shared" si="47"/>
        <v>0</v>
      </c>
    </row>
    <row r="140" spans="1:21" x14ac:dyDescent="0.3">
      <c r="A140" s="13" t="str">
        <f t="shared" si="37"/>
        <v>(10000, 20000]</v>
      </c>
      <c r="B140" s="89">
        <v>0</v>
      </c>
      <c r="C140" s="89">
        <v>0</v>
      </c>
      <c r="D140" s="27">
        <f t="shared" si="38"/>
        <v>0</v>
      </c>
      <c r="E140" s="90">
        <f t="shared" si="39"/>
        <v>0</v>
      </c>
      <c r="F140" s="88"/>
      <c r="G140" s="13" t="str">
        <f t="shared" si="40"/>
        <v>(10000, 20000]</v>
      </c>
      <c r="H140" s="86">
        <v>0</v>
      </c>
      <c r="I140" s="27">
        <f t="shared" si="41"/>
        <v>0</v>
      </c>
      <c r="J140" s="27">
        <f t="shared" si="42"/>
        <v>0</v>
      </c>
      <c r="K140" s="92">
        <f t="shared" si="43"/>
        <v>0</v>
      </c>
      <c r="L140" s="100">
        <f t="shared" si="44"/>
        <v>0</v>
      </c>
      <c r="M140" s="100">
        <f t="shared" si="45"/>
        <v>0</v>
      </c>
      <c r="N140" s="88"/>
      <c r="O140" s="45">
        <v>10000</v>
      </c>
      <c r="P140" s="45">
        <v>20000</v>
      </c>
      <c r="Q140" s="100">
        <f t="shared" si="46"/>
        <v>0</v>
      </c>
      <c r="R140" s="100">
        <v>0</v>
      </c>
      <c r="T140" s="27"/>
      <c r="U140" s="50">
        <f t="shared" si="47"/>
        <v>0</v>
      </c>
    </row>
    <row r="141" spans="1:21" x14ac:dyDescent="0.3">
      <c r="A141" s="13" t="str">
        <f t="shared" si="37"/>
        <v>(20000, 30000]</v>
      </c>
      <c r="B141" s="89">
        <v>0</v>
      </c>
      <c r="C141" s="89">
        <v>0</v>
      </c>
      <c r="D141" s="27">
        <f t="shared" si="38"/>
        <v>0</v>
      </c>
      <c r="E141" s="90">
        <f t="shared" si="39"/>
        <v>0</v>
      </c>
      <c r="F141" s="88"/>
      <c r="G141" s="13" t="str">
        <f t="shared" si="40"/>
        <v>(20000, 30000]</v>
      </c>
      <c r="H141" s="86">
        <v>0</v>
      </c>
      <c r="I141" s="27">
        <f t="shared" si="41"/>
        <v>0</v>
      </c>
      <c r="J141" s="27">
        <f t="shared" si="42"/>
        <v>0</v>
      </c>
      <c r="K141" s="92">
        <f t="shared" si="43"/>
        <v>0</v>
      </c>
      <c r="L141" s="100">
        <f t="shared" si="44"/>
        <v>0</v>
      </c>
      <c r="M141" s="100">
        <f t="shared" si="45"/>
        <v>0</v>
      </c>
      <c r="N141" s="88"/>
      <c r="O141" s="45">
        <v>20000</v>
      </c>
      <c r="P141" s="45">
        <v>30000</v>
      </c>
      <c r="Q141" s="100">
        <f t="shared" si="46"/>
        <v>0</v>
      </c>
      <c r="R141" s="100">
        <v>0</v>
      </c>
      <c r="T141" s="27"/>
      <c r="U141" s="50">
        <f t="shared" si="47"/>
        <v>0</v>
      </c>
    </row>
    <row r="142" spans="1:21" x14ac:dyDescent="0.3">
      <c r="A142" s="13" t="str">
        <f t="shared" si="37"/>
        <v>(30000, 40000]</v>
      </c>
      <c r="B142" s="89">
        <v>0</v>
      </c>
      <c r="C142" s="89">
        <v>0</v>
      </c>
      <c r="D142" s="27">
        <f t="shared" si="38"/>
        <v>0</v>
      </c>
      <c r="E142" s="90">
        <f t="shared" si="39"/>
        <v>0</v>
      </c>
      <c r="F142" s="88"/>
      <c r="G142" s="13" t="str">
        <f t="shared" si="40"/>
        <v>(30000, 40000]</v>
      </c>
      <c r="H142" s="86">
        <v>0</v>
      </c>
      <c r="I142" s="27">
        <f t="shared" si="41"/>
        <v>0</v>
      </c>
      <c r="J142" s="27">
        <f t="shared" si="42"/>
        <v>0</v>
      </c>
      <c r="K142" s="92">
        <f t="shared" si="43"/>
        <v>0</v>
      </c>
      <c r="L142" s="100">
        <f t="shared" si="44"/>
        <v>0</v>
      </c>
      <c r="M142" s="100">
        <f t="shared" si="45"/>
        <v>0</v>
      </c>
      <c r="N142" s="88"/>
      <c r="O142" s="45">
        <v>30000</v>
      </c>
      <c r="P142" s="45">
        <v>40000</v>
      </c>
      <c r="Q142" s="100">
        <f t="shared" si="46"/>
        <v>0</v>
      </c>
      <c r="R142" s="100">
        <v>0</v>
      </c>
      <c r="T142" s="27"/>
      <c r="U142" s="50">
        <f t="shared" si="47"/>
        <v>0</v>
      </c>
    </row>
    <row r="143" spans="1:21" x14ac:dyDescent="0.3">
      <c r="A143" s="13" t="str">
        <f t="shared" si="37"/>
        <v>(40000, 50000]</v>
      </c>
      <c r="B143" s="89">
        <v>0</v>
      </c>
      <c r="C143" s="89">
        <v>0</v>
      </c>
      <c r="D143" s="27">
        <f t="shared" si="38"/>
        <v>0</v>
      </c>
      <c r="E143" s="90">
        <f t="shared" si="39"/>
        <v>0</v>
      </c>
      <c r="F143" s="88"/>
      <c r="G143" s="13" t="str">
        <f t="shared" si="40"/>
        <v>(40000, 50000]</v>
      </c>
      <c r="H143" s="86">
        <v>0</v>
      </c>
      <c r="I143" s="27">
        <f t="shared" si="41"/>
        <v>0</v>
      </c>
      <c r="J143" s="27">
        <f t="shared" si="42"/>
        <v>0</v>
      </c>
      <c r="K143" s="92">
        <f t="shared" si="43"/>
        <v>0</v>
      </c>
      <c r="L143" s="100">
        <f t="shared" si="44"/>
        <v>0</v>
      </c>
      <c r="M143" s="100">
        <f t="shared" si="45"/>
        <v>0</v>
      </c>
      <c r="N143" s="88"/>
      <c r="O143" s="45">
        <v>40000</v>
      </c>
      <c r="P143" s="45">
        <v>50000</v>
      </c>
      <c r="Q143" s="100">
        <f t="shared" si="46"/>
        <v>0</v>
      </c>
      <c r="R143" s="100">
        <v>0</v>
      </c>
      <c r="T143" s="27"/>
      <c r="U143" s="50">
        <f t="shared" si="47"/>
        <v>0</v>
      </c>
    </row>
    <row r="144" spans="1:21" x14ac:dyDescent="0.3">
      <c r="A144" s="13" t="str">
        <f t="shared" si="37"/>
        <v>(50000, 60000]</v>
      </c>
      <c r="B144" s="89">
        <v>0</v>
      </c>
      <c r="C144" s="89">
        <v>0</v>
      </c>
      <c r="D144" s="27">
        <f t="shared" si="38"/>
        <v>0</v>
      </c>
      <c r="E144" s="90">
        <f t="shared" si="39"/>
        <v>0</v>
      </c>
      <c r="F144" s="88"/>
      <c r="G144" s="13" t="str">
        <f t="shared" si="40"/>
        <v>(50000, 60000]</v>
      </c>
      <c r="H144" s="86">
        <v>0</v>
      </c>
      <c r="I144" s="27">
        <f t="shared" si="41"/>
        <v>0</v>
      </c>
      <c r="J144" s="27">
        <f t="shared" si="42"/>
        <v>0</v>
      </c>
      <c r="K144" s="92">
        <f t="shared" si="43"/>
        <v>0</v>
      </c>
      <c r="L144" s="100">
        <f t="shared" si="44"/>
        <v>0</v>
      </c>
      <c r="M144" s="100">
        <f t="shared" si="45"/>
        <v>0</v>
      </c>
      <c r="N144" s="88"/>
      <c r="O144" s="45">
        <v>50000</v>
      </c>
      <c r="P144" s="45">
        <v>60000</v>
      </c>
      <c r="Q144" s="100">
        <f t="shared" si="46"/>
        <v>0</v>
      </c>
      <c r="R144" s="100">
        <v>0</v>
      </c>
      <c r="T144" s="27"/>
      <c r="U144" s="50">
        <f t="shared" si="47"/>
        <v>0</v>
      </c>
    </row>
    <row r="145" spans="1:21" x14ac:dyDescent="0.3">
      <c r="A145" s="13" t="str">
        <f t="shared" si="37"/>
        <v>(60000, 70000]</v>
      </c>
      <c r="B145" s="89">
        <v>0</v>
      </c>
      <c r="C145" s="89">
        <v>0</v>
      </c>
      <c r="D145" s="27">
        <f t="shared" si="38"/>
        <v>0</v>
      </c>
      <c r="E145" s="90">
        <f t="shared" si="39"/>
        <v>0</v>
      </c>
      <c r="F145" s="88"/>
      <c r="G145" s="13" t="str">
        <f t="shared" si="40"/>
        <v>(60000, 70000]</v>
      </c>
      <c r="H145" s="86">
        <v>0</v>
      </c>
      <c r="I145" s="27">
        <f t="shared" si="41"/>
        <v>0</v>
      </c>
      <c r="J145" s="27">
        <f t="shared" si="42"/>
        <v>0</v>
      </c>
      <c r="K145" s="92">
        <f t="shared" si="43"/>
        <v>0</v>
      </c>
      <c r="L145" s="100">
        <f t="shared" si="44"/>
        <v>0</v>
      </c>
      <c r="M145" s="100">
        <f t="shared" si="45"/>
        <v>0</v>
      </c>
      <c r="N145" s="88"/>
      <c r="O145" s="45">
        <v>60000</v>
      </c>
      <c r="P145" s="45">
        <v>70000</v>
      </c>
      <c r="Q145" s="100">
        <f t="shared" si="46"/>
        <v>0</v>
      </c>
      <c r="R145" s="100">
        <v>0</v>
      </c>
      <c r="T145" s="27"/>
      <c r="U145" s="50">
        <f t="shared" si="47"/>
        <v>0</v>
      </c>
    </row>
    <row r="146" spans="1:21" x14ac:dyDescent="0.3">
      <c r="A146" s="13" t="str">
        <f t="shared" si="37"/>
        <v>(70000, 80000]</v>
      </c>
      <c r="B146" s="89">
        <v>0</v>
      </c>
      <c r="C146" s="89">
        <v>0</v>
      </c>
      <c r="D146" s="27">
        <f t="shared" si="38"/>
        <v>0</v>
      </c>
      <c r="E146" s="90">
        <f t="shared" si="39"/>
        <v>0</v>
      </c>
      <c r="F146" s="88"/>
      <c r="G146" s="13" t="str">
        <f t="shared" si="40"/>
        <v>(70000, 80000]</v>
      </c>
      <c r="H146" s="86">
        <v>0</v>
      </c>
      <c r="I146" s="27">
        <f t="shared" si="41"/>
        <v>0</v>
      </c>
      <c r="J146" s="27">
        <f t="shared" si="42"/>
        <v>0</v>
      </c>
      <c r="K146" s="92">
        <f t="shared" si="43"/>
        <v>0</v>
      </c>
      <c r="L146" s="100">
        <f t="shared" si="44"/>
        <v>0</v>
      </c>
      <c r="M146" s="100">
        <f t="shared" si="45"/>
        <v>0</v>
      </c>
      <c r="N146" s="88"/>
      <c r="O146" s="45">
        <v>70000</v>
      </c>
      <c r="P146" s="45">
        <v>80000</v>
      </c>
      <c r="Q146" s="100">
        <f t="shared" si="46"/>
        <v>0</v>
      </c>
      <c r="R146" s="100">
        <v>0</v>
      </c>
      <c r="T146" s="27"/>
      <c r="U146" s="50">
        <f t="shared" si="47"/>
        <v>0</v>
      </c>
    </row>
    <row r="147" spans="1:21" x14ac:dyDescent="0.3">
      <c r="A147" s="13" t="str">
        <f t="shared" si="37"/>
        <v>(80000, 90000]</v>
      </c>
      <c r="B147" s="89">
        <v>0</v>
      </c>
      <c r="C147" s="89">
        <v>0</v>
      </c>
      <c r="D147" s="27">
        <f t="shared" si="38"/>
        <v>0</v>
      </c>
      <c r="E147" s="90">
        <f t="shared" si="39"/>
        <v>0</v>
      </c>
      <c r="F147" s="88"/>
      <c r="G147" s="13" t="str">
        <f t="shared" si="40"/>
        <v>(80000, 90000]</v>
      </c>
      <c r="H147" s="86">
        <v>0</v>
      </c>
      <c r="I147" s="27">
        <f t="shared" si="41"/>
        <v>0</v>
      </c>
      <c r="J147" s="27">
        <f t="shared" si="42"/>
        <v>0</v>
      </c>
      <c r="K147" s="92">
        <f t="shared" si="43"/>
        <v>0</v>
      </c>
      <c r="L147" s="100">
        <f t="shared" si="44"/>
        <v>0</v>
      </c>
      <c r="M147" s="100">
        <f t="shared" si="45"/>
        <v>0</v>
      </c>
      <c r="N147" s="88"/>
      <c r="O147" s="45">
        <v>80000</v>
      </c>
      <c r="P147" s="45">
        <v>90000</v>
      </c>
      <c r="Q147" s="100">
        <f t="shared" si="46"/>
        <v>0</v>
      </c>
      <c r="R147" s="100">
        <v>0</v>
      </c>
      <c r="T147" s="27"/>
      <c r="U147" s="50">
        <f t="shared" si="47"/>
        <v>0</v>
      </c>
    </row>
    <row r="148" spans="1:21" x14ac:dyDescent="0.3">
      <c r="A148" s="13" t="str">
        <f t="shared" si="37"/>
        <v>(90000, 100000]</v>
      </c>
      <c r="B148" s="89">
        <v>0</v>
      </c>
      <c r="C148" s="89">
        <v>0</v>
      </c>
      <c r="D148" s="27">
        <f t="shared" si="38"/>
        <v>0</v>
      </c>
      <c r="E148" s="90">
        <f t="shared" si="39"/>
        <v>0</v>
      </c>
      <c r="F148" s="88"/>
      <c r="G148" s="13" t="str">
        <f t="shared" si="40"/>
        <v>(90000, 100000]</v>
      </c>
      <c r="H148" s="86">
        <v>0</v>
      </c>
      <c r="I148" s="27">
        <f t="shared" si="41"/>
        <v>0</v>
      </c>
      <c r="J148" s="27">
        <f t="shared" si="42"/>
        <v>0</v>
      </c>
      <c r="K148" s="92">
        <f t="shared" si="43"/>
        <v>0</v>
      </c>
      <c r="L148" s="100">
        <f t="shared" si="44"/>
        <v>0</v>
      </c>
      <c r="M148" s="100">
        <f t="shared" si="45"/>
        <v>0</v>
      </c>
      <c r="N148" s="88"/>
      <c r="O148" s="45">
        <v>90000</v>
      </c>
      <c r="P148" s="45">
        <v>100000</v>
      </c>
      <c r="Q148" s="100">
        <f t="shared" si="46"/>
        <v>0</v>
      </c>
      <c r="R148" s="100">
        <v>0</v>
      </c>
      <c r="T148" s="27"/>
      <c r="U148" s="50">
        <f t="shared" si="47"/>
        <v>0</v>
      </c>
    </row>
    <row r="149" spans="1:21" x14ac:dyDescent="0.3">
      <c r="A149" s="13" t="str">
        <f t="shared" si="37"/>
        <v>(100000, 9999999]</v>
      </c>
      <c r="B149" s="89">
        <v>0</v>
      </c>
      <c r="C149" s="89">
        <v>0</v>
      </c>
      <c r="D149" s="27">
        <f t="shared" si="38"/>
        <v>0</v>
      </c>
      <c r="E149" s="90">
        <f t="shared" si="39"/>
        <v>0</v>
      </c>
      <c r="F149" s="88"/>
      <c r="G149" s="13" t="str">
        <f t="shared" si="40"/>
        <v>(100000, 9999999]</v>
      </c>
      <c r="H149" s="86">
        <v>0</v>
      </c>
      <c r="I149" s="27">
        <f t="shared" si="41"/>
        <v>0</v>
      </c>
      <c r="J149" s="27">
        <f t="shared" si="42"/>
        <v>0</v>
      </c>
      <c r="K149" s="92">
        <f t="shared" si="43"/>
        <v>0</v>
      </c>
      <c r="L149" s="100">
        <f t="shared" si="44"/>
        <v>0</v>
      </c>
      <c r="M149" s="100">
        <f t="shared" si="45"/>
        <v>0</v>
      </c>
      <c r="N149" s="88"/>
      <c r="O149" s="45">
        <v>100000</v>
      </c>
      <c r="P149" s="45">
        <v>9999999</v>
      </c>
      <c r="Q149" s="100">
        <f t="shared" si="46"/>
        <v>0</v>
      </c>
      <c r="R149" s="100">
        <v>0</v>
      </c>
      <c r="T149" s="27"/>
      <c r="U149" s="50">
        <f t="shared" si="47"/>
        <v>0</v>
      </c>
    </row>
    <row r="150" spans="1:21" x14ac:dyDescent="0.3">
      <c r="F150" s="4"/>
      <c r="N150" s="4"/>
      <c r="O150" s="4"/>
      <c r="P150" s="4"/>
    </row>
  </sheetData>
  <phoneticPr fontId="20" type="noConversion"/>
  <conditionalFormatting sqref="D79">
    <cfRule type="cellIs" dxfId="2" priority="31" operator="lessThan">
      <formula>0.001</formula>
    </cfRule>
  </conditionalFormatting>
  <conditionalFormatting sqref="D86:D149">
    <cfRule type="cellIs" dxfId="1" priority="45" operator="lessThan">
      <formula>0.001</formula>
    </cfRule>
  </conditionalFormatting>
  <conditionalFormatting sqref="D15:D78">
    <cfRule type="cellIs" dxfId="0" priority="46" operator="lessThan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{D18D8AAD-14A1-4754-9860-483B494B69AC}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{C269992C-9CE7-4C5E-9F10-0933EB39FFC1}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{FF41661D-3181-4073-B382-4A17303B2EB7}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{D36DAF5E-376B-4D28-90BC-1F8EFC34FE26}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{DABBDC28-454A-4A60-B5CD-EE3617DC1D3C}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{76DE6D53-47D1-4455-A70C-127541DA5BB3}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8D8AAD-14A1-4754-9860-483B494B6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C269992C-9CE7-4C5E-9F10-0933EB39FF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FF41661D-3181-4073-B382-4A17303B2E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36DAF5E-376B-4D28-90BC-1F8EFC34FE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DABBDC28-454A-4A60-B5CD-EE3617DC1D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76DE6D53-47D1-4455-A70C-127541DA5B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tabSelected="1" workbookViewId="0">
      <selection activeCell="C14" sqref="C14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4" width="8.88671875" style="4" customWidth="1"/>
    <col min="15" max="16384" width="8.88671875" style="4"/>
  </cols>
  <sheetData>
    <row r="2" spans="1:3" x14ac:dyDescent="0.3">
      <c r="B2" s="8" t="s">
        <v>90</v>
      </c>
      <c r="C2" s="97">
        <v>10000000000</v>
      </c>
    </row>
    <row r="4" spans="1:3" x14ac:dyDescent="0.3">
      <c r="B4" s="12" t="s">
        <v>8</v>
      </c>
      <c r="C4" s="12" t="s">
        <v>115</v>
      </c>
    </row>
    <row r="5" spans="1:3" x14ac:dyDescent="0.3">
      <c r="A5" s="20"/>
      <c r="B5" s="14" t="s">
        <v>116</v>
      </c>
      <c r="C5" s="21" t="s">
        <v>120</v>
      </c>
    </row>
    <row r="6" spans="1:3" x14ac:dyDescent="0.3">
      <c r="A6" s="20"/>
      <c r="B6" s="14" t="s">
        <v>117</v>
      </c>
      <c r="C6" s="21" t="s">
        <v>119</v>
      </c>
    </row>
    <row r="7" spans="1:3" x14ac:dyDescent="0.3">
      <c r="A7" s="20"/>
      <c r="B7" s="14" t="s">
        <v>118</v>
      </c>
      <c r="C7" s="21" t="s">
        <v>121</v>
      </c>
    </row>
    <row r="8" spans="1:3" x14ac:dyDescent="0.3">
      <c r="B8" s="14" t="s">
        <v>122</v>
      </c>
      <c r="C8" s="21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2026-08-19T02:18:56Z</dcterms:modified>
</cp:coreProperties>
</file>