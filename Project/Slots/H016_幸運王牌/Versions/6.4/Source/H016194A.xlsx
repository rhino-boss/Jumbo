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5E924880-4B87-4A3B-AB58-C1871C60275C}" xr6:coauthVersionLast="47" xr6:coauthVersionMax="47" xr10:uidLastSave="{00000000-0000-0000-0000-000000000000}"/>
  <bookViews>
    <workbookView xWindow="-22380" yWindow="3000" windowWidth="16410" windowHeight="8880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100" i="4" l="1"/>
  <c r="J148" i="4"/>
  <c r="K148" i="4" s="1"/>
  <c r="J128" i="4"/>
  <c r="K128" i="4" s="1"/>
  <c r="J108" i="4"/>
  <c r="K108" i="4" s="1"/>
  <c r="J88" i="4"/>
  <c r="K88" i="4" s="1"/>
  <c r="J147" i="4"/>
  <c r="K147" i="4" s="1"/>
  <c r="J127" i="4"/>
  <c r="K127" i="4" s="1"/>
  <c r="J107" i="4"/>
  <c r="K107" i="4" s="1"/>
  <c r="J87" i="4"/>
  <c r="K87" i="4" s="1"/>
  <c r="J146" i="4"/>
  <c r="K146" i="4" s="1"/>
  <c r="J126" i="4"/>
  <c r="K126" i="4" s="1"/>
  <c r="J106" i="4"/>
  <c r="K106" i="4" s="1"/>
  <c r="J86" i="4"/>
  <c r="K86" i="4" s="1"/>
  <c r="J145" i="4"/>
  <c r="K145" i="4" s="1"/>
  <c r="J125" i="4"/>
  <c r="K125" i="4" s="1"/>
  <c r="J105" i="4"/>
  <c r="K105" i="4" s="1"/>
  <c r="E123" i="4"/>
  <c r="E122" i="4"/>
  <c r="J136" i="4"/>
  <c r="K136" i="4" s="1"/>
  <c r="J96" i="4"/>
  <c r="K96" i="4" s="1"/>
  <c r="J135" i="4"/>
  <c r="K135" i="4" s="1"/>
  <c r="J95" i="4"/>
  <c r="K95" i="4" s="1"/>
  <c r="J144" i="4"/>
  <c r="K144" i="4" s="1"/>
  <c r="J123" i="4"/>
  <c r="K123" i="4" s="1"/>
  <c r="J122" i="4"/>
  <c r="K122" i="4" s="1"/>
  <c r="J102" i="4"/>
  <c r="K102" i="4" s="1"/>
  <c r="J121" i="4"/>
  <c r="K121" i="4" s="1"/>
  <c r="J142" i="4"/>
  <c r="K142" i="4" s="1"/>
  <c r="J141" i="4"/>
  <c r="K141" i="4" s="1"/>
  <c r="J101" i="4"/>
  <c r="K101" i="4" s="1"/>
  <c r="J120" i="4"/>
  <c r="K120" i="4" s="1"/>
  <c r="J104" i="4"/>
  <c r="K104" i="4" s="1"/>
  <c r="J143" i="4"/>
  <c r="K143" i="4" s="1"/>
  <c r="J100" i="4"/>
  <c r="K100" i="4" s="1"/>
  <c r="J139" i="4"/>
  <c r="K139" i="4" s="1"/>
  <c r="J99" i="4"/>
  <c r="K99" i="4" s="1"/>
  <c r="J117" i="4"/>
  <c r="K117" i="4" s="1"/>
  <c r="J124" i="4"/>
  <c r="K124" i="4" s="1"/>
  <c r="J103" i="4"/>
  <c r="K103" i="4" s="1"/>
  <c r="J140" i="4"/>
  <c r="K140" i="4" s="1"/>
  <c r="J119" i="4"/>
  <c r="K119" i="4" s="1"/>
  <c r="J116" i="4"/>
  <c r="K116" i="4" s="1"/>
  <c r="J137" i="4"/>
  <c r="K137" i="4" s="1"/>
  <c r="J97" i="4"/>
  <c r="K97" i="4" s="1"/>
  <c r="J115" i="4"/>
  <c r="K115" i="4" s="1"/>
  <c r="J98" i="4"/>
  <c r="K98" i="4" s="1"/>
  <c r="J93" i="4"/>
  <c r="K93" i="4" s="1"/>
  <c r="J132" i="4"/>
  <c r="K132" i="4" s="1"/>
  <c r="J131" i="4"/>
  <c r="K131" i="4" s="1"/>
  <c r="J110" i="4"/>
  <c r="K110" i="4" s="1"/>
  <c r="J89" i="4"/>
  <c r="K89" i="4" s="1"/>
  <c r="J138" i="4"/>
  <c r="K138" i="4" s="1"/>
  <c r="J134" i="4"/>
  <c r="K134" i="4" s="1"/>
  <c r="J114" i="4"/>
  <c r="K114" i="4" s="1"/>
  <c r="J133" i="4"/>
  <c r="K133" i="4" s="1"/>
  <c r="J112" i="4"/>
  <c r="K112" i="4" s="1"/>
  <c r="J91" i="4"/>
  <c r="K91" i="4" s="1"/>
  <c r="J130" i="4"/>
  <c r="K130" i="4" s="1"/>
  <c r="J149" i="4"/>
  <c r="K149" i="4" s="1"/>
  <c r="J109" i="4"/>
  <c r="K109" i="4" s="1"/>
  <c r="J118" i="4"/>
  <c r="K118" i="4" s="1"/>
  <c r="J94" i="4"/>
  <c r="K94" i="4" s="1"/>
  <c r="J113" i="4"/>
  <c r="K113" i="4" s="1"/>
  <c r="J92" i="4"/>
  <c r="K92" i="4" s="1"/>
  <c r="J111" i="4"/>
  <c r="K111" i="4" s="1"/>
  <c r="J90" i="4"/>
  <c r="K90" i="4" s="1"/>
  <c r="J129" i="4"/>
  <c r="K129" i="4" s="1"/>
  <c r="E118" i="4"/>
  <c r="E117" i="4"/>
  <c r="E105" i="4"/>
  <c r="E104" i="4"/>
  <c r="E143" i="4"/>
  <c r="E101" i="4"/>
  <c r="E121" i="4"/>
  <c r="E119" i="4"/>
  <c r="E145" i="4"/>
  <c r="E103" i="4"/>
  <c r="E144" i="4"/>
  <c r="E102" i="4"/>
  <c r="E142" i="4"/>
  <c r="E140" i="4"/>
  <c r="E139" i="4"/>
  <c r="E138" i="4"/>
  <c r="E120" i="4"/>
  <c r="E141" i="4"/>
  <c r="E98" i="4"/>
  <c r="E137" i="4"/>
  <c r="E97" i="4"/>
  <c r="E125" i="4"/>
  <c r="E99" i="4"/>
  <c r="E124" i="4"/>
  <c r="E116" i="4"/>
  <c r="E135" i="4"/>
  <c r="E95" i="4"/>
  <c r="E134" i="4"/>
  <c r="E94" i="4"/>
  <c r="E113" i="4"/>
  <c r="E132" i="4"/>
  <c r="E112" i="4"/>
  <c r="E92" i="4"/>
  <c r="E131" i="4"/>
  <c r="E111" i="4"/>
  <c r="E91" i="4"/>
  <c r="E130" i="4"/>
  <c r="E110" i="4"/>
  <c r="E90" i="4"/>
  <c r="E149" i="4"/>
  <c r="E129" i="4"/>
  <c r="E109" i="4"/>
  <c r="E89" i="4"/>
  <c r="E148" i="4"/>
  <c r="E128" i="4"/>
  <c r="E108" i="4"/>
  <c r="E88" i="4"/>
  <c r="E147" i="4"/>
  <c r="E127" i="4"/>
  <c r="E107" i="4"/>
  <c r="E87" i="4"/>
  <c r="E136" i="4"/>
  <c r="E96" i="4"/>
  <c r="E115" i="4"/>
  <c r="E114" i="4"/>
  <c r="E133" i="4"/>
  <c r="E93" i="4"/>
  <c r="E146" i="4"/>
  <c r="E126" i="4"/>
  <c r="E106" i="4"/>
  <c r="E86" i="4"/>
  <c r="J78" i="4"/>
  <c r="K78" i="4" s="1"/>
  <c r="J36" i="4"/>
  <c r="K36" i="4" s="1"/>
  <c r="E52" i="4"/>
  <c r="J17" i="4"/>
  <c r="K17" i="4" s="1"/>
  <c r="J76" i="4"/>
  <c r="K76" i="4" s="1"/>
  <c r="J55" i="4"/>
  <c r="K55" i="4" s="1"/>
  <c r="J54" i="4"/>
  <c r="K54" i="4" s="1"/>
  <c r="E51" i="4"/>
  <c r="J39" i="4"/>
  <c r="K39" i="4" s="1"/>
  <c r="J38" i="4"/>
  <c r="K38" i="4" s="1"/>
  <c r="J15" i="4"/>
  <c r="K15" i="4" s="1"/>
  <c r="J57" i="4"/>
  <c r="K57" i="4" s="1"/>
  <c r="J56" i="4"/>
  <c r="K56" i="4" s="1"/>
  <c r="J59" i="4"/>
  <c r="K59" i="4" s="1"/>
  <c r="J18" i="4"/>
  <c r="K18" i="4" s="1"/>
  <c r="J16" i="4"/>
  <c r="K16" i="4" s="1"/>
  <c r="J34" i="4"/>
  <c r="K34" i="4" s="1"/>
  <c r="E50" i="4"/>
  <c r="J58" i="4"/>
  <c r="K58" i="4" s="1"/>
  <c r="J37" i="4"/>
  <c r="K37" i="4" s="1"/>
  <c r="J35" i="4"/>
  <c r="K35" i="4" s="1"/>
  <c r="J19" i="4"/>
  <c r="K19" i="4" s="1"/>
  <c r="J77" i="4"/>
  <c r="K77" i="4" s="1"/>
  <c r="J75" i="4"/>
  <c r="K75" i="4" s="1"/>
  <c r="E53" i="4"/>
  <c r="J53" i="4"/>
  <c r="K53" i="4" s="1"/>
  <c r="J73" i="4"/>
  <c r="K73" i="4" s="1"/>
  <c r="J70" i="4"/>
  <c r="K70" i="4" s="1"/>
  <c r="J30" i="4"/>
  <c r="K30" i="4" s="1"/>
  <c r="J29" i="4"/>
  <c r="K29" i="4" s="1"/>
  <c r="J68" i="4"/>
  <c r="K68" i="4" s="1"/>
  <c r="J67" i="4"/>
  <c r="K67" i="4" s="1"/>
  <c r="J27" i="4"/>
  <c r="K27" i="4" s="1"/>
  <c r="J49" i="4"/>
  <c r="K49" i="4" s="1"/>
  <c r="J74" i="4"/>
  <c r="K74" i="4" s="1"/>
  <c r="J33" i="4"/>
  <c r="K33" i="4" s="1"/>
  <c r="J31" i="4"/>
  <c r="K31" i="4" s="1"/>
  <c r="J52" i="4"/>
  <c r="K52" i="4" s="1"/>
  <c r="J51" i="4"/>
  <c r="K51" i="4" s="1"/>
  <c r="J66" i="4"/>
  <c r="K66" i="4" s="1"/>
  <c r="J26" i="4"/>
  <c r="K26" i="4" s="1"/>
  <c r="J48" i="4"/>
  <c r="K48" i="4" s="1"/>
  <c r="J32" i="4"/>
  <c r="K32" i="4" s="1"/>
  <c r="J28" i="4"/>
  <c r="K28" i="4" s="1"/>
  <c r="J47" i="4"/>
  <c r="K47" i="4" s="1"/>
  <c r="J72" i="4"/>
  <c r="K72" i="4" s="1"/>
  <c r="J71" i="4"/>
  <c r="K71" i="4" s="1"/>
  <c r="J69" i="4"/>
  <c r="K69" i="4" s="1"/>
  <c r="J50" i="4"/>
  <c r="K50" i="4" s="1"/>
  <c r="J46" i="4"/>
  <c r="K46" i="4" s="1"/>
  <c r="J65" i="4"/>
  <c r="K65" i="4" s="1"/>
  <c r="J23" i="4"/>
  <c r="K23" i="4" s="1"/>
  <c r="J62" i="4"/>
  <c r="K62" i="4" s="1"/>
  <c r="J41" i="4"/>
  <c r="K41" i="4" s="1"/>
  <c r="J60" i="4"/>
  <c r="K60" i="4" s="1"/>
  <c r="J40" i="4"/>
  <c r="K40" i="4" s="1"/>
  <c r="J20" i="4"/>
  <c r="K20" i="4" s="1"/>
  <c r="J25" i="4"/>
  <c r="K25" i="4" s="1"/>
  <c r="J64" i="4"/>
  <c r="K64" i="4" s="1"/>
  <c r="J61" i="4"/>
  <c r="K61" i="4" s="1"/>
  <c r="J21" i="4"/>
  <c r="K21" i="4" s="1"/>
  <c r="J44" i="4"/>
  <c r="K44" i="4" s="1"/>
  <c r="J63" i="4"/>
  <c r="K63" i="4" s="1"/>
  <c r="J42" i="4"/>
  <c r="K42" i="4" s="1"/>
  <c r="J45" i="4"/>
  <c r="K45" i="4" s="1"/>
  <c r="J24" i="4"/>
  <c r="K24" i="4" s="1"/>
  <c r="J22" i="4"/>
  <c r="K22" i="4" s="1"/>
  <c r="J43" i="4"/>
  <c r="K43" i="4" s="1"/>
  <c r="E34" i="4"/>
  <c r="E31" i="4"/>
  <c r="E72" i="4"/>
  <c r="E28" i="4"/>
  <c r="E33" i="4"/>
  <c r="E71" i="4"/>
  <c r="E27" i="4"/>
  <c r="E48" i="4"/>
  <c r="E70" i="4"/>
  <c r="I79" i="4"/>
  <c r="J79" i="4" s="1"/>
  <c r="K79" i="4" s="1"/>
  <c r="E49" i="4"/>
  <c r="E47" i="4"/>
  <c r="E69" i="4"/>
  <c r="E32" i="4"/>
  <c r="E30" i="4"/>
  <c r="E73" i="4"/>
  <c r="E68" i="4"/>
  <c r="E29" i="4"/>
  <c r="E67" i="4"/>
  <c r="E74" i="4"/>
  <c r="E54" i="4"/>
  <c r="E26" i="4"/>
  <c r="E45" i="4"/>
  <c r="E64" i="4"/>
  <c r="E24" i="4"/>
  <c r="E63" i="4"/>
  <c r="E23" i="4"/>
  <c r="E42" i="4"/>
  <c r="E41" i="4"/>
  <c r="E20" i="4"/>
  <c r="E79" i="4"/>
  <c r="E59" i="4"/>
  <c r="E19" i="4"/>
  <c r="E78" i="4"/>
  <c r="E58" i="4"/>
  <c r="E18" i="4"/>
  <c r="E77" i="4"/>
  <c r="E57" i="4"/>
  <c r="E17" i="4"/>
  <c r="E76" i="4"/>
  <c r="E56" i="4"/>
  <c r="E36" i="4"/>
  <c r="E16" i="4"/>
  <c r="E66" i="4"/>
  <c r="E46" i="4"/>
  <c r="E65" i="4"/>
  <c r="E25" i="4"/>
  <c r="E44" i="4"/>
  <c r="E43" i="4"/>
  <c r="E62" i="4"/>
  <c r="E22" i="4"/>
  <c r="E61" i="4"/>
  <c r="E21" i="4"/>
  <c r="E60" i="4"/>
  <c r="E40" i="4"/>
  <c r="E39" i="4"/>
  <c r="E38" i="4"/>
  <c r="E37" i="4"/>
  <c r="E75" i="4"/>
  <c r="E55" i="4"/>
  <c r="E35" i="4"/>
  <c r="E213" i="3"/>
  <c r="E174" i="3"/>
  <c r="E172" i="3"/>
  <c r="E212" i="3"/>
  <c r="E202" i="3"/>
  <c r="E201" i="3"/>
  <c r="E200" i="3"/>
  <c r="E196" i="3"/>
  <c r="E175" i="3"/>
  <c r="E173" i="3"/>
  <c r="E216" i="3"/>
  <c r="E215" i="3"/>
  <c r="E214" i="3"/>
  <c r="J209" i="3"/>
  <c r="K209" i="3" s="1"/>
  <c r="J189" i="3"/>
  <c r="K189" i="3" s="1"/>
  <c r="J169" i="3"/>
  <c r="K169" i="3" s="1"/>
  <c r="J226" i="3"/>
  <c r="K226" i="3" s="1"/>
  <c r="J208" i="3"/>
  <c r="K208" i="3" s="1"/>
  <c r="J188" i="3"/>
  <c r="K188" i="3" s="1"/>
  <c r="J168" i="3"/>
  <c r="K168" i="3" s="1"/>
  <c r="J187" i="3"/>
  <c r="K187" i="3" s="1"/>
  <c r="J167" i="3"/>
  <c r="K167" i="3" s="1"/>
  <c r="J186" i="3"/>
  <c r="K186" i="3" s="1"/>
  <c r="J166" i="3"/>
  <c r="K166" i="3" s="1"/>
  <c r="J197" i="3"/>
  <c r="K197" i="3" s="1"/>
  <c r="J199" i="3"/>
  <c r="K199" i="3" s="1"/>
  <c r="J220" i="3"/>
  <c r="K220" i="3" s="1"/>
  <c r="J201" i="3"/>
  <c r="K201" i="3" s="1"/>
  <c r="J202" i="3"/>
  <c r="K202" i="3" s="1"/>
  <c r="J198" i="3"/>
  <c r="K198" i="3" s="1"/>
  <c r="J219" i="3"/>
  <c r="K219" i="3" s="1"/>
  <c r="J200" i="3"/>
  <c r="K200" i="3" s="1"/>
  <c r="J221" i="3"/>
  <c r="K221" i="3" s="1"/>
  <c r="J222" i="3"/>
  <c r="K222" i="3" s="1"/>
  <c r="J217" i="3"/>
  <c r="K217" i="3" s="1"/>
  <c r="J218" i="3"/>
  <c r="K218" i="3" s="1"/>
  <c r="J225" i="3"/>
  <c r="K225" i="3" s="1"/>
  <c r="J205" i="3"/>
  <c r="K205" i="3" s="1"/>
  <c r="J185" i="3"/>
  <c r="K185" i="3" s="1"/>
  <c r="J165" i="3"/>
  <c r="K165" i="3" s="1"/>
  <c r="J224" i="3"/>
  <c r="K224" i="3" s="1"/>
  <c r="J204" i="3"/>
  <c r="K204" i="3" s="1"/>
  <c r="J184" i="3"/>
  <c r="K184" i="3" s="1"/>
  <c r="J164" i="3"/>
  <c r="K164" i="3" s="1"/>
  <c r="J223" i="3"/>
  <c r="K223" i="3" s="1"/>
  <c r="J203" i="3"/>
  <c r="K203" i="3" s="1"/>
  <c r="J183" i="3"/>
  <c r="K183" i="3" s="1"/>
  <c r="J163" i="3"/>
  <c r="K163" i="3" s="1"/>
  <c r="J182" i="3"/>
  <c r="K182" i="3" s="1"/>
  <c r="J207" i="3"/>
  <c r="K207" i="3" s="1"/>
  <c r="J206" i="3"/>
  <c r="K206" i="3" s="1"/>
  <c r="J216" i="3"/>
  <c r="K216" i="3" s="1"/>
  <c r="J196" i="3"/>
  <c r="K196" i="3" s="1"/>
  <c r="J176" i="3"/>
  <c r="K176" i="3" s="1"/>
  <c r="J215" i="3"/>
  <c r="K215" i="3" s="1"/>
  <c r="J195" i="3"/>
  <c r="K195" i="3" s="1"/>
  <c r="J175" i="3"/>
  <c r="K175" i="3" s="1"/>
  <c r="J214" i="3"/>
  <c r="K214" i="3" s="1"/>
  <c r="J194" i="3"/>
  <c r="K194" i="3" s="1"/>
  <c r="J174" i="3"/>
  <c r="K174" i="3" s="1"/>
  <c r="J181" i="3"/>
  <c r="K181" i="3" s="1"/>
  <c r="J213" i="3"/>
  <c r="K213" i="3" s="1"/>
  <c r="J193" i="3"/>
  <c r="K193" i="3" s="1"/>
  <c r="J173" i="3"/>
  <c r="K173" i="3" s="1"/>
  <c r="J180" i="3"/>
  <c r="K180" i="3" s="1"/>
  <c r="J212" i="3"/>
  <c r="K212" i="3" s="1"/>
  <c r="J192" i="3"/>
  <c r="K192" i="3" s="1"/>
  <c r="J172" i="3"/>
  <c r="K172" i="3" s="1"/>
  <c r="J179" i="3"/>
  <c r="K179" i="3" s="1"/>
  <c r="J211" i="3"/>
  <c r="K211" i="3" s="1"/>
  <c r="J191" i="3"/>
  <c r="K191" i="3" s="1"/>
  <c r="J171" i="3"/>
  <c r="K171" i="3" s="1"/>
  <c r="J178" i="3"/>
  <c r="K178" i="3" s="1"/>
  <c r="J210" i="3"/>
  <c r="K210" i="3" s="1"/>
  <c r="J190" i="3"/>
  <c r="K190" i="3" s="1"/>
  <c r="J170" i="3"/>
  <c r="K170" i="3" s="1"/>
  <c r="J177" i="3"/>
  <c r="K177" i="3" s="1"/>
  <c r="E195" i="3"/>
  <c r="E194" i="3"/>
  <c r="E193" i="3"/>
  <c r="E192" i="3"/>
  <c r="E182" i="3"/>
  <c r="E222" i="3"/>
  <c r="E181" i="3"/>
  <c r="E221" i="3"/>
  <c r="E180" i="3"/>
  <c r="E220" i="3"/>
  <c r="E179" i="3"/>
  <c r="E219" i="3"/>
  <c r="E178" i="3"/>
  <c r="E218" i="3"/>
  <c r="E177" i="3"/>
  <c r="E217" i="3"/>
  <c r="E176" i="3"/>
  <c r="E199" i="3"/>
  <c r="E198" i="3"/>
  <c r="E197" i="3"/>
  <c r="E191" i="3"/>
  <c r="E190" i="3"/>
  <c r="E189" i="3"/>
  <c r="E188" i="3"/>
  <c r="E211" i="3"/>
  <c r="E171" i="3"/>
  <c r="E210" i="3"/>
  <c r="E170" i="3"/>
  <c r="E209" i="3"/>
  <c r="E169" i="3"/>
  <c r="E20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24" i="3"/>
  <c r="E204" i="3"/>
  <c r="E184" i="3"/>
  <c r="E164" i="3"/>
  <c r="E223" i="3"/>
  <c r="E203" i="3"/>
  <c r="E183" i="3"/>
  <c r="E138" i="3"/>
  <c r="E137" i="3"/>
  <c r="E136" i="3"/>
  <c r="E125" i="3"/>
  <c r="E123" i="3"/>
  <c r="E98" i="3"/>
  <c r="E97" i="3"/>
  <c r="E96" i="3"/>
  <c r="E95" i="3"/>
  <c r="E135" i="3"/>
  <c r="E124" i="3"/>
  <c r="E122" i="3"/>
  <c r="J131" i="3"/>
  <c r="K131" i="3" s="1"/>
  <c r="J111" i="3"/>
  <c r="K111" i="3" s="1"/>
  <c r="J91" i="3"/>
  <c r="K91" i="3" s="1"/>
  <c r="J108" i="3"/>
  <c r="K108" i="3" s="1"/>
  <c r="J147" i="3"/>
  <c r="K147" i="3" s="1"/>
  <c r="J146" i="3"/>
  <c r="K146" i="3" s="1"/>
  <c r="J105" i="3"/>
  <c r="K105" i="3" s="1"/>
  <c r="J138" i="3"/>
  <c r="K138" i="3" s="1"/>
  <c r="J118" i="3"/>
  <c r="K118" i="3" s="1"/>
  <c r="J98" i="3"/>
  <c r="K98" i="3" s="1"/>
  <c r="J99" i="3"/>
  <c r="K99" i="3" s="1"/>
  <c r="J109" i="3"/>
  <c r="K109" i="3" s="1"/>
  <c r="J148" i="3"/>
  <c r="K148" i="3" s="1"/>
  <c r="J107" i="3"/>
  <c r="K107" i="3" s="1"/>
  <c r="J106" i="3"/>
  <c r="K106" i="3" s="1"/>
  <c r="J137" i="3"/>
  <c r="K137" i="3" s="1"/>
  <c r="J117" i="3"/>
  <c r="K117" i="3" s="1"/>
  <c r="J97" i="3"/>
  <c r="K97" i="3" s="1"/>
  <c r="J136" i="3"/>
  <c r="K136" i="3" s="1"/>
  <c r="J116" i="3"/>
  <c r="K116" i="3" s="1"/>
  <c r="J96" i="3"/>
  <c r="K96" i="3" s="1"/>
  <c r="J104" i="3"/>
  <c r="K104" i="3" s="1"/>
  <c r="J110" i="3"/>
  <c r="K110" i="3" s="1"/>
  <c r="J128" i="3"/>
  <c r="K128" i="3" s="1"/>
  <c r="J127" i="3"/>
  <c r="K127" i="3" s="1"/>
  <c r="J126" i="3"/>
  <c r="K126" i="3" s="1"/>
  <c r="J130" i="3"/>
  <c r="K130" i="3" s="1"/>
  <c r="J135" i="3"/>
  <c r="K135" i="3" s="1"/>
  <c r="J115" i="3"/>
  <c r="K115" i="3" s="1"/>
  <c r="J95" i="3"/>
  <c r="K95" i="3" s="1"/>
  <c r="J103" i="3"/>
  <c r="K103" i="3" s="1"/>
  <c r="J90" i="3"/>
  <c r="K90" i="3" s="1"/>
  <c r="J119" i="3"/>
  <c r="K119" i="3" s="1"/>
  <c r="J144" i="3"/>
  <c r="K144" i="3" s="1"/>
  <c r="J145" i="3"/>
  <c r="K145" i="3" s="1"/>
  <c r="J140" i="3"/>
  <c r="K140" i="3" s="1"/>
  <c r="J141" i="3"/>
  <c r="K141" i="3" s="1"/>
  <c r="J122" i="3"/>
  <c r="K122" i="3" s="1"/>
  <c r="J143" i="3"/>
  <c r="K143" i="3" s="1"/>
  <c r="J125" i="3"/>
  <c r="K125" i="3" s="1"/>
  <c r="J89" i="3"/>
  <c r="K89" i="3" s="1"/>
  <c r="J139" i="3"/>
  <c r="K139" i="3" s="1"/>
  <c r="J120" i="3"/>
  <c r="K120" i="3" s="1"/>
  <c r="J121" i="3"/>
  <c r="K121" i="3" s="1"/>
  <c r="J142" i="3"/>
  <c r="K142" i="3" s="1"/>
  <c r="J123" i="3"/>
  <c r="K123" i="3" s="1"/>
  <c r="J124" i="3"/>
  <c r="K124" i="3" s="1"/>
  <c r="J88" i="3"/>
  <c r="K88" i="3" s="1"/>
  <c r="J87" i="3"/>
  <c r="K87" i="3" s="1"/>
  <c r="J86" i="3"/>
  <c r="K86" i="3" s="1"/>
  <c r="J129" i="3"/>
  <c r="K129" i="3" s="1"/>
  <c r="J134" i="3"/>
  <c r="K134" i="3" s="1"/>
  <c r="J114" i="3"/>
  <c r="K114" i="3" s="1"/>
  <c r="J94" i="3"/>
  <c r="K94" i="3" s="1"/>
  <c r="J102" i="3"/>
  <c r="K102" i="3" s="1"/>
  <c r="J133" i="3"/>
  <c r="K133" i="3" s="1"/>
  <c r="J113" i="3"/>
  <c r="K113" i="3" s="1"/>
  <c r="J93" i="3"/>
  <c r="K93" i="3" s="1"/>
  <c r="J149" i="3"/>
  <c r="K149" i="3" s="1"/>
  <c r="J101" i="3"/>
  <c r="K101" i="3" s="1"/>
  <c r="J132" i="3"/>
  <c r="K132" i="3" s="1"/>
  <c r="J112" i="3"/>
  <c r="K112" i="3" s="1"/>
  <c r="J92" i="3"/>
  <c r="K92" i="3" s="1"/>
  <c r="J100" i="3"/>
  <c r="K100" i="3" s="1"/>
  <c r="E117" i="3"/>
  <c r="E115" i="3"/>
  <c r="E145" i="3"/>
  <c r="E104" i="3"/>
  <c r="E143" i="3"/>
  <c r="E142" i="3"/>
  <c r="E102" i="3"/>
  <c r="E118" i="3"/>
  <c r="E116" i="3"/>
  <c r="E105" i="3"/>
  <c r="E103" i="3"/>
  <c r="E141" i="3"/>
  <c r="E101" i="3"/>
  <c r="E119" i="3"/>
  <c r="E140" i="3"/>
  <c r="E100" i="3"/>
  <c r="E144" i="3"/>
  <c r="E139" i="3"/>
  <c r="E99" i="3"/>
  <c r="E121" i="3"/>
  <c r="E120" i="3"/>
  <c r="E94" i="3"/>
  <c r="E133" i="3"/>
  <c r="E112" i="3"/>
  <c r="E91" i="3"/>
  <c r="E90" i="3"/>
  <c r="E89" i="3"/>
  <c r="E148" i="3"/>
  <c r="E128" i="3"/>
  <c r="E108" i="3"/>
  <c r="E88" i="3"/>
  <c r="E134" i="3"/>
  <c r="E113" i="3"/>
  <c r="E132" i="3"/>
  <c r="E111" i="3"/>
  <c r="E110" i="3"/>
  <c r="E109" i="3"/>
  <c r="E147" i="3"/>
  <c r="E127" i="3"/>
  <c r="E107" i="3"/>
  <c r="E87" i="3"/>
  <c r="E114" i="3"/>
  <c r="E93" i="3"/>
  <c r="E92" i="3"/>
  <c r="E131" i="3"/>
  <c r="E130" i="3"/>
  <c r="E149" i="3"/>
  <c r="E129" i="3"/>
  <c r="E146" i="3"/>
  <c r="E126" i="3"/>
  <c r="E106" i="3"/>
  <c r="E86" i="3"/>
  <c r="J74" i="3"/>
  <c r="K74" i="3" s="1"/>
  <c r="J75" i="3"/>
  <c r="K75" i="3" s="1"/>
  <c r="J55" i="3"/>
  <c r="K55" i="3" s="1"/>
  <c r="J35" i="3"/>
  <c r="K35" i="3" s="1"/>
  <c r="J15" i="3"/>
  <c r="K15" i="3" s="1"/>
  <c r="J73" i="3"/>
  <c r="K73" i="3" s="1"/>
  <c r="J72" i="3"/>
  <c r="K72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40" i="3"/>
  <c r="K40" i="3" s="1"/>
  <c r="J44" i="3"/>
  <c r="K44" i="3" s="1"/>
  <c r="J43" i="3"/>
  <c r="K43" i="3" s="1"/>
  <c r="J22" i="3"/>
  <c r="K22" i="3" s="1"/>
  <c r="J61" i="3"/>
  <c r="K61" i="3" s="1"/>
  <c r="J19" i="3"/>
  <c r="K19" i="3" s="1"/>
  <c r="J78" i="3"/>
  <c r="K78" i="3" s="1"/>
  <c r="J58" i="3"/>
  <c r="K58" i="3" s="1"/>
  <c r="J45" i="3"/>
  <c r="K45" i="3" s="1"/>
  <c r="J64" i="3"/>
  <c r="K64" i="3" s="1"/>
  <c r="J63" i="3"/>
  <c r="K63" i="3" s="1"/>
  <c r="J42" i="3"/>
  <c r="K42" i="3" s="1"/>
  <c r="J41" i="3"/>
  <c r="K41" i="3" s="1"/>
  <c r="J60" i="3"/>
  <c r="K60" i="3" s="1"/>
  <c r="J39" i="3"/>
  <c r="K39" i="3" s="1"/>
  <c r="J27" i="3"/>
  <c r="K27" i="3" s="1"/>
  <c r="J77" i="3"/>
  <c r="K77" i="3" s="1"/>
  <c r="J57" i="3"/>
  <c r="K57" i="3" s="1"/>
  <c r="J37" i="3"/>
  <c r="K37" i="3" s="1"/>
  <c r="J26" i="3"/>
  <c r="K26" i="3" s="1"/>
  <c r="J71" i="3"/>
  <c r="K71" i="3" s="1"/>
  <c r="J25" i="3"/>
  <c r="K25" i="3" s="1"/>
  <c r="J24" i="3"/>
  <c r="K24" i="3" s="1"/>
  <c r="J23" i="3"/>
  <c r="K23" i="3" s="1"/>
  <c r="J62" i="3"/>
  <c r="K62" i="3" s="1"/>
  <c r="J21" i="3"/>
  <c r="K21" i="3" s="1"/>
  <c r="J50" i="3"/>
  <c r="K50" i="3" s="1"/>
  <c r="J51" i="3"/>
  <c r="K51" i="3" s="1"/>
  <c r="J52" i="3"/>
  <c r="K52" i="3" s="1"/>
  <c r="J34" i="3"/>
  <c r="K34" i="3" s="1"/>
  <c r="J20" i="3"/>
  <c r="K20" i="3" s="1"/>
  <c r="J29" i="3"/>
  <c r="K29" i="3" s="1"/>
  <c r="J32" i="3"/>
  <c r="K32" i="3" s="1"/>
  <c r="J53" i="3"/>
  <c r="K53" i="3" s="1"/>
  <c r="J33" i="3"/>
  <c r="K33" i="3" s="1"/>
  <c r="J54" i="3"/>
  <c r="K54" i="3" s="1"/>
  <c r="J49" i="3"/>
  <c r="K49" i="3" s="1"/>
  <c r="J30" i="3"/>
  <c r="K30" i="3" s="1"/>
  <c r="J31" i="3"/>
  <c r="K31" i="3" s="1"/>
  <c r="J59" i="3"/>
  <c r="K59" i="3" s="1"/>
  <c r="J38" i="3"/>
  <c r="K38" i="3" s="1"/>
  <c r="J76" i="3"/>
  <c r="K76" i="3" s="1"/>
  <c r="J56" i="3"/>
  <c r="K56" i="3" s="1"/>
  <c r="J36" i="3"/>
  <c r="K36" i="3" s="1"/>
  <c r="J16" i="3"/>
  <c r="K16" i="3" s="1"/>
  <c r="J47" i="3"/>
  <c r="K47" i="3" s="1"/>
  <c r="J18" i="3"/>
  <c r="K18" i="3" s="1"/>
  <c r="J28" i="3"/>
  <c r="K28" i="3" s="1"/>
  <c r="J46" i="3"/>
  <c r="K46" i="3" s="1"/>
  <c r="J17" i="3"/>
  <c r="K17" i="3" s="1"/>
  <c r="J48" i="3"/>
  <c r="K48" i="3" s="1"/>
  <c r="E46" i="3"/>
  <c r="E74" i="3"/>
  <c r="E34" i="3"/>
  <c r="E66" i="3"/>
  <c r="E54" i="3"/>
  <c r="E53" i="3"/>
  <c r="E48" i="3"/>
  <c r="E45" i="3"/>
  <c r="E33" i="3"/>
  <c r="E32" i="3"/>
  <c r="E71" i="3"/>
  <c r="E29" i="3"/>
  <c r="E68" i="3"/>
  <c r="E28" i="3"/>
  <c r="E65" i="3"/>
  <c r="E52" i="3"/>
  <c r="E49" i="3"/>
  <c r="E47" i="3"/>
  <c r="E73" i="3"/>
  <c r="E72" i="3"/>
  <c r="E67" i="3"/>
  <c r="E25" i="3"/>
  <c r="E51" i="3"/>
  <c r="E31" i="3"/>
  <c r="E70" i="3"/>
  <c r="E30" i="3"/>
  <c r="E69" i="3"/>
  <c r="E27" i="3"/>
  <c r="E26" i="3"/>
  <c r="E50" i="3"/>
  <c r="E24" i="3"/>
  <c r="E23" i="3"/>
  <c r="E42" i="3"/>
  <c r="E61" i="3"/>
  <c r="E60" i="3"/>
  <c r="E40" i="3"/>
  <c r="E79" i="3"/>
  <c r="E59" i="3"/>
  <c r="E39" i="3"/>
  <c r="E19" i="3"/>
  <c r="E43" i="3"/>
  <c r="E20" i="3"/>
  <c r="E78" i="3"/>
  <c r="E58" i="3"/>
  <c r="E38" i="3"/>
  <c r="E18" i="3"/>
  <c r="E64" i="3"/>
  <c r="E63" i="3"/>
  <c r="E62" i="3"/>
  <c r="E21" i="3"/>
  <c r="E77" i="3"/>
  <c r="E57" i="3"/>
  <c r="E37" i="3"/>
  <c r="E17" i="3"/>
  <c r="E22" i="3"/>
  <c r="E76" i="3"/>
  <c r="E56" i="3"/>
  <c r="E36" i="3"/>
  <c r="E16" i="3"/>
  <c r="E44" i="3"/>
  <c r="E41" i="3"/>
  <c r="E75" i="3"/>
  <c r="E55" i="3"/>
  <c r="E35" i="3"/>
  <c r="E15" i="3"/>
  <c r="E253" i="3"/>
  <c r="J286" i="3"/>
  <c r="K286" i="3" s="1"/>
  <c r="J283" i="3"/>
  <c r="K283" i="3" s="1"/>
  <c r="J278" i="3"/>
  <c r="K278" i="3" s="1"/>
  <c r="J275" i="3"/>
  <c r="K275" i="3" s="1"/>
  <c r="J238" i="3"/>
  <c r="K238" i="3" s="1"/>
  <c r="J249" i="3"/>
  <c r="K249" i="3" s="1"/>
  <c r="J294" i="3"/>
  <c r="K294" i="3" s="1"/>
  <c r="J254" i="3"/>
  <c r="K254" i="3" s="1"/>
  <c r="J248" i="3"/>
  <c r="K248" i="3" s="1"/>
  <c r="J293" i="3"/>
  <c r="K293" i="3" s="1"/>
  <c r="J247" i="3"/>
  <c r="K247" i="3" s="1"/>
  <c r="J279" i="3"/>
  <c r="K279" i="3" s="1"/>
  <c r="J256" i="3"/>
  <c r="K256" i="3" s="1"/>
  <c r="J284" i="3"/>
  <c r="K284" i="3" s="1"/>
  <c r="J257" i="3"/>
  <c r="K257" i="3" s="1"/>
  <c r="J269" i="3"/>
  <c r="K269" i="3" s="1"/>
  <c r="J235" i="3"/>
  <c r="K235" i="3" s="1"/>
  <c r="J292" i="3"/>
  <c r="K292" i="3" s="1"/>
  <c r="J291" i="3"/>
  <c r="K291" i="3" s="1"/>
  <c r="J245" i="3"/>
  <c r="K245" i="3" s="1"/>
  <c r="J258" i="3"/>
  <c r="K258" i="3" s="1"/>
  <c r="J273" i="3"/>
  <c r="K273" i="3" s="1"/>
  <c r="J271" i="3"/>
  <c r="K271" i="3" s="1"/>
  <c r="J237" i="3"/>
  <c r="K237" i="3" s="1"/>
  <c r="J272" i="3"/>
  <c r="K272" i="3" s="1"/>
  <c r="J253" i="3"/>
  <c r="K253" i="3" s="1"/>
  <c r="J251" i="3"/>
  <c r="K251" i="3" s="1"/>
  <c r="J295" i="3"/>
  <c r="K295" i="3" s="1"/>
  <c r="J246" i="3"/>
  <c r="K246" i="3" s="1"/>
  <c r="J290" i="3"/>
  <c r="K290" i="3" s="1"/>
  <c r="J285" i="3"/>
  <c r="K285" i="3" s="1"/>
  <c r="J259" i="3"/>
  <c r="K259" i="3" s="1"/>
  <c r="J297" i="3"/>
  <c r="K297" i="3" s="1"/>
  <c r="J296" i="3"/>
  <c r="K296" i="3" s="1"/>
  <c r="J234" i="3"/>
  <c r="K234" i="3" s="1"/>
  <c r="J289" i="3"/>
  <c r="K289" i="3" s="1"/>
  <c r="J243" i="3"/>
  <c r="K243" i="3" s="1"/>
  <c r="J262" i="3"/>
  <c r="K262" i="3" s="1"/>
  <c r="J239" i="3"/>
  <c r="K239" i="3" s="1"/>
  <c r="J277" i="3"/>
  <c r="K277" i="3" s="1"/>
  <c r="J274" i="3"/>
  <c r="K274" i="3" s="1"/>
  <c r="J288" i="3"/>
  <c r="K288" i="3" s="1"/>
  <c r="J282" i="3"/>
  <c r="K282" i="3" s="1"/>
  <c r="J252" i="3"/>
  <c r="K252" i="3" s="1"/>
  <c r="J276" i="3"/>
  <c r="K276" i="3" s="1"/>
  <c r="J255" i="3"/>
  <c r="K255" i="3" s="1"/>
  <c r="J281" i="3"/>
  <c r="K281" i="3" s="1"/>
  <c r="J287" i="3"/>
  <c r="K287" i="3" s="1"/>
  <c r="J241" i="3"/>
  <c r="K241" i="3" s="1"/>
  <c r="E287" i="3"/>
  <c r="J261" i="3"/>
  <c r="K261" i="3" s="1"/>
  <c r="E290" i="3"/>
  <c r="E286" i="3"/>
  <c r="J280" i="3"/>
  <c r="K280" i="3" s="1"/>
  <c r="J260" i="3"/>
  <c r="K260" i="3" s="1"/>
  <c r="J240" i="3"/>
  <c r="K240" i="3" s="1"/>
  <c r="E285" i="3"/>
  <c r="E293" i="3"/>
  <c r="J266" i="3"/>
  <c r="K266" i="3" s="1"/>
  <c r="J264" i="3"/>
  <c r="K264" i="3" s="1"/>
  <c r="E289" i="3"/>
  <c r="E267" i="3"/>
  <c r="J270" i="3"/>
  <c r="K270" i="3" s="1"/>
  <c r="J268" i="3"/>
  <c r="K268" i="3" s="1"/>
  <c r="J267" i="3"/>
  <c r="K267" i="3" s="1"/>
  <c r="E291" i="3"/>
  <c r="J244" i="3"/>
  <c r="K244" i="3" s="1"/>
  <c r="E288" i="3"/>
  <c r="E266" i="3"/>
  <c r="E252" i="3"/>
  <c r="J250" i="3"/>
  <c r="K250" i="3" s="1"/>
  <c r="E249" i="3"/>
  <c r="E292" i="3"/>
  <c r="J263" i="3"/>
  <c r="K263" i="3" s="1"/>
  <c r="E265" i="3"/>
  <c r="J236" i="3"/>
  <c r="K236" i="3" s="1"/>
  <c r="J265" i="3"/>
  <c r="K265" i="3" s="1"/>
  <c r="J242" i="3"/>
  <c r="K242" i="3" s="1"/>
  <c r="E264" i="3"/>
  <c r="E251" i="3"/>
  <c r="E250" i="3"/>
  <c r="E248" i="3"/>
  <c r="E247" i="3"/>
  <c r="E263" i="3"/>
  <c r="E284" i="3"/>
  <c r="E246" i="3"/>
  <c r="E283" i="3"/>
  <c r="E245" i="3"/>
  <c r="E273" i="3"/>
  <c r="E244" i="3"/>
  <c r="E272" i="3"/>
  <c r="E243" i="3"/>
  <c r="E271" i="3"/>
  <c r="E270" i="3"/>
  <c r="E269" i="3"/>
  <c r="E268" i="3"/>
  <c r="E282" i="3"/>
  <c r="E281" i="3"/>
  <c r="E261" i="3"/>
  <c r="E241" i="3"/>
  <c r="E242" i="3"/>
  <c r="E280" i="3"/>
  <c r="E260" i="3"/>
  <c r="E240" i="3"/>
  <c r="E262" i="3"/>
  <c r="E279" i="3"/>
  <c r="E259" i="3"/>
  <c r="E239" i="3"/>
  <c r="E278" i="3"/>
  <c r="E258" i="3"/>
  <c r="E238" i="3"/>
  <c r="E297" i="3"/>
  <c r="E277" i="3"/>
  <c r="E257" i="3"/>
  <c r="E237" i="3"/>
  <c r="E296" i="3"/>
  <c r="E276" i="3"/>
  <c r="E256" i="3"/>
  <c r="E236" i="3"/>
  <c r="E295" i="3"/>
  <c r="E275" i="3"/>
  <c r="E255" i="3"/>
  <c r="E235" i="3"/>
  <c r="E294" i="3"/>
  <c r="E274" i="3"/>
  <c r="E254" i="3"/>
  <c r="E234" i="3"/>
  <c r="E156" i="3"/>
  <c r="M156" i="3" s="1"/>
  <c r="C8" i="3" s="1"/>
  <c r="B21" i="1" s="1"/>
  <c r="J7" i="4" l="1"/>
  <c r="I7" i="4"/>
  <c r="L106" i="4"/>
  <c r="U106" i="4" s="1"/>
  <c r="L149" i="4"/>
  <c r="U149" i="4" s="1"/>
  <c r="L103" i="4"/>
  <c r="U103" i="4" s="1"/>
  <c r="L124" i="4"/>
  <c r="U124" i="4" s="1"/>
  <c r="L133" i="4"/>
  <c r="U133" i="4" s="1"/>
  <c r="L145" i="4"/>
  <c r="U145" i="4" s="1"/>
  <c r="L143" i="4"/>
  <c r="U143" i="4" s="1"/>
  <c r="L120" i="4"/>
  <c r="U120" i="4" s="1"/>
  <c r="L110" i="4"/>
  <c r="U110" i="4" s="1"/>
  <c r="L131" i="4"/>
  <c r="U131" i="4" s="1"/>
  <c r="L132" i="4"/>
  <c r="U132" i="4" s="1"/>
  <c r="L127" i="4"/>
  <c r="U127" i="4" s="1"/>
  <c r="L102" i="4"/>
  <c r="U102" i="4" s="1"/>
  <c r="L111" i="4"/>
  <c r="U111" i="4" s="1"/>
  <c r="L88" i="4"/>
  <c r="U88" i="4" s="1"/>
  <c r="L109" i="4"/>
  <c r="U109" i="4" s="1"/>
  <c r="L140" i="4"/>
  <c r="U140" i="4" s="1"/>
  <c r="L96" i="4"/>
  <c r="U96" i="4" s="1"/>
  <c r="L99" i="4"/>
  <c r="U99" i="4" s="1"/>
  <c r="L125" i="4"/>
  <c r="U125" i="4" s="1"/>
  <c r="L100" i="4"/>
  <c r="U100" i="4" s="1"/>
  <c r="L86" i="4"/>
  <c r="U86" i="4" s="1"/>
  <c r="L138" i="4"/>
  <c r="U138" i="4" s="1"/>
  <c r="L101" i="4"/>
  <c r="U101" i="4" s="1"/>
  <c r="L142" i="4"/>
  <c r="U142" i="4" s="1"/>
  <c r="L129" i="4"/>
  <c r="U129" i="4" s="1"/>
  <c r="L90" i="4"/>
  <c r="U90" i="4" s="1"/>
  <c r="L89" i="4"/>
  <c r="U89" i="4" s="1"/>
  <c r="L146" i="4"/>
  <c r="U146" i="4" s="1"/>
  <c r="L141" i="4"/>
  <c r="U141" i="4" s="1"/>
  <c r="L93" i="4"/>
  <c r="U93" i="4" s="1"/>
  <c r="L147" i="4"/>
  <c r="U147" i="4" s="1"/>
  <c r="L122" i="4"/>
  <c r="U122" i="4" s="1"/>
  <c r="L123" i="4"/>
  <c r="U123" i="4" s="1"/>
  <c r="L113" i="4"/>
  <c r="U113" i="4" s="1"/>
  <c r="L137" i="4"/>
  <c r="U137" i="4" s="1"/>
  <c r="L144" i="4"/>
  <c r="U144" i="4" s="1"/>
  <c r="L128" i="4"/>
  <c r="U128" i="4" s="1"/>
  <c r="L136" i="4"/>
  <c r="U136" i="4" s="1"/>
  <c r="L130" i="4"/>
  <c r="U130" i="4" s="1"/>
  <c r="L91" i="4"/>
  <c r="U91" i="4" s="1"/>
  <c r="L117" i="4"/>
  <c r="U117" i="4" s="1"/>
  <c r="L112" i="4"/>
  <c r="U112" i="4" s="1"/>
  <c r="L105" i="4"/>
  <c r="U105" i="4" s="1"/>
  <c r="L139" i="4"/>
  <c r="U139" i="4" s="1"/>
  <c r="L114" i="4"/>
  <c r="U114" i="4" s="1"/>
  <c r="L134" i="4"/>
  <c r="U134" i="4" s="1"/>
  <c r="L104" i="4"/>
  <c r="U104" i="4" s="1"/>
  <c r="L126" i="4"/>
  <c r="U126" i="4" s="1"/>
  <c r="L87" i="4"/>
  <c r="U87" i="4" s="1"/>
  <c r="L107" i="4"/>
  <c r="U107" i="4" s="1"/>
  <c r="L121" i="4"/>
  <c r="U121" i="4" s="1"/>
  <c r="L98" i="4"/>
  <c r="U98" i="4" s="1"/>
  <c r="L115" i="4"/>
  <c r="U115" i="4" s="1"/>
  <c r="L92" i="4"/>
  <c r="U92" i="4" s="1"/>
  <c r="L97" i="4"/>
  <c r="U97" i="4" s="1"/>
  <c r="L108" i="4"/>
  <c r="U108" i="4" s="1"/>
  <c r="L94" i="4"/>
  <c r="U94" i="4" s="1"/>
  <c r="L116" i="4"/>
  <c r="U116" i="4" s="1"/>
  <c r="L95" i="4"/>
  <c r="U95" i="4" s="1"/>
  <c r="L148" i="4"/>
  <c r="U148" i="4" s="1"/>
  <c r="L118" i="4"/>
  <c r="U118" i="4" s="1"/>
  <c r="L119" i="4"/>
  <c r="U119" i="4" s="1"/>
  <c r="L135" i="4"/>
  <c r="U135" i="4" s="1"/>
  <c r="L61" i="4"/>
  <c r="U61" i="4" s="1"/>
  <c r="L66" i="4"/>
  <c r="U66" i="4" s="1"/>
  <c r="L37" i="4"/>
  <c r="U37" i="4" s="1"/>
  <c r="L51" i="4"/>
  <c r="U51" i="4" s="1"/>
  <c r="L79" i="4"/>
  <c r="M79" i="4" s="1"/>
  <c r="L34" i="4"/>
  <c r="U34" i="4" s="1"/>
  <c r="L40" i="4"/>
  <c r="U40" i="4" s="1"/>
  <c r="L62" i="4"/>
  <c r="U62" i="4" s="1"/>
  <c r="L57" i="4"/>
  <c r="U57" i="4" s="1"/>
  <c r="L15" i="4"/>
  <c r="U15" i="4" s="1"/>
  <c r="L69" i="4"/>
  <c r="U69" i="4" s="1"/>
  <c r="L22" i="4"/>
  <c r="U22" i="4" s="1"/>
  <c r="L71" i="4"/>
  <c r="U71" i="4" s="1"/>
  <c r="L73" i="4"/>
  <c r="U73" i="4" s="1"/>
  <c r="L54" i="4"/>
  <c r="U54" i="4" s="1"/>
  <c r="L24" i="4"/>
  <c r="U24" i="4" s="1"/>
  <c r="L72" i="4"/>
  <c r="U72" i="4" s="1"/>
  <c r="L53" i="4"/>
  <c r="U53" i="4" s="1"/>
  <c r="L55" i="4"/>
  <c r="U55" i="4" s="1"/>
  <c r="L20" i="4"/>
  <c r="U20" i="4" s="1"/>
  <c r="L16" i="4"/>
  <c r="U16" i="4" s="1"/>
  <c r="L60" i="4"/>
  <c r="U60" i="4" s="1"/>
  <c r="L49" i="4"/>
  <c r="U49" i="4" s="1"/>
  <c r="L56" i="4"/>
  <c r="U56" i="4" s="1"/>
  <c r="L46" i="4"/>
  <c r="U46" i="4" s="1"/>
  <c r="L45" i="4"/>
  <c r="U45" i="4" s="1"/>
  <c r="L58" i="4"/>
  <c r="U58" i="4" s="1"/>
  <c r="L25" i="4"/>
  <c r="U25" i="4" s="1"/>
  <c r="L33" i="4"/>
  <c r="U33" i="4" s="1"/>
  <c r="L18" i="4"/>
  <c r="U18" i="4" s="1"/>
  <c r="L59" i="4"/>
  <c r="U59" i="4" s="1"/>
  <c r="L23" i="4"/>
  <c r="U23" i="4" s="1"/>
  <c r="L29" i="4"/>
  <c r="U29" i="4" s="1"/>
  <c r="L30" i="4"/>
  <c r="U30" i="4" s="1"/>
  <c r="L70" i="4"/>
  <c r="U70" i="4" s="1"/>
  <c r="L47" i="4"/>
  <c r="U47" i="4" s="1"/>
  <c r="L75" i="4"/>
  <c r="U75" i="4" s="1"/>
  <c r="L63" i="4"/>
  <c r="U63" i="4" s="1"/>
  <c r="L32" i="4"/>
  <c r="U32" i="4" s="1"/>
  <c r="L77" i="4"/>
  <c r="U77" i="4" s="1"/>
  <c r="L64" i="4"/>
  <c r="U64" i="4" s="1"/>
  <c r="L52" i="4"/>
  <c r="U52" i="4" s="1"/>
  <c r="L31" i="4"/>
  <c r="U31" i="4" s="1"/>
  <c r="L65" i="4"/>
  <c r="U65" i="4" s="1"/>
  <c r="L50" i="4"/>
  <c r="U50" i="4" s="1"/>
  <c r="L76" i="4"/>
  <c r="U76" i="4" s="1"/>
  <c r="L28" i="4"/>
  <c r="U28" i="4" s="1"/>
  <c r="L44" i="4"/>
  <c r="U44" i="4" s="1"/>
  <c r="L48" i="4"/>
  <c r="U48" i="4" s="1"/>
  <c r="L19" i="4"/>
  <c r="U19" i="4" s="1"/>
  <c r="L36" i="4"/>
  <c r="U36" i="4" s="1"/>
  <c r="L74" i="4"/>
  <c r="U74" i="4" s="1"/>
  <c r="L41" i="4"/>
  <c r="U41" i="4" s="1"/>
  <c r="L27" i="4"/>
  <c r="U27" i="4" s="1"/>
  <c r="L67" i="4"/>
  <c r="U67" i="4" s="1"/>
  <c r="L68" i="4"/>
  <c r="U68" i="4" s="1"/>
  <c r="L38" i="4"/>
  <c r="U38" i="4" s="1"/>
  <c r="L39" i="4"/>
  <c r="U39" i="4" s="1"/>
  <c r="L43" i="4"/>
  <c r="U43" i="4" s="1"/>
  <c r="L42" i="4"/>
  <c r="U42" i="4" s="1"/>
  <c r="L17" i="4"/>
  <c r="U17" i="4" s="1"/>
  <c r="L21" i="4"/>
  <c r="U21" i="4" s="1"/>
  <c r="L26" i="4"/>
  <c r="U26" i="4" s="1"/>
  <c r="L35" i="4"/>
  <c r="U35" i="4" s="1"/>
  <c r="L78" i="4"/>
  <c r="U78" i="4" s="1"/>
  <c r="J8" i="3"/>
  <c r="I7" i="3"/>
  <c r="J7" i="3"/>
  <c r="L211" i="3"/>
  <c r="U211" i="3" s="1"/>
  <c r="L207" i="3"/>
  <c r="U207" i="3" s="1"/>
  <c r="L198" i="3"/>
  <c r="U198" i="3" s="1"/>
  <c r="L179" i="3"/>
  <c r="U179" i="3" s="1"/>
  <c r="L182" i="3"/>
  <c r="U182" i="3" s="1"/>
  <c r="L202" i="3"/>
  <c r="U202" i="3" s="1"/>
  <c r="L172" i="3"/>
  <c r="U172" i="3" s="1"/>
  <c r="L163" i="3"/>
  <c r="U163" i="3" s="1"/>
  <c r="L201" i="3"/>
  <c r="U201" i="3" s="1"/>
  <c r="L192" i="3"/>
  <c r="U192" i="3" s="1"/>
  <c r="L183" i="3"/>
  <c r="U183" i="3" s="1"/>
  <c r="L220" i="3"/>
  <c r="U220" i="3" s="1"/>
  <c r="L212" i="3"/>
  <c r="U212" i="3" s="1"/>
  <c r="L203" i="3"/>
  <c r="U203" i="3" s="1"/>
  <c r="L199" i="3"/>
  <c r="U199" i="3" s="1"/>
  <c r="L180" i="3"/>
  <c r="U180" i="3" s="1"/>
  <c r="L223" i="3"/>
  <c r="U223" i="3" s="1"/>
  <c r="L197" i="3"/>
  <c r="U197" i="3" s="1"/>
  <c r="L173" i="3"/>
  <c r="U173" i="3" s="1"/>
  <c r="L164" i="3"/>
  <c r="U164" i="3" s="1"/>
  <c r="L166" i="3"/>
  <c r="U166" i="3" s="1"/>
  <c r="L193" i="3"/>
  <c r="U193" i="3" s="1"/>
  <c r="L184" i="3"/>
  <c r="U184" i="3" s="1"/>
  <c r="L186" i="3"/>
  <c r="U186" i="3" s="1"/>
  <c r="L213" i="3"/>
  <c r="U213" i="3" s="1"/>
  <c r="L204" i="3"/>
  <c r="U204" i="3" s="1"/>
  <c r="L167" i="3"/>
  <c r="U167" i="3" s="1"/>
  <c r="L181" i="3"/>
  <c r="U181" i="3" s="1"/>
  <c r="L224" i="3"/>
  <c r="U224" i="3" s="1"/>
  <c r="L187" i="3"/>
  <c r="U187" i="3" s="1"/>
  <c r="L174" i="3"/>
  <c r="U174" i="3" s="1"/>
  <c r="L165" i="3"/>
  <c r="U165" i="3" s="1"/>
  <c r="L168" i="3"/>
  <c r="U168" i="3" s="1"/>
  <c r="L194" i="3"/>
  <c r="U194" i="3" s="1"/>
  <c r="L185" i="3"/>
  <c r="U185" i="3" s="1"/>
  <c r="L188" i="3"/>
  <c r="U188" i="3" s="1"/>
  <c r="L214" i="3"/>
  <c r="U214" i="3" s="1"/>
  <c r="L205" i="3"/>
  <c r="U205" i="3" s="1"/>
  <c r="L208" i="3"/>
  <c r="U208" i="3" s="1"/>
  <c r="L177" i="3"/>
  <c r="U177" i="3" s="1"/>
  <c r="L175" i="3"/>
  <c r="U175" i="3" s="1"/>
  <c r="L225" i="3"/>
  <c r="U225" i="3" s="1"/>
  <c r="L226" i="3"/>
  <c r="U226" i="3" s="1"/>
  <c r="L170" i="3"/>
  <c r="U170" i="3" s="1"/>
  <c r="L195" i="3"/>
  <c r="U195" i="3" s="1"/>
  <c r="L218" i="3"/>
  <c r="U218" i="3" s="1"/>
  <c r="L169" i="3"/>
  <c r="U169" i="3" s="1"/>
  <c r="L190" i="3"/>
  <c r="U190" i="3" s="1"/>
  <c r="L215" i="3"/>
  <c r="U215" i="3" s="1"/>
  <c r="L217" i="3"/>
  <c r="U217" i="3" s="1"/>
  <c r="L189" i="3"/>
  <c r="U189" i="3" s="1"/>
  <c r="L210" i="3"/>
  <c r="U210" i="3" s="1"/>
  <c r="L176" i="3"/>
  <c r="U176" i="3" s="1"/>
  <c r="L222" i="3"/>
  <c r="U222" i="3" s="1"/>
  <c r="L209" i="3"/>
  <c r="U209" i="3" s="1"/>
  <c r="L178" i="3"/>
  <c r="U178" i="3" s="1"/>
  <c r="L196" i="3"/>
  <c r="U196" i="3" s="1"/>
  <c r="L221" i="3"/>
  <c r="U221" i="3" s="1"/>
  <c r="L171" i="3"/>
  <c r="U171" i="3" s="1"/>
  <c r="L216" i="3"/>
  <c r="U216" i="3" s="1"/>
  <c r="L200" i="3"/>
  <c r="U200" i="3" s="1"/>
  <c r="L191" i="3"/>
  <c r="U191" i="3" s="1"/>
  <c r="L206" i="3"/>
  <c r="U206" i="3" s="1"/>
  <c r="L219" i="3"/>
  <c r="U219" i="3" s="1"/>
  <c r="L101" i="3"/>
  <c r="U101" i="3" s="1"/>
  <c r="L97" i="3"/>
  <c r="U97" i="3" s="1"/>
  <c r="L117" i="3"/>
  <c r="U117" i="3" s="1"/>
  <c r="L133" i="3"/>
  <c r="U133" i="3" s="1"/>
  <c r="L144" i="3"/>
  <c r="U144" i="3" s="1"/>
  <c r="L148" i="3"/>
  <c r="U148" i="3" s="1"/>
  <c r="L90" i="3"/>
  <c r="U90" i="3" s="1"/>
  <c r="L99" i="3"/>
  <c r="U99" i="3" s="1"/>
  <c r="L124" i="3"/>
  <c r="U124" i="3" s="1"/>
  <c r="L123" i="3"/>
  <c r="U123" i="3" s="1"/>
  <c r="L142" i="3"/>
  <c r="U142" i="3" s="1"/>
  <c r="L127" i="3"/>
  <c r="U127" i="3" s="1"/>
  <c r="L100" i="3"/>
  <c r="U100" i="3" s="1"/>
  <c r="L121" i="3"/>
  <c r="U121" i="3" s="1"/>
  <c r="L128" i="3"/>
  <c r="U128" i="3" s="1"/>
  <c r="L108" i="3"/>
  <c r="U108" i="3" s="1"/>
  <c r="L143" i="3"/>
  <c r="U143" i="3" s="1"/>
  <c r="L93" i="3"/>
  <c r="U93" i="3" s="1"/>
  <c r="L141" i="3"/>
  <c r="U141" i="3" s="1"/>
  <c r="L102" i="3"/>
  <c r="U102" i="3" s="1"/>
  <c r="L114" i="3"/>
  <c r="U114" i="3" s="1"/>
  <c r="L86" i="3"/>
  <c r="U86" i="3" s="1"/>
  <c r="L87" i="3"/>
  <c r="U87" i="3" s="1"/>
  <c r="L88" i="3"/>
  <c r="U88" i="3" s="1"/>
  <c r="L130" i="3"/>
  <c r="U130" i="3" s="1"/>
  <c r="L147" i="3"/>
  <c r="U147" i="3" s="1"/>
  <c r="L92" i="3"/>
  <c r="U92" i="3" s="1"/>
  <c r="L120" i="3"/>
  <c r="U120" i="3" s="1"/>
  <c r="L110" i="3"/>
  <c r="U110" i="3" s="1"/>
  <c r="L91" i="3"/>
  <c r="U91" i="3" s="1"/>
  <c r="L116" i="3"/>
  <c r="U116" i="3" s="1"/>
  <c r="L149" i="3"/>
  <c r="U149" i="3" s="1"/>
  <c r="L122" i="3"/>
  <c r="U122" i="3" s="1"/>
  <c r="L113" i="3"/>
  <c r="U113" i="3" s="1"/>
  <c r="L137" i="3"/>
  <c r="U137" i="3" s="1"/>
  <c r="L145" i="3"/>
  <c r="U145" i="3" s="1"/>
  <c r="L107" i="3"/>
  <c r="U107" i="3" s="1"/>
  <c r="L109" i="3"/>
  <c r="U109" i="3" s="1"/>
  <c r="L103" i="3"/>
  <c r="U103" i="3" s="1"/>
  <c r="L98" i="3"/>
  <c r="U98" i="3" s="1"/>
  <c r="L118" i="3"/>
  <c r="U118" i="3" s="1"/>
  <c r="L135" i="3"/>
  <c r="U135" i="3" s="1"/>
  <c r="L105" i="3"/>
  <c r="U105" i="3" s="1"/>
  <c r="L146" i="3"/>
  <c r="U146" i="3" s="1"/>
  <c r="L125" i="3"/>
  <c r="U125" i="3" s="1"/>
  <c r="L136" i="3"/>
  <c r="U136" i="3" s="1"/>
  <c r="L140" i="3"/>
  <c r="U140" i="3" s="1"/>
  <c r="L106" i="3"/>
  <c r="U106" i="3" s="1"/>
  <c r="L94" i="3"/>
  <c r="U94" i="3" s="1"/>
  <c r="L119" i="3"/>
  <c r="U119" i="3" s="1"/>
  <c r="L134" i="3"/>
  <c r="U134" i="3" s="1"/>
  <c r="L129" i="3"/>
  <c r="U129" i="3" s="1"/>
  <c r="L95" i="3"/>
  <c r="U95" i="3" s="1"/>
  <c r="L115" i="3"/>
  <c r="U115" i="3" s="1"/>
  <c r="L138" i="3"/>
  <c r="U138" i="3" s="1"/>
  <c r="L126" i="3"/>
  <c r="U126" i="3" s="1"/>
  <c r="L112" i="3"/>
  <c r="U112" i="3" s="1"/>
  <c r="L139" i="3"/>
  <c r="U139" i="3" s="1"/>
  <c r="L104" i="3"/>
  <c r="U104" i="3" s="1"/>
  <c r="L111" i="3"/>
  <c r="U111" i="3" s="1"/>
  <c r="L132" i="3"/>
  <c r="U132" i="3" s="1"/>
  <c r="L89" i="3"/>
  <c r="U89" i="3" s="1"/>
  <c r="L96" i="3"/>
  <c r="U96" i="3" s="1"/>
  <c r="L131" i="3"/>
  <c r="U131" i="3" s="1"/>
  <c r="L18" i="3"/>
  <c r="U18" i="3" s="1"/>
  <c r="L50" i="3"/>
  <c r="U50" i="3" s="1"/>
  <c r="L78" i="3"/>
  <c r="U78" i="3" s="1"/>
  <c r="L79" i="3"/>
  <c r="M79" i="3" s="1"/>
  <c r="L47" i="3"/>
  <c r="U47" i="3" s="1"/>
  <c r="L21" i="3"/>
  <c r="U21" i="3" s="1"/>
  <c r="L19" i="3"/>
  <c r="U19" i="3" s="1"/>
  <c r="L16" i="3"/>
  <c r="U16" i="3" s="1"/>
  <c r="L62" i="3"/>
  <c r="U62" i="3" s="1"/>
  <c r="L61" i="3"/>
  <c r="U61" i="3" s="1"/>
  <c r="L36" i="3"/>
  <c r="U36" i="3" s="1"/>
  <c r="L23" i="3"/>
  <c r="U23" i="3" s="1"/>
  <c r="L22" i="3"/>
  <c r="U22" i="3" s="1"/>
  <c r="L56" i="3"/>
  <c r="U56" i="3" s="1"/>
  <c r="L24" i="3"/>
  <c r="U24" i="3" s="1"/>
  <c r="L43" i="3"/>
  <c r="U43" i="3" s="1"/>
  <c r="L76" i="3"/>
  <c r="U76" i="3" s="1"/>
  <c r="L25" i="3"/>
  <c r="U25" i="3" s="1"/>
  <c r="L44" i="3"/>
  <c r="U44" i="3" s="1"/>
  <c r="L38" i="3"/>
  <c r="U38" i="3" s="1"/>
  <c r="L71" i="3"/>
  <c r="U71" i="3" s="1"/>
  <c r="L40" i="3"/>
  <c r="U40" i="3" s="1"/>
  <c r="L59" i="3"/>
  <c r="U59" i="3" s="1"/>
  <c r="L26" i="3"/>
  <c r="U26" i="3" s="1"/>
  <c r="L65" i="3"/>
  <c r="U65" i="3" s="1"/>
  <c r="L31" i="3"/>
  <c r="U31" i="3" s="1"/>
  <c r="L37" i="3"/>
  <c r="U37" i="3" s="1"/>
  <c r="L66" i="3"/>
  <c r="U66" i="3" s="1"/>
  <c r="L30" i="3"/>
  <c r="U30" i="3" s="1"/>
  <c r="L57" i="3"/>
  <c r="U57" i="3" s="1"/>
  <c r="L67" i="3"/>
  <c r="U67" i="3" s="1"/>
  <c r="L49" i="3"/>
  <c r="U49" i="3" s="1"/>
  <c r="L77" i="3"/>
  <c r="U77" i="3" s="1"/>
  <c r="L68" i="3"/>
  <c r="U68" i="3" s="1"/>
  <c r="L54" i="3"/>
  <c r="U54" i="3" s="1"/>
  <c r="L27" i="3"/>
  <c r="U27" i="3" s="1"/>
  <c r="L69" i="3"/>
  <c r="U69" i="3" s="1"/>
  <c r="L33" i="3"/>
  <c r="U33" i="3" s="1"/>
  <c r="L39" i="3"/>
  <c r="U39" i="3" s="1"/>
  <c r="L70" i="3"/>
  <c r="U70" i="3" s="1"/>
  <c r="L53" i="3"/>
  <c r="U53" i="3" s="1"/>
  <c r="L60" i="3"/>
  <c r="U60" i="3" s="1"/>
  <c r="L72" i="3"/>
  <c r="U72" i="3" s="1"/>
  <c r="L32" i="3"/>
  <c r="U32" i="3" s="1"/>
  <c r="L41" i="3"/>
  <c r="U41" i="3" s="1"/>
  <c r="L73" i="3"/>
  <c r="U73" i="3" s="1"/>
  <c r="L29" i="3"/>
  <c r="U29" i="3" s="1"/>
  <c r="L42" i="3"/>
  <c r="U42" i="3" s="1"/>
  <c r="L15" i="3"/>
  <c r="U15" i="3" s="1"/>
  <c r="L48" i="3"/>
  <c r="U48" i="3" s="1"/>
  <c r="L20" i="3"/>
  <c r="U20" i="3" s="1"/>
  <c r="L63" i="3"/>
  <c r="U63" i="3" s="1"/>
  <c r="L35" i="3"/>
  <c r="U35" i="3" s="1"/>
  <c r="L17" i="3"/>
  <c r="U17" i="3" s="1"/>
  <c r="L34" i="3"/>
  <c r="U34" i="3" s="1"/>
  <c r="L64" i="3"/>
  <c r="U64" i="3" s="1"/>
  <c r="L55" i="3"/>
  <c r="U55" i="3" s="1"/>
  <c r="L46" i="3"/>
  <c r="U46" i="3" s="1"/>
  <c r="L52" i="3"/>
  <c r="U52" i="3" s="1"/>
  <c r="L45" i="3"/>
  <c r="U45" i="3" s="1"/>
  <c r="L75" i="3"/>
  <c r="U75" i="3" s="1"/>
  <c r="L28" i="3"/>
  <c r="U28" i="3" s="1"/>
  <c r="L51" i="3"/>
  <c r="U51" i="3" s="1"/>
  <c r="L58" i="3"/>
  <c r="U58" i="3" s="1"/>
  <c r="L74" i="3"/>
  <c r="U74" i="3" s="1"/>
  <c r="L262" i="3"/>
  <c r="U262" i="3" s="1"/>
  <c r="L292" i="3"/>
  <c r="U292" i="3" s="1"/>
  <c r="L242" i="3"/>
  <c r="U242" i="3" s="1"/>
  <c r="L240" i="3"/>
  <c r="U240" i="3" s="1"/>
  <c r="L284" i="3"/>
  <c r="U284" i="3" s="1"/>
  <c r="L290" i="3"/>
  <c r="U290" i="3" s="1"/>
  <c r="L266" i="3"/>
  <c r="U266" i="3" s="1"/>
  <c r="L239" i="3"/>
  <c r="U239" i="3" s="1"/>
  <c r="L291" i="3"/>
  <c r="U291" i="3" s="1"/>
  <c r="L265" i="3"/>
  <c r="U265" i="3" s="1"/>
  <c r="L234" i="3"/>
  <c r="U234" i="3" s="1"/>
  <c r="L256" i="3"/>
  <c r="U256" i="3" s="1"/>
  <c r="L279" i="3"/>
  <c r="U279" i="3" s="1"/>
  <c r="L250" i="3"/>
  <c r="U250" i="3" s="1"/>
  <c r="L248" i="3"/>
  <c r="U248" i="3" s="1"/>
  <c r="L254" i="3"/>
  <c r="U254" i="3" s="1"/>
  <c r="L255" i="3"/>
  <c r="U255" i="3" s="1"/>
  <c r="L253" i="3"/>
  <c r="U253" i="3" s="1"/>
  <c r="L249" i="3"/>
  <c r="U249" i="3" s="1"/>
  <c r="L289" i="3"/>
  <c r="U289" i="3" s="1"/>
  <c r="L297" i="3"/>
  <c r="U297" i="3" s="1"/>
  <c r="L246" i="3"/>
  <c r="U246" i="3" s="1"/>
  <c r="L295" i="3"/>
  <c r="U295" i="3" s="1"/>
  <c r="L294" i="3"/>
  <c r="U294" i="3" s="1"/>
  <c r="L267" i="3"/>
  <c r="U267" i="3" s="1"/>
  <c r="L276" i="3"/>
  <c r="U276" i="3" s="1"/>
  <c r="L272" i="3"/>
  <c r="U272" i="3" s="1"/>
  <c r="L238" i="3"/>
  <c r="U238" i="3" s="1"/>
  <c r="L235" i="3"/>
  <c r="U235" i="3" s="1"/>
  <c r="L259" i="3"/>
  <c r="U259" i="3" s="1"/>
  <c r="L285" i="3"/>
  <c r="U285" i="3" s="1"/>
  <c r="L251" i="3"/>
  <c r="U251" i="3" s="1"/>
  <c r="L268" i="3"/>
  <c r="U268" i="3" s="1"/>
  <c r="L252" i="3"/>
  <c r="U252" i="3" s="1"/>
  <c r="L237" i="3"/>
  <c r="U237" i="3" s="1"/>
  <c r="L275" i="3"/>
  <c r="U275" i="3" s="1"/>
  <c r="L243" i="3"/>
  <c r="U243" i="3" s="1"/>
  <c r="L236" i="3"/>
  <c r="U236" i="3" s="1"/>
  <c r="L280" i="3"/>
  <c r="U280" i="3" s="1"/>
  <c r="L293" i="3"/>
  <c r="U293" i="3" s="1"/>
  <c r="L281" i="3"/>
  <c r="U281" i="3" s="1"/>
  <c r="L270" i="3"/>
  <c r="U270" i="3" s="1"/>
  <c r="L282" i="3"/>
  <c r="U282" i="3" s="1"/>
  <c r="L271" i="3"/>
  <c r="U271" i="3" s="1"/>
  <c r="L278" i="3"/>
  <c r="U278" i="3" s="1"/>
  <c r="L260" i="3"/>
  <c r="U260" i="3" s="1"/>
  <c r="L287" i="3"/>
  <c r="U287" i="3" s="1"/>
  <c r="L288" i="3"/>
  <c r="U288" i="3" s="1"/>
  <c r="L273" i="3"/>
  <c r="U273" i="3" s="1"/>
  <c r="L283" i="3"/>
  <c r="U283" i="3" s="1"/>
  <c r="L257" i="3"/>
  <c r="U257" i="3" s="1"/>
  <c r="L263" i="3"/>
  <c r="U263" i="3" s="1"/>
  <c r="L247" i="3"/>
  <c r="U247" i="3" s="1"/>
  <c r="L241" i="3"/>
  <c r="U241" i="3" s="1"/>
  <c r="L244" i="3"/>
  <c r="U244" i="3" s="1"/>
  <c r="L274" i="3"/>
  <c r="U274" i="3" s="1"/>
  <c r="L258" i="3"/>
  <c r="U258" i="3" s="1"/>
  <c r="L286" i="3"/>
  <c r="U286" i="3" s="1"/>
  <c r="L269" i="3"/>
  <c r="U269" i="3" s="1"/>
  <c r="L296" i="3"/>
  <c r="U296" i="3" s="1"/>
  <c r="L261" i="3"/>
  <c r="U261" i="3" s="1"/>
  <c r="L264" i="3"/>
  <c r="U264" i="3" s="1"/>
  <c r="L277" i="3"/>
  <c r="U277" i="3" s="1"/>
  <c r="L245" i="3"/>
  <c r="U245" i="3" s="1"/>
  <c r="J9" i="3"/>
  <c r="M95" i="4" l="1"/>
  <c r="Q95" i="4"/>
  <c r="M130" i="4"/>
  <c r="Q130" i="4"/>
  <c r="M125" i="4"/>
  <c r="Q125" i="4"/>
  <c r="M116" i="4"/>
  <c r="Q116" i="4"/>
  <c r="M136" i="4"/>
  <c r="Q136" i="4"/>
  <c r="M99" i="4"/>
  <c r="Q99" i="4"/>
  <c r="M94" i="4"/>
  <c r="Q94" i="4"/>
  <c r="M128" i="4"/>
  <c r="Q128" i="4"/>
  <c r="M96" i="4"/>
  <c r="Q96" i="4"/>
  <c r="M108" i="4"/>
  <c r="Q108" i="4"/>
  <c r="M144" i="4"/>
  <c r="Q144" i="4"/>
  <c r="M140" i="4"/>
  <c r="Q140" i="4"/>
  <c r="M97" i="4"/>
  <c r="Q97" i="4"/>
  <c r="M137" i="4"/>
  <c r="Q137" i="4"/>
  <c r="M109" i="4"/>
  <c r="Q109" i="4"/>
  <c r="M92" i="4"/>
  <c r="Q92" i="4"/>
  <c r="M113" i="4"/>
  <c r="Q113" i="4"/>
  <c r="M88" i="4"/>
  <c r="Q88" i="4"/>
  <c r="M115" i="4"/>
  <c r="Q115" i="4"/>
  <c r="M123" i="4"/>
  <c r="Q123" i="4"/>
  <c r="M111" i="4"/>
  <c r="Q111" i="4"/>
  <c r="M98" i="4"/>
  <c r="Q98" i="4"/>
  <c r="M122" i="4"/>
  <c r="Q122" i="4"/>
  <c r="M102" i="4"/>
  <c r="Q102" i="4"/>
  <c r="M121" i="4"/>
  <c r="Q121" i="4"/>
  <c r="M147" i="4"/>
  <c r="Q147" i="4"/>
  <c r="M127" i="4"/>
  <c r="Q127" i="4"/>
  <c r="M107" i="4"/>
  <c r="Q107" i="4"/>
  <c r="M93" i="4"/>
  <c r="Q93" i="4"/>
  <c r="M132" i="4"/>
  <c r="Q132" i="4"/>
  <c r="M87" i="4"/>
  <c r="Q87" i="4"/>
  <c r="M141" i="4"/>
  <c r="Q141" i="4"/>
  <c r="M131" i="4"/>
  <c r="Q131" i="4"/>
  <c r="M126" i="4"/>
  <c r="Q126" i="4"/>
  <c r="M146" i="4"/>
  <c r="Q146" i="4"/>
  <c r="M110" i="4"/>
  <c r="Q110" i="4"/>
  <c r="M104" i="4"/>
  <c r="Q104" i="4"/>
  <c r="M89" i="4"/>
  <c r="Q89" i="4"/>
  <c r="M120" i="4"/>
  <c r="Q120" i="4"/>
  <c r="M134" i="4"/>
  <c r="Q134" i="4"/>
  <c r="M90" i="4"/>
  <c r="Q90" i="4"/>
  <c r="M143" i="4"/>
  <c r="Q143" i="4"/>
  <c r="M114" i="4"/>
  <c r="Q114" i="4"/>
  <c r="M129" i="4"/>
  <c r="Q129" i="4"/>
  <c r="M145" i="4"/>
  <c r="Q145" i="4"/>
  <c r="M139" i="4"/>
  <c r="Q139" i="4"/>
  <c r="M142" i="4"/>
  <c r="Q142" i="4"/>
  <c r="M133" i="4"/>
  <c r="Q133" i="4"/>
  <c r="M135" i="4"/>
  <c r="Q135" i="4"/>
  <c r="M105" i="4"/>
  <c r="Q105" i="4"/>
  <c r="M101" i="4"/>
  <c r="Q101" i="4"/>
  <c r="M124" i="4"/>
  <c r="Q124" i="4"/>
  <c r="M119" i="4"/>
  <c r="Q119" i="4"/>
  <c r="M112" i="4"/>
  <c r="Q112" i="4"/>
  <c r="M138" i="4"/>
  <c r="Q138" i="4"/>
  <c r="M103" i="4"/>
  <c r="Q103" i="4"/>
  <c r="M118" i="4"/>
  <c r="Q118" i="4"/>
  <c r="M117" i="4"/>
  <c r="Q117" i="4"/>
  <c r="M86" i="4"/>
  <c r="Q86" i="4"/>
  <c r="M149" i="4"/>
  <c r="Q149" i="4"/>
  <c r="M148" i="4"/>
  <c r="Q148" i="4"/>
  <c r="M91" i="4"/>
  <c r="Q91" i="4"/>
  <c r="M100" i="4"/>
  <c r="Q100" i="4"/>
  <c r="M106" i="4"/>
  <c r="Q106" i="4"/>
  <c r="Q61" i="4"/>
  <c r="M61" i="4"/>
  <c r="M63" i="4"/>
  <c r="Q63" i="4"/>
  <c r="M67" i="4"/>
  <c r="Q67" i="4"/>
  <c r="M30" i="4"/>
  <c r="Q30" i="4"/>
  <c r="M29" i="4"/>
  <c r="Q29" i="4"/>
  <c r="M59" i="4"/>
  <c r="Q59" i="4"/>
  <c r="M15" i="4"/>
  <c r="Q15" i="4"/>
  <c r="M76" i="4"/>
  <c r="Q76" i="4"/>
  <c r="M45" i="4"/>
  <c r="Q45" i="4"/>
  <c r="M34" i="4"/>
  <c r="Q34" i="4"/>
  <c r="M78" i="4"/>
  <c r="Q78" i="4"/>
  <c r="M50" i="4"/>
  <c r="Q50" i="4"/>
  <c r="M46" i="4"/>
  <c r="Q46" i="4"/>
  <c r="M43" i="4"/>
  <c r="Q43" i="4"/>
  <c r="M38" i="4"/>
  <c r="Q38" i="4"/>
  <c r="M47" i="4"/>
  <c r="Q47" i="4"/>
  <c r="M71" i="4"/>
  <c r="Q71" i="4"/>
  <c r="M23" i="4"/>
  <c r="Q23" i="4"/>
  <c r="M19" i="4"/>
  <c r="Q19" i="4"/>
  <c r="M48" i="4"/>
  <c r="Q48" i="4"/>
  <c r="M44" i="4"/>
  <c r="Q44" i="4"/>
  <c r="M58" i="4"/>
  <c r="Q58" i="4"/>
  <c r="M35" i="4"/>
  <c r="Q35" i="4"/>
  <c r="M65" i="4"/>
  <c r="Q65" i="4"/>
  <c r="M51" i="4"/>
  <c r="Q51" i="4"/>
  <c r="M26" i="4"/>
  <c r="Q26" i="4"/>
  <c r="M31" i="4"/>
  <c r="Q31" i="4"/>
  <c r="M49" i="4"/>
  <c r="Q49" i="4"/>
  <c r="M37" i="4"/>
  <c r="Q37" i="4"/>
  <c r="M32" i="4"/>
  <c r="Q32" i="4"/>
  <c r="M39" i="4"/>
  <c r="Q39" i="4"/>
  <c r="M72" i="4"/>
  <c r="Q72" i="4"/>
  <c r="M68" i="4"/>
  <c r="Q68" i="4"/>
  <c r="M54" i="4"/>
  <c r="Q54" i="4"/>
  <c r="M73" i="4"/>
  <c r="Q73" i="4"/>
  <c r="M74" i="4"/>
  <c r="Q74" i="4"/>
  <c r="M53" i="4"/>
  <c r="Q53" i="4"/>
  <c r="M70" i="4"/>
  <c r="Q70" i="4"/>
  <c r="M27" i="4"/>
  <c r="Q27" i="4"/>
  <c r="M69" i="4"/>
  <c r="Q69" i="4"/>
  <c r="M57" i="4"/>
  <c r="Q57" i="4"/>
  <c r="M25" i="4"/>
  <c r="Q25" i="4"/>
  <c r="M40" i="4"/>
  <c r="Q40" i="4"/>
  <c r="M21" i="4"/>
  <c r="Q21" i="4"/>
  <c r="M52" i="4"/>
  <c r="Q52" i="4"/>
  <c r="M66" i="4"/>
  <c r="Q66" i="4"/>
  <c r="M17" i="4"/>
  <c r="Q17" i="4"/>
  <c r="M64" i="4"/>
  <c r="Q64" i="4"/>
  <c r="M16" i="4"/>
  <c r="Q16" i="4"/>
  <c r="M55" i="4"/>
  <c r="Q55" i="4"/>
  <c r="M75" i="4"/>
  <c r="Q75" i="4"/>
  <c r="M24" i="4"/>
  <c r="Q24" i="4"/>
  <c r="M41" i="4"/>
  <c r="Q41" i="4"/>
  <c r="M22" i="4"/>
  <c r="Q22" i="4"/>
  <c r="M36" i="4"/>
  <c r="Q36" i="4"/>
  <c r="M18" i="4"/>
  <c r="Q18" i="4"/>
  <c r="M33" i="4"/>
  <c r="Q33" i="4"/>
  <c r="M62" i="4"/>
  <c r="Q62" i="4"/>
  <c r="M28" i="4"/>
  <c r="Q28" i="4"/>
  <c r="M56" i="4"/>
  <c r="Q56" i="4"/>
  <c r="M60" i="4"/>
  <c r="Q60" i="4"/>
  <c r="M42" i="4"/>
  <c r="Q42" i="4"/>
  <c r="M77" i="4"/>
  <c r="Q77" i="4"/>
  <c r="M20" i="4"/>
  <c r="Q20" i="4"/>
  <c r="M216" i="3"/>
  <c r="Q216" i="3"/>
  <c r="M177" i="3"/>
  <c r="Q177" i="3"/>
  <c r="M164" i="3"/>
  <c r="Q164" i="3"/>
  <c r="M171" i="3"/>
  <c r="Q171" i="3"/>
  <c r="M208" i="3"/>
  <c r="Q208" i="3"/>
  <c r="M173" i="3"/>
  <c r="Q173" i="3"/>
  <c r="M221" i="3"/>
  <c r="Q221" i="3"/>
  <c r="M205" i="3"/>
  <c r="Q205" i="3"/>
  <c r="M197" i="3"/>
  <c r="Q197" i="3"/>
  <c r="M196" i="3"/>
  <c r="Q196" i="3"/>
  <c r="M214" i="3"/>
  <c r="Q214" i="3"/>
  <c r="M223" i="3"/>
  <c r="Q223" i="3"/>
  <c r="M178" i="3"/>
  <c r="Q178" i="3"/>
  <c r="M188" i="3"/>
  <c r="Q188" i="3"/>
  <c r="M180" i="3"/>
  <c r="Q180" i="3"/>
  <c r="M209" i="3"/>
  <c r="Q209" i="3"/>
  <c r="M185" i="3"/>
  <c r="Q185" i="3"/>
  <c r="M199" i="3"/>
  <c r="Q199" i="3"/>
  <c r="M222" i="3"/>
  <c r="Q222" i="3"/>
  <c r="M194" i="3"/>
  <c r="Q194" i="3"/>
  <c r="M203" i="3"/>
  <c r="Q203" i="3"/>
  <c r="M176" i="3"/>
  <c r="Q176" i="3"/>
  <c r="M168" i="3"/>
  <c r="Q168" i="3"/>
  <c r="M212" i="3"/>
  <c r="Q212" i="3"/>
  <c r="M210" i="3"/>
  <c r="Q210" i="3"/>
  <c r="M165" i="3"/>
  <c r="Q165" i="3"/>
  <c r="M220" i="3"/>
  <c r="Q220" i="3"/>
  <c r="M189" i="3"/>
  <c r="Q189" i="3"/>
  <c r="M174" i="3"/>
  <c r="Q174" i="3"/>
  <c r="M183" i="3"/>
  <c r="Q183" i="3"/>
  <c r="M217" i="3"/>
  <c r="Q217" i="3"/>
  <c r="M187" i="3"/>
  <c r="Q187" i="3"/>
  <c r="M192" i="3"/>
  <c r="Q192" i="3"/>
  <c r="M215" i="3"/>
  <c r="Q215" i="3"/>
  <c r="M224" i="3"/>
  <c r="Q224" i="3"/>
  <c r="M201" i="3"/>
  <c r="Q201" i="3"/>
  <c r="M190" i="3"/>
  <c r="Q190" i="3"/>
  <c r="M181" i="3"/>
  <c r="Q181" i="3"/>
  <c r="M163" i="3"/>
  <c r="Q163" i="3"/>
  <c r="M169" i="3"/>
  <c r="Q169" i="3"/>
  <c r="M167" i="3"/>
  <c r="Q167" i="3"/>
  <c r="M172" i="3"/>
  <c r="Q172" i="3"/>
  <c r="M218" i="3"/>
  <c r="Q218" i="3"/>
  <c r="M204" i="3"/>
  <c r="Q204" i="3"/>
  <c r="M202" i="3"/>
  <c r="Q202" i="3"/>
  <c r="M195" i="3"/>
  <c r="Q195" i="3"/>
  <c r="M213" i="3"/>
  <c r="Q213" i="3"/>
  <c r="M182" i="3"/>
  <c r="Q182" i="3"/>
  <c r="M219" i="3"/>
  <c r="Q219" i="3"/>
  <c r="M170" i="3"/>
  <c r="Q170" i="3"/>
  <c r="M186" i="3"/>
  <c r="Q186" i="3"/>
  <c r="M179" i="3"/>
  <c r="Q179" i="3"/>
  <c r="M206" i="3"/>
  <c r="Q206" i="3"/>
  <c r="M226" i="3"/>
  <c r="Q226" i="3"/>
  <c r="M184" i="3"/>
  <c r="Q184" i="3"/>
  <c r="M198" i="3"/>
  <c r="Q198" i="3"/>
  <c r="M191" i="3"/>
  <c r="Q191" i="3"/>
  <c r="M225" i="3"/>
  <c r="Q225" i="3"/>
  <c r="M193" i="3"/>
  <c r="Q193" i="3"/>
  <c r="M207" i="3"/>
  <c r="Q207" i="3"/>
  <c r="M200" i="3"/>
  <c r="Q200" i="3"/>
  <c r="M175" i="3"/>
  <c r="Q175" i="3"/>
  <c r="M166" i="3"/>
  <c r="Q166" i="3"/>
  <c r="M211" i="3"/>
  <c r="Q211" i="3"/>
  <c r="Q101" i="3"/>
  <c r="M101" i="3"/>
  <c r="M107" i="3"/>
  <c r="Q107" i="3"/>
  <c r="M138" i="3"/>
  <c r="Q138" i="3"/>
  <c r="M121" i="3"/>
  <c r="Q121" i="3"/>
  <c r="M100" i="3"/>
  <c r="Q100" i="3"/>
  <c r="M123" i="3"/>
  <c r="Q123" i="3"/>
  <c r="M110" i="3"/>
  <c r="Q110" i="3"/>
  <c r="M120" i="3"/>
  <c r="Q120" i="3"/>
  <c r="M90" i="3"/>
  <c r="Q90" i="3"/>
  <c r="M147" i="3"/>
  <c r="Q147" i="3"/>
  <c r="M125" i="3"/>
  <c r="Q125" i="3"/>
  <c r="M130" i="3"/>
  <c r="Q130" i="3"/>
  <c r="M144" i="3"/>
  <c r="Q144" i="3"/>
  <c r="M131" i="3"/>
  <c r="Q131" i="3"/>
  <c r="M146" i="3"/>
  <c r="Q146" i="3"/>
  <c r="M88" i="3"/>
  <c r="Q88" i="3"/>
  <c r="M133" i="3"/>
  <c r="Q133" i="3"/>
  <c r="M104" i="3"/>
  <c r="Q104" i="3"/>
  <c r="M109" i="3"/>
  <c r="Q109" i="3"/>
  <c r="M145" i="3"/>
  <c r="Q145" i="3"/>
  <c r="M95" i="3"/>
  <c r="Q95" i="3"/>
  <c r="M129" i="3"/>
  <c r="Q129" i="3"/>
  <c r="M134" i="3"/>
  <c r="Q134" i="3"/>
  <c r="M99" i="3"/>
  <c r="Q99" i="3"/>
  <c r="M140" i="3"/>
  <c r="Q140" i="3"/>
  <c r="M92" i="3"/>
  <c r="Q92" i="3"/>
  <c r="M136" i="3"/>
  <c r="Q136" i="3"/>
  <c r="M148" i="3"/>
  <c r="Q148" i="3"/>
  <c r="M96" i="3"/>
  <c r="Q96" i="3"/>
  <c r="M105" i="3"/>
  <c r="Q105" i="3"/>
  <c r="M87" i="3"/>
  <c r="Q87" i="3"/>
  <c r="M117" i="3"/>
  <c r="Q117" i="3"/>
  <c r="M139" i="3"/>
  <c r="Q139" i="3"/>
  <c r="M143" i="3"/>
  <c r="Q143" i="3"/>
  <c r="M126" i="3"/>
  <c r="Q126" i="3"/>
  <c r="M128" i="3"/>
  <c r="Q128" i="3"/>
  <c r="M113" i="3"/>
  <c r="Q113" i="3"/>
  <c r="M142" i="3"/>
  <c r="Q142" i="3"/>
  <c r="M106" i="3"/>
  <c r="Q106" i="3"/>
  <c r="M89" i="3"/>
  <c r="Q89" i="3"/>
  <c r="M135" i="3"/>
  <c r="Q135" i="3"/>
  <c r="M86" i="3"/>
  <c r="Q86" i="3"/>
  <c r="M97" i="3"/>
  <c r="Q97" i="3"/>
  <c r="M103" i="3"/>
  <c r="Q103" i="3"/>
  <c r="M108" i="3"/>
  <c r="Q108" i="3"/>
  <c r="M137" i="3"/>
  <c r="Q137" i="3"/>
  <c r="M149" i="3"/>
  <c r="Q149" i="3"/>
  <c r="M116" i="3"/>
  <c r="Q116" i="3"/>
  <c r="M119" i="3"/>
  <c r="Q119" i="3"/>
  <c r="M94" i="3"/>
  <c r="Q94" i="3"/>
  <c r="M114" i="3"/>
  <c r="Q114" i="3"/>
  <c r="M141" i="3"/>
  <c r="Q141" i="3"/>
  <c r="M93" i="3"/>
  <c r="Q93" i="3"/>
  <c r="M112" i="3"/>
  <c r="Q112" i="3"/>
  <c r="M115" i="3"/>
  <c r="Q115" i="3"/>
  <c r="M122" i="3"/>
  <c r="Q122" i="3"/>
  <c r="M127" i="3"/>
  <c r="Q127" i="3"/>
  <c r="M91" i="3"/>
  <c r="Q91" i="3"/>
  <c r="M124" i="3"/>
  <c r="Q124" i="3"/>
  <c r="M132" i="3"/>
  <c r="Q132" i="3"/>
  <c r="M118" i="3"/>
  <c r="Q118" i="3"/>
  <c r="M111" i="3"/>
  <c r="Q111" i="3"/>
  <c r="M98" i="3"/>
  <c r="Q98" i="3"/>
  <c r="M102" i="3"/>
  <c r="Q102" i="3"/>
  <c r="Q18" i="3"/>
  <c r="M18" i="3"/>
  <c r="M44" i="3"/>
  <c r="Q44" i="3"/>
  <c r="M54" i="3"/>
  <c r="Q54" i="3"/>
  <c r="M77" i="3"/>
  <c r="Q77" i="3"/>
  <c r="M67" i="3"/>
  <c r="Q67" i="3"/>
  <c r="M48" i="3"/>
  <c r="Q48" i="3"/>
  <c r="M62" i="3"/>
  <c r="Q62" i="3"/>
  <c r="M16" i="3"/>
  <c r="Q16" i="3"/>
  <c r="M37" i="3"/>
  <c r="Q37" i="3"/>
  <c r="M73" i="3"/>
  <c r="Q73" i="3"/>
  <c r="M74" i="3"/>
  <c r="Q74" i="3"/>
  <c r="M33" i="3"/>
  <c r="Q33" i="3"/>
  <c r="M55" i="3"/>
  <c r="Q55" i="3"/>
  <c r="M27" i="3"/>
  <c r="Q27" i="3"/>
  <c r="M34" i="3"/>
  <c r="Q34" i="3"/>
  <c r="M68" i="3"/>
  <c r="Q68" i="3"/>
  <c r="M35" i="3"/>
  <c r="Q35" i="3"/>
  <c r="M49" i="3"/>
  <c r="Q49" i="3"/>
  <c r="M57" i="3"/>
  <c r="Q57" i="3"/>
  <c r="M15" i="3"/>
  <c r="Q15" i="3"/>
  <c r="M42" i="3"/>
  <c r="Q42" i="3"/>
  <c r="M41" i="3"/>
  <c r="Q41" i="3"/>
  <c r="M52" i="3"/>
  <c r="Q52" i="3"/>
  <c r="M46" i="3"/>
  <c r="Q46" i="3"/>
  <c r="M76" i="3"/>
  <c r="Q76" i="3"/>
  <c r="M64" i="3"/>
  <c r="Q64" i="3"/>
  <c r="M17" i="3"/>
  <c r="Q17" i="3"/>
  <c r="M22" i="3"/>
  <c r="Q22" i="3"/>
  <c r="M23" i="3"/>
  <c r="Q23" i="3"/>
  <c r="M36" i="3"/>
  <c r="Q36" i="3"/>
  <c r="M30" i="3"/>
  <c r="Q30" i="3"/>
  <c r="M19" i="3"/>
  <c r="Q19" i="3"/>
  <c r="M21" i="3"/>
  <c r="Q21" i="3"/>
  <c r="M47" i="3"/>
  <c r="Q47" i="3"/>
  <c r="M32" i="3"/>
  <c r="Q32" i="3"/>
  <c r="M51" i="3"/>
  <c r="Q51" i="3"/>
  <c r="M59" i="3"/>
  <c r="Q59" i="3"/>
  <c r="M28" i="3"/>
  <c r="Q28" i="3"/>
  <c r="M40" i="3"/>
  <c r="Q40" i="3"/>
  <c r="M75" i="3"/>
  <c r="Q75" i="3"/>
  <c r="M53" i="3"/>
  <c r="Q53" i="3"/>
  <c r="M71" i="3"/>
  <c r="Q71" i="3"/>
  <c r="M39" i="3"/>
  <c r="Q39" i="3"/>
  <c r="M25" i="3"/>
  <c r="Q25" i="3"/>
  <c r="M69" i="3"/>
  <c r="Q69" i="3"/>
  <c r="M43" i="3"/>
  <c r="Q43" i="3"/>
  <c r="M24" i="3"/>
  <c r="Q24" i="3"/>
  <c r="M56" i="3"/>
  <c r="Q56" i="3"/>
  <c r="M63" i="3"/>
  <c r="Q63" i="3"/>
  <c r="M20" i="3"/>
  <c r="Q20" i="3"/>
  <c r="M61" i="3"/>
  <c r="Q61" i="3"/>
  <c r="M66" i="3"/>
  <c r="Q66" i="3"/>
  <c r="M29" i="3"/>
  <c r="Q29" i="3"/>
  <c r="M31" i="3"/>
  <c r="Q31" i="3"/>
  <c r="M65" i="3"/>
  <c r="Q65" i="3"/>
  <c r="M58" i="3"/>
  <c r="Q58" i="3"/>
  <c r="M26" i="3"/>
  <c r="Q26" i="3"/>
  <c r="M72" i="3"/>
  <c r="Q72" i="3"/>
  <c r="M78" i="3"/>
  <c r="Q78" i="3"/>
  <c r="M60" i="3"/>
  <c r="Q60" i="3"/>
  <c r="M50" i="3"/>
  <c r="Q50" i="3"/>
  <c r="M45" i="3"/>
  <c r="Q45" i="3"/>
  <c r="M70" i="3"/>
  <c r="Q70" i="3"/>
  <c r="M38" i="3"/>
  <c r="Q38" i="3"/>
  <c r="Q262" i="3"/>
  <c r="M262" i="3"/>
  <c r="M253" i="3"/>
  <c r="Q253" i="3"/>
  <c r="M274" i="3"/>
  <c r="Q274" i="3"/>
  <c r="M248" i="3"/>
  <c r="Q248" i="3"/>
  <c r="M269" i="3"/>
  <c r="Q269" i="3"/>
  <c r="M236" i="3"/>
  <c r="Q236" i="3"/>
  <c r="M255" i="3"/>
  <c r="Q255" i="3"/>
  <c r="M241" i="3"/>
  <c r="Q241" i="3"/>
  <c r="M279" i="3"/>
  <c r="Q279" i="3"/>
  <c r="M285" i="3"/>
  <c r="Q285" i="3"/>
  <c r="M291" i="3"/>
  <c r="Q291" i="3"/>
  <c r="M244" i="3"/>
  <c r="Q244" i="3"/>
  <c r="M256" i="3"/>
  <c r="Q256" i="3"/>
  <c r="M234" i="3"/>
  <c r="Q234" i="3"/>
  <c r="M283" i="3"/>
  <c r="Q283" i="3"/>
  <c r="M273" i="3"/>
  <c r="Q273" i="3"/>
  <c r="M272" i="3"/>
  <c r="Q272" i="3"/>
  <c r="M276" i="3"/>
  <c r="Q276" i="3"/>
  <c r="M280" i="3"/>
  <c r="Q280" i="3"/>
  <c r="M243" i="3"/>
  <c r="Q243" i="3"/>
  <c r="M254" i="3"/>
  <c r="Q254" i="3"/>
  <c r="M250" i="3"/>
  <c r="Q250" i="3"/>
  <c r="M247" i="3"/>
  <c r="Q247" i="3"/>
  <c r="M257" i="3"/>
  <c r="Q257" i="3"/>
  <c r="M235" i="3"/>
  <c r="Q235" i="3"/>
  <c r="M288" i="3"/>
  <c r="Q288" i="3"/>
  <c r="M287" i="3"/>
  <c r="Q287" i="3"/>
  <c r="M260" i="3"/>
  <c r="Q260" i="3"/>
  <c r="M267" i="3"/>
  <c r="Q267" i="3"/>
  <c r="M271" i="3"/>
  <c r="Q271" i="3"/>
  <c r="M277" i="3"/>
  <c r="Q277" i="3"/>
  <c r="M282" i="3"/>
  <c r="Q282" i="3"/>
  <c r="M242" i="3"/>
  <c r="Q242" i="3"/>
  <c r="M286" i="3"/>
  <c r="Q286" i="3"/>
  <c r="M258" i="3"/>
  <c r="Q258" i="3"/>
  <c r="M252" i="3"/>
  <c r="Q252" i="3"/>
  <c r="M263" i="3"/>
  <c r="Q263" i="3"/>
  <c r="M265" i="3"/>
  <c r="Q265" i="3"/>
  <c r="M239" i="3"/>
  <c r="Q239" i="3"/>
  <c r="M278" i="3"/>
  <c r="Q278" i="3"/>
  <c r="M245" i="3"/>
  <c r="Q245" i="3"/>
  <c r="M295" i="3"/>
  <c r="Q295" i="3"/>
  <c r="M264" i="3"/>
  <c r="Q264" i="3"/>
  <c r="M270" i="3"/>
  <c r="Q270" i="3"/>
  <c r="M246" i="3"/>
  <c r="Q246" i="3"/>
  <c r="M292" i="3"/>
  <c r="Q292" i="3"/>
  <c r="M275" i="3"/>
  <c r="Q275" i="3"/>
  <c r="M290" i="3"/>
  <c r="Q290" i="3"/>
  <c r="M284" i="3"/>
  <c r="Q284" i="3"/>
  <c r="M294" i="3"/>
  <c r="Q294" i="3"/>
  <c r="M261" i="3"/>
  <c r="Q261" i="3"/>
  <c r="M297" i="3"/>
  <c r="Q297" i="3"/>
  <c r="M249" i="3"/>
  <c r="Q249" i="3"/>
  <c r="M237" i="3"/>
  <c r="Q237" i="3"/>
  <c r="M268" i="3"/>
  <c r="Q268" i="3"/>
  <c r="M251" i="3"/>
  <c r="Q251" i="3"/>
  <c r="M259" i="3"/>
  <c r="Q259" i="3"/>
  <c r="M238" i="3"/>
  <c r="Q238" i="3"/>
  <c r="M266" i="3"/>
  <c r="Q266" i="3"/>
  <c r="M240" i="3"/>
  <c r="Q240" i="3"/>
  <c r="M281" i="3"/>
  <c r="Q281" i="3"/>
  <c r="M296" i="3"/>
  <c r="Q296" i="3"/>
  <c r="M293" i="3"/>
  <c r="Q293" i="3"/>
  <c r="M289" i="3"/>
  <c r="Q289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<sst xmlns="http://schemas.openxmlformats.org/spreadsheetml/2006/main" count="328" uniqueCount="123">
  <si>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</si>
  <si>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</si>
  <si>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</si>
  <si>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</si>
  <si>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</si>
  <si>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</si>
  <si>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</si>
  <si>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</si>
  <si>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</si>
  <si>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</si>
  <si>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</si>
  <si>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</si>
  <si>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</si>
  <si>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</si>
  <si>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</si>
  <si>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</si>
  <si>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</si>
  <si>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</si>
  <si>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</si>
  <si>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</si>
  <si>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</si>
  <si>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</si>
  <si>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</si>
  <si>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</si>
  <si>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</si>
  <si>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</si>
  <si>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</si>
  <si>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</si>
  <si>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</si>
  <si>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</si>
  <si>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</si>
  <si>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</si>
  <si>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</si>
  <si>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</si>
  <si>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</si>
  <si>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</si>
  <si>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</si>
  <si>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</si>
  <si>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</si>
  <si>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</si>
  <si>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</si>
  <si>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</si>
  <si>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</si>
  <si>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</si>
  <si>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</si>
  <si>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</si>
  <si>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</si>
  <si>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</si>
  <si>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</si>
  <si>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</si>
  <si>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</si>
  <si>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</si>
  <si>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</si>
  <si>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</si>
  <si>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</si>
  <si>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</si>
  <si>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</si>
  <si>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</si>
  <si>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</si>
  <si>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</si>
  <si>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</si>
  <si>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</si>
  <si>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</si>
  <si>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</si>
  <si>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</si>
  <si>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</si>
  <si>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</si>
  <si>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</si>
  <si>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</si>
  <si>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</si>
  <si>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</si>
  <si>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</si>
  <si>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</si>
  <si>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</si>
  <si>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</si>
  <si>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</si>
  <si>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</si>
  <si>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</si>
  <si>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</si>
  <si>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</si>
  <si>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</si>
  <si>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</si>
  <si>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</si>
  <si>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</si>
  <si>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</si>
  <si>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</si>
  <si>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</si>
  <si>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</si>
  <si>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</si>
  <si>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</si>
  <si>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</si>
  <si>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</si>
  <si>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</si>
  <si>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</si>
  <si>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</si>
  <si>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</si>
  <si>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</si>
  <si>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</si>
  <si>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</si>
  <si>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</si>
  <si>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</si>
  <si>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</si>
  <si>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</si>
  <si>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</si>
  <si>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</si>
  <si>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</si>
  <si>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</si>
  <si>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</si>
  <si>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</si>
  <si>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</si>
  <si>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</si>
  <si>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</si>
  <si>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</si>
  <si>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</si>
  <si>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</si>
  <si>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</si>
  <si>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</si>
  <si>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</si>
  <si>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</si>
  <si>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</si>
  <si>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</si>
  <si>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</si>
  <si>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6.4.0.0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</si>
</sst>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9" sqref="F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6" t="s">
        <v>1</v>
      </c>
    </row>
    <row r="3" spans="1:10" x14ac:dyDescent="0.3">
      <c r="A3" s="3" t="s">
        <v>2</v>
      </c>
      <c r="B3" s="22" t="s">
        <v>122</v>
      </c>
      <c r="C3" s="22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 x14ac:dyDescent="0.3">
      <c r="A7" s="23">
        <v>100</v>
      </c>
      <c r="B7" s="23">
        <v>1024</v>
      </c>
      <c r="H7" s="24"/>
      <c r="I7" s="70"/>
      <c r="J7" s="71"/>
    </row>
    <row r="8" spans="1:10" x14ac:dyDescent="0.3">
      <c r="H8" s="24"/>
      <c r="I8" s="70"/>
      <c r="J8" s="71"/>
    </row>
    <row r="9" spans="1:10" x14ac:dyDescent="0.3">
      <c r="H9" s="24"/>
      <c r="I9" s="70"/>
      <c r="J9" s="71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 x14ac:dyDescent="0.3">
      <c r="A11" s="25">
        <f t="shared" ref="A11:A12" si="0">B11*$A$7</f>
        <v>100</v>
      </c>
      <c r="B11" s="23">
        <v>1</v>
      </c>
      <c r="C11" s="67">
        <f>B17+B18</f>
        <v>0.93999999101289999</v>
      </c>
      <c r="D11" s="67" t="s">
        <v>9</v>
      </c>
      <c r="E11" s="24"/>
      <c r="F11" s="70"/>
      <c r="G11" s="71"/>
    </row>
    <row r="12" spans="1:10" x14ac:dyDescent="0.3">
      <c r="A12" s="25">
        <f t="shared" si="0"/>
        <v>4050</v>
      </c>
      <c r="B12" s="23">
        <v>40.5</v>
      </c>
      <c r="C12" s="67">
        <f>B21+B22</f>
        <v>0.92499999078687933</v>
      </c>
      <c r="D12" s="67" t="s">
        <v>10</v>
      </c>
      <c r="E12" s="24"/>
      <c r="F12" s="70"/>
      <c r="G12" s="71"/>
    </row>
    <row r="13" spans="1:10" x14ac:dyDescent="0.3">
      <c r="A13" s="25">
        <f>B13*A7</f>
        <v>25000</v>
      </c>
      <c r="B13" s="23">
        <v>250</v>
      </c>
      <c r="C13" s="67">
        <f>B25+B26</f>
        <v>0.92499999388666088</v>
      </c>
      <c r="D13" s="67" t="s">
        <v>11</v>
      </c>
      <c r="H13" s="24"/>
      <c r="I13" s="70"/>
      <c r="J13" s="71"/>
    </row>
    <row r="14" spans="1:10" x14ac:dyDescent="0.3">
      <c r="H14" s="24"/>
      <c r="I14" s="70"/>
      <c r="J14" s="71"/>
    </row>
    <row r="15" spans="1:10" x14ac:dyDescent="0.3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 x14ac:dyDescent="0.3">
      <c r="A17" s="103" t="str">
        <f>D11</f>
        <v>Normal Bet</v>
      </c>
      <c r="B17" s="18">
        <f>Detail!C7</f>
        <v>0.64999999108715112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4"/>
      <c r="I17" s="70"/>
      <c r="J17" s="71"/>
    </row>
    <row r="18" spans="1:10" ht="15.6" customHeight="1" x14ac:dyDescent="0.3">
      <c r="A18" s="104"/>
      <c r="B18" s="18">
        <f>Detail!D7</f>
        <v>0.28999999992574882</v>
      </c>
      <c r="C18" s="104"/>
      <c r="D18" s="104"/>
      <c r="E18" s="15" t="s">
        <v>18</v>
      </c>
      <c r="H18" s="24"/>
      <c r="I18" s="70"/>
      <c r="J18" s="71"/>
    </row>
    <row r="19" spans="1:10" ht="15.6" customHeight="1" x14ac:dyDescent="0.3">
      <c r="A19" s="19"/>
      <c r="B19" s="7"/>
      <c r="C19" s="17"/>
      <c r="D19" s="72"/>
      <c r="E19" s="24"/>
      <c r="H19" s="24"/>
      <c r="I19" s="70"/>
      <c r="J19" s="71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 x14ac:dyDescent="0.3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 x14ac:dyDescent="0.3">
      <c r="A22" s="106"/>
      <c r="B22" s="18">
        <f>Detail!D8</f>
        <v>0.92499999078687933</v>
      </c>
      <c r="C22" s="104"/>
      <c r="D22" s="104"/>
      <c r="E22" s="15" t="s">
        <v>18</v>
      </c>
      <c r="H22" s="24"/>
      <c r="I22" s="70"/>
      <c r="J22" s="71"/>
    </row>
    <row r="23" spans="1:10" ht="15.6" customHeight="1" x14ac:dyDescent="0.3">
      <c r="H23" s="24"/>
      <c r="I23" s="70"/>
      <c r="J23" s="71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 x14ac:dyDescent="0.3">
      <c r="A26" s="106"/>
      <c r="B26" s="18">
        <f>Detail!D9</f>
        <v>0.92499999388666088</v>
      </c>
      <c r="C26" s="104"/>
      <c r="D26" s="104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27989937</v>
      </c>
      <c r="D9" s="10">
        <f>Detail!K21</f>
        <v>3575241</v>
      </c>
      <c r="E9" s="10">
        <f>Detail!K92</f>
        <v>34366617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24287702</v>
      </c>
      <c r="D10" s="10">
        <f>Detail!K22</f>
        <v>3059741</v>
      </c>
      <c r="E10" s="10">
        <f>Detail!K93</f>
        <v>29563828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26217804</v>
      </c>
      <c r="D11" s="10">
        <f>Detail!K23</f>
        <v>2660645</v>
      </c>
      <c r="E11" s="10">
        <f>Detail!K94</f>
        <v>31635636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25303013</v>
      </c>
      <c r="D12" s="10">
        <f>Detail!K24</f>
        <v>2267090</v>
      </c>
      <c r="E12" s="10">
        <f>Detail!K95</f>
        <v>30268903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27271779</v>
      </c>
      <c r="D13" s="10">
        <f>Detail!K25</f>
        <v>2228289</v>
      </c>
      <c r="E13" s="10">
        <f>Detail!K96</f>
        <v>32342055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121586766</v>
      </c>
      <c r="D14" s="10">
        <f>Detail!K26</f>
        <v>8303428</v>
      </c>
      <c r="E14" s="10">
        <f>Detail!K97</f>
        <v>140499777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89148354</v>
      </c>
      <c r="D15" s="10">
        <f>Detail!K27</f>
        <v>2533155</v>
      </c>
      <c r="E15" s="10">
        <f>Detail!K98</f>
        <v>98630576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89320730</v>
      </c>
      <c r="D16" s="10">
        <f>Detail!K28</f>
        <v>2012112</v>
      </c>
      <c r="E16" s="10">
        <f>Detail!K99</f>
        <v>94628947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72285382</v>
      </c>
      <c r="D17" s="10">
        <f>Detail!K29</f>
        <v>1579757</v>
      </c>
      <c r="E17" s="10">
        <f>Detail!K100</f>
        <v>73322811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65618279</v>
      </c>
      <c r="D18" s="10">
        <f>Detail!K30</f>
        <v>498870</v>
      </c>
      <c r="E18" s="10">
        <f>Detail!K101</f>
        <v>63730922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64153852</v>
      </c>
      <c r="D19" s="10">
        <f>Detail!K31</f>
        <v>393553</v>
      </c>
      <c r="E19" s="10">
        <f>Detail!K102</f>
        <v>59660899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69438212</v>
      </c>
      <c r="D20" s="10">
        <f>Detail!K32</f>
        <v>338124</v>
      </c>
      <c r="E20" s="10">
        <f>Detail!K103</f>
        <v>61831563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60387769</v>
      </c>
      <c r="D21" s="10">
        <f>Detail!K33</f>
        <v>288236</v>
      </c>
      <c r="E21" s="10">
        <f>Detail!K104</f>
        <v>51485105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76797810</v>
      </c>
      <c r="D22" s="10">
        <f>Detail!K34</f>
        <v>277151</v>
      </c>
      <c r="E22" s="10">
        <f>Detail!K105</f>
        <v>61358306</v>
      </c>
      <c r="F22" s="10">
        <f>Detail!K182</f>
        <v>61222335</v>
      </c>
      <c r="G22" s="10">
        <f>Detail!K253</f>
        <v>81696429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38183372</v>
      </c>
      <c r="D23" s="10">
        <f>Detail!K35</f>
        <v>94231</v>
      </c>
      <c r="E23" s="10">
        <f>Detail!K106</f>
        <v>27970985</v>
      </c>
      <c r="F23" s="10">
        <f>Detail!K183</f>
        <v>27874849</v>
      </c>
      <c r="G23" s="10">
        <f>Detail!K254</f>
        <v>81696429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32372133</v>
      </c>
      <c r="D24" s="10">
        <f>Detail!K36</f>
        <v>0</v>
      </c>
      <c r="E24" s="10">
        <f>Detail!K107</f>
        <v>21740428</v>
      </c>
      <c r="F24" s="10">
        <f>Detail!K184</f>
        <v>21639144</v>
      </c>
      <c r="G24" s="10">
        <f>Detail!K255</f>
        <v>81696429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26270654</v>
      </c>
      <c r="D25" s="10">
        <f>Detail!K37</f>
        <v>0</v>
      </c>
      <c r="E25" s="10">
        <f>Detail!K108</f>
        <v>16176734</v>
      </c>
      <c r="F25" s="10">
        <f>Detail!K185</f>
        <v>16081664</v>
      </c>
      <c r="G25" s="10">
        <f>Detail!K256</f>
        <v>77490181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26239496</v>
      </c>
      <c r="D26" s="10">
        <f>Detail!K38</f>
        <v>0</v>
      </c>
      <c r="E26" s="10">
        <f>Detail!K109</f>
        <v>14812925</v>
      </c>
      <c r="F26" s="10">
        <f>Detail!K186</f>
        <v>14707810</v>
      </c>
      <c r="G26" s="10">
        <f>Detail!K257</f>
        <v>70355502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37126956</v>
      </c>
      <c r="D27" s="10">
        <f>Detail!K39</f>
        <v>0</v>
      </c>
      <c r="E27" s="10">
        <f>Detail!K110</f>
        <v>18419008</v>
      </c>
      <c r="F27" s="10">
        <f>Detail!K187</f>
        <v>18254914</v>
      </c>
      <c r="G27" s="10">
        <f>Detail!K258</f>
        <v>67919869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11400550</v>
      </c>
      <c r="F28" s="10">
        <f>Detail!K188</f>
        <v>11271414</v>
      </c>
      <c r="G28" s="10">
        <f>Detail!K259</f>
        <v>64797793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8600081</v>
      </c>
      <c r="F29" s="10">
        <f>Detail!K189</f>
        <v>8481853</v>
      </c>
      <c r="G29" s="10">
        <f>Detail!K260</f>
        <v>55473473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3604197</v>
      </c>
      <c r="F30" s="10">
        <f>Detail!K190</f>
        <v>3545928</v>
      </c>
      <c r="G30" s="10">
        <f>Detail!K261</f>
        <v>42258838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2175082</v>
      </c>
      <c r="F31" s="10">
        <f>Detail!K191</f>
        <v>2134671</v>
      </c>
      <c r="G31" s="10">
        <f>Detail!K262</f>
        <v>31164890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6589520</v>
      </c>
      <c r="F32" s="10">
        <f>Detail!K192</f>
        <v>6440278</v>
      </c>
      <c r="G32" s="10">
        <f>Detail!K263</f>
        <v>31164890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742837</v>
      </c>
      <c r="F33" s="10">
        <f>Detail!K193</f>
        <v>721584</v>
      </c>
      <c r="G33" s="10">
        <f>Detail!K264</f>
        <v>31164890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233052</v>
      </c>
      <c r="F34" s="10">
        <f>Detail!K194</f>
        <v>231579</v>
      </c>
      <c r="G34" s="10">
        <f>Detail!K265</f>
        <v>31164889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1529325</v>
      </c>
      <c r="F35" s="10">
        <f>Detail!K195</f>
        <v>1467457</v>
      </c>
      <c r="G35" s="10">
        <f>Detail!K266</f>
        <v>46747334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178004</v>
      </c>
      <c r="F36" s="10">
        <f>Detail!K196</f>
        <v>176915</v>
      </c>
      <c r="G36" s="10">
        <f>Detail!K267</f>
        <v>31164889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787122</v>
      </c>
      <c r="F37" s="10">
        <f>Detail!K197</f>
        <v>746096</v>
      </c>
      <c r="G37" s="10">
        <f>Detail!K268</f>
        <v>46157508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144055</v>
      </c>
      <c r="F38" s="10">
        <f>Detail!K198</f>
        <v>143147</v>
      </c>
      <c r="G38" s="10">
        <f>Detail!K269</f>
        <v>26159184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131469</v>
      </c>
      <c r="F39" s="10">
        <f>Detail!K199</f>
        <v>130645</v>
      </c>
      <c r="G39" s="10">
        <f>Detail!K270</f>
        <v>21958971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120929</v>
      </c>
      <c r="F40" s="10">
        <f>Detail!K200</f>
        <v>120158</v>
      </c>
      <c r="G40" s="10">
        <f>Detail!K271</f>
        <v>18238313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111951</v>
      </c>
      <c r="F41" s="10">
        <f>Detail!K201</f>
        <v>111269</v>
      </c>
      <c r="G41" s="10">
        <f>Detail!K272</f>
        <v>15012942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104211</v>
      </c>
      <c r="F42" s="10">
        <f>Detail!K202</f>
        <v>103536</v>
      </c>
      <c r="G42" s="10">
        <f>Detail!K273</f>
        <v>12263173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858637</v>
      </c>
      <c r="F43" s="10">
        <f>Detail!K203</f>
        <v>784430</v>
      </c>
      <c r="G43" s="10">
        <f>Detail!K274</f>
        <v>9951518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91575</v>
      </c>
      <c r="F44" s="10">
        <f>Detail!K204</f>
        <v>90987</v>
      </c>
      <c r="G44" s="10">
        <f>Detail!K275</f>
        <v>8027830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86330</v>
      </c>
      <c r="F45" s="10">
        <f>Detail!K205</f>
        <v>85751</v>
      </c>
      <c r="G45" s="10">
        <f>Detail!K276</f>
        <v>6443740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5148252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4095899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65048</v>
      </c>
      <c r="F48" s="10">
        <f>Detail!K208</f>
        <v>64312</v>
      </c>
      <c r="G48" s="10">
        <f>Detail!K279</f>
        <v>582514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3417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7">
        <v>0</v>
      </c>
      <c r="D67" s="26">
        <f>Detail!K79</f>
        <v>7751938</v>
      </c>
      <c r="E67" s="27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topLeftCell="K246" workbookViewId="0">
      <selection activeCell="S262" sqref="S262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0.64999999108715112</v>
      </c>
      <c r="D7" s="76">
        <f>SUM(M86:M149)*F7</f>
        <v>0.28999999992574882</v>
      </c>
      <c r="E7" s="77">
        <f>SUM(C7:D7)</f>
        <v>0.93999999101289999</v>
      </c>
      <c r="F7" s="32">
        <f>L79</f>
        <v>7.6923077075739645E-3</v>
      </c>
      <c r="G7" s="33">
        <f>1/F7</f>
        <v>129.999999742</v>
      </c>
      <c r="H7" s="34">
        <f>D7*G7</f>
        <v>37.69999991552735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 x14ac:dyDescent="0.3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0.92499999078687933</v>
      </c>
      <c r="E8" s="77">
        <f>SUM(C8:D8)</f>
        <v>0.92499999078687933</v>
      </c>
      <c r="F8" s="35">
        <f>D156</f>
        <v>1</v>
      </c>
      <c r="G8" s="33">
        <f>1/F8</f>
        <v>1</v>
      </c>
      <c r="H8" s="34">
        <f>D8*G8*B8</f>
        <v>37.462499626868613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 x14ac:dyDescent="0.3">
      <c r="A9" s="46" t="s">
        <v>11</v>
      </c>
      <c r="B9" s="46">
        <v>250</v>
      </c>
      <c r="C9" s="76">
        <f>0</f>
        <v>0</v>
      </c>
      <c r="D9" s="76">
        <f>IFERROR(SUM(M234:M297)/B9,0)</f>
        <v>0.92499999388666088</v>
      </c>
      <c r="E9" s="77">
        <f>SUM(C9:D9)</f>
        <v>0.92499999388666088</v>
      </c>
      <c r="F9" s="35">
        <f>1</f>
        <v>1</v>
      </c>
      <c r="G9" s="33">
        <f>IFERROR(1/F9,0)</f>
        <v>1</v>
      </c>
      <c r="H9" s="34">
        <f>D9*G9*B9</f>
        <v>231.24999847166521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1.235693392157674</v>
      </c>
      <c r="I15" s="28">
        <f t="shared" ref="I15:I46" si="4">D15*H15</f>
        <v>0.78037487400000005</v>
      </c>
      <c r="J15" s="28">
        <f t="shared" ref="J15:J46" si="5">IFERROR(I15/SUM($I$15:$I$78),0)</f>
        <v>0.78037487400000016</v>
      </c>
      <c r="K15" s="86">
        <f t="shared" ref="K15:K46" si="6">INT(J15*$B$2)</f>
        <v>780374874</v>
      </c>
      <c r="L15" s="99">
        <f t="shared" ref="L15:L46" si="7">IFERROR(K15/SUM($K$15:$K$79),0)</f>
        <v>0.77437199034193271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0.77437199034193271</v>
      </c>
      <c r="R15" s="99">
        <v>0.76387345201003343</v>
      </c>
      <c r="T15" s="99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0.72474950196348098</v>
      </c>
      <c r="I16" s="28">
        <f t="shared" si="4"/>
        <v>0.122295421</v>
      </c>
      <c r="J16" s="28">
        <f t="shared" si="5"/>
        <v>0.12229542100000002</v>
      </c>
      <c r="K16" s="86">
        <f t="shared" si="6"/>
        <v>122295421</v>
      </c>
      <c r="L16" s="99">
        <f t="shared" si="7"/>
        <v>0.12135468699044069</v>
      </c>
      <c r="M16" s="99">
        <f t="shared" si="8"/>
        <v>5.0278096502811419E-2</v>
      </c>
      <c r="N16" s="87"/>
      <c r="O16" s="46">
        <v>0</v>
      </c>
      <c r="P16" s="46">
        <v>1</v>
      </c>
      <c r="Q16" s="99">
        <f t="shared" si="9"/>
        <v>0.12135468699044069</v>
      </c>
      <c r="R16" s="99">
        <v>0.13400020649988759</v>
      </c>
      <c r="T16" s="99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0.62317748003923046</v>
      </c>
      <c r="I17" s="28">
        <f t="shared" si="4"/>
        <v>3.0647301999999998E-2</v>
      </c>
      <c r="J17" s="28">
        <f t="shared" si="5"/>
        <v>3.0647302000000001E-2</v>
      </c>
      <c r="K17" s="86">
        <f t="shared" si="6"/>
        <v>30647302</v>
      </c>
      <c r="L17" s="99">
        <f t="shared" si="7"/>
        <v>3.0411553522609054E-2</v>
      </c>
      <c r="M17" s="99">
        <f t="shared" si="8"/>
        <v>4.5675311804819291E-2</v>
      </c>
      <c r="N17" s="87"/>
      <c r="O17" s="46">
        <v>1</v>
      </c>
      <c r="P17" s="46">
        <v>2</v>
      </c>
      <c r="Q17" s="99">
        <f t="shared" si="9"/>
        <v>3.0411553522609054E-2</v>
      </c>
      <c r="R17" s="99">
        <v>3.3580525845890351E-2</v>
      </c>
      <c r="T17" s="99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0.61405323866220496</v>
      </c>
      <c r="I18" s="28">
        <f t="shared" si="4"/>
        <v>1.7072469999999999E-2</v>
      </c>
      <c r="J18" s="28">
        <f t="shared" si="5"/>
        <v>1.7072470000000003E-2</v>
      </c>
      <c r="K18" s="86">
        <f t="shared" si="6"/>
        <v>17072470</v>
      </c>
      <c r="L18" s="99">
        <f t="shared" si="7"/>
        <v>1.6941143307431676E-2</v>
      </c>
      <c r="M18" s="99">
        <f t="shared" si="8"/>
        <v>4.2812285711648107E-2</v>
      </c>
      <c r="N18" s="87"/>
      <c r="O18" s="46">
        <v>2</v>
      </c>
      <c r="P18" s="46">
        <v>3</v>
      </c>
      <c r="Q18" s="99">
        <f t="shared" si="9"/>
        <v>1.6941143307431676E-2</v>
      </c>
      <c r="R18" s="99">
        <v>1.8706460409720072E-2</v>
      </c>
      <c r="T18" s="99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0.59612508100477901</v>
      </c>
      <c r="I19" s="28">
        <f t="shared" si="4"/>
        <v>1.0775613E-2</v>
      </c>
      <c r="J19" s="28">
        <f t="shared" si="5"/>
        <v>1.0775613000000002E-2</v>
      </c>
      <c r="K19" s="86">
        <f t="shared" si="6"/>
        <v>10775613</v>
      </c>
      <c r="L19" s="99">
        <f t="shared" si="7"/>
        <v>1.0692723669066265E-2</v>
      </c>
      <c r="M19" s="99">
        <f t="shared" si="8"/>
        <v>3.806349032923978E-2</v>
      </c>
      <c r="N19" s="87"/>
      <c r="O19" s="46">
        <v>3</v>
      </c>
      <c r="P19" s="46">
        <v>4</v>
      </c>
      <c r="Q19" s="99">
        <f t="shared" si="9"/>
        <v>1.0692723669066265E-2</v>
      </c>
      <c r="R19" s="99">
        <v>1.1806934752109029E-2</v>
      </c>
      <c r="T19" s="99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0.62705210376638898</v>
      </c>
      <c r="I20" s="28">
        <f t="shared" si="4"/>
        <v>8.724697E-3</v>
      </c>
      <c r="J20" s="28">
        <f t="shared" si="5"/>
        <v>8.7246970000000017E-3</v>
      </c>
      <c r="K20" s="86">
        <f t="shared" si="6"/>
        <v>8724697</v>
      </c>
      <c r="L20" s="99">
        <f t="shared" si="7"/>
        <v>8.6575839460206524E-3</v>
      </c>
      <c r="M20" s="99">
        <f t="shared" si="8"/>
        <v>3.9204997447519103E-2</v>
      </c>
      <c r="N20" s="87"/>
      <c r="O20" s="46">
        <v>4</v>
      </c>
      <c r="P20" s="46">
        <v>5</v>
      </c>
      <c r="Q20" s="99">
        <f t="shared" si="9"/>
        <v>8.6575839460206524E-3</v>
      </c>
      <c r="R20" s="99">
        <v>9.5597300924998019E-3</v>
      </c>
      <c r="T20" s="99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0.33858664425863472</v>
      </c>
      <c r="I21" s="28">
        <f t="shared" si="4"/>
        <v>3.5752409999999998E-3</v>
      </c>
      <c r="J21" s="28">
        <f t="shared" si="5"/>
        <v>3.5752410000000003E-3</v>
      </c>
      <c r="K21" s="86">
        <f t="shared" si="6"/>
        <v>3575241</v>
      </c>
      <c r="L21" s="99">
        <f t="shared" si="7"/>
        <v>3.5477391460992653E-3</v>
      </c>
      <c r="M21" s="99">
        <f t="shared" si="8"/>
        <v>1.9683358678714593E-2</v>
      </c>
      <c r="N21" s="87"/>
      <c r="O21" s="46">
        <v>5</v>
      </c>
      <c r="P21" s="46">
        <v>6</v>
      </c>
      <c r="Q21" s="99">
        <f t="shared" si="9"/>
        <v>3.5477391460992653E-3</v>
      </c>
      <c r="R21" s="99">
        <v>3.9174243390485211E-3</v>
      </c>
      <c r="T21" s="99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0.37162292480824577</v>
      </c>
      <c r="I22" s="28">
        <f t="shared" si="4"/>
        <v>3.0597409999999999E-3</v>
      </c>
      <c r="J22" s="28">
        <f t="shared" si="5"/>
        <v>3.0597410000000004E-3</v>
      </c>
      <c r="K22" s="86">
        <f t="shared" si="6"/>
        <v>3059741</v>
      </c>
      <c r="L22" s="99">
        <f t="shared" si="7"/>
        <v>3.03620453072252E-3</v>
      </c>
      <c r="M22" s="99">
        <f t="shared" si="8"/>
        <v>1.9781822181574749E-2</v>
      </c>
      <c r="N22" s="87"/>
      <c r="O22" s="46">
        <v>6</v>
      </c>
      <c r="P22" s="46">
        <v>7</v>
      </c>
      <c r="Q22" s="99">
        <f t="shared" si="9"/>
        <v>3.03620453072252E-3</v>
      </c>
      <c r="R22" s="99">
        <v>3.3525864110926879E-3</v>
      </c>
      <c r="T22" s="99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0.35943733324327065</v>
      </c>
      <c r="I23" s="28">
        <f t="shared" si="4"/>
        <v>2.6606450000000001E-3</v>
      </c>
      <c r="J23" s="28">
        <f t="shared" si="5"/>
        <v>2.6606450000000005E-3</v>
      </c>
      <c r="K23" s="86">
        <f t="shared" si="6"/>
        <v>2660645</v>
      </c>
      <c r="L23" s="99">
        <f t="shared" si="7"/>
        <v>2.640178499959382E-3</v>
      </c>
      <c r="M23" s="99">
        <f t="shared" si="8"/>
        <v>1.9912830788630029E-2</v>
      </c>
      <c r="N23" s="87"/>
      <c r="O23" s="46">
        <v>7</v>
      </c>
      <c r="P23" s="46">
        <v>8</v>
      </c>
      <c r="Q23" s="99">
        <f t="shared" si="9"/>
        <v>2.640178499959382E-3</v>
      </c>
      <c r="R23" s="99">
        <v>2.9152925313849459E-3</v>
      </c>
      <c r="T23" s="99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0.36887489812411695</v>
      </c>
      <c r="I24" s="28">
        <f t="shared" si="4"/>
        <v>2.2670899999999998E-3</v>
      </c>
      <c r="J24" s="28">
        <f t="shared" si="5"/>
        <v>2.2670900000000003E-3</v>
      </c>
      <c r="K24" s="86">
        <f t="shared" si="6"/>
        <v>2267090</v>
      </c>
      <c r="L24" s="99">
        <f t="shared" si="7"/>
        <v>2.249650846119236E-3</v>
      </c>
      <c r="M24" s="99">
        <f t="shared" si="8"/>
        <v>1.9167620594387823E-2</v>
      </c>
      <c r="N24" s="87"/>
      <c r="O24" s="46">
        <v>8</v>
      </c>
      <c r="P24" s="46">
        <v>9</v>
      </c>
      <c r="Q24" s="99">
        <f t="shared" si="9"/>
        <v>2.249650846119236E-3</v>
      </c>
      <c r="R24" s="99">
        <v>2.484072177784256E-3</v>
      </c>
      <c r="T24" s="99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0.4439651385129057</v>
      </c>
      <c r="I25" s="28">
        <f t="shared" si="4"/>
        <v>2.2282890000000001E-3</v>
      </c>
      <c r="J25" s="28">
        <f t="shared" si="5"/>
        <v>2.2282890000000005E-3</v>
      </c>
      <c r="K25" s="86">
        <f t="shared" si="6"/>
        <v>2228289</v>
      </c>
      <c r="L25" s="99">
        <f t="shared" si="7"/>
        <v>2.2111483153505977E-3</v>
      </c>
      <c r="M25" s="99">
        <f t="shared" si="8"/>
        <v>2.1078329670278902E-2</v>
      </c>
      <c r="N25" s="87"/>
      <c r="O25" s="46">
        <v>9</v>
      </c>
      <c r="P25" s="46">
        <v>10</v>
      </c>
      <c r="Q25" s="99">
        <f t="shared" si="9"/>
        <v>2.2111483153505977E-3</v>
      </c>
      <c r="R25" s="99">
        <v>2.441557495034892E-3</v>
      </c>
      <c r="T25" s="99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0.48124273036663612</v>
      </c>
      <c r="I26" s="28">
        <f t="shared" si="4"/>
        <v>8.3034279999999999E-3</v>
      </c>
      <c r="J26" s="28">
        <f t="shared" si="5"/>
        <v>8.3034280000000016E-3</v>
      </c>
      <c r="K26" s="86">
        <f t="shared" si="6"/>
        <v>8303428</v>
      </c>
      <c r="L26" s="99">
        <f t="shared" si="7"/>
        <v>8.2395554767963151E-3</v>
      </c>
      <c r="M26" s="99">
        <f t="shared" si="8"/>
        <v>0.10139053020999317</v>
      </c>
      <c r="N26" s="87"/>
      <c r="O26" s="46">
        <v>10</v>
      </c>
      <c r="P26" s="46">
        <v>15</v>
      </c>
      <c r="Q26" s="99">
        <f t="shared" si="9"/>
        <v>8.2395554767963151E-3</v>
      </c>
      <c r="R26" s="99">
        <v>4.5490710541819263E-3</v>
      </c>
      <c r="T26" s="99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0.25157322959841621</v>
      </c>
      <c r="I27" s="28">
        <f t="shared" si="4"/>
        <v>2.533155E-3</v>
      </c>
      <c r="J27" s="28">
        <f t="shared" si="5"/>
        <v>2.5331550000000005E-3</v>
      </c>
      <c r="K27" s="86">
        <f t="shared" si="6"/>
        <v>2533155</v>
      </c>
      <c r="L27" s="99">
        <f t="shared" si="7"/>
        <v>2.5136691922690206E-3</v>
      </c>
      <c r="M27" s="99">
        <f t="shared" si="8"/>
        <v>4.3598205294437212E-2</v>
      </c>
      <c r="N27" s="87"/>
      <c r="O27" s="46">
        <v>15</v>
      </c>
      <c r="P27" s="46">
        <v>20</v>
      </c>
      <c r="Q27" s="99">
        <f t="shared" si="9"/>
        <v>2.5136691922690206E-3</v>
      </c>
      <c r="R27" s="99">
        <v>2.775601430922751E-3</v>
      </c>
      <c r="T27" s="99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0.31161407103909761</v>
      </c>
      <c r="I28" s="28">
        <f t="shared" si="4"/>
        <v>2.0121119999999999E-3</v>
      </c>
      <c r="J28" s="28">
        <f t="shared" si="5"/>
        <v>2.0121120000000004E-3</v>
      </c>
      <c r="K28" s="86">
        <f t="shared" si="6"/>
        <v>2012112</v>
      </c>
      <c r="L28" s="99">
        <f t="shared" si="7"/>
        <v>1.9966342153538981E-3</v>
      </c>
      <c r="M28" s="99">
        <f t="shared" si="8"/>
        <v>4.4753281666105621E-2</v>
      </c>
      <c r="N28" s="87"/>
      <c r="O28" s="46">
        <v>20</v>
      </c>
      <c r="P28" s="46">
        <v>25</v>
      </c>
      <c r="Q28" s="99">
        <f t="shared" si="9"/>
        <v>1.9966342153538981E-3</v>
      </c>
      <c r="R28" s="99">
        <v>2.2046899768598661E-3</v>
      </c>
      <c r="T28" s="99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0.35107747360458019</v>
      </c>
      <c r="I29" s="28">
        <f t="shared" si="4"/>
        <v>1.579757E-3</v>
      </c>
      <c r="J29" s="28">
        <f t="shared" si="5"/>
        <v>1.5797570000000002E-3</v>
      </c>
      <c r="K29" s="86">
        <f t="shared" si="6"/>
        <v>1579757</v>
      </c>
      <c r="L29" s="99">
        <f t="shared" si="7"/>
        <v>1.5676050230528061E-3</v>
      </c>
      <c r="M29" s="99">
        <f t="shared" si="8"/>
        <v>4.2883891527683279E-2</v>
      </c>
      <c r="N29" s="87"/>
      <c r="O29" s="46">
        <v>25</v>
      </c>
      <c r="P29" s="46">
        <v>30</v>
      </c>
      <c r="Q29" s="99">
        <f t="shared" si="9"/>
        <v>1.5676050230528061E-3</v>
      </c>
      <c r="R29" s="99">
        <v>1.730954940509812E-3</v>
      </c>
      <c r="T29" s="99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0.15651064126162254</v>
      </c>
      <c r="I30" s="28">
        <f t="shared" si="4"/>
        <v>4.9887E-4</v>
      </c>
      <c r="J30" s="28">
        <f t="shared" si="5"/>
        <v>4.9887000000000011E-4</v>
      </c>
      <c r="K30" s="86">
        <f t="shared" si="6"/>
        <v>498870</v>
      </c>
      <c r="L30" s="99">
        <f t="shared" si="7"/>
        <v>4.9503253845392258E-4</v>
      </c>
      <c r="M30" s="99">
        <f t="shared" si="8"/>
        <v>1.6046176153621909E-2</v>
      </c>
      <c r="N30" s="87"/>
      <c r="O30" s="46">
        <v>30</v>
      </c>
      <c r="P30" s="46">
        <v>35</v>
      </c>
      <c r="Q30" s="99">
        <f t="shared" si="9"/>
        <v>4.9503253845392258E-4</v>
      </c>
      <c r="R30" s="99">
        <v>5.4661734963467744E-4</v>
      </c>
      <c r="T30" s="99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0.16107891558350396</v>
      </c>
      <c r="I31" s="28">
        <f t="shared" si="4"/>
        <v>3.9355299999999999E-4</v>
      </c>
      <c r="J31" s="28">
        <f t="shared" si="5"/>
        <v>3.9355300000000005E-4</v>
      </c>
      <c r="K31" s="86">
        <f t="shared" si="6"/>
        <v>393553</v>
      </c>
      <c r="L31" s="99">
        <f t="shared" si="7"/>
        <v>3.9052566922476113E-4</v>
      </c>
      <c r="M31" s="99">
        <f t="shared" si="8"/>
        <v>1.4613966666094866E-2</v>
      </c>
      <c r="N31" s="87"/>
      <c r="O31" s="46">
        <v>35</v>
      </c>
      <c r="P31" s="46">
        <v>40</v>
      </c>
      <c r="Q31" s="99">
        <f t="shared" si="9"/>
        <v>3.9052566922476113E-4</v>
      </c>
      <c r="R31" s="99">
        <v>4.3122035360069002E-4</v>
      </c>
      <c r="T31" s="99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0.18764723935062347</v>
      </c>
      <c r="I32" s="28">
        <f t="shared" si="4"/>
        <v>3.3812399999999998E-4</v>
      </c>
      <c r="J32" s="28">
        <f t="shared" si="5"/>
        <v>3.3812400000000003E-4</v>
      </c>
      <c r="K32" s="86">
        <f t="shared" si="6"/>
        <v>338124</v>
      </c>
      <c r="L32" s="99">
        <f t="shared" si="7"/>
        <v>3.3552304614868427E-4</v>
      </c>
      <c r="M32" s="99">
        <f t="shared" si="8"/>
        <v>1.4231336007438276E-2</v>
      </c>
      <c r="N32" s="87"/>
      <c r="O32" s="46">
        <v>40</v>
      </c>
      <c r="P32" s="46">
        <v>45</v>
      </c>
      <c r="Q32" s="99">
        <f t="shared" si="9"/>
        <v>3.3552304614868427E-4</v>
      </c>
      <c r="R32" s="99">
        <v>3.7048509253017031E-4</v>
      </c>
      <c r="T32" s="99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0.20254050479831748</v>
      </c>
      <c r="I33" s="28">
        <f t="shared" si="4"/>
        <v>2.8823599999999998E-4</v>
      </c>
      <c r="J33" s="28">
        <f t="shared" si="5"/>
        <v>2.8823600000000004E-4</v>
      </c>
      <c r="K33" s="86">
        <f t="shared" si="6"/>
        <v>288236</v>
      </c>
      <c r="L33" s="99">
        <f t="shared" si="7"/>
        <v>2.8601879999559968E-4</v>
      </c>
      <c r="M33" s="99">
        <f t="shared" si="8"/>
        <v>1.3580411764829608E-2</v>
      </c>
      <c r="N33" s="87"/>
      <c r="O33" s="46">
        <v>45</v>
      </c>
      <c r="P33" s="46">
        <v>50</v>
      </c>
      <c r="Q33" s="99">
        <f t="shared" si="9"/>
        <v>2.8601879999559968E-4</v>
      </c>
      <c r="R33" s="99">
        <v>3.158233575667025E-4</v>
      </c>
      <c r="T33" s="99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0.13975735809876216</v>
      </c>
      <c r="I34" s="28">
        <f t="shared" si="4"/>
        <v>2.77151E-4</v>
      </c>
      <c r="J34" s="28">
        <f t="shared" si="5"/>
        <v>2.7715100000000006E-4</v>
      </c>
      <c r="K34" s="86">
        <f t="shared" si="6"/>
        <v>277151</v>
      </c>
      <c r="L34" s="99">
        <f t="shared" si="7"/>
        <v>2.7501906922653818E-4</v>
      </c>
      <c r="M34" s="99">
        <f t="shared" si="8"/>
        <v>1.5014770981635469E-2</v>
      </c>
      <c r="N34" s="87"/>
      <c r="O34" s="46">
        <v>50</v>
      </c>
      <c r="P34" s="46">
        <v>60</v>
      </c>
      <c r="Q34" s="99">
        <f t="shared" si="9"/>
        <v>2.7501906922653818E-4</v>
      </c>
      <c r="R34" s="99">
        <v>1.5183815267629929E-4</v>
      </c>
      <c r="T34" s="99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7.3931136423192614E-2</v>
      </c>
      <c r="I35" s="28">
        <f t="shared" si="4"/>
        <v>9.4230999999999986E-5</v>
      </c>
      <c r="J35" s="28">
        <f t="shared" si="5"/>
        <v>9.4231E-5</v>
      </c>
      <c r="K35" s="86">
        <f t="shared" si="6"/>
        <v>94231</v>
      </c>
      <c r="L35" s="99">
        <f t="shared" si="7"/>
        <v>9.3506146152407595E-5</v>
      </c>
      <c r="M35" s="99">
        <f t="shared" si="8"/>
        <v>6.0500069222398445E-3</v>
      </c>
      <c r="N35" s="87"/>
      <c r="O35" s="46">
        <v>60</v>
      </c>
      <c r="P35" s="46">
        <v>70</v>
      </c>
      <c r="Q35" s="99">
        <f t="shared" si="9"/>
        <v>9.3506146152407595E-5</v>
      </c>
      <c r="R35" s="99">
        <v>1.0324994381988349E-4</v>
      </c>
      <c r="T35" s="99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5.4661734963467741E-5</v>
      </c>
      <c r="T36" s="99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4.8588208856415767E-5</v>
      </c>
      <c r="T37" s="99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3.6441156642311832E-5</v>
      </c>
      <c r="T38" s="99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1.214705221410394E-5</v>
      </c>
      <c r="T39" s="99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1.8220578321155909E-5</v>
      </c>
      <c r="T40" s="99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6.0735261070519709E-6</v>
      </c>
      <c r="T43" s="99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6.0735261070519709E-6</v>
      </c>
      <c r="T44" s="99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 x14ac:dyDescent="0.3">
      <c r="A79" s="13" t="s">
        <v>18</v>
      </c>
      <c r="B79" s="88">
        <v>8997512</v>
      </c>
      <c r="C79" s="88">
        <v>2594257240</v>
      </c>
      <c r="D79" s="28">
        <f>B79/B13</f>
        <v>8.9975119999999992E-3</v>
      </c>
      <c r="E79" s="89">
        <f t="shared" si="13"/>
        <v>2.8833051181259886</v>
      </c>
      <c r="F79" s="90"/>
      <c r="G79" s="13" t="s">
        <v>18</v>
      </c>
      <c r="H79" s="85">
        <v>0.86156461919695138</v>
      </c>
      <c r="I79" s="28">
        <f t="shared" ref="I79:I110" si="22">D79*H79</f>
        <v>7.7519379999999999E-3</v>
      </c>
      <c r="J79" s="28">
        <f>I79</f>
        <v>7.7519379999999999E-3</v>
      </c>
      <c r="K79" s="91">
        <f t="shared" ref="K79:K110" si="23">INT(J79*$B$2)</f>
        <v>7751938</v>
      </c>
      <c r="L79" s="99">
        <f t="shared" ref="L79:L110" si="24">IFERROR(K79/SUM($K$15:$K$79),0)</f>
        <v>7.6923077075739645E-3</v>
      </c>
      <c r="M79" s="99">
        <f t="shared" ref="M79:M110" si="25">L79*E79</f>
        <v>2.2179270183448001E-2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0</v>
      </c>
      <c r="T86" s="99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0</v>
      </c>
      <c r="T87" s="99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0</v>
      </c>
      <c r="T88" s="99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0</v>
      </c>
      <c r="T89" s="99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0</v>
      </c>
      <c r="T90" s="99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3.56887937187723E-3</v>
      </c>
      <c r="T91" s="99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6.6223955745974461</v>
      </c>
      <c r="I92" s="28">
        <f t="shared" si="30"/>
        <v>3.4366617000000002E-2</v>
      </c>
      <c r="J92" s="28">
        <f t="shared" si="31"/>
        <v>3.4366616999999995E-2</v>
      </c>
      <c r="K92" s="86">
        <f t="shared" si="32"/>
        <v>34366617</v>
      </c>
      <c r="L92" s="99">
        <f t="shared" si="33"/>
        <v>3.4366617000000002E-2</v>
      </c>
      <c r="M92" s="99">
        <f t="shared" si="34"/>
        <v>0.19118931544404605</v>
      </c>
      <c r="N92" s="100"/>
      <c r="O92" s="46">
        <v>5</v>
      </c>
      <c r="P92" s="46">
        <v>6</v>
      </c>
      <c r="Q92" s="99">
        <f t="shared" si="35"/>
        <v>3.4366617000000002E-2</v>
      </c>
      <c r="R92" s="99">
        <v>3.5688793718772309E-2</v>
      </c>
      <c r="T92" s="99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5.8400825165812869</v>
      </c>
      <c r="I93" s="28">
        <f t="shared" si="30"/>
        <v>2.9563828E-2</v>
      </c>
      <c r="J93" s="28">
        <f t="shared" si="31"/>
        <v>2.9563827999999993E-2</v>
      </c>
      <c r="K93" s="86">
        <f t="shared" si="32"/>
        <v>29563828</v>
      </c>
      <c r="L93" s="99">
        <f t="shared" si="33"/>
        <v>2.9563828E-2</v>
      </c>
      <c r="M93" s="99">
        <f t="shared" si="34"/>
        <v>0.1939402779583782</v>
      </c>
      <c r="N93" s="87"/>
      <c r="O93" s="46">
        <v>6</v>
      </c>
      <c r="P93" s="46">
        <v>7</v>
      </c>
      <c r="Q93" s="99">
        <f t="shared" si="35"/>
        <v>2.9563828E-2</v>
      </c>
      <c r="R93" s="99">
        <v>3.0692362598144181E-2</v>
      </c>
      <c r="T93" s="99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6.30887869513559</v>
      </c>
      <c r="I94" s="28">
        <f t="shared" si="30"/>
        <v>3.1635636000000002E-2</v>
      </c>
      <c r="J94" s="28">
        <f t="shared" si="31"/>
        <v>3.1635635999999995E-2</v>
      </c>
      <c r="K94" s="86">
        <f t="shared" si="32"/>
        <v>31635636</v>
      </c>
      <c r="L94" s="99">
        <f t="shared" si="33"/>
        <v>3.1635636000000002E-2</v>
      </c>
      <c r="M94" s="99">
        <f t="shared" si="34"/>
        <v>0.239346341036966</v>
      </c>
      <c r="N94" s="87"/>
      <c r="O94" s="46">
        <v>7</v>
      </c>
      <c r="P94" s="46">
        <v>8</v>
      </c>
      <c r="Q94" s="99">
        <f t="shared" si="35"/>
        <v>3.1635636000000002E-2</v>
      </c>
      <c r="R94" s="99">
        <v>3.2833690221270521E-2</v>
      </c>
      <c r="T94" s="99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6.0235404018238761</v>
      </c>
      <c r="I95" s="28">
        <f t="shared" si="30"/>
        <v>3.0268903E-2</v>
      </c>
      <c r="J95" s="28">
        <f t="shared" si="31"/>
        <v>3.0268902999999993E-2</v>
      </c>
      <c r="K95" s="86">
        <f t="shared" si="32"/>
        <v>30268903</v>
      </c>
      <c r="L95" s="99">
        <f t="shared" si="33"/>
        <v>3.0268903E-2</v>
      </c>
      <c r="M95" s="99">
        <f t="shared" si="34"/>
        <v>0.25914020738858923</v>
      </c>
      <c r="N95" s="87"/>
      <c r="O95" s="46">
        <v>8</v>
      </c>
      <c r="P95" s="46">
        <v>9</v>
      </c>
      <c r="Q95" s="99">
        <f t="shared" si="35"/>
        <v>3.0268903E-2</v>
      </c>
      <c r="R95" s="99">
        <v>3.1406138472519628E-2</v>
      </c>
      <c r="T95" s="99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6.4546051994227334</v>
      </c>
      <c r="I96" s="28">
        <f t="shared" si="30"/>
        <v>3.2342055000000001E-2</v>
      </c>
      <c r="J96" s="28">
        <f t="shared" si="31"/>
        <v>3.2342054999999995E-2</v>
      </c>
      <c r="K96" s="86">
        <f t="shared" si="32"/>
        <v>32342055</v>
      </c>
      <c r="L96" s="99">
        <f t="shared" si="33"/>
        <v>3.2342055000000001E-2</v>
      </c>
      <c r="M96" s="99">
        <f t="shared" si="34"/>
        <v>0.30921123376959059</v>
      </c>
      <c r="N96" s="87"/>
      <c r="O96" s="46">
        <v>9</v>
      </c>
      <c r="P96" s="46">
        <v>10</v>
      </c>
      <c r="Q96" s="99">
        <f t="shared" si="35"/>
        <v>3.2342055000000001E-2</v>
      </c>
      <c r="R96" s="99">
        <v>3.3547466095645968E-2</v>
      </c>
      <c r="T96" s="99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5.7151625048646233</v>
      </c>
      <c r="I97" s="28">
        <f t="shared" si="30"/>
        <v>0.14049977699999999</v>
      </c>
      <c r="J97" s="28">
        <f t="shared" si="31"/>
        <v>0.14049977699999996</v>
      </c>
      <c r="K97" s="86">
        <f t="shared" si="32"/>
        <v>140499777</v>
      </c>
      <c r="L97" s="99">
        <f t="shared" si="33"/>
        <v>0.14049977699999999</v>
      </c>
      <c r="M97" s="99">
        <f t="shared" si="34"/>
        <v>1.7627959008608598</v>
      </c>
      <c r="N97" s="87"/>
      <c r="O97" s="46">
        <v>10</v>
      </c>
      <c r="P97" s="46">
        <v>15</v>
      </c>
      <c r="Q97" s="99">
        <f t="shared" si="35"/>
        <v>0.14049977699999999</v>
      </c>
      <c r="R97" s="99">
        <v>0.145610278372591</v>
      </c>
      <c r="T97" s="99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4.0599859329616885</v>
      </c>
      <c r="I98" s="28">
        <f t="shared" si="30"/>
        <v>9.8630575999999984E-2</v>
      </c>
      <c r="J98" s="28">
        <f t="shared" si="31"/>
        <v>9.8630575999999956E-2</v>
      </c>
      <c r="K98" s="86">
        <f t="shared" si="32"/>
        <v>98630576</v>
      </c>
      <c r="L98" s="99">
        <f t="shared" si="33"/>
        <v>9.8630575999999998E-2</v>
      </c>
      <c r="M98" s="99">
        <f t="shared" si="34"/>
        <v>1.7313659797079934</v>
      </c>
      <c r="N98" s="87"/>
      <c r="O98" s="46">
        <v>15</v>
      </c>
      <c r="P98" s="46">
        <v>20</v>
      </c>
      <c r="Q98" s="99">
        <f t="shared" si="35"/>
        <v>9.8630575999999998E-2</v>
      </c>
      <c r="R98" s="99">
        <v>0.10206995003568881</v>
      </c>
      <c r="T98" s="99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3.9443335264164192</v>
      </c>
      <c r="I99" s="28">
        <f t="shared" si="30"/>
        <v>9.4628947000000005E-2</v>
      </c>
      <c r="J99" s="28">
        <f t="shared" si="31"/>
        <v>9.4628946999999977E-2</v>
      </c>
      <c r="K99" s="86">
        <f t="shared" si="32"/>
        <v>94628947</v>
      </c>
      <c r="L99" s="99">
        <f t="shared" si="33"/>
        <v>9.4628947000000005E-2</v>
      </c>
      <c r="M99" s="99">
        <f t="shared" si="34"/>
        <v>2.1333496995909722</v>
      </c>
      <c r="N99" s="87"/>
      <c r="O99" s="46">
        <v>20</v>
      </c>
      <c r="P99" s="46">
        <v>25</v>
      </c>
      <c r="Q99" s="99">
        <f t="shared" si="35"/>
        <v>9.4628947000000005E-2</v>
      </c>
      <c r="R99" s="99">
        <v>9.7787294789436111E-2</v>
      </c>
      <c r="T99" s="99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3.0927512597759019</v>
      </c>
      <c r="I100" s="28">
        <f t="shared" si="30"/>
        <v>7.3322811000000002E-2</v>
      </c>
      <c r="J100" s="28">
        <f t="shared" si="31"/>
        <v>7.3322810999999988E-2</v>
      </c>
      <c r="K100" s="86">
        <f t="shared" si="32"/>
        <v>73322811</v>
      </c>
      <c r="L100" s="99">
        <f t="shared" si="33"/>
        <v>7.3322811000000002E-2</v>
      </c>
      <c r="M100" s="99">
        <f t="shared" si="34"/>
        <v>2.0200210956402791</v>
      </c>
      <c r="N100" s="87"/>
      <c r="O100" s="46">
        <v>25</v>
      </c>
      <c r="P100" s="46">
        <v>30</v>
      </c>
      <c r="Q100" s="99">
        <f t="shared" si="35"/>
        <v>7.3322811000000002E-2</v>
      </c>
      <c r="R100" s="99">
        <v>7.5660242683797285E-2</v>
      </c>
      <c r="T100" s="99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2.7329434532176271</v>
      </c>
      <c r="I101" s="28">
        <f t="shared" si="30"/>
        <v>6.3730921999999995E-2</v>
      </c>
      <c r="J101" s="28">
        <f t="shared" si="31"/>
        <v>6.3730921999999982E-2</v>
      </c>
      <c r="K101" s="86">
        <f t="shared" si="32"/>
        <v>63730922</v>
      </c>
      <c r="L101" s="99">
        <f t="shared" si="33"/>
        <v>6.3730921999999995E-2</v>
      </c>
      <c r="M101" s="99">
        <f t="shared" si="34"/>
        <v>2.074426049266382</v>
      </c>
      <c r="N101" s="87"/>
      <c r="O101" s="46">
        <v>30</v>
      </c>
      <c r="P101" s="46">
        <v>35</v>
      </c>
      <c r="Q101" s="99">
        <f t="shared" si="35"/>
        <v>6.3730921999999995E-2</v>
      </c>
      <c r="R101" s="99">
        <v>6.5667380442541043E-2</v>
      </c>
      <c r="T101" s="99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2.5929513618733626</v>
      </c>
      <c r="I102" s="28">
        <f t="shared" si="30"/>
        <v>5.9660899000000003E-2</v>
      </c>
      <c r="J102" s="28">
        <f t="shared" si="31"/>
        <v>5.9660898999999989E-2</v>
      </c>
      <c r="K102" s="86">
        <f t="shared" si="32"/>
        <v>59660899</v>
      </c>
      <c r="L102" s="99">
        <f t="shared" si="33"/>
        <v>5.9660899000000003E-2</v>
      </c>
      <c r="M102" s="99">
        <f t="shared" si="34"/>
        <v>2.2401777327769969</v>
      </c>
      <c r="N102" s="87"/>
      <c r="O102" s="46">
        <v>35</v>
      </c>
      <c r="P102" s="46">
        <v>40</v>
      </c>
      <c r="Q102" s="99">
        <f t="shared" si="35"/>
        <v>5.9660899000000003E-2</v>
      </c>
      <c r="R102" s="99">
        <v>6.1384725196288369E-2</v>
      </c>
      <c r="T102" s="99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2.7249737108007519</v>
      </c>
      <c r="I103" s="28">
        <f t="shared" si="30"/>
        <v>6.1831562999999999E-2</v>
      </c>
      <c r="J103" s="28">
        <f t="shared" si="31"/>
        <v>6.1831562999999985E-2</v>
      </c>
      <c r="K103" s="86">
        <f t="shared" si="32"/>
        <v>61831563</v>
      </c>
      <c r="L103" s="99">
        <f t="shared" si="33"/>
        <v>6.1831562999999999E-2</v>
      </c>
      <c r="M103" s="99">
        <f t="shared" si="34"/>
        <v>2.6307152233761597</v>
      </c>
      <c r="N103" s="87"/>
      <c r="O103" s="46">
        <v>40</v>
      </c>
      <c r="P103" s="46">
        <v>45</v>
      </c>
      <c r="Q103" s="99">
        <f t="shared" si="35"/>
        <v>6.1831562999999999E-2</v>
      </c>
      <c r="R103" s="99">
        <v>6.3526052819414702E-2</v>
      </c>
      <c r="T103" s="99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2.3094789513934457</v>
      </c>
      <c r="I104" s="28">
        <f t="shared" si="30"/>
        <v>5.1485105000000003E-2</v>
      </c>
      <c r="J104" s="28">
        <f t="shared" si="31"/>
        <v>5.1485104999999989E-2</v>
      </c>
      <c r="K104" s="86">
        <f t="shared" si="32"/>
        <v>51485105</v>
      </c>
      <c r="L104" s="99">
        <f t="shared" si="33"/>
        <v>5.1485105000000003E-2</v>
      </c>
      <c r="M104" s="99">
        <f t="shared" si="34"/>
        <v>2.4481545459972729</v>
      </c>
      <c r="N104" s="87"/>
      <c r="O104" s="46">
        <v>45</v>
      </c>
      <c r="P104" s="46">
        <v>50</v>
      </c>
      <c r="Q104" s="99">
        <f t="shared" si="35"/>
        <v>5.1485105000000003E-2</v>
      </c>
      <c r="R104" s="99">
        <v>5.2819414703783013E-2</v>
      </c>
      <c r="T104" s="99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1.4127080261534537</v>
      </c>
      <c r="I105" s="28">
        <f t="shared" si="30"/>
        <v>6.1358306000000008E-2</v>
      </c>
      <c r="J105" s="28">
        <f t="shared" si="31"/>
        <v>6.1358305999999994E-2</v>
      </c>
      <c r="K105" s="86">
        <f t="shared" si="32"/>
        <v>61358306</v>
      </c>
      <c r="L105" s="99">
        <f t="shared" si="33"/>
        <v>6.1358306000000001E-2</v>
      </c>
      <c r="M105" s="99">
        <f t="shared" si="34"/>
        <v>3.3764138750302619</v>
      </c>
      <c r="N105" s="87"/>
      <c r="O105" s="46">
        <v>50</v>
      </c>
      <c r="P105" s="46">
        <v>60</v>
      </c>
      <c r="Q105" s="99">
        <f t="shared" si="35"/>
        <v>6.1358306000000001E-2</v>
      </c>
      <c r="R105" s="99">
        <v>3.1406138472519628E-2</v>
      </c>
      <c r="T105" s="99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0.66902208584292244</v>
      </c>
      <c r="I106" s="28">
        <f t="shared" si="30"/>
        <v>2.7970985E-2</v>
      </c>
      <c r="J106" s="28">
        <f t="shared" si="31"/>
        <v>2.7970984999999993E-2</v>
      </c>
      <c r="K106" s="86">
        <f t="shared" si="32"/>
        <v>27970985</v>
      </c>
      <c r="L106" s="99">
        <f t="shared" si="33"/>
        <v>2.7970985E-2</v>
      </c>
      <c r="M106" s="99">
        <f t="shared" si="34"/>
        <v>1.8186326240690132</v>
      </c>
      <c r="N106" s="87"/>
      <c r="O106" s="46">
        <v>60</v>
      </c>
      <c r="P106" s="46">
        <v>70</v>
      </c>
      <c r="Q106" s="99">
        <f t="shared" si="35"/>
        <v>2.7970985E-2</v>
      </c>
      <c r="R106" s="99">
        <v>2.855103497501784E-2</v>
      </c>
      <c r="T106" s="99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0.54141214517223202</v>
      </c>
      <c r="I107" s="28">
        <f t="shared" si="30"/>
        <v>2.1740427999999999E-2</v>
      </c>
      <c r="J107" s="28">
        <f t="shared" si="31"/>
        <v>2.1740427999999996E-2</v>
      </c>
      <c r="K107" s="86">
        <f t="shared" si="32"/>
        <v>21740428</v>
      </c>
      <c r="L107" s="99">
        <f t="shared" si="33"/>
        <v>2.1740427999999999E-2</v>
      </c>
      <c r="M107" s="99">
        <f t="shared" si="34"/>
        <v>1.6309967521397064</v>
      </c>
      <c r="N107" s="87"/>
      <c r="O107" s="46">
        <v>70</v>
      </c>
      <c r="P107" s="46">
        <v>80</v>
      </c>
      <c r="Q107" s="99">
        <f t="shared" si="35"/>
        <v>2.1740427999999999E-2</v>
      </c>
      <c r="R107" s="99">
        <v>2.2127052105638829E-2</v>
      </c>
      <c r="T107" s="99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0.42083154027533121</v>
      </c>
      <c r="I108" s="28">
        <f t="shared" si="30"/>
        <v>1.6176734000000002E-2</v>
      </c>
      <c r="J108" s="28">
        <f t="shared" si="31"/>
        <v>1.6176733999999998E-2</v>
      </c>
      <c r="K108" s="86">
        <f t="shared" si="32"/>
        <v>16176734</v>
      </c>
      <c r="L108" s="99">
        <f t="shared" si="33"/>
        <v>1.6176734000000002E-2</v>
      </c>
      <c r="M108" s="99">
        <f t="shared" si="34"/>
        <v>1.3751570115066556</v>
      </c>
      <c r="N108" s="87"/>
      <c r="O108" s="46">
        <v>80</v>
      </c>
      <c r="P108" s="46">
        <v>90</v>
      </c>
      <c r="Q108" s="99">
        <f t="shared" si="35"/>
        <v>1.6176734000000002E-2</v>
      </c>
      <c r="R108" s="99">
        <v>1.6416845110635261E-2</v>
      </c>
      <c r="T108" s="99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0.40469627267043323</v>
      </c>
      <c r="I109" s="53">
        <f t="shared" si="30"/>
        <v>1.4812924999999999E-2</v>
      </c>
      <c r="J109" s="53">
        <f t="shared" si="31"/>
        <v>1.4812924999999996E-2</v>
      </c>
      <c r="K109" s="86">
        <f t="shared" si="32"/>
        <v>14812925</v>
      </c>
      <c r="L109" s="99">
        <f t="shared" si="33"/>
        <v>1.4812924999999999E-2</v>
      </c>
      <c r="M109" s="99">
        <f t="shared" si="34"/>
        <v>1.4073847607914289</v>
      </c>
      <c r="N109" s="87"/>
      <c r="O109" s="46">
        <v>90</v>
      </c>
      <c r="P109" s="46">
        <v>100</v>
      </c>
      <c r="Q109" s="99">
        <f t="shared" si="35"/>
        <v>1.4812924999999999E-2</v>
      </c>
      <c r="R109" s="99">
        <v>1.498929336188437E-2</v>
      </c>
      <c r="T109" s="99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0.27133093166029154</v>
      </c>
      <c r="I110" s="53">
        <f t="shared" si="30"/>
        <v>1.8419008000000001E-2</v>
      </c>
      <c r="J110" s="53">
        <f t="shared" si="31"/>
        <v>1.8419007999999997E-2</v>
      </c>
      <c r="K110" s="86">
        <f t="shared" si="32"/>
        <v>18419008</v>
      </c>
      <c r="L110" s="99">
        <f t="shared" si="33"/>
        <v>1.8419008000000001E-2</v>
      </c>
      <c r="M110" s="99">
        <f t="shared" si="34"/>
        <v>2.0239394382769995</v>
      </c>
      <c r="N110" s="87"/>
      <c r="O110" s="46">
        <v>100</v>
      </c>
      <c r="P110" s="46">
        <v>120</v>
      </c>
      <c r="Q110" s="99">
        <f t="shared" si="35"/>
        <v>1.8419008000000001E-2</v>
      </c>
      <c r="R110" s="99">
        <v>1.8558172733761601E-2</v>
      </c>
      <c r="T110" s="99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0.18623323433355965</v>
      </c>
      <c r="I111" s="53">
        <f t="shared" si="30"/>
        <v>1.1400550000000001E-2</v>
      </c>
      <c r="J111" s="53">
        <f t="shared" si="31"/>
        <v>1.1400549999999999E-2</v>
      </c>
      <c r="K111" s="86">
        <f t="shared" si="32"/>
        <v>11400550</v>
      </c>
      <c r="L111" s="99">
        <f t="shared" si="33"/>
        <v>1.1400550000000001E-2</v>
      </c>
      <c r="M111" s="99">
        <f t="shared" si="34"/>
        <v>1.4804139183355964</v>
      </c>
      <c r="N111" s="87"/>
      <c r="O111" s="46">
        <v>120</v>
      </c>
      <c r="P111" s="46">
        <v>140</v>
      </c>
      <c r="Q111" s="99">
        <f t="shared" si="35"/>
        <v>1.1400550000000001E-2</v>
      </c>
      <c r="R111" s="99">
        <v>1.142041399000714E-2</v>
      </c>
      <c r="T111" s="99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0.15802357467688105</v>
      </c>
      <c r="I112" s="53">
        <f t="shared" si="30"/>
        <v>8.6000810000000007E-3</v>
      </c>
      <c r="J112" s="53">
        <f t="shared" si="31"/>
        <v>8.600080999999999E-3</v>
      </c>
      <c r="K112" s="86">
        <f t="shared" si="32"/>
        <v>8600081</v>
      </c>
      <c r="L112" s="99">
        <f t="shared" si="33"/>
        <v>8.6000810000000007E-3</v>
      </c>
      <c r="M112" s="99">
        <f t="shared" si="34"/>
        <v>1.2886904632588483</v>
      </c>
      <c r="N112" s="87"/>
      <c r="O112" s="46">
        <v>140</v>
      </c>
      <c r="P112" s="46">
        <v>160</v>
      </c>
      <c r="Q112" s="99">
        <f t="shared" si="35"/>
        <v>8.6000810000000007E-3</v>
      </c>
      <c r="R112" s="99">
        <v>8.5653104925053538E-3</v>
      </c>
      <c r="T112" s="99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7.4536295044474135E-2</v>
      </c>
      <c r="I113" s="53">
        <f t="shared" si="30"/>
        <v>3.604197E-3</v>
      </c>
      <c r="J113" s="53">
        <f t="shared" si="31"/>
        <v>3.6041969999999991E-3</v>
      </c>
      <c r="K113" s="86">
        <f t="shared" si="32"/>
        <v>3604197</v>
      </c>
      <c r="L113" s="99">
        <f t="shared" si="33"/>
        <v>3.604197E-3</v>
      </c>
      <c r="M113" s="99">
        <f t="shared" si="34"/>
        <v>0.61218047036674994</v>
      </c>
      <c r="N113" s="87"/>
      <c r="O113" s="46">
        <v>160</v>
      </c>
      <c r="P113" s="46">
        <v>180</v>
      </c>
      <c r="Q113" s="99">
        <f t="shared" si="35"/>
        <v>3.604197E-3</v>
      </c>
      <c r="R113" s="99">
        <v>3.56887937187723E-3</v>
      </c>
      <c r="T113" s="99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5.0941453123231777E-2</v>
      </c>
      <c r="I114" s="53">
        <f t="shared" si="30"/>
        <v>2.1750820000000001E-3</v>
      </c>
      <c r="J114" s="53">
        <f t="shared" si="31"/>
        <v>2.1750819999999996E-3</v>
      </c>
      <c r="K114" s="86">
        <f t="shared" si="32"/>
        <v>2175082</v>
      </c>
      <c r="L114" s="99">
        <f t="shared" si="33"/>
        <v>2.1750820000000001E-3</v>
      </c>
      <c r="M114" s="99">
        <f t="shared" si="34"/>
        <v>0.41293156749477056</v>
      </c>
      <c r="N114" s="87"/>
      <c r="O114" s="46">
        <v>180</v>
      </c>
      <c r="P114" s="46">
        <v>200</v>
      </c>
      <c r="Q114" s="99">
        <f t="shared" si="35"/>
        <v>2.1750820000000001E-3</v>
      </c>
      <c r="R114" s="99">
        <v>2.141327623126338E-3</v>
      </c>
      <c r="T114" s="99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7.7308213444213444E-2</v>
      </c>
      <c r="I115" s="53">
        <f t="shared" si="30"/>
        <v>6.5895199999999998E-3</v>
      </c>
      <c r="J115" s="53">
        <f t="shared" si="31"/>
        <v>6.589519999999998E-3</v>
      </c>
      <c r="K115" s="86">
        <f t="shared" si="32"/>
        <v>6589520</v>
      </c>
      <c r="L115" s="99">
        <f t="shared" si="33"/>
        <v>6.5895199999999998E-3</v>
      </c>
      <c r="M115" s="99">
        <f t="shared" si="34"/>
        <v>1.4739350576145849</v>
      </c>
      <c r="N115" s="87"/>
      <c r="O115" s="46">
        <v>200</v>
      </c>
      <c r="P115" s="46">
        <v>250</v>
      </c>
      <c r="Q115" s="99">
        <f t="shared" si="35"/>
        <v>6.5895199999999998E-3</v>
      </c>
      <c r="R115" s="99">
        <v>6.4239828693790149E-3</v>
      </c>
      <c r="T115" s="99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1.2268401394893384E-2</v>
      </c>
      <c r="I116" s="53">
        <f t="shared" si="30"/>
        <v>7.4283699999999999E-4</v>
      </c>
      <c r="J116" s="53">
        <f t="shared" si="31"/>
        <v>7.4283699999999977E-4</v>
      </c>
      <c r="K116" s="86">
        <f t="shared" si="32"/>
        <v>742837</v>
      </c>
      <c r="L116" s="99">
        <f t="shared" si="33"/>
        <v>7.4283699999999999E-4</v>
      </c>
      <c r="M116" s="99">
        <f t="shared" si="34"/>
        <v>0.20324410521868089</v>
      </c>
      <c r="N116" s="87"/>
      <c r="O116" s="46">
        <v>250</v>
      </c>
      <c r="P116" s="46">
        <v>300</v>
      </c>
      <c r="Q116" s="99">
        <f t="shared" si="35"/>
        <v>7.4283699999999999E-4</v>
      </c>
      <c r="R116" s="99">
        <v>7.1377587437544611E-4</v>
      </c>
      <c r="T116" s="99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5.4987503964103422E-3</v>
      </c>
      <c r="I117" s="53">
        <f t="shared" si="30"/>
        <v>2.33052E-4</v>
      </c>
      <c r="J117" s="53">
        <f t="shared" si="31"/>
        <v>2.3305199999999995E-4</v>
      </c>
      <c r="K117" s="86">
        <f t="shared" si="32"/>
        <v>233052</v>
      </c>
      <c r="L117" s="99">
        <f t="shared" si="33"/>
        <v>2.33052E-4</v>
      </c>
      <c r="M117" s="99">
        <f t="shared" si="34"/>
        <v>7.5400202081719103E-2</v>
      </c>
      <c r="N117" s="87"/>
      <c r="O117" s="46">
        <v>300</v>
      </c>
      <c r="P117" s="46">
        <v>350</v>
      </c>
      <c r="Q117" s="99">
        <f t="shared" si="35"/>
        <v>2.33052E-4</v>
      </c>
      <c r="R117" s="99">
        <v>0</v>
      </c>
      <c r="T117" s="99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5.2090316449365084E-2</v>
      </c>
      <c r="I118" s="53">
        <f t="shared" ref="I118:I149" si="41">D118*H118</f>
        <v>1.529325E-3</v>
      </c>
      <c r="J118" s="53">
        <f t="shared" ref="J118:J149" si="42">IFERROR(I118/SUM($I$86:$I$149),0)</f>
        <v>1.5293249999999996E-3</v>
      </c>
      <c r="K118" s="86">
        <f t="shared" ref="K118:K149" si="43">INT(J118*$B$2)</f>
        <v>1529325</v>
      </c>
      <c r="L118" s="99">
        <f t="shared" ref="L118:L149" si="44">IFERROR(K118/SUM($K$86:$K$149),0)</f>
        <v>1.529325E-3</v>
      </c>
      <c r="M118" s="99">
        <f t="shared" ref="M118:M149" si="45">L118*E118</f>
        <v>0.57128891188692832</v>
      </c>
      <c r="N118" s="87"/>
      <c r="O118" s="46">
        <v>350</v>
      </c>
      <c r="P118" s="46">
        <v>400</v>
      </c>
      <c r="Q118" s="99">
        <f t="shared" ref="Q118:Q149" si="46">L118</f>
        <v>1.529325E-3</v>
      </c>
      <c r="R118" s="99">
        <v>1.427551748750892E-3</v>
      </c>
      <c r="T118" s="99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8.7729320596010574E-3</v>
      </c>
      <c r="I119" s="53">
        <f t="shared" si="41"/>
        <v>1.78004E-4</v>
      </c>
      <c r="J119" s="53">
        <f t="shared" si="42"/>
        <v>1.7800399999999997E-4</v>
      </c>
      <c r="K119" s="86">
        <f t="shared" si="43"/>
        <v>178004</v>
      </c>
      <c r="L119" s="99">
        <f t="shared" si="44"/>
        <v>1.78004E-4</v>
      </c>
      <c r="M119" s="99">
        <f t="shared" si="45"/>
        <v>7.5400134352646878E-2</v>
      </c>
      <c r="N119" s="87"/>
      <c r="O119" s="46">
        <v>400</v>
      </c>
      <c r="P119" s="46">
        <v>450</v>
      </c>
      <c r="Q119" s="99">
        <f t="shared" si="46"/>
        <v>1.78004E-4</v>
      </c>
      <c r="R119" s="99">
        <v>0</v>
      </c>
      <c r="T119" s="99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5.6477475946468188E-2</v>
      </c>
      <c r="I120" s="53">
        <f t="shared" si="41"/>
        <v>7.8712200000000002E-4</v>
      </c>
      <c r="J120" s="53">
        <f t="shared" si="42"/>
        <v>7.871219999999998E-4</v>
      </c>
      <c r="K120" s="86">
        <f t="shared" si="43"/>
        <v>787122</v>
      </c>
      <c r="L120" s="99">
        <f t="shared" si="44"/>
        <v>7.8712200000000002E-4</v>
      </c>
      <c r="M120" s="99">
        <f t="shared" si="45"/>
        <v>0.37268251963078797</v>
      </c>
      <c r="N120" s="87"/>
      <c r="O120" s="46">
        <v>450</v>
      </c>
      <c r="P120" s="46">
        <v>500</v>
      </c>
      <c r="Q120" s="99">
        <f t="shared" si="46"/>
        <v>7.8712200000000002E-4</v>
      </c>
      <c r="R120" s="99">
        <v>7.1377587437544611E-4</v>
      </c>
      <c r="T120" s="99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1.5060265108330436E-2</v>
      </c>
      <c r="I121" s="53">
        <f t="shared" si="41"/>
        <v>1.44055E-4</v>
      </c>
      <c r="J121" s="53">
        <f t="shared" si="42"/>
        <v>1.4405499999999998E-4</v>
      </c>
      <c r="K121" s="86">
        <f t="shared" si="43"/>
        <v>144055</v>
      </c>
      <c r="L121" s="99">
        <f t="shared" si="44"/>
        <v>1.44055E-4</v>
      </c>
      <c r="M121" s="99">
        <f t="shared" si="45"/>
        <v>7.5400188229938589E-2</v>
      </c>
      <c r="N121" s="87"/>
      <c r="O121" s="46">
        <v>500</v>
      </c>
      <c r="P121" s="46">
        <v>550</v>
      </c>
      <c r="Q121" s="99">
        <f t="shared" si="46"/>
        <v>1.44055E-4</v>
      </c>
      <c r="R121" s="99">
        <v>0</v>
      </c>
      <c r="T121" s="99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2.0074189486420171E-2</v>
      </c>
      <c r="I122" s="28">
        <f t="shared" si="41"/>
        <v>1.31469E-4</v>
      </c>
      <c r="J122" s="28">
        <f t="shared" si="42"/>
        <v>1.3146899999999997E-4</v>
      </c>
      <c r="K122" s="86">
        <f t="shared" si="43"/>
        <v>131469</v>
      </c>
      <c r="L122" s="99">
        <f t="shared" si="44"/>
        <v>1.31469E-4</v>
      </c>
      <c r="M122" s="99">
        <f t="shared" si="45"/>
        <v>7.540028152612574E-2</v>
      </c>
      <c r="N122" s="87"/>
      <c r="O122" s="46">
        <v>550</v>
      </c>
      <c r="P122" s="46">
        <v>600</v>
      </c>
      <c r="Q122" s="99">
        <f t="shared" si="46"/>
        <v>1.31469E-4</v>
      </c>
      <c r="R122" s="99">
        <v>0</v>
      </c>
      <c r="T122" s="99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2.6896858332717096E-2</v>
      </c>
      <c r="I123" s="28">
        <f t="shared" si="41"/>
        <v>1.2092899999999999E-4</v>
      </c>
      <c r="J123" s="28">
        <f t="shared" si="42"/>
        <v>1.2092899999999997E-4</v>
      </c>
      <c r="K123" s="86">
        <f t="shared" si="43"/>
        <v>120929</v>
      </c>
      <c r="L123" s="99">
        <f t="shared" si="44"/>
        <v>1.2092899999999999E-4</v>
      </c>
      <c r="M123" s="99">
        <f t="shared" si="45"/>
        <v>7.5400194603845297E-2</v>
      </c>
      <c r="N123" s="87"/>
      <c r="O123" s="46">
        <v>600</v>
      </c>
      <c r="P123" s="46">
        <v>650</v>
      </c>
      <c r="Q123" s="99">
        <f t="shared" si="46"/>
        <v>1.2092899999999999E-4</v>
      </c>
      <c r="R123" s="99">
        <v>0</v>
      </c>
      <c r="T123" s="99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3.6020805102695765E-2</v>
      </c>
      <c r="I124" s="28">
        <f t="shared" si="41"/>
        <v>1.11951E-4</v>
      </c>
      <c r="J124" s="28">
        <f t="shared" si="42"/>
        <v>1.1195099999999997E-4</v>
      </c>
      <c r="K124" s="86">
        <f t="shared" si="43"/>
        <v>111951</v>
      </c>
      <c r="L124" s="99">
        <f t="shared" si="44"/>
        <v>1.11951E-4</v>
      </c>
      <c r="M124" s="99">
        <f t="shared" si="45"/>
        <v>7.5400652775224633E-2</v>
      </c>
      <c r="N124" s="87"/>
      <c r="O124" s="46">
        <v>650</v>
      </c>
      <c r="P124" s="46">
        <v>700</v>
      </c>
      <c r="Q124" s="99">
        <f t="shared" si="46"/>
        <v>1.11951E-4</v>
      </c>
      <c r="R124" s="99">
        <v>0</v>
      </c>
      <c r="T124" s="99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4.9816015909090905E-2</v>
      </c>
      <c r="I125" s="28">
        <f t="shared" si="41"/>
        <v>1.04211E-4</v>
      </c>
      <c r="J125" s="28">
        <f t="shared" si="42"/>
        <v>1.0421099999999997E-4</v>
      </c>
      <c r="K125" s="86">
        <f t="shared" si="43"/>
        <v>104211</v>
      </c>
      <c r="L125" s="99">
        <f t="shared" si="44"/>
        <v>1.04211E-4</v>
      </c>
      <c r="M125" s="99">
        <f t="shared" si="45"/>
        <v>7.5400484428321687E-2</v>
      </c>
      <c r="N125" s="87"/>
      <c r="O125" s="46">
        <v>700</v>
      </c>
      <c r="P125" s="46">
        <v>750</v>
      </c>
      <c r="Q125" s="99">
        <f t="shared" si="46"/>
        <v>1.04211E-4</v>
      </c>
      <c r="R125" s="99">
        <v>0</v>
      </c>
      <c r="T125" s="99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0.59242538936381706</v>
      </c>
      <c r="I126" s="28">
        <f t="shared" si="41"/>
        <v>8.5863699999999999E-4</v>
      </c>
      <c r="J126" s="28">
        <f t="shared" si="42"/>
        <v>8.5863699999999977E-4</v>
      </c>
      <c r="K126" s="86">
        <f t="shared" si="43"/>
        <v>858637</v>
      </c>
      <c r="L126" s="99">
        <f t="shared" si="44"/>
        <v>8.5863699999999999E-4</v>
      </c>
      <c r="M126" s="99">
        <f t="shared" si="45"/>
        <v>0.66427173200795231</v>
      </c>
      <c r="N126" s="87"/>
      <c r="O126" s="46">
        <v>750</v>
      </c>
      <c r="P126" s="46">
        <v>800</v>
      </c>
      <c r="Q126" s="99">
        <f t="shared" si="46"/>
        <v>8.5863699999999999E-4</v>
      </c>
      <c r="R126" s="99">
        <v>7.1377587437544611E-4</v>
      </c>
      <c r="T126" s="99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9.0623897510418966E-2</v>
      </c>
      <c r="I127" s="28">
        <f t="shared" si="41"/>
        <v>9.1575000000000003E-5</v>
      </c>
      <c r="J127" s="28">
        <f t="shared" si="42"/>
        <v>9.1574999999999976E-5</v>
      </c>
      <c r="K127" s="86">
        <f t="shared" si="43"/>
        <v>91575</v>
      </c>
      <c r="L127" s="99">
        <f t="shared" si="44"/>
        <v>9.1575000000000003E-5</v>
      </c>
      <c r="M127" s="99">
        <f t="shared" si="45"/>
        <v>7.5400051909135776E-2</v>
      </c>
      <c r="N127" s="87"/>
      <c r="O127" s="46">
        <v>800</v>
      </c>
      <c r="P127" s="46">
        <v>850</v>
      </c>
      <c r="Q127" s="99">
        <f t="shared" si="46"/>
        <v>9.1575000000000003E-5</v>
      </c>
      <c r="R127" s="99">
        <v>0</v>
      </c>
      <c r="T127" s="99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0.12246211114604622</v>
      </c>
      <c r="I128" s="28">
        <f t="shared" si="41"/>
        <v>8.6329999999999995E-5</v>
      </c>
      <c r="J128" s="28">
        <f t="shared" si="42"/>
        <v>8.6329999999999982E-5</v>
      </c>
      <c r="K128" s="91">
        <f t="shared" si="43"/>
        <v>86330</v>
      </c>
      <c r="L128" s="99">
        <f t="shared" si="44"/>
        <v>8.6329999999999995E-5</v>
      </c>
      <c r="M128" s="99">
        <f t="shared" si="45"/>
        <v>7.5400711573651941E-2</v>
      </c>
      <c r="N128" s="87"/>
      <c r="O128" s="46">
        <v>850</v>
      </c>
      <c r="P128" s="46">
        <v>900</v>
      </c>
      <c r="Q128" s="99">
        <f t="shared" si="46"/>
        <v>8.6329999999999995E-5</v>
      </c>
      <c r="R128" s="99">
        <v>0</v>
      </c>
      <c r="T128" s="99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0</v>
      </c>
      <c r="T129" s="99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7.3130777273859957E-2</v>
      </c>
      <c r="I131" s="28">
        <f t="shared" si="41"/>
        <v>6.5048000000000005E-5</v>
      </c>
      <c r="J131" s="28">
        <f t="shared" si="42"/>
        <v>6.5047999999999991E-5</v>
      </c>
      <c r="K131" s="91">
        <f t="shared" si="43"/>
        <v>65048</v>
      </c>
      <c r="L131" s="99">
        <f t="shared" si="44"/>
        <v>6.5048000000000005E-5</v>
      </c>
      <c r="M131" s="99">
        <f t="shared" si="45"/>
        <v>7.5400203603289306E-2</v>
      </c>
      <c r="N131" s="87"/>
      <c r="O131" s="46">
        <v>1000</v>
      </c>
      <c r="P131" s="46">
        <v>2000</v>
      </c>
      <c r="Q131" s="99">
        <f t="shared" si="46"/>
        <v>6.5048000000000005E-5</v>
      </c>
      <c r="R131" s="99">
        <v>0</v>
      </c>
      <c r="T131" s="99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 x14ac:dyDescent="0.3">
      <c r="F150" s="4"/>
      <c r="N150" s="4"/>
      <c r="O150" s="4"/>
      <c r="P150" s="4"/>
    </row>
    <row r="152" spans="1:21" s="58" customFormat="1" ht="15.6" customHeight="1" collapsed="1" x14ac:dyDescent="0.3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 x14ac:dyDescent="0.3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 x14ac:dyDescent="0.3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 x14ac:dyDescent="0.3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 t="s">
        <v>112</v>
      </c>
    </row>
    <row r="156" spans="1:21" x14ac:dyDescent="0.3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 x14ac:dyDescent="0.3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 x14ac:dyDescent="0.3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 x14ac:dyDescent="0.3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 x14ac:dyDescent="0.3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 x14ac:dyDescent="0.3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 x14ac:dyDescent="0.3">
      <c r="A163" s="13" t="str">
        <f t="shared" ref="A163:A194" si="48">"("&amp;$O163&amp;", "&amp;$P163&amp;"]"</f>
        <v>(-1, 0]</v>
      </c>
      <c r="B163" s="94">
        <v>19037</v>
      </c>
      <c r="C163" s="94">
        <v>0</v>
      </c>
      <c r="D163" s="28">
        <f t="shared" ref="D163:D194" si="49">IFERROR(B163/SUM($B$163:$B$226),0)</f>
        <v>1.9036999999999999E-3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0</v>
      </c>
      <c r="T163" s="99"/>
      <c r="U163" s="51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5">
        <v>57592</v>
      </c>
      <c r="C164" s="95">
        <v>3284900</v>
      </c>
      <c r="D164" s="28">
        <f t="shared" si="49"/>
        <v>5.7591999999999999E-3</v>
      </c>
      <c r="E164" s="89">
        <f t="shared" si="50"/>
        <v>0.57037435754965971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0</v>
      </c>
      <c r="T164" s="99"/>
      <c r="U164" s="51">
        <f t="shared" si="58"/>
        <v>0</v>
      </c>
    </row>
    <row r="165" spans="1:21" x14ac:dyDescent="0.3">
      <c r="A165" s="13" t="str">
        <f t="shared" si="48"/>
        <v>(1, 2]</v>
      </c>
      <c r="B165" s="95">
        <v>56319</v>
      </c>
      <c r="C165" s="95">
        <v>8816440</v>
      </c>
      <c r="D165" s="28">
        <f t="shared" si="49"/>
        <v>5.6318999999999996E-3</v>
      </c>
      <c r="E165" s="89">
        <f t="shared" si="50"/>
        <v>1.5654468296667199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0</v>
      </c>
      <c r="T165" s="99"/>
      <c r="U165" s="51">
        <f t="shared" si="58"/>
        <v>0</v>
      </c>
    </row>
    <row r="166" spans="1:21" x14ac:dyDescent="0.3">
      <c r="A166" s="13" t="str">
        <f t="shared" si="48"/>
        <v>(2, 3]</v>
      </c>
      <c r="B166" s="95">
        <v>55568</v>
      </c>
      <c r="C166" s="95">
        <v>14253470</v>
      </c>
      <c r="D166" s="28">
        <f t="shared" si="49"/>
        <v>5.5567999999999998E-3</v>
      </c>
      <c r="E166" s="89">
        <f t="shared" si="50"/>
        <v>2.56505002879355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0</v>
      </c>
      <c r="T166" s="99"/>
      <c r="U166" s="51">
        <f t="shared" si="58"/>
        <v>0</v>
      </c>
    </row>
    <row r="167" spans="1:21" x14ac:dyDescent="0.3">
      <c r="A167" s="13" t="str">
        <f t="shared" si="48"/>
        <v>(3, 4]</v>
      </c>
      <c r="B167" s="95">
        <v>52694</v>
      </c>
      <c r="C167" s="95">
        <v>18785910</v>
      </c>
      <c r="D167" s="28">
        <f t="shared" si="49"/>
        <v>5.2693999999999996E-3</v>
      </c>
      <c r="E167" s="89">
        <f t="shared" si="50"/>
        <v>3.5650946976885418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0</v>
      </c>
      <c r="T167" s="99"/>
      <c r="U167" s="51">
        <f t="shared" si="58"/>
        <v>0</v>
      </c>
    </row>
    <row r="168" spans="1:21" x14ac:dyDescent="0.3">
      <c r="A168" s="13" t="str">
        <f t="shared" si="48"/>
        <v>(4, 5]</v>
      </c>
      <c r="B168" s="95">
        <v>52697</v>
      </c>
      <c r="C168" s="95">
        <v>24073710</v>
      </c>
      <c r="D168" s="28">
        <f t="shared" si="49"/>
        <v>5.2697000000000004E-3</v>
      </c>
      <c r="E168" s="89">
        <f t="shared" si="50"/>
        <v>4.5683264701975448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3.56887937187723E-3</v>
      </c>
      <c r="T168" s="99"/>
      <c r="U168" s="51">
        <f t="shared" si="58"/>
        <v>0</v>
      </c>
    </row>
    <row r="169" spans="1:21" x14ac:dyDescent="0.3">
      <c r="A169" s="13" t="str">
        <f t="shared" si="48"/>
        <v>(5, 6]</v>
      </c>
      <c r="B169" s="95">
        <v>52164</v>
      </c>
      <c r="C169" s="95">
        <v>29011430</v>
      </c>
      <c r="D169" s="28">
        <f t="shared" si="49"/>
        <v>5.2164000000000004E-3</v>
      </c>
      <c r="E169" s="89">
        <f t="shared" si="50"/>
        <v>5.5615807836822331</v>
      </c>
      <c r="F169" s="87"/>
      <c r="G169" s="13" t="str">
        <f t="shared" si="51"/>
        <v>(5, 6]</v>
      </c>
      <c r="H169" s="85">
        <v>6.6135890652557308</v>
      </c>
      <c r="I169" s="28">
        <f t="shared" si="52"/>
        <v>3.4499125999999998E-2</v>
      </c>
      <c r="J169" s="28">
        <f t="shared" si="53"/>
        <v>3.4499126000000005E-2</v>
      </c>
      <c r="K169" s="86">
        <f t="shared" si="54"/>
        <v>34499126</v>
      </c>
      <c r="L169" s="99">
        <f t="shared" si="55"/>
        <v>3.4499125999999998E-2</v>
      </c>
      <c r="M169" s="99">
        <f t="shared" si="56"/>
        <v>0.19186967621543211</v>
      </c>
      <c r="N169" s="87"/>
      <c r="O169" s="46">
        <v>5</v>
      </c>
      <c r="P169" s="46">
        <v>6</v>
      </c>
      <c r="Q169" s="99">
        <f t="shared" si="57"/>
        <v>3.4499125999999998E-2</v>
      </c>
      <c r="R169" s="99">
        <v>3.5688793718772309E-2</v>
      </c>
      <c r="T169" s="99"/>
      <c r="U169" s="51">
        <f t="shared" si="58"/>
        <v>0</v>
      </c>
    </row>
    <row r="170" spans="1:21" x14ac:dyDescent="0.3">
      <c r="A170" s="13" t="str">
        <f t="shared" si="48"/>
        <v>(6, 7]</v>
      </c>
      <c r="B170" s="95">
        <v>50376</v>
      </c>
      <c r="C170" s="95">
        <v>33049440</v>
      </c>
      <c r="D170" s="28">
        <f t="shared" si="49"/>
        <v>5.0375999999999997E-3</v>
      </c>
      <c r="E170" s="89">
        <f t="shared" si="50"/>
        <v>6.5605526441162452</v>
      </c>
      <c r="F170" s="87"/>
      <c r="G170" s="13" t="str">
        <f t="shared" si="51"/>
        <v>(6, 7]</v>
      </c>
      <c r="H170" s="85">
        <v>5.8905431157694146</v>
      </c>
      <c r="I170" s="28">
        <f t="shared" si="52"/>
        <v>2.9674200000000001E-2</v>
      </c>
      <c r="J170" s="28">
        <f t="shared" si="53"/>
        <v>2.9674200000000008E-2</v>
      </c>
      <c r="K170" s="86">
        <f t="shared" si="54"/>
        <v>29674200</v>
      </c>
      <c r="L170" s="99">
        <f t="shared" si="55"/>
        <v>2.9674200000000001E-2</v>
      </c>
      <c r="M170" s="99">
        <f t="shared" si="56"/>
        <v>0.19467915127203428</v>
      </c>
      <c r="N170" s="87"/>
      <c r="O170" s="46">
        <v>6</v>
      </c>
      <c r="P170" s="46">
        <v>7</v>
      </c>
      <c r="Q170" s="99">
        <f t="shared" si="57"/>
        <v>2.9674200000000001E-2</v>
      </c>
      <c r="R170" s="99">
        <v>3.0692362598144181E-2</v>
      </c>
      <c r="T170" s="99"/>
      <c r="U170" s="51">
        <f t="shared" si="58"/>
        <v>0</v>
      </c>
    </row>
    <row r="171" spans="1:21" x14ac:dyDescent="0.3">
      <c r="A171" s="13" t="str">
        <f t="shared" si="48"/>
        <v>(7, 8]</v>
      </c>
      <c r="B171" s="95">
        <v>49425</v>
      </c>
      <c r="C171" s="95">
        <v>37370570</v>
      </c>
      <c r="D171" s="28">
        <f t="shared" si="49"/>
        <v>4.9424999999999998E-3</v>
      </c>
      <c r="E171" s="89">
        <f t="shared" si="50"/>
        <v>7.5610662620131519</v>
      </c>
      <c r="F171" s="87"/>
      <c r="G171" s="13" t="str">
        <f t="shared" si="51"/>
        <v>(7, 8]</v>
      </c>
      <c r="H171" s="85">
        <v>6.4238342943854327</v>
      </c>
      <c r="I171" s="28">
        <f t="shared" si="52"/>
        <v>3.1749801000000001E-2</v>
      </c>
      <c r="J171" s="28">
        <f t="shared" si="53"/>
        <v>3.1749801000000008E-2</v>
      </c>
      <c r="K171" s="86">
        <f t="shared" si="54"/>
        <v>31749801</v>
      </c>
      <c r="L171" s="99">
        <f t="shared" si="55"/>
        <v>3.1749801000000001E-2</v>
      </c>
      <c r="M171" s="99">
        <f t="shared" si="56"/>
        <v>0.24006234916673144</v>
      </c>
      <c r="N171" s="87"/>
      <c r="O171" s="46">
        <v>7</v>
      </c>
      <c r="P171" s="46">
        <v>8</v>
      </c>
      <c r="Q171" s="99">
        <f t="shared" si="57"/>
        <v>3.1749801000000001E-2</v>
      </c>
      <c r="R171" s="99">
        <v>3.2833690221270521E-2</v>
      </c>
      <c r="T171" s="99"/>
      <c r="U171" s="51">
        <f t="shared" si="58"/>
        <v>0</v>
      </c>
    </row>
    <row r="172" spans="1:21" x14ac:dyDescent="0.3">
      <c r="A172" s="13" t="str">
        <f t="shared" si="48"/>
        <v>(8, 9]</v>
      </c>
      <c r="B172" s="95">
        <v>50055</v>
      </c>
      <c r="C172" s="95">
        <v>42852930</v>
      </c>
      <c r="D172" s="28">
        <f t="shared" si="49"/>
        <v>5.0055000000000004E-3</v>
      </c>
      <c r="E172" s="89">
        <f t="shared" si="50"/>
        <v>8.5611687144141442</v>
      </c>
      <c r="F172" s="87"/>
      <c r="G172" s="13" t="str">
        <f t="shared" si="51"/>
        <v>(8, 9]</v>
      </c>
      <c r="H172" s="85">
        <v>6.0682147637598636</v>
      </c>
      <c r="I172" s="28">
        <f t="shared" si="52"/>
        <v>3.0374448999999998E-2</v>
      </c>
      <c r="J172" s="28">
        <f t="shared" si="53"/>
        <v>3.0374449000000005E-2</v>
      </c>
      <c r="K172" s="86">
        <f t="shared" si="54"/>
        <v>30374449</v>
      </c>
      <c r="L172" s="99">
        <f t="shared" si="55"/>
        <v>3.0374449000000001E-2</v>
      </c>
      <c r="M172" s="99">
        <f t="shared" si="56"/>
        <v>0.26004078249636797</v>
      </c>
      <c r="N172" s="87"/>
      <c r="O172" s="46">
        <v>8</v>
      </c>
      <c r="P172" s="46">
        <v>9</v>
      </c>
      <c r="Q172" s="99">
        <f t="shared" si="57"/>
        <v>3.0374449000000001E-2</v>
      </c>
      <c r="R172" s="99">
        <v>3.1406138472519628E-2</v>
      </c>
      <c r="T172" s="99"/>
      <c r="U172" s="51">
        <f t="shared" si="58"/>
        <v>0</v>
      </c>
    </row>
    <row r="173" spans="1:21" x14ac:dyDescent="0.3">
      <c r="A173" s="13" t="str">
        <f t="shared" si="48"/>
        <v>(9, 10]</v>
      </c>
      <c r="B173" s="95">
        <v>49809</v>
      </c>
      <c r="C173" s="95">
        <v>47617220</v>
      </c>
      <c r="D173" s="28">
        <f t="shared" si="49"/>
        <v>4.9808999999999999E-3</v>
      </c>
      <c r="E173" s="89">
        <f t="shared" si="50"/>
        <v>9.5599630588849394</v>
      </c>
      <c r="F173" s="87"/>
      <c r="G173" s="13" t="str">
        <f t="shared" si="51"/>
        <v>(9, 10]</v>
      </c>
      <c r="H173" s="85">
        <v>6.5150575197253513</v>
      </c>
      <c r="I173" s="28">
        <f t="shared" si="52"/>
        <v>3.2450850000000003E-2</v>
      </c>
      <c r="J173" s="28">
        <f t="shared" si="53"/>
        <v>3.245085000000001E-2</v>
      </c>
      <c r="K173" s="86">
        <f t="shared" si="54"/>
        <v>32450850</v>
      </c>
      <c r="L173" s="99">
        <f t="shared" si="55"/>
        <v>3.2450850000000003E-2</v>
      </c>
      <c r="M173" s="99">
        <f t="shared" si="56"/>
        <v>0.31022892722941636</v>
      </c>
      <c r="N173" s="87"/>
      <c r="O173" s="46">
        <v>9</v>
      </c>
      <c r="P173" s="46">
        <v>10</v>
      </c>
      <c r="Q173" s="99">
        <f t="shared" si="57"/>
        <v>3.2450850000000003E-2</v>
      </c>
      <c r="R173" s="99">
        <v>3.3547466095645968E-2</v>
      </c>
      <c r="T173" s="99"/>
      <c r="U173" s="51">
        <f t="shared" si="58"/>
        <v>0</v>
      </c>
    </row>
    <row r="174" spans="1:21" x14ac:dyDescent="0.3">
      <c r="A174" s="13" t="str">
        <f t="shared" si="48"/>
        <v>(10, 15]</v>
      </c>
      <c r="B174" s="95">
        <v>246542</v>
      </c>
      <c r="C174" s="95">
        <v>309425910</v>
      </c>
      <c r="D174" s="28">
        <f t="shared" si="49"/>
        <v>2.4654200000000001E-2</v>
      </c>
      <c r="E174" s="89">
        <f t="shared" si="50"/>
        <v>12.550636808332861</v>
      </c>
      <c r="F174" s="87"/>
      <c r="G174" s="13" t="str">
        <f t="shared" si="51"/>
        <v>(10, 15]</v>
      </c>
      <c r="H174" s="85">
        <v>5.7158980214324533</v>
      </c>
      <c r="I174" s="28">
        <f t="shared" si="52"/>
        <v>0.14092089299999999</v>
      </c>
      <c r="J174" s="28">
        <f t="shared" si="53"/>
        <v>0.14092089300000002</v>
      </c>
      <c r="K174" s="86">
        <f t="shared" si="54"/>
        <v>140920893</v>
      </c>
      <c r="L174" s="99">
        <f t="shared" si="55"/>
        <v>0.14092089299999999</v>
      </c>
      <c r="M174" s="99">
        <f t="shared" si="56"/>
        <v>1.7686469467489365</v>
      </c>
      <c r="N174" s="87"/>
      <c r="O174" s="46">
        <v>10</v>
      </c>
      <c r="P174" s="46">
        <v>15</v>
      </c>
      <c r="Q174" s="99">
        <f t="shared" si="57"/>
        <v>0.14092089299999999</v>
      </c>
      <c r="R174" s="99">
        <v>0.145610278372591</v>
      </c>
      <c r="T174" s="99"/>
      <c r="U174" s="51">
        <f t="shared" si="58"/>
        <v>0</v>
      </c>
    </row>
    <row r="175" spans="1:21" x14ac:dyDescent="0.3">
      <c r="A175" s="13" t="str">
        <f t="shared" si="48"/>
        <v>(15, 20]</v>
      </c>
      <c r="B175" s="95">
        <v>243519</v>
      </c>
      <c r="C175" s="95">
        <v>427369760</v>
      </c>
      <c r="D175" s="28">
        <f t="shared" si="49"/>
        <v>2.4351899999999999E-2</v>
      </c>
      <c r="E175" s="89">
        <f t="shared" si="50"/>
        <v>17.549750122167058</v>
      </c>
      <c r="F175" s="87"/>
      <c r="G175" s="13" t="str">
        <f t="shared" si="51"/>
        <v>(15, 20]</v>
      </c>
      <c r="H175" s="85">
        <v>4.0598608732788817</v>
      </c>
      <c r="I175" s="28">
        <f t="shared" si="52"/>
        <v>9.8865325999999989E-2</v>
      </c>
      <c r="J175" s="28">
        <f t="shared" si="53"/>
        <v>9.8865326000000017E-2</v>
      </c>
      <c r="K175" s="86">
        <f t="shared" si="54"/>
        <v>98865326</v>
      </c>
      <c r="L175" s="99">
        <f t="shared" si="55"/>
        <v>9.8865326000000003E-2</v>
      </c>
      <c r="M175" s="99">
        <f t="shared" si="56"/>
        <v>1.735061767046586</v>
      </c>
      <c r="N175" s="87"/>
      <c r="O175" s="46">
        <v>15</v>
      </c>
      <c r="P175" s="46">
        <v>20</v>
      </c>
      <c r="Q175" s="99">
        <f t="shared" si="57"/>
        <v>9.8865326000000003E-2</v>
      </c>
      <c r="R175" s="99">
        <v>0.10206995003568881</v>
      </c>
      <c r="T175" s="99"/>
      <c r="U175" s="51">
        <f t="shared" si="58"/>
        <v>0</v>
      </c>
    </row>
    <row r="176" spans="1:21" x14ac:dyDescent="0.3">
      <c r="A176" s="13" t="str">
        <f t="shared" si="48"/>
        <v>(20, 25]</v>
      </c>
      <c r="B176" s="95">
        <v>239087</v>
      </c>
      <c r="C176" s="95">
        <v>539054390</v>
      </c>
      <c r="D176" s="28">
        <f t="shared" si="49"/>
        <v>2.3908700000000001E-2</v>
      </c>
      <c r="E176" s="89">
        <f t="shared" si="50"/>
        <v>22.546369731520326</v>
      </c>
      <c r="F176" s="87"/>
      <c r="G176" s="13" t="str">
        <f t="shared" si="51"/>
        <v>(20, 25]</v>
      </c>
      <c r="H176" s="85">
        <v>3.9649264075420243</v>
      </c>
      <c r="I176" s="28">
        <f t="shared" si="52"/>
        <v>9.4796236000000006E-2</v>
      </c>
      <c r="J176" s="28">
        <f t="shared" si="53"/>
        <v>9.4796236000000034E-2</v>
      </c>
      <c r="K176" s="86">
        <f t="shared" si="54"/>
        <v>94796236</v>
      </c>
      <c r="L176" s="99">
        <f t="shared" si="55"/>
        <v>9.4796236000000006E-2</v>
      </c>
      <c r="M176" s="99">
        <f t="shared" si="56"/>
        <v>2.1373109860124577</v>
      </c>
      <c r="N176" s="87"/>
      <c r="O176" s="46">
        <v>20</v>
      </c>
      <c r="P176" s="46">
        <v>25</v>
      </c>
      <c r="Q176" s="99">
        <f t="shared" si="57"/>
        <v>9.4796236000000006E-2</v>
      </c>
      <c r="R176" s="99">
        <v>9.7787294789436111E-2</v>
      </c>
      <c r="T176" s="99"/>
      <c r="U176" s="51">
        <f t="shared" si="58"/>
        <v>0</v>
      </c>
    </row>
    <row r="177" spans="1:21" x14ac:dyDescent="0.3">
      <c r="A177" s="13" t="str">
        <f t="shared" si="48"/>
        <v>(25, 30]</v>
      </c>
      <c r="B177" s="95">
        <v>237012</v>
      </c>
      <c r="C177" s="95">
        <v>652998220</v>
      </c>
      <c r="D177" s="28">
        <f t="shared" si="49"/>
        <v>2.3701199999999999E-2</v>
      </c>
      <c r="E177" s="89">
        <f t="shared" si="50"/>
        <v>27.551272509408804</v>
      </c>
      <c r="F177" s="87"/>
      <c r="G177" s="13" t="str">
        <f t="shared" si="51"/>
        <v>(25, 30]</v>
      </c>
      <c r="H177" s="85">
        <v>3.097199762037365</v>
      </c>
      <c r="I177" s="28">
        <f t="shared" si="52"/>
        <v>7.3407350999999996E-2</v>
      </c>
      <c r="J177" s="28">
        <f t="shared" si="53"/>
        <v>7.340735100000001E-2</v>
      </c>
      <c r="K177" s="86">
        <f t="shared" si="54"/>
        <v>73407351</v>
      </c>
      <c r="L177" s="99">
        <f t="shared" si="55"/>
        <v>7.3407350999999996E-2</v>
      </c>
      <c r="M177" s="99">
        <f t="shared" si="56"/>
        <v>2.0224659315948226</v>
      </c>
      <c r="N177" s="87"/>
      <c r="O177" s="46">
        <v>25</v>
      </c>
      <c r="P177" s="46">
        <v>30</v>
      </c>
      <c r="Q177" s="99">
        <f t="shared" si="57"/>
        <v>7.3407350999999996E-2</v>
      </c>
      <c r="R177" s="99">
        <v>7.5660242683797285E-2</v>
      </c>
      <c r="T177" s="99"/>
      <c r="U177" s="51">
        <f t="shared" si="58"/>
        <v>0</v>
      </c>
    </row>
    <row r="178" spans="1:21" x14ac:dyDescent="0.3">
      <c r="A178" s="13" t="str">
        <f t="shared" si="48"/>
        <v>(30, 35]</v>
      </c>
      <c r="B178" s="95">
        <v>233238</v>
      </c>
      <c r="C178" s="95">
        <v>759247290</v>
      </c>
      <c r="D178" s="28">
        <f t="shared" si="49"/>
        <v>2.3323799999999999E-2</v>
      </c>
      <c r="E178" s="89">
        <f t="shared" si="50"/>
        <v>32.552469580428571</v>
      </c>
      <c r="F178" s="87"/>
      <c r="G178" s="13" t="str">
        <f t="shared" si="51"/>
        <v>(30, 35]</v>
      </c>
      <c r="H178" s="85">
        <v>2.7339156140937582</v>
      </c>
      <c r="I178" s="28">
        <f t="shared" si="52"/>
        <v>6.3765300999999996E-2</v>
      </c>
      <c r="J178" s="28">
        <f t="shared" si="53"/>
        <v>6.376530100000001E-2</v>
      </c>
      <c r="K178" s="86">
        <f t="shared" si="54"/>
        <v>63765301</v>
      </c>
      <c r="L178" s="99">
        <f t="shared" si="55"/>
        <v>6.3765300999999996E-2</v>
      </c>
      <c r="M178" s="99">
        <f t="shared" si="56"/>
        <v>2.0757180210893713</v>
      </c>
      <c r="N178" s="87"/>
      <c r="O178" s="46">
        <v>30</v>
      </c>
      <c r="P178" s="46">
        <v>35</v>
      </c>
      <c r="Q178" s="99">
        <f t="shared" si="57"/>
        <v>6.3765300999999996E-2</v>
      </c>
      <c r="R178" s="99">
        <v>6.5667380442541043E-2</v>
      </c>
      <c r="T178" s="99"/>
      <c r="U178" s="51">
        <f t="shared" si="58"/>
        <v>0</v>
      </c>
    </row>
    <row r="179" spans="1:21" x14ac:dyDescent="0.3">
      <c r="A179" s="13" t="str">
        <f t="shared" si="48"/>
        <v>(35, 40]</v>
      </c>
      <c r="B179" s="95">
        <v>230865</v>
      </c>
      <c r="C179" s="95">
        <v>866836390</v>
      </c>
      <c r="D179" s="28">
        <f t="shared" si="49"/>
        <v>2.3086499999999999E-2</v>
      </c>
      <c r="E179" s="89">
        <f t="shared" si="50"/>
        <v>37.547328092175078</v>
      </c>
      <c r="F179" s="87"/>
      <c r="G179" s="13" t="str">
        <f t="shared" si="51"/>
        <v>(35, 40]</v>
      </c>
      <c r="H179" s="85">
        <v>2.5840408463820848</v>
      </c>
      <c r="I179" s="28">
        <f t="shared" si="52"/>
        <v>5.9656458999999995E-2</v>
      </c>
      <c r="J179" s="28">
        <f t="shared" si="53"/>
        <v>5.9656459000000009E-2</v>
      </c>
      <c r="K179" s="86">
        <f t="shared" si="54"/>
        <v>59656459</v>
      </c>
      <c r="L179" s="99">
        <f t="shared" si="55"/>
        <v>5.9656459000000002E-2</v>
      </c>
      <c r="M179" s="99">
        <f t="shared" si="56"/>
        <v>2.2399406388903911</v>
      </c>
      <c r="N179" s="87"/>
      <c r="O179" s="46">
        <v>35</v>
      </c>
      <c r="P179" s="46">
        <v>40</v>
      </c>
      <c r="Q179" s="99">
        <f t="shared" si="57"/>
        <v>5.9656459000000002E-2</v>
      </c>
      <c r="R179" s="99">
        <v>6.1384725196288369E-2</v>
      </c>
      <c r="T179" s="99"/>
      <c r="U179" s="51">
        <f t="shared" si="58"/>
        <v>0</v>
      </c>
    </row>
    <row r="180" spans="1:21" x14ac:dyDescent="0.3">
      <c r="A180" s="13" t="str">
        <f t="shared" si="48"/>
        <v>(40, 45]</v>
      </c>
      <c r="B180" s="95">
        <v>227168</v>
      </c>
      <c r="C180" s="95">
        <v>966553580</v>
      </c>
      <c r="D180" s="28">
        <f t="shared" si="49"/>
        <v>2.2716799999999999E-2</v>
      </c>
      <c r="E180" s="89">
        <f t="shared" si="50"/>
        <v>42.547963621636853</v>
      </c>
      <c r="F180" s="87"/>
      <c r="G180" s="13" t="str">
        <f t="shared" si="51"/>
        <v>(40, 45]</v>
      </c>
      <c r="H180" s="85">
        <v>2.7199738079306948</v>
      </c>
      <c r="I180" s="28">
        <f t="shared" si="52"/>
        <v>6.1789101000000006E-2</v>
      </c>
      <c r="J180" s="28">
        <f t="shared" si="53"/>
        <v>6.178910100000002E-2</v>
      </c>
      <c r="K180" s="86">
        <f t="shared" si="54"/>
        <v>61789101</v>
      </c>
      <c r="L180" s="99">
        <f t="shared" si="55"/>
        <v>6.1789100999999999E-2</v>
      </c>
      <c r="M180" s="99">
        <f t="shared" si="56"/>
        <v>2.6290004215616452</v>
      </c>
      <c r="N180" s="87"/>
      <c r="O180" s="46">
        <v>40</v>
      </c>
      <c r="P180" s="46">
        <v>45</v>
      </c>
      <c r="Q180" s="99">
        <f t="shared" si="57"/>
        <v>6.1789100999999999E-2</v>
      </c>
      <c r="R180" s="99">
        <v>6.3526052819414702E-2</v>
      </c>
      <c r="T180" s="99"/>
      <c r="U180" s="51">
        <f t="shared" si="58"/>
        <v>0</v>
      </c>
    </row>
    <row r="181" spans="1:21" x14ac:dyDescent="0.3">
      <c r="A181" s="13" t="str">
        <f t="shared" si="48"/>
        <v>(45, 50]</v>
      </c>
      <c r="B181" s="95">
        <v>222639</v>
      </c>
      <c r="C181" s="95">
        <v>1058698880</v>
      </c>
      <c r="D181" s="28">
        <f t="shared" si="49"/>
        <v>2.22639E-2</v>
      </c>
      <c r="E181" s="89">
        <f t="shared" si="50"/>
        <v>47.552265326380372</v>
      </c>
      <c r="F181" s="87"/>
      <c r="G181" s="13" t="str">
        <f t="shared" si="51"/>
        <v>(45, 50]</v>
      </c>
      <c r="H181" s="85">
        <v>2.3094867026891066</v>
      </c>
      <c r="I181" s="28">
        <f t="shared" si="52"/>
        <v>5.1418181E-2</v>
      </c>
      <c r="J181" s="28">
        <f t="shared" si="53"/>
        <v>5.1418181000000014E-2</v>
      </c>
      <c r="K181" s="86">
        <f t="shared" si="54"/>
        <v>51418181</v>
      </c>
      <c r="L181" s="99">
        <f t="shared" si="55"/>
        <v>5.1418181E-2</v>
      </c>
      <c r="M181" s="99">
        <f t="shared" si="56"/>
        <v>2.4450509855118501</v>
      </c>
      <c r="N181" s="87"/>
      <c r="O181" s="46">
        <v>45</v>
      </c>
      <c r="P181" s="46">
        <v>50</v>
      </c>
      <c r="Q181" s="99">
        <f t="shared" si="57"/>
        <v>5.1418181E-2</v>
      </c>
      <c r="R181" s="99">
        <v>5.2819414703783013E-2</v>
      </c>
      <c r="T181" s="99"/>
      <c r="U181" s="51">
        <f t="shared" si="58"/>
        <v>0</v>
      </c>
    </row>
    <row r="182" spans="1:21" x14ac:dyDescent="0.3">
      <c r="A182" s="13" t="str">
        <f t="shared" si="48"/>
        <v>(50, 60]</v>
      </c>
      <c r="B182" s="95">
        <v>434194</v>
      </c>
      <c r="C182" s="95">
        <v>2389146090</v>
      </c>
      <c r="D182" s="28">
        <f t="shared" si="49"/>
        <v>4.3419399999999997E-2</v>
      </c>
      <c r="E182" s="89">
        <f t="shared" si="50"/>
        <v>55.024852715606386</v>
      </c>
      <c r="F182" s="87"/>
      <c r="G182" s="13" t="str">
        <f t="shared" si="51"/>
        <v>(50, 60]</v>
      </c>
      <c r="H182" s="85">
        <v>1.4100225935871986</v>
      </c>
      <c r="I182" s="28">
        <f t="shared" si="52"/>
        <v>6.122233500000001E-2</v>
      </c>
      <c r="J182" s="28">
        <f t="shared" si="53"/>
        <v>6.1222335000000024E-2</v>
      </c>
      <c r="K182" s="86">
        <f t="shared" si="54"/>
        <v>61222335</v>
      </c>
      <c r="L182" s="99">
        <f t="shared" si="55"/>
        <v>6.1222335000000003E-2</v>
      </c>
      <c r="M182" s="99">
        <f t="shared" si="56"/>
        <v>3.368749966280514</v>
      </c>
      <c r="N182" s="87"/>
      <c r="O182" s="46">
        <v>50</v>
      </c>
      <c r="P182" s="46">
        <v>60</v>
      </c>
      <c r="Q182" s="99">
        <f t="shared" si="57"/>
        <v>6.1222335000000003E-2</v>
      </c>
      <c r="R182" s="99">
        <v>3.1406138472519628E-2</v>
      </c>
      <c r="T182" s="99"/>
      <c r="U182" s="51">
        <f t="shared" si="58"/>
        <v>0</v>
      </c>
    </row>
    <row r="183" spans="1:21" x14ac:dyDescent="0.3">
      <c r="A183" s="13" t="str">
        <f t="shared" si="48"/>
        <v>(60, 70]</v>
      </c>
      <c r="B183" s="95">
        <v>418243</v>
      </c>
      <c r="C183" s="95">
        <v>2719442830</v>
      </c>
      <c r="D183" s="28">
        <f t="shared" si="49"/>
        <v>4.1824300000000002E-2</v>
      </c>
      <c r="E183" s="89">
        <f t="shared" si="50"/>
        <v>65.020641827836926</v>
      </c>
      <c r="F183" s="87"/>
      <c r="G183" s="13" t="str">
        <f t="shared" si="51"/>
        <v>(60, 70]</v>
      </c>
      <c r="H183" s="85">
        <v>0.66647496790143523</v>
      </c>
      <c r="I183" s="28">
        <f t="shared" si="52"/>
        <v>2.7874849E-2</v>
      </c>
      <c r="J183" s="28">
        <f t="shared" si="53"/>
        <v>2.7874849000000007E-2</v>
      </c>
      <c r="K183" s="86">
        <f t="shared" si="54"/>
        <v>27874849</v>
      </c>
      <c r="L183" s="99">
        <f t="shared" si="55"/>
        <v>2.7874849E-2</v>
      </c>
      <c r="M183" s="99">
        <f t="shared" si="56"/>
        <v>1.8124405728340383</v>
      </c>
      <c r="N183" s="87"/>
      <c r="O183" s="46">
        <v>60</v>
      </c>
      <c r="P183" s="46">
        <v>70</v>
      </c>
      <c r="Q183" s="99">
        <f t="shared" si="57"/>
        <v>2.7874849E-2</v>
      </c>
      <c r="R183" s="99">
        <v>2.855103497501784E-2</v>
      </c>
      <c r="T183" s="99"/>
      <c r="U183" s="51">
        <f t="shared" si="58"/>
        <v>0</v>
      </c>
    </row>
    <row r="184" spans="1:21" x14ac:dyDescent="0.3">
      <c r="A184" s="13" t="str">
        <f t="shared" si="48"/>
        <v>(70, 80]</v>
      </c>
      <c r="B184" s="95">
        <v>401750</v>
      </c>
      <c r="C184" s="95">
        <v>3014087530</v>
      </c>
      <c r="D184" s="28">
        <f t="shared" si="49"/>
        <v>4.0175000000000002E-2</v>
      </c>
      <c r="E184" s="89">
        <f t="shared" si="50"/>
        <v>75.023958431860606</v>
      </c>
      <c r="F184" s="87"/>
      <c r="G184" s="13" t="str">
        <f t="shared" si="51"/>
        <v>(70, 80]</v>
      </c>
      <c r="H184" s="85">
        <v>0.53862212818917232</v>
      </c>
      <c r="I184" s="28">
        <f t="shared" si="52"/>
        <v>2.1639143999999999E-2</v>
      </c>
      <c r="J184" s="28">
        <f t="shared" si="53"/>
        <v>2.1639144000000003E-2</v>
      </c>
      <c r="K184" s="86">
        <f t="shared" si="54"/>
        <v>21639144</v>
      </c>
      <c r="L184" s="99">
        <f t="shared" si="55"/>
        <v>2.1639143999999999E-2</v>
      </c>
      <c r="M184" s="99">
        <f t="shared" si="56"/>
        <v>1.6234542399570457</v>
      </c>
      <c r="N184" s="87"/>
      <c r="O184" s="46">
        <v>70</v>
      </c>
      <c r="P184" s="46">
        <v>80</v>
      </c>
      <c r="Q184" s="99">
        <f t="shared" si="57"/>
        <v>2.1639143999999999E-2</v>
      </c>
      <c r="R184" s="99">
        <v>2.2127052105638829E-2</v>
      </c>
      <c r="T184" s="99"/>
      <c r="U184" s="51">
        <f t="shared" si="58"/>
        <v>0</v>
      </c>
    </row>
    <row r="185" spans="1:21" x14ac:dyDescent="0.3">
      <c r="A185" s="13" t="str">
        <f t="shared" si="48"/>
        <v>(80, 90]</v>
      </c>
      <c r="B185" s="95">
        <v>384142</v>
      </c>
      <c r="C185" s="95">
        <v>3265673500</v>
      </c>
      <c r="D185" s="28">
        <f t="shared" si="49"/>
        <v>3.8414200000000003E-2</v>
      </c>
      <c r="E185" s="89">
        <f t="shared" si="50"/>
        <v>85.012143946769683</v>
      </c>
      <c r="F185" s="87"/>
      <c r="G185" s="13" t="str">
        <f t="shared" si="51"/>
        <v>(80, 90]</v>
      </c>
      <c r="H185" s="85">
        <v>0.41863852429570308</v>
      </c>
      <c r="I185" s="28">
        <f t="shared" si="52"/>
        <v>1.6081663999999999E-2</v>
      </c>
      <c r="J185" s="28">
        <f t="shared" si="53"/>
        <v>1.6081664000000002E-2</v>
      </c>
      <c r="K185" s="86">
        <f t="shared" si="54"/>
        <v>16081664</v>
      </c>
      <c r="L185" s="99">
        <f t="shared" si="55"/>
        <v>1.6081663999999999E-2</v>
      </c>
      <c r="M185" s="99">
        <f t="shared" si="56"/>
        <v>1.3671367348715839</v>
      </c>
      <c r="N185" s="87"/>
      <c r="O185" s="46">
        <v>80</v>
      </c>
      <c r="P185" s="46">
        <v>90</v>
      </c>
      <c r="Q185" s="99">
        <f t="shared" si="57"/>
        <v>1.6081663999999999E-2</v>
      </c>
      <c r="R185" s="99">
        <v>1.6416845110635261E-2</v>
      </c>
      <c r="T185" s="99"/>
      <c r="U185" s="51">
        <f t="shared" si="58"/>
        <v>0</v>
      </c>
    </row>
    <row r="186" spans="1:21" x14ac:dyDescent="0.3">
      <c r="A186" s="13" t="str">
        <f t="shared" si="48"/>
        <v>(90, 100]</v>
      </c>
      <c r="B186" s="95">
        <v>365142</v>
      </c>
      <c r="C186" s="95">
        <v>3469276440</v>
      </c>
      <c r="D186" s="28">
        <f t="shared" si="49"/>
        <v>3.6514199999999997E-2</v>
      </c>
      <c r="E186" s="89">
        <f t="shared" si="50"/>
        <v>95.01170613076556</v>
      </c>
      <c r="F186" s="87"/>
      <c r="G186" s="13" t="str">
        <f t="shared" si="51"/>
        <v>(90, 100]</v>
      </c>
      <c r="H186" s="85">
        <v>0.40279699404615193</v>
      </c>
      <c r="I186" s="28">
        <f t="shared" si="52"/>
        <v>1.470781E-2</v>
      </c>
      <c r="J186" s="28">
        <f t="shared" si="53"/>
        <v>1.4707810000000003E-2</v>
      </c>
      <c r="K186" s="86">
        <f t="shared" si="54"/>
        <v>14707810</v>
      </c>
      <c r="L186" s="99">
        <f t="shared" si="55"/>
        <v>1.470781E-2</v>
      </c>
      <c r="M186" s="99">
        <f t="shared" si="56"/>
        <v>1.397414121547135</v>
      </c>
      <c r="N186" s="87"/>
      <c r="O186" s="46">
        <v>90</v>
      </c>
      <c r="P186" s="46">
        <v>100</v>
      </c>
      <c r="Q186" s="99">
        <f t="shared" si="57"/>
        <v>1.470781E-2</v>
      </c>
      <c r="R186" s="99">
        <v>1.498929336188437E-2</v>
      </c>
      <c r="T186" s="99"/>
      <c r="U186" s="51">
        <f t="shared" si="58"/>
        <v>0</v>
      </c>
    </row>
    <row r="187" spans="1:21" x14ac:dyDescent="0.3">
      <c r="A187" s="13" t="str">
        <f t="shared" si="48"/>
        <v>(100, 120]</v>
      </c>
      <c r="B187" s="95">
        <v>679033</v>
      </c>
      <c r="C187" s="95">
        <v>7460145130</v>
      </c>
      <c r="D187" s="28">
        <f t="shared" si="49"/>
        <v>6.79033E-2</v>
      </c>
      <c r="E187" s="89">
        <f t="shared" si="50"/>
        <v>109.86425004381231</v>
      </c>
      <c r="F187" s="87"/>
      <c r="G187" s="13" t="str">
        <f t="shared" si="51"/>
        <v>(100, 120]</v>
      </c>
      <c r="H187" s="85">
        <v>0.26883691956061045</v>
      </c>
      <c r="I187" s="28">
        <f t="shared" si="52"/>
        <v>1.8254914000000001E-2</v>
      </c>
      <c r="J187" s="28">
        <f t="shared" si="53"/>
        <v>1.8254914000000004E-2</v>
      </c>
      <c r="K187" s="86">
        <f t="shared" si="54"/>
        <v>18254914</v>
      </c>
      <c r="L187" s="99">
        <f t="shared" si="55"/>
        <v>1.8254914000000001E-2</v>
      </c>
      <c r="M187" s="99">
        <f t="shared" si="56"/>
        <v>2.0055624362242899</v>
      </c>
      <c r="N187" s="87"/>
      <c r="O187" s="46">
        <v>100</v>
      </c>
      <c r="P187" s="46">
        <v>120</v>
      </c>
      <c r="Q187" s="99">
        <f t="shared" si="57"/>
        <v>1.8254914000000001E-2</v>
      </c>
      <c r="R187" s="99">
        <v>1.8558172733761601E-2</v>
      </c>
      <c r="T187" s="99"/>
      <c r="U187" s="51">
        <f t="shared" si="58"/>
        <v>0</v>
      </c>
    </row>
    <row r="188" spans="1:21" x14ac:dyDescent="0.3">
      <c r="A188" s="13" t="str">
        <f t="shared" si="48"/>
        <v>(120, 140]</v>
      </c>
      <c r="B188" s="95">
        <v>609891</v>
      </c>
      <c r="C188" s="95">
        <v>7920935080</v>
      </c>
      <c r="D188" s="28">
        <f t="shared" si="49"/>
        <v>6.0989099999999997E-2</v>
      </c>
      <c r="E188" s="89">
        <f t="shared" si="50"/>
        <v>129.87460185508559</v>
      </c>
      <c r="F188" s="87"/>
      <c r="G188" s="13" t="str">
        <f t="shared" si="51"/>
        <v>(120, 140]</v>
      </c>
      <c r="H188" s="85">
        <v>0.18481030216874819</v>
      </c>
      <c r="I188" s="28">
        <f t="shared" si="52"/>
        <v>1.1271414E-2</v>
      </c>
      <c r="J188" s="28">
        <f t="shared" si="53"/>
        <v>1.1271414000000002E-2</v>
      </c>
      <c r="K188" s="86">
        <f t="shared" si="54"/>
        <v>11271414</v>
      </c>
      <c r="L188" s="99">
        <f t="shared" si="55"/>
        <v>1.1271414E-2</v>
      </c>
      <c r="M188" s="99">
        <f t="shared" si="56"/>
        <v>1.4638704055938376</v>
      </c>
      <c r="N188" s="87"/>
      <c r="O188" s="46">
        <v>120</v>
      </c>
      <c r="P188" s="46">
        <v>140</v>
      </c>
      <c r="Q188" s="99">
        <f t="shared" si="57"/>
        <v>1.1271414E-2</v>
      </c>
      <c r="R188" s="99">
        <v>1.142041399000714E-2</v>
      </c>
      <c r="T188" s="99"/>
      <c r="U188" s="51">
        <f t="shared" si="58"/>
        <v>0</v>
      </c>
    </row>
    <row r="189" spans="1:21" x14ac:dyDescent="0.3">
      <c r="A189" s="13" t="str">
        <f t="shared" si="48"/>
        <v>(140, 160]</v>
      </c>
      <c r="B189" s="95">
        <v>545014</v>
      </c>
      <c r="C189" s="95">
        <v>8168260750</v>
      </c>
      <c r="D189" s="28">
        <f t="shared" si="49"/>
        <v>5.4501399999999998E-2</v>
      </c>
      <c r="E189" s="89">
        <f t="shared" si="50"/>
        <v>149.87249410106898</v>
      </c>
      <c r="F189" s="87"/>
      <c r="G189" s="13" t="str">
        <f t="shared" si="51"/>
        <v>(140, 160]</v>
      </c>
      <c r="H189" s="85">
        <v>0.15562633253457708</v>
      </c>
      <c r="I189" s="28">
        <f t="shared" si="52"/>
        <v>8.4818529999999993E-3</v>
      </c>
      <c r="J189" s="28">
        <f t="shared" si="53"/>
        <v>8.481853000000001E-3</v>
      </c>
      <c r="K189" s="86">
        <f t="shared" si="54"/>
        <v>8481853</v>
      </c>
      <c r="L189" s="99">
        <f t="shared" si="55"/>
        <v>8.4818529999999993E-3</v>
      </c>
      <c r="M189" s="99">
        <f t="shared" si="56"/>
        <v>1.2711964637086342</v>
      </c>
      <c r="N189" s="87"/>
      <c r="O189" s="46">
        <v>140</v>
      </c>
      <c r="P189" s="46">
        <v>160</v>
      </c>
      <c r="Q189" s="99">
        <f t="shared" si="57"/>
        <v>8.4818529999999993E-3</v>
      </c>
      <c r="R189" s="99">
        <v>8.5653104925053538E-3</v>
      </c>
      <c r="T189" s="99"/>
      <c r="U189" s="51">
        <f t="shared" si="58"/>
        <v>0</v>
      </c>
    </row>
    <row r="190" spans="1:21" x14ac:dyDescent="0.3">
      <c r="A190" s="13" t="str">
        <f t="shared" si="48"/>
        <v>(160, 180]</v>
      </c>
      <c r="B190" s="95">
        <v>484055</v>
      </c>
      <c r="C190" s="95">
        <v>8222176620</v>
      </c>
      <c r="D190" s="28">
        <f t="shared" si="49"/>
        <v>4.8405499999999997E-2</v>
      </c>
      <c r="E190" s="89">
        <f t="shared" si="50"/>
        <v>169.86037991550546</v>
      </c>
      <c r="F190" s="87"/>
      <c r="G190" s="13" t="str">
        <f t="shared" si="51"/>
        <v>(160, 180]</v>
      </c>
      <c r="H190" s="85">
        <v>7.3254650814473563E-2</v>
      </c>
      <c r="I190" s="28">
        <f t="shared" si="52"/>
        <v>3.5459279999999998E-3</v>
      </c>
      <c r="J190" s="28">
        <f t="shared" si="53"/>
        <v>3.5459280000000007E-3</v>
      </c>
      <c r="K190" s="86">
        <f t="shared" si="54"/>
        <v>3545928</v>
      </c>
      <c r="L190" s="99">
        <f t="shared" si="55"/>
        <v>3.5459279999999998E-3</v>
      </c>
      <c r="M190" s="99">
        <f t="shared" si="56"/>
        <v>0.60231267723302839</v>
      </c>
      <c r="N190" s="87"/>
      <c r="O190" s="46">
        <v>160</v>
      </c>
      <c r="P190" s="46">
        <v>180</v>
      </c>
      <c r="Q190" s="99">
        <f t="shared" si="57"/>
        <v>3.5459279999999998E-3</v>
      </c>
      <c r="R190" s="99">
        <v>3.56887937187723E-3</v>
      </c>
      <c r="T190" s="99"/>
      <c r="U190" s="51">
        <f t="shared" si="58"/>
        <v>0</v>
      </c>
    </row>
    <row r="191" spans="1:21" x14ac:dyDescent="0.3">
      <c r="A191" s="13" t="str">
        <f t="shared" si="48"/>
        <v>(180, 200]</v>
      </c>
      <c r="B191" s="95">
        <v>426491</v>
      </c>
      <c r="C191" s="95">
        <v>8096565520</v>
      </c>
      <c r="D191" s="28">
        <f t="shared" si="49"/>
        <v>4.2649100000000002E-2</v>
      </c>
      <c r="E191" s="89">
        <f t="shared" si="50"/>
        <v>189.84141564534772</v>
      </c>
      <c r="F191" s="87"/>
      <c r="G191" s="13" t="str">
        <f t="shared" si="51"/>
        <v>(180, 200]</v>
      </c>
      <c r="H191" s="85">
        <v>5.0051958892450246E-2</v>
      </c>
      <c r="I191" s="28">
        <f t="shared" si="52"/>
        <v>2.1346709999999999E-3</v>
      </c>
      <c r="J191" s="28">
        <f t="shared" si="53"/>
        <v>2.1346710000000003E-3</v>
      </c>
      <c r="K191" s="86">
        <f t="shared" si="54"/>
        <v>2134671</v>
      </c>
      <c r="L191" s="99">
        <f t="shared" si="55"/>
        <v>2.1346709999999999E-3</v>
      </c>
      <c r="M191" s="99">
        <f t="shared" si="56"/>
        <v>0.40524896457707005</v>
      </c>
      <c r="N191" s="87"/>
      <c r="O191" s="46">
        <v>180</v>
      </c>
      <c r="P191" s="46">
        <v>200</v>
      </c>
      <c r="Q191" s="99">
        <f t="shared" si="57"/>
        <v>2.1346709999999999E-3</v>
      </c>
      <c r="R191" s="99">
        <v>2.141327623126338E-3</v>
      </c>
      <c r="T191" s="99"/>
      <c r="U191" s="51">
        <f t="shared" si="58"/>
        <v>0</v>
      </c>
    </row>
    <row r="192" spans="1:21" x14ac:dyDescent="0.3">
      <c r="A192" s="13" t="str">
        <f t="shared" si="48"/>
        <v>(200, 250]</v>
      </c>
      <c r="B192" s="95">
        <v>852744</v>
      </c>
      <c r="C192" s="95">
        <v>19070668010</v>
      </c>
      <c r="D192" s="28">
        <f t="shared" si="49"/>
        <v>8.52744E-2</v>
      </c>
      <c r="E192" s="89">
        <f t="shared" si="50"/>
        <v>223.63884131697202</v>
      </c>
      <c r="F192" s="87"/>
      <c r="G192" s="13" t="str">
        <f t="shared" si="51"/>
        <v>(200, 250]</v>
      </c>
      <c r="H192" s="85">
        <v>7.5524166690120367E-2</v>
      </c>
      <c r="I192" s="28">
        <f t="shared" si="52"/>
        <v>6.4402780000000007E-3</v>
      </c>
      <c r="J192" s="28">
        <f t="shared" si="53"/>
        <v>6.4402780000000024E-3</v>
      </c>
      <c r="K192" s="86">
        <f t="shared" si="54"/>
        <v>6440278</v>
      </c>
      <c r="L192" s="99">
        <f t="shared" si="55"/>
        <v>6.4402779999999998E-3</v>
      </c>
      <c r="M192" s="99">
        <f t="shared" si="56"/>
        <v>1.4402963096791859</v>
      </c>
      <c r="N192" s="87"/>
      <c r="O192" s="46">
        <v>200</v>
      </c>
      <c r="P192" s="46">
        <v>250</v>
      </c>
      <c r="Q192" s="99">
        <f t="shared" si="57"/>
        <v>6.4402779999999998E-3</v>
      </c>
      <c r="R192" s="99">
        <v>6.4239828693790149E-3</v>
      </c>
      <c r="T192" s="99"/>
      <c r="U192" s="51">
        <f t="shared" si="58"/>
        <v>0</v>
      </c>
    </row>
    <row r="193" spans="1:21" x14ac:dyDescent="0.3">
      <c r="A193" s="13" t="str">
        <f t="shared" si="48"/>
        <v>(250, 300]</v>
      </c>
      <c r="B193" s="95">
        <v>607116</v>
      </c>
      <c r="C193" s="95">
        <v>16610292080</v>
      </c>
      <c r="D193" s="28">
        <f t="shared" si="49"/>
        <v>6.0711599999999998E-2</v>
      </c>
      <c r="E193" s="89">
        <f t="shared" si="50"/>
        <v>273.59338380144817</v>
      </c>
      <c r="F193" s="87"/>
      <c r="G193" s="13" t="str">
        <f t="shared" si="51"/>
        <v>(250, 300]</v>
      </c>
      <c r="H193" s="85">
        <v>1.1885438697052953E-2</v>
      </c>
      <c r="I193" s="28">
        <f t="shared" si="52"/>
        <v>7.2158400000000005E-4</v>
      </c>
      <c r="J193" s="28">
        <f t="shared" si="53"/>
        <v>7.2158400000000016E-4</v>
      </c>
      <c r="K193" s="86">
        <f t="shared" si="54"/>
        <v>721584</v>
      </c>
      <c r="L193" s="99">
        <f t="shared" si="55"/>
        <v>7.2158400000000005E-4</v>
      </c>
      <c r="M193" s="99">
        <f t="shared" si="56"/>
        <v>0.19742060825698418</v>
      </c>
      <c r="N193" s="87"/>
      <c r="O193" s="46">
        <v>250</v>
      </c>
      <c r="P193" s="46">
        <v>300</v>
      </c>
      <c r="Q193" s="99">
        <f t="shared" si="57"/>
        <v>7.2158400000000005E-4</v>
      </c>
      <c r="R193" s="99">
        <v>7.1377587437544611E-4</v>
      </c>
      <c r="T193" s="99"/>
      <c r="U193" s="51">
        <f t="shared" si="58"/>
        <v>0</v>
      </c>
    </row>
    <row r="194" spans="1:21" x14ac:dyDescent="0.3">
      <c r="A194" s="13" t="str">
        <f t="shared" si="48"/>
        <v>(300, 350]</v>
      </c>
      <c r="B194" s="95">
        <v>423712</v>
      </c>
      <c r="C194" s="95">
        <v>13708813040</v>
      </c>
      <c r="D194" s="28">
        <f t="shared" si="49"/>
        <v>4.2371199999999998E-2</v>
      </c>
      <c r="E194" s="89">
        <f t="shared" si="50"/>
        <v>323.54082584396951</v>
      </c>
      <c r="F194" s="87"/>
      <c r="G194" s="13" t="str">
        <f t="shared" si="51"/>
        <v>(300, 350]</v>
      </c>
      <c r="H194" s="85">
        <v>5.4654812702968061E-3</v>
      </c>
      <c r="I194" s="28">
        <f t="shared" si="52"/>
        <v>2.3157900000000001E-4</v>
      </c>
      <c r="J194" s="28">
        <f t="shared" si="53"/>
        <v>2.3157900000000007E-4</v>
      </c>
      <c r="K194" s="86">
        <f t="shared" si="54"/>
        <v>231579</v>
      </c>
      <c r="L194" s="99">
        <f t="shared" si="55"/>
        <v>2.3157900000000001E-4</v>
      </c>
      <c r="M194" s="99">
        <f t="shared" si="56"/>
        <v>7.4925260908120614E-2</v>
      </c>
      <c r="N194" s="87"/>
      <c r="O194" s="46">
        <v>300</v>
      </c>
      <c r="P194" s="46">
        <v>350</v>
      </c>
      <c r="Q194" s="99">
        <f t="shared" si="57"/>
        <v>2.3157900000000001E-4</v>
      </c>
      <c r="R194" s="99">
        <v>0</v>
      </c>
      <c r="T194" s="99"/>
      <c r="U194" s="51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5">
        <v>293603</v>
      </c>
      <c r="C195" s="95">
        <v>10965740050</v>
      </c>
      <c r="D195" s="28">
        <f t="shared" ref="D195:D226" si="60">IFERROR(B195/SUM($B$163:$B$226),0)</f>
        <v>2.9360299999999999E-2</v>
      </c>
      <c r="E195" s="89">
        <f t="shared" ref="E195:E226" si="61">IFERROR(C195/B195/$B$3,0)</f>
        <v>373.48869221363543</v>
      </c>
      <c r="F195" s="87"/>
      <c r="G195" s="13" t="str">
        <f t="shared" ref="G195:G226" si="62">"("&amp;$O195&amp;", "&amp;$P195&amp;"]"</f>
        <v>(350, 400]</v>
      </c>
      <c r="H195" s="85">
        <v>4.9980994744604108E-2</v>
      </c>
      <c r="I195" s="28">
        <f t="shared" ref="I195:I226" si="63">D195*H195</f>
        <v>1.4674569999999999E-3</v>
      </c>
      <c r="J195" s="28">
        <f t="shared" ref="J195:J226" si="64">IFERROR(I195/SUM($I$163:$I$226),0)</f>
        <v>1.4674570000000004E-3</v>
      </c>
      <c r="K195" s="86">
        <f t="shared" ref="K195:K226" si="65">INT(J195*$B$2)</f>
        <v>1467457</v>
      </c>
      <c r="L195" s="99">
        <f t="shared" ref="L195:L226" si="66">IFERROR(K195/SUM($K$163:$K$226),0)</f>
        <v>1.4674569999999999E-3</v>
      </c>
      <c r="M195" s="99">
        <f t="shared" ref="M195:M226" si="67">L195*E195</f>
        <v>0.54807859580974483</v>
      </c>
      <c r="N195" s="87"/>
      <c r="O195" s="46">
        <v>350</v>
      </c>
      <c r="P195" s="46">
        <v>400</v>
      </c>
      <c r="Q195" s="99">
        <f t="shared" ref="Q195:Q226" si="68">L195</f>
        <v>1.4674569999999999E-3</v>
      </c>
      <c r="R195" s="99">
        <v>1.427551748750892E-3</v>
      </c>
      <c r="T195" s="99"/>
      <c r="U195" s="51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5">
        <v>202430</v>
      </c>
      <c r="C196" s="95">
        <v>8573086060</v>
      </c>
      <c r="D196" s="28">
        <f t="shared" si="60"/>
        <v>2.0243000000000001E-2</v>
      </c>
      <c r="E196" s="89">
        <f t="shared" si="61"/>
        <v>423.50867262757498</v>
      </c>
      <c r="F196" s="87"/>
      <c r="G196" s="13" t="str">
        <f t="shared" si="62"/>
        <v>(400, 450]</v>
      </c>
      <c r="H196" s="85">
        <v>8.7395642938299656E-3</v>
      </c>
      <c r="I196" s="28">
        <f t="shared" si="63"/>
        <v>1.7691500000000001E-4</v>
      </c>
      <c r="J196" s="28">
        <f t="shared" si="64"/>
        <v>1.7691500000000004E-4</v>
      </c>
      <c r="K196" s="86">
        <f t="shared" si="65"/>
        <v>176915</v>
      </c>
      <c r="L196" s="99">
        <f t="shared" si="66"/>
        <v>1.7691500000000001E-4</v>
      </c>
      <c r="M196" s="99">
        <f t="shared" si="67"/>
        <v>7.4925036817907437E-2</v>
      </c>
      <c r="N196" s="87"/>
      <c r="O196" s="46">
        <v>400</v>
      </c>
      <c r="P196" s="46">
        <v>450</v>
      </c>
      <c r="Q196" s="99">
        <f t="shared" si="68"/>
        <v>1.7691500000000001E-4</v>
      </c>
      <c r="R196" s="99">
        <v>0</v>
      </c>
      <c r="T196" s="99"/>
      <c r="U196" s="51">
        <f t="shared" si="69"/>
        <v>0</v>
      </c>
    </row>
    <row r="197" spans="1:21" x14ac:dyDescent="0.3">
      <c r="A197" s="13" t="str">
        <f t="shared" si="59"/>
        <v>(450, 500]</v>
      </c>
      <c r="B197" s="95">
        <v>139919</v>
      </c>
      <c r="C197" s="95">
        <v>6625607680</v>
      </c>
      <c r="D197" s="28">
        <f t="shared" si="60"/>
        <v>1.39919E-2</v>
      </c>
      <c r="E197" s="89">
        <f t="shared" si="61"/>
        <v>473.531663319492</v>
      </c>
      <c r="F197" s="87"/>
      <c r="G197" s="13" t="str">
        <f t="shared" si="62"/>
        <v>(450, 500]</v>
      </c>
      <c r="H197" s="85">
        <v>5.3323422837498843E-2</v>
      </c>
      <c r="I197" s="28">
        <f t="shared" si="63"/>
        <v>7.4609600000000002E-4</v>
      </c>
      <c r="J197" s="28">
        <f t="shared" si="64"/>
        <v>7.4609600000000024E-4</v>
      </c>
      <c r="K197" s="86">
        <f t="shared" si="65"/>
        <v>746096</v>
      </c>
      <c r="L197" s="99">
        <f t="shared" si="66"/>
        <v>7.4609600000000002E-4</v>
      </c>
      <c r="M197" s="99">
        <f t="shared" si="67"/>
        <v>0.35330007987601969</v>
      </c>
      <c r="N197" s="87"/>
      <c r="O197" s="46">
        <v>450</v>
      </c>
      <c r="P197" s="46">
        <v>500</v>
      </c>
      <c r="Q197" s="99">
        <f t="shared" si="68"/>
        <v>7.4609600000000002E-4</v>
      </c>
      <c r="R197" s="99">
        <v>7.1377587437544611E-4</v>
      </c>
      <c r="T197" s="99"/>
      <c r="U197" s="51">
        <f t="shared" si="69"/>
        <v>0</v>
      </c>
    </row>
    <row r="198" spans="1:21" x14ac:dyDescent="0.3">
      <c r="A198" s="13" t="str">
        <f t="shared" si="59"/>
        <v>(500, 550]</v>
      </c>
      <c r="B198" s="95">
        <v>95974</v>
      </c>
      <c r="C198" s="95">
        <v>5023423190</v>
      </c>
      <c r="D198" s="28">
        <f t="shared" si="60"/>
        <v>9.5974000000000007E-3</v>
      </c>
      <c r="E198" s="89">
        <f t="shared" si="61"/>
        <v>523.41500718944712</v>
      </c>
      <c r="F198" s="87"/>
      <c r="G198" s="13" t="str">
        <f t="shared" si="62"/>
        <v>(500, 550]</v>
      </c>
      <c r="H198" s="85">
        <v>1.4915185362702397E-2</v>
      </c>
      <c r="I198" s="28">
        <f t="shared" si="63"/>
        <v>1.4314699999999999E-4</v>
      </c>
      <c r="J198" s="28">
        <f t="shared" si="64"/>
        <v>1.4314700000000002E-4</v>
      </c>
      <c r="K198" s="86">
        <f t="shared" si="65"/>
        <v>143147</v>
      </c>
      <c r="L198" s="99">
        <f t="shared" si="66"/>
        <v>1.4314699999999999E-4</v>
      </c>
      <c r="M198" s="99">
        <f t="shared" si="67"/>
        <v>7.4925288034147788E-2</v>
      </c>
      <c r="N198" s="87"/>
      <c r="O198" s="46">
        <v>500</v>
      </c>
      <c r="P198" s="46">
        <v>550</v>
      </c>
      <c r="Q198" s="99">
        <f t="shared" si="68"/>
        <v>1.4314699999999999E-4</v>
      </c>
      <c r="R198" s="99">
        <v>0</v>
      </c>
      <c r="T198" s="99"/>
      <c r="U198" s="51">
        <f t="shared" si="69"/>
        <v>0</v>
      </c>
    </row>
    <row r="199" spans="1:21" x14ac:dyDescent="0.3">
      <c r="A199" s="13" t="str">
        <f t="shared" si="59"/>
        <v>(550, 600]</v>
      </c>
      <c r="B199" s="95">
        <v>65470</v>
      </c>
      <c r="C199" s="95">
        <v>3754734840</v>
      </c>
      <c r="D199" s="28">
        <f t="shared" si="60"/>
        <v>6.5469999999999999E-3</v>
      </c>
      <c r="E199" s="89">
        <f t="shared" si="61"/>
        <v>573.5046341835955</v>
      </c>
      <c r="F199" s="87"/>
      <c r="G199" s="13" t="str">
        <f t="shared" si="62"/>
        <v>(550, 600]</v>
      </c>
      <c r="H199" s="85">
        <v>1.9954941194440204E-2</v>
      </c>
      <c r="I199" s="28">
        <f t="shared" si="63"/>
        <v>1.3064500000000001E-4</v>
      </c>
      <c r="J199" s="28">
        <f t="shared" si="64"/>
        <v>1.3064500000000003E-4</v>
      </c>
      <c r="K199" s="86">
        <f t="shared" si="65"/>
        <v>130645</v>
      </c>
      <c r="L199" s="99">
        <f t="shared" si="66"/>
        <v>1.3064500000000001E-4</v>
      </c>
      <c r="M199" s="99">
        <f t="shared" si="67"/>
        <v>7.4925512932915841E-2</v>
      </c>
      <c r="N199" s="87"/>
      <c r="O199" s="46">
        <v>550</v>
      </c>
      <c r="P199" s="46">
        <v>600</v>
      </c>
      <c r="Q199" s="99">
        <f t="shared" si="68"/>
        <v>1.3064500000000001E-4</v>
      </c>
      <c r="R199" s="99">
        <v>0</v>
      </c>
      <c r="T199" s="99"/>
      <c r="U199" s="51">
        <f t="shared" si="69"/>
        <v>0</v>
      </c>
    </row>
    <row r="200" spans="1:21" x14ac:dyDescent="0.3">
      <c r="A200" s="13" t="str">
        <f t="shared" si="59"/>
        <v>(600, 650]</v>
      </c>
      <c r="B200" s="95">
        <v>44715</v>
      </c>
      <c r="C200" s="95">
        <v>2788244020</v>
      </c>
      <c r="D200" s="28">
        <f t="shared" si="60"/>
        <v>4.4714999999999998E-3</v>
      </c>
      <c r="E200" s="89">
        <f t="shared" si="61"/>
        <v>623.55898915352782</v>
      </c>
      <c r="F200" s="87"/>
      <c r="G200" s="13" t="str">
        <f t="shared" si="62"/>
        <v>(600, 650]</v>
      </c>
      <c r="H200" s="85">
        <v>2.6871966901487198E-2</v>
      </c>
      <c r="I200" s="28">
        <f t="shared" si="63"/>
        <v>1.20158E-4</v>
      </c>
      <c r="J200" s="28">
        <f t="shared" si="64"/>
        <v>1.2015800000000002E-4</v>
      </c>
      <c r="K200" s="86">
        <f t="shared" si="65"/>
        <v>120158</v>
      </c>
      <c r="L200" s="99">
        <f t="shared" si="66"/>
        <v>1.20158E-4</v>
      </c>
      <c r="M200" s="99">
        <f t="shared" si="67"/>
        <v>7.4925601018709598E-2</v>
      </c>
      <c r="N200" s="87"/>
      <c r="O200" s="46">
        <v>600</v>
      </c>
      <c r="P200" s="46">
        <v>650</v>
      </c>
      <c r="Q200" s="99">
        <f t="shared" si="68"/>
        <v>1.20158E-4</v>
      </c>
      <c r="R200" s="99">
        <v>0</v>
      </c>
      <c r="T200" s="99"/>
      <c r="U200" s="51">
        <f t="shared" si="69"/>
        <v>0</v>
      </c>
    </row>
    <row r="201" spans="1:21" x14ac:dyDescent="0.3">
      <c r="A201" s="13" t="str">
        <f t="shared" si="59"/>
        <v>(650, 700]</v>
      </c>
      <c r="B201" s="95">
        <v>30734</v>
      </c>
      <c r="C201" s="95">
        <v>2069547890</v>
      </c>
      <c r="D201" s="28">
        <f t="shared" si="60"/>
        <v>3.0734E-3</v>
      </c>
      <c r="E201" s="89">
        <f t="shared" si="61"/>
        <v>673.37407756881623</v>
      </c>
      <c r="F201" s="87"/>
      <c r="G201" s="13" t="str">
        <f t="shared" si="62"/>
        <v>(650, 700]</v>
      </c>
      <c r="H201" s="85">
        <v>3.6203878440814734E-2</v>
      </c>
      <c r="I201" s="28">
        <f t="shared" si="63"/>
        <v>1.1126900000000001E-4</v>
      </c>
      <c r="J201" s="28">
        <f t="shared" si="64"/>
        <v>1.1126900000000004E-4</v>
      </c>
      <c r="K201" s="86">
        <f t="shared" si="65"/>
        <v>111269</v>
      </c>
      <c r="L201" s="99">
        <f t="shared" si="66"/>
        <v>1.1126899999999999E-4</v>
      </c>
      <c r="M201" s="99">
        <f t="shared" si="67"/>
        <v>7.4925660237004615E-2</v>
      </c>
      <c r="N201" s="87"/>
      <c r="O201" s="46">
        <v>650</v>
      </c>
      <c r="P201" s="46">
        <v>700</v>
      </c>
      <c r="Q201" s="99">
        <f t="shared" si="68"/>
        <v>1.1126899999999999E-4</v>
      </c>
      <c r="R201" s="99">
        <v>0</v>
      </c>
      <c r="T201" s="99"/>
      <c r="U201" s="51">
        <f t="shared" si="69"/>
        <v>0</v>
      </c>
    </row>
    <row r="202" spans="1:21" x14ac:dyDescent="0.3">
      <c r="A202" s="13" t="str">
        <f t="shared" si="59"/>
        <v>(700, 750]</v>
      </c>
      <c r="B202" s="95">
        <v>20803</v>
      </c>
      <c r="C202" s="95">
        <v>1505440000</v>
      </c>
      <c r="D202" s="28">
        <f t="shared" si="60"/>
        <v>2.0803000000000002E-3</v>
      </c>
      <c r="E202" s="89">
        <f t="shared" si="61"/>
        <v>723.66485603038018</v>
      </c>
      <c r="F202" s="87"/>
      <c r="G202" s="13" t="str">
        <f t="shared" si="62"/>
        <v>(700, 750]</v>
      </c>
      <c r="H202" s="85">
        <v>4.9769744748353599E-2</v>
      </c>
      <c r="I202" s="28">
        <f t="shared" si="63"/>
        <v>1.0353600000000001E-4</v>
      </c>
      <c r="J202" s="28">
        <f t="shared" si="64"/>
        <v>1.0353600000000003E-4</v>
      </c>
      <c r="K202" s="86">
        <f t="shared" si="65"/>
        <v>103536</v>
      </c>
      <c r="L202" s="99">
        <f t="shared" si="66"/>
        <v>1.0353600000000001E-4</v>
      </c>
      <c r="M202" s="99">
        <f t="shared" si="67"/>
        <v>7.4925364533961453E-2</v>
      </c>
      <c r="N202" s="87"/>
      <c r="O202" s="46">
        <v>700</v>
      </c>
      <c r="P202" s="46">
        <v>750</v>
      </c>
      <c r="Q202" s="99">
        <f t="shared" si="68"/>
        <v>1.0353600000000001E-4</v>
      </c>
      <c r="R202" s="99">
        <v>0</v>
      </c>
      <c r="T202" s="99"/>
      <c r="U202" s="51">
        <f t="shared" si="69"/>
        <v>0</v>
      </c>
    </row>
    <row r="203" spans="1:21" x14ac:dyDescent="0.3">
      <c r="A203" s="13" t="str">
        <f t="shared" si="59"/>
        <v>(750, 800]</v>
      </c>
      <c r="B203" s="95">
        <v>14560</v>
      </c>
      <c r="C203" s="95">
        <v>1126086830</v>
      </c>
      <c r="D203" s="28">
        <f t="shared" si="60"/>
        <v>1.456E-3</v>
      </c>
      <c r="E203" s="89">
        <f t="shared" si="61"/>
        <v>773.41128434065934</v>
      </c>
      <c r="F203" s="87"/>
      <c r="G203" s="13" t="str">
        <f t="shared" si="62"/>
        <v>(750, 800]</v>
      </c>
      <c r="H203" s="85">
        <v>0.53875686813186818</v>
      </c>
      <c r="I203" s="28">
        <f t="shared" si="63"/>
        <v>7.8443000000000013E-4</v>
      </c>
      <c r="J203" s="28">
        <f t="shared" si="64"/>
        <v>7.8443000000000035E-4</v>
      </c>
      <c r="K203" s="86">
        <f t="shared" si="65"/>
        <v>784430</v>
      </c>
      <c r="L203" s="99">
        <f t="shared" si="66"/>
        <v>7.8443000000000002E-4</v>
      </c>
      <c r="M203" s="99">
        <f t="shared" si="67"/>
        <v>0.6066870137753434</v>
      </c>
      <c r="N203" s="87"/>
      <c r="O203" s="46">
        <v>750</v>
      </c>
      <c r="P203" s="46">
        <v>800</v>
      </c>
      <c r="Q203" s="99">
        <f t="shared" si="68"/>
        <v>7.8443000000000002E-4</v>
      </c>
      <c r="R203" s="99">
        <v>7.1377587437544611E-4</v>
      </c>
      <c r="T203" s="99"/>
      <c r="U203" s="51">
        <f t="shared" si="69"/>
        <v>0</v>
      </c>
    </row>
    <row r="204" spans="1:21" x14ac:dyDescent="0.3">
      <c r="A204" s="13" t="str">
        <f t="shared" si="59"/>
        <v>(800, 850]</v>
      </c>
      <c r="B204" s="95">
        <v>10068</v>
      </c>
      <c r="C204" s="95">
        <v>829075630</v>
      </c>
      <c r="D204" s="28">
        <f t="shared" si="60"/>
        <v>1.0068E-3</v>
      </c>
      <c r="E204" s="89">
        <f t="shared" si="61"/>
        <v>823.47599324592773</v>
      </c>
      <c r="F204" s="87"/>
      <c r="G204" s="13" t="str">
        <f t="shared" si="62"/>
        <v>(800, 850]</v>
      </c>
      <c r="H204" s="85">
        <v>9.0372467222884389E-2</v>
      </c>
      <c r="I204" s="28">
        <f t="shared" si="63"/>
        <v>9.0987000000000001E-5</v>
      </c>
      <c r="J204" s="28">
        <f t="shared" si="64"/>
        <v>9.0987000000000015E-5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7.4925610197467227E-2</v>
      </c>
      <c r="N204" s="87"/>
      <c r="O204" s="46">
        <v>800</v>
      </c>
      <c r="P204" s="46">
        <v>850</v>
      </c>
      <c r="Q204" s="99">
        <f t="shared" si="68"/>
        <v>9.0987000000000001E-5</v>
      </c>
      <c r="R204" s="99">
        <v>0</v>
      </c>
      <c r="T204" s="99"/>
      <c r="U204" s="51">
        <f t="shared" si="69"/>
        <v>0</v>
      </c>
    </row>
    <row r="205" spans="1:21" x14ac:dyDescent="0.3">
      <c r="A205" s="13" t="str">
        <f t="shared" si="59"/>
        <v>(850, 900]</v>
      </c>
      <c r="B205" s="95">
        <v>7132</v>
      </c>
      <c r="C205" s="95">
        <v>623160140</v>
      </c>
      <c r="D205" s="28">
        <f t="shared" si="60"/>
        <v>7.1319999999999999E-4</v>
      </c>
      <c r="E205" s="89">
        <f t="shared" si="61"/>
        <v>873.75229949523271</v>
      </c>
      <c r="F205" s="87"/>
      <c r="G205" s="13" t="str">
        <f t="shared" si="62"/>
        <v>(850, 900]</v>
      </c>
      <c r="H205" s="85">
        <v>0.12023415591699384</v>
      </c>
      <c r="I205" s="28">
        <f t="shared" si="63"/>
        <v>8.5750999999999999E-5</v>
      </c>
      <c r="J205" s="28">
        <f t="shared" si="64"/>
        <v>8.5751000000000013E-5</v>
      </c>
      <c r="K205" s="91">
        <f t="shared" si="65"/>
        <v>85751</v>
      </c>
      <c r="L205" s="99">
        <f t="shared" si="66"/>
        <v>8.5750999999999999E-5</v>
      </c>
      <c r="M205" s="99">
        <f t="shared" si="67"/>
        <v>7.4925133434015703E-2</v>
      </c>
      <c r="N205" s="87"/>
      <c r="O205" s="46">
        <v>850</v>
      </c>
      <c r="P205" s="46">
        <v>900</v>
      </c>
      <c r="Q205" s="99">
        <f t="shared" si="68"/>
        <v>8.5750999999999999E-5</v>
      </c>
      <c r="R205" s="99">
        <v>0</v>
      </c>
      <c r="T205" s="99"/>
      <c r="U205" s="51">
        <f t="shared" si="69"/>
        <v>0</v>
      </c>
    </row>
    <row r="206" spans="1:21" x14ac:dyDescent="0.3">
      <c r="A206" s="13" t="str">
        <f t="shared" si="59"/>
        <v>(900, 950]</v>
      </c>
      <c r="B206" s="95">
        <v>4894</v>
      </c>
      <c r="C206" s="95">
        <v>452083530</v>
      </c>
      <c r="D206" s="28">
        <f t="shared" si="60"/>
        <v>4.8939999999999997E-4</v>
      </c>
      <c r="E206" s="89">
        <f t="shared" si="61"/>
        <v>923.75057212913771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0</v>
      </c>
      <c r="T206" s="99"/>
      <c r="U206" s="51">
        <f t="shared" si="69"/>
        <v>0</v>
      </c>
    </row>
    <row r="207" spans="1:21" x14ac:dyDescent="0.3">
      <c r="A207" s="13" t="str">
        <f t="shared" si="59"/>
        <v>(950, 1000]</v>
      </c>
      <c r="B207" s="95">
        <v>3527</v>
      </c>
      <c r="C207" s="95">
        <v>343454650</v>
      </c>
      <c r="D207" s="28">
        <f t="shared" si="60"/>
        <v>3.5270000000000001E-4</v>
      </c>
      <c r="E207" s="89">
        <f t="shared" si="61"/>
        <v>973.78692940175779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 x14ac:dyDescent="0.3">
      <c r="A208" s="13" t="str">
        <f t="shared" si="59"/>
        <v>(1000, 2000]</v>
      </c>
      <c r="B208" s="95">
        <v>8770</v>
      </c>
      <c r="C208" s="95">
        <v>1021730960</v>
      </c>
      <c r="D208" s="28">
        <f t="shared" si="60"/>
        <v>8.7699999999999996E-4</v>
      </c>
      <c r="E208" s="89">
        <f t="shared" si="61"/>
        <v>1165.0296009122007</v>
      </c>
      <c r="F208" s="87"/>
      <c r="G208" s="13" t="str">
        <f t="shared" si="62"/>
        <v>(1000, 2000]</v>
      </c>
      <c r="H208" s="85">
        <v>7.3331812998859755E-2</v>
      </c>
      <c r="I208" s="28">
        <f t="shared" si="63"/>
        <v>6.4312000000000004E-5</v>
      </c>
      <c r="J208" s="28">
        <f t="shared" si="64"/>
        <v>6.4312000000000017E-5</v>
      </c>
      <c r="K208" s="91">
        <f t="shared" si="65"/>
        <v>64312</v>
      </c>
      <c r="L208" s="99">
        <f t="shared" si="66"/>
        <v>6.4312000000000004E-5</v>
      </c>
      <c r="M208" s="99">
        <f t="shared" si="67"/>
        <v>7.4925383693865463E-2</v>
      </c>
      <c r="N208" s="87"/>
      <c r="O208" s="46">
        <v>1000</v>
      </c>
      <c r="P208" s="46">
        <v>2000</v>
      </c>
      <c r="Q208" s="99">
        <f t="shared" si="68"/>
        <v>6.4312000000000004E-5</v>
      </c>
      <c r="R208" s="99">
        <v>0</v>
      </c>
      <c r="T208" s="99"/>
      <c r="U208" s="51">
        <f t="shared" si="69"/>
        <v>0</v>
      </c>
    </row>
    <row r="209" spans="1:21" x14ac:dyDescent="0.3">
      <c r="A209" s="13" t="str">
        <f t="shared" si="59"/>
        <v>(2000, 3000]</v>
      </c>
      <c r="B209" s="95">
        <v>65</v>
      </c>
      <c r="C209" s="95">
        <v>14681080</v>
      </c>
      <c r="D209" s="28">
        <f t="shared" si="60"/>
        <v>6.4999999999999996E-6</v>
      </c>
      <c r="E209" s="89">
        <f t="shared" si="61"/>
        <v>2258.6276923076921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 x14ac:dyDescent="0.3">
      <c r="A210" s="13" t="str">
        <f t="shared" si="59"/>
        <v>(3000, 4000]</v>
      </c>
      <c r="B210" s="95">
        <v>3</v>
      </c>
      <c r="C210" s="95">
        <v>982350</v>
      </c>
      <c r="D210" s="28">
        <f t="shared" si="60"/>
        <v>2.9999999999999999E-7</v>
      </c>
      <c r="E210" s="89">
        <f t="shared" si="61"/>
        <v>3274.5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 x14ac:dyDescent="0.3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 x14ac:dyDescent="0.3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 x14ac:dyDescent="0.3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 x14ac:dyDescent="0.3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 x14ac:dyDescent="0.3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 x14ac:dyDescent="0.3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 x14ac:dyDescent="0.3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 x14ac:dyDescent="0.3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 x14ac:dyDescent="0.3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 x14ac:dyDescent="0.3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 x14ac:dyDescent="0.3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 x14ac:dyDescent="0.3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 x14ac:dyDescent="0.3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 x14ac:dyDescent="0.3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 x14ac:dyDescent="0.3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 x14ac:dyDescent="0.3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 x14ac:dyDescent="0.3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 x14ac:dyDescent="0.3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 x14ac:dyDescent="0.3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 x14ac:dyDescent="0.3">
      <c r="A234" s="13" t="str">
        <f t="shared" ref="A234:A265" si="70">"("&amp;$O234&amp;", "&amp;$P234&amp;"]"</f>
        <v>(-1, 0]</v>
      </c>
      <c r="B234" s="101">
        <v>195754</v>
      </c>
      <c r="C234" s="101">
        <v>0</v>
      </c>
      <c r="D234" s="28">
        <f t="shared" ref="D234:D265" si="71">IFERROR(B234/SUM($B$234:$B$297),0)</f>
        <v>1.9575399999999998E-3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0</v>
      </c>
      <c r="T234" s="99"/>
      <c r="U234" s="51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102">
        <v>478729</v>
      </c>
      <c r="C235" s="102">
        <v>26543430</v>
      </c>
      <c r="D235" s="28">
        <f t="shared" si="71"/>
        <v>4.7872899999999996E-3</v>
      </c>
      <c r="E235" s="89">
        <f t="shared" si="72"/>
        <v>0.55445627902216077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0</v>
      </c>
      <c r="T235" s="99"/>
      <c r="U235" s="51">
        <f t="shared" si="80"/>
        <v>0</v>
      </c>
    </row>
    <row r="236" spans="1:21" x14ac:dyDescent="0.3">
      <c r="A236" s="13" t="str">
        <f t="shared" si="70"/>
        <v>(1, 2]</v>
      </c>
      <c r="B236" s="102">
        <v>384230</v>
      </c>
      <c r="C236" s="102">
        <v>59742040</v>
      </c>
      <c r="D236" s="28">
        <f t="shared" si="71"/>
        <v>3.8422999999999999E-3</v>
      </c>
      <c r="E236" s="89">
        <f t="shared" si="72"/>
        <v>1.5548510007027041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0</v>
      </c>
      <c r="T236" s="99"/>
      <c r="U236" s="51">
        <f t="shared" si="80"/>
        <v>0</v>
      </c>
    </row>
    <row r="237" spans="1:21" x14ac:dyDescent="0.3">
      <c r="A237" s="13" t="str">
        <f t="shared" si="70"/>
        <v>(2, 3]</v>
      </c>
      <c r="B237" s="102">
        <v>328172</v>
      </c>
      <c r="C237" s="102">
        <v>83924660</v>
      </c>
      <c r="D237" s="28">
        <f t="shared" si="71"/>
        <v>3.2817200000000001E-3</v>
      </c>
      <c r="E237" s="89">
        <f t="shared" si="72"/>
        <v>2.5573376156405789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0</v>
      </c>
      <c r="T237" s="99"/>
      <c r="U237" s="51">
        <f t="shared" si="80"/>
        <v>0</v>
      </c>
    </row>
    <row r="238" spans="1:21" x14ac:dyDescent="0.3">
      <c r="A238" s="13" t="str">
        <f t="shared" si="70"/>
        <v>(3, 4]</v>
      </c>
      <c r="B238" s="102">
        <v>272197</v>
      </c>
      <c r="C238" s="102">
        <v>96997270</v>
      </c>
      <c r="D238" s="28">
        <f t="shared" si="71"/>
        <v>2.7219700000000002E-3</v>
      </c>
      <c r="E238" s="89">
        <f t="shared" si="72"/>
        <v>3.5634951891460962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0</v>
      </c>
      <c r="T238" s="99"/>
      <c r="U238" s="51">
        <f t="shared" si="80"/>
        <v>0</v>
      </c>
    </row>
    <row r="239" spans="1:21" x14ac:dyDescent="0.3">
      <c r="A239" s="13" t="str">
        <f t="shared" si="70"/>
        <v>(4, 5]</v>
      </c>
      <c r="B239" s="102">
        <v>249956</v>
      </c>
      <c r="C239" s="102">
        <v>114125840</v>
      </c>
      <c r="D239" s="28">
        <f t="shared" si="71"/>
        <v>2.4995600000000001E-3</v>
      </c>
      <c r="E239" s="89">
        <f t="shared" si="72"/>
        <v>4.5658371873449726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0</v>
      </c>
      <c r="T239" s="99"/>
      <c r="U239" s="51">
        <f t="shared" si="80"/>
        <v>0</v>
      </c>
    </row>
    <row r="240" spans="1:21" x14ac:dyDescent="0.3">
      <c r="A240" s="13" t="str">
        <f t="shared" si="70"/>
        <v>(5, 6]</v>
      </c>
      <c r="B240" s="102">
        <v>225348</v>
      </c>
      <c r="C240" s="102">
        <v>125291520</v>
      </c>
      <c r="D240" s="28">
        <f t="shared" si="71"/>
        <v>2.25348E-3</v>
      </c>
      <c r="E240" s="89">
        <f t="shared" si="72"/>
        <v>5.5599126684061977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0</v>
      </c>
      <c r="T240" s="99"/>
      <c r="U240" s="51">
        <f t="shared" si="80"/>
        <v>0</v>
      </c>
    </row>
    <row r="241" spans="1:21" x14ac:dyDescent="0.3">
      <c r="A241" s="13" t="str">
        <f t="shared" si="70"/>
        <v>(6, 7]</v>
      </c>
      <c r="B241" s="102">
        <v>201930</v>
      </c>
      <c r="C241" s="102">
        <v>132377980</v>
      </c>
      <c r="D241" s="28">
        <f t="shared" si="71"/>
        <v>2.0192999999999999E-3</v>
      </c>
      <c r="E241" s="89">
        <f t="shared" si="72"/>
        <v>6.5556371019660276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0</v>
      </c>
      <c r="T241" s="99"/>
      <c r="U241" s="51">
        <f t="shared" si="80"/>
        <v>0</v>
      </c>
    </row>
    <row r="242" spans="1:21" x14ac:dyDescent="0.3">
      <c r="A242" s="13" t="str">
        <f t="shared" si="70"/>
        <v>(7, 8]</v>
      </c>
      <c r="B242" s="102">
        <v>187701</v>
      </c>
      <c r="C242" s="102">
        <v>141943340</v>
      </c>
      <c r="D242" s="28">
        <f t="shared" si="71"/>
        <v>1.8770099999999999E-3</v>
      </c>
      <c r="E242" s="89">
        <f t="shared" si="72"/>
        <v>7.5622047831391406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 x14ac:dyDescent="0.3">
      <c r="A243" s="13" t="str">
        <f t="shared" si="70"/>
        <v>(8, 9]</v>
      </c>
      <c r="B243" s="102">
        <v>185327</v>
      </c>
      <c r="C243" s="102">
        <v>158606340</v>
      </c>
      <c r="D243" s="28">
        <f t="shared" si="71"/>
        <v>1.85327E-3</v>
      </c>
      <c r="E243" s="89">
        <f t="shared" si="72"/>
        <v>8.5581884992472759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0</v>
      </c>
      <c r="T243" s="99"/>
      <c r="U243" s="51">
        <f t="shared" si="80"/>
        <v>0</v>
      </c>
    </row>
    <row r="244" spans="1:21" x14ac:dyDescent="0.3">
      <c r="A244" s="13" t="str">
        <f t="shared" si="70"/>
        <v>(9, 10]</v>
      </c>
      <c r="B244" s="102">
        <v>175947</v>
      </c>
      <c r="C244" s="102">
        <v>168184880</v>
      </c>
      <c r="D244" s="28">
        <f t="shared" si="71"/>
        <v>1.75947E-3</v>
      </c>
      <c r="E244" s="89">
        <f t="shared" si="72"/>
        <v>9.5588376045059018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 x14ac:dyDescent="0.3">
      <c r="A245" s="13" t="str">
        <f t="shared" si="70"/>
        <v>(10, 15]</v>
      </c>
      <c r="B245" s="102">
        <v>770394</v>
      </c>
      <c r="C245" s="102">
        <v>961955270</v>
      </c>
      <c r="D245" s="28">
        <f t="shared" si="71"/>
        <v>7.7039400000000003E-3</v>
      </c>
      <c r="E245" s="89">
        <f t="shared" si="72"/>
        <v>12.486536369701737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0</v>
      </c>
      <c r="T245" s="99"/>
      <c r="U245" s="51">
        <f t="shared" si="80"/>
        <v>0</v>
      </c>
    </row>
    <row r="246" spans="1:21" x14ac:dyDescent="0.3">
      <c r="A246" s="13" t="str">
        <f t="shared" si="70"/>
        <v>(15, 20]</v>
      </c>
      <c r="B246" s="102">
        <v>682601</v>
      </c>
      <c r="C246" s="102">
        <v>1196520000</v>
      </c>
      <c r="D246" s="28">
        <f t="shared" si="71"/>
        <v>6.8260100000000004E-3</v>
      </c>
      <c r="E246" s="89">
        <f t="shared" si="72"/>
        <v>17.528834560746322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0</v>
      </c>
      <c r="T246" s="99"/>
      <c r="U246" s="51">
        <f t="shared" si="80"/>
        <v>0</v>
      </c>
    </row>
    <row r="247" spans="1:21" x14ac:dyDescent="0.3">
      <c r="A247" s="13" t="str">
        <f t="shared" si="70"/>
        <v>(20, 25]</v>
      </c>
      <c r="B247" s="102">
        <v>619178</v>
      </c>
      <c r="C247" s="102">
        <v>1394395100</v>
      </c>
      <c r="D247" s="28">
        <f t="shared" si="71"/>
        <v>6.19178E-3</v>
      </c>
      <c r="E247" s="89">
        <f t="shared" si="72"/>
        <v>22.520100843376216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0</v>
      </c>
      <c r="T247" s="99"/>
      <c r="U247" s="51">
        <f t="shared" si="80"/>
        <v>0</v>
      </c>
    </row>
    <row r="248" spans="1:21" x14ac:dyDescent="0.3">
      <c r="A248" s="13" t="str">
        <f t="shared" si="70"/>
        <v>(25, 30]</v>
      </c>
      <c r="B248" s="102">
        <v>588079</v>
      </c>
      <c r="C248" s="102">
        <v>1618898980</v>
      </c>
      <c r="D248" s="28">
        <f t="shared" si="71"/>
        <v>5.8807900000000003E-3</v>
      </c>
      <c r="E248" s="89">
        <f t="shared" si="72"/>
        <v>27.528597008225084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0</v>
      </c>
      <c r="T248" s="99"/>
      <c r="U248" s="51">
        <f t="shared" si="80"/>
        <v>0</v>
      </c>
    </row>
    <row r="249" spans="1:21" x14ac:dyDescent="0.3">
      <c r="A249" s="13" t="str">
        <f t="shared" si="70"/>
        <v>(30, 35]</v>
      </c>
      <c r="B249" s="102">
        <v>558081</v>
      </c>
      <c r="C249" s="102">
        <v>1816393120</v>
      </c>
      <c r="D249" s="28">
        <f t="shared" si="71"/>
        <v>5.5808100000000003E-3</v>
      </c>
      <c r="E249" s="89">
        <f t="shared" si="72"/>
        <v>32.547123446238089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0</v>
      </c>
      <c r="T249" s="99"/>
      <c r="U249" s="51">
        <f t="shared" si="80"/>
        <v>0</v>
      </c>
    </row>
    <row r="250" spans="1:21" x14ac:dyDescent="0.3">
      <c r="A250" s="13" t="str">
        <f t="shared" si="70"/>
        <v>(35, 40]</v>
      </c>
      <c r="B250" s="102">
        <v>535811</v>
      </c>
      <c r="C250" s="102">
        <v>2011527480</v>
      </c>
      <c r="D250" s="28">
        <f t="shared" si="71"/>
        <v>5.3581100000000001E-3</v>
      </c>
      <c r="E250" s="89">
        <f t="shared" si="72"/>
        <v>37.541735425364543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0</v>
      </c>
      <c r="T250" s="99"/>
      <c r="U250" s="51">
        <f t="shared" si="80"/>
        <v>0</v>
      </c>
    </row>
    <row r="251" spans="1:21" x14ac:dyDescent="0.3">
      <c r="A251" s="13" t="str">
        <f t="shared" si="70"/>
        <v>(40, 45]</v>
      </c>
      <c r="B251" s="102">
        <v>518557</v>
      </c>
      <c r="C251" s="102">
        <v>2205763050</v>
      </c>
      <c r="D251" s="28">
        <f t="shared" si="71"/>
        <v>5.1855699999999996E-3</v>
      </c>
      <c r="E251" s="89">
        <f t="shared" si="72"/>
        <v>42.536559143932102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0</v>
      </c>
      <c r="T251" s="99"/>
      <c r="U251" s="51">
        <f t="shared" si="80"/>
        <v>0</v>
      </c>
    </row>
    <row r="252" spans="1:21" x14ac:dyDescent="0.3">
      <c r="A252" s="13" t="str">
        <f t="shared" si="70"/>
        <v>(45, 50]</v>
      </c>
      <c r="B252" s="102">
        <v>500339</v>
      </c>
      <c r="C252" s="102">
        <v>2379324090</v>
      </c>
      <c r="D252" s="28">
        <f t="shared" si="71"/>
        <v>5.0033899999999999E-3</v>
      </c>
      <c r="E252" s="89">
        <f t="shared" si="72"/>
        <v>47.554240025262871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0</v>
      </c>
      <c r="T252" s="99"/>
      <c r="U252" s="51">
        <f t="shared" si="80"/>
        <v>0</v>
      </c>
    </row>
    <row r="253" spans="1:21" x14ac:dyDescent="0.3">
      <c r="A253" s="13" t="str">
        <f t="shared" si="70"/>
        <v>(50, 60]</v>
      </c>
      <c r="B253" s="102">
        <v>976281</v>
      </c>
      <c r="C253" s="102">
        <v>5370865680</v>
      </c>
      <c r="D253" s="28">
        <f t="shared" si="71"/>
        <v>9.7628100000000002E-3</v>
      </c>
      <c r="E253" s="89">
        <f t="shared" si="72"/>
        <v>55.013522541153627</v>
      </c>
      <c r="F253" s="87"/>
      <c r="G253" s="13" t="str">
        <f t="shared" si="73"/>
        <v>(50, 60]</v>
      </c>
      <c r="H253" s="85">
        <v>8.3681264922701555</v>
      </c>
      <c r="I253" s="28">
        <f t="shared" si="74"/>
        <v>8.1696429000000001E-2</v>
      </c>
      <c r="J253" s="28">
        <f t="shared" si="75"/>
        <v>8.1696429000000001E-2</v>
      </c>
      <c r="K253" s="86">
        <f t="shared" si="76"/>
        <v>81696429</v>
      </c>
      <c r="L253" s="99">
        <f t="shared" si="77"/>
        <v>8.1696429000000001E-2</v>
      </c>
      <c r="M253" s="99">
        <f t="shared" si="78"/>
        <v>4.4944083383232565</v>
      </c>
      <c r="N253" s="87"/>
      <c r="O253" s="46">
        <v>50</v>
      </c>
      <c r="P253" s="46">
        <v>60</v>
      </c>
      <c r="Q253" s="99">
        <f t="shared" si="79"/>
        <v>8.1696429000000001E-2</v>
      </c>
      <c r="R253" s="99">
        <v>0</v>
      </c>
      <c r="T253" s="99"/>
      <c r="U253" s="51">
        <f t="shared" si="80"/>
        <v>0</v>
      </c>
    </row>
    <row r="254" spans="1:21" x14ac:dyDescent="0.3">
      <c r="A254" s="13" t="str">
        <f t="shared" si="70"/>
        <v>(60, 70]</v>
      </c>
      <c r="B254" s="102">
        <v>936493</v>
      </c>
      <c r="C254" s="102">
        <v>6089684280</v>
      </c>
      <c r="D254" s="28">
        <f t="shared" si="71"/>
        <v>9.3649300000000005E-3</v>
      </c>
      <c r="E254" s="89">
        <f t="shared" si="72"/>
        <v>65.026479429104114</v>
      </c>
      <c r="F254" s="87"/>
      <c r="G254" s="13" t="str">
        <f t="shared" si="73"/>
        <v>(60, 70]</v>
      </c>
      <c r="H254" s="85">
        <v>8.7236561298375968</v>
      </c>
      <c r="I254" s="28">
        <f t="shared" si="74"/>
        <v>8.1696429000000015E-2</v>
      </c>
      <c r="J254" s="28">
        <f t="shared" si="75"/>
        <v>8.1696429000000015E-2</v>
      </c>
      <c r="K254" s="86">
        <f t="shared" si="76"/>
        <v>81696429</v>
      </c>
      <c r="L254" s="99">
        <f t="shared" si="77"/>
        <v>8.1696429000000001E-2</v>
      </c>
      <c r="M254" s="99">
        <f t="shared" si="78"/>
        <v>5.3124311597997647</v>
      </c>
      <c r="N254" s="87"/>
      <c r="O254" s="46">
        <v>60</v>
      </c>
      <c r="P254" s="46">
        <v>70</v>
      </c>
      <c r="Q254" s="99">
        <f t="shared" si="79"/>
        <v>8.1696429000000001E-2</v>
      </c>
      <c r="R254" s="99">
        <v>0</v>
      </c>
      <c r="T254" s="99"/>
      <c r="U254" s="51">
        <f t="shared" si="80"/>
        <v>0</v>
      </c>
    </row>
    <row r="255" spans="1:21" x14ac:dyDescent="0.3">
      <c r="A255" s="13" t="str">
        <f t="shared" si="70"/>
        <v>(70, 80]</v>
      </c>
      <c r="B255" s="102">
        <v>911999</v>
      </c>
      <c r="C255" s="102">
        <v>6843740670</v>
      </c>
      <c r="D255" s="28">
        <f t="shared" si="71"/>
        <v>9.1199899999999997E-3</v>
      </c>
      <c r="E255" s="89">
        <f t="shared" si="72"/>
        <v>75.041098400327186</v>
      </c>
      <c r="F255" s="87"/>
      <c r="G255" s="13" t="str">
        <f t="shared" si="73"/>
        <v>(70, 80]</v>
      </c>
      <c r="H255" s="85">
        <v>8.9579515986311389</v>
      </c>
      <c r="I255" s="28">
        <f t="shared" si="74"/>
        <v>8.1696429000000001E-2</v>
      </c>
      <c r="J255" s="28">
        <f t="shared" si="75"/>
        <v>8.1696429000000001E-2</v>
      </c>
      <c r="K255" s="86">
        <f t="shared" si="76"/>
        <v>81696429</v>
      </c>
      <c r="L255" s="99">
        <f t="shared" si="77"/>
        <v>8.1696429000000001E-2</v>
      </c>
      <c r="M255" s="99">
        <f t="shared" si="78"/>
        <v>6.1305897675443433</v>
      </c>
      <c r="N255" s="87"/>
      <c r="O255" s="46">
        <v>70</v>
      </c>
      <c r="P255" s="46">
        <v>80</v>
      </c>
      <c r="Q255" s="99">
        <f t="shared" si="79"/>
        <v>8.1696429000000001E-2</v>
      </c>
      <c r="R255" s="99">
        <v>0</v>
      </c>
      <c r="T255" s="99"/>
      <c r="U255" s="51">
        <f t="shared" si="80"/>
        <v>0</v>
      </c>
    </row>
    <row r="256" spans="1:21" x14ac:dyDescent="0.3">
      <c r="A256" s="13" t="str">
        <f t="shared" si="70"/>
        <v>(80, 90]</v>
      </c>
      <c r="B256" s="102">
        <v>891400</v>
      </c>
      <c r="C256" s="102">
        <v>7579807210</v>
      </c>
      <c r="D256" s="28">
        <f t="shared" si="71"/>
        <v>8.914E-3</v>
      </c>
      <c r="E256" s="89">
        <f t="shared" si="72"/>
        <v>85.032613978012122</v>
      </c>
      <c r="F256" s="87"/>
      <c r="G256" s="13" t="str">
        <f t="shared" si="73"/>
        <v>(80, 90]</v>
      </c>
      <c r="H256" s="85">
        <v>8.6930873906214945</v>
      </c>
      <c r="I256" s="28">
        <f t="shared" si="74"/>
        <v>7.7490181000000005E-2</v>
      </c>
      <c r="J256" s="28">
        <f t="shared" si="75"/>
        <v>7.7490181000000005E-2</v>
      </c>
      <c r="K256" s="86">
        <f t="shared" si="76"/>
        <v>77490181</v>
      </c>
      <c r="L256" s="99">
        <f t="shared" si="77"/>
        <v>7.7490181000000005E-2</v>
      </c>
      <c r="M256" s="99">
        <f t="shared" si="78"/>
        <v>6.5891926480592895</v>
      </c>
      <c r="N256" s="87"/>
      <c r="O256" s="46">
        <v>80</v>
      </c>
      <c r="P256" s="46">
        <v>90</v>
      </c>
      <c r="Q256" s="99">
        <f t="shared" si="79"/>
        <v>7.7490181000000005E-2</v>
      </c>
      <c r="R256" s="99">
        <v>0</v>
      </c>
      <c r="T256" s="99"/>
      <c r="U256" s="51">
        <f t="shared" si="80"/>
        <v>0</v>
      </c>
    </row>
    <row r="257" spans="1:21" x14ac:dyDescent="0.3">
      <c r="A257" s="13" t="str">
        <f t="shared" si="70"/>
        <v>(90, 100]</v>
      </c>
      <c r="B257" s="102">
        <v>871496</v>
      </c>
      <c r="C257" s="102">
        <v>8282983490</v>
      </c>
      <c r="D257" s="28">
        <f t="shared" si="71"/>
        <v>8.7149600000000008E-3</v>
      </c>
      <c r="E257" s="89">
        <f t="shared" si="72"/>
        <v>95.04327604486997</v>
      </c>
      <c r="F257" s="87"/>
      <c r="G257" s="13" t="str">
        <f t="shared" si="73"/>
        <v>(90, 100]</v>
      </c>
      <c r="H257" s="85">
        <v>8.0729575350890883</v>
      </c>
      <c r="I257" s="28">
        <f t="shared" si="74"/>
        <v>7.0355502E-2</v>
      </c>
      <c r="J257" s="28">
        <f t="shared" si="75"/>
        <v>7.0355502E-2</v>
      </c>
      <c r="K257" s="86">
        <f t="shared" si="76"/>
        <v>70355502</v>
      </c>
      <c r="L257" s="99">
        <f t="shared" si="77"/>
        <v>7.0355502E-2</v>
      </c>
      <c r="M257" s="99">
        <f t="shared" si="78"/>
        <v>6.6868173978614012</v>
      </c>
      <c r="N257" s="87"/>
      <c r="O257" s="46">
        <v>90</v>
      </c>
      <c r="P257" s="46">
        <v>100</v>
      </c>
      <c r="Q257" s="99">
        <f t="shared" si="79"/>
        <v>7.0355502E-2</v>
      </c>
      <c r="R257" s="99">
        <v>0</v>
      </c>
      <c r="T257" s="99"/>
      <c r="U257" s="51">
        <f t="shared" si="80"/>
        <v>0</v>
      </c>
    </row>
    <row r="258" spans="1:21" x14ac:dyDescent="0.3">
      <c r="A258" s="13" t="str">
        <f t="shared" si="70"/>
        <v>(100, 120]</v>
      </c>
      <c r="B258" s="102">
        <v>1710436</v>
      </c>
      <c r="C258" s="102">
        <v>18815302130</v>
      </c>
      <c r="D258" s="28">
        <f t="shared" si="71"/>
        <v>1.7104359999999999E-2</v>
      </c>
      <c r="E258" s="89">
        <f t="shared" si="72"/>
        <v>110.00295907008505</v>
      </c>
      <c r="F258" s="87"/>
      <c r="G258" s="13" t="str">
        <f t="shared" si="73"/>
        <v>(100, 120]</v>
      </c>
      <c r="H258" s="85">
        <v>3.9709096978782017</v>
      </c>
      <c r="I258" s="28">
        <f t="shared" si="74"/>
        <v>6.7919868999999994E-2</v>
      </c>
      <c r="J258" s="28">
        <f t="shared" si="75"/>
        <v>6.7919868999999994E-2</v>
      </c>
      <c r="K258" s="86">
        <f t="shared" si="76"/>
        <v>67919869</v>
      </c>
      <c r="L258" s="99">
        <f t="shared" si="77"/>
        <v>6.7919868999999994E-2</v>
      </c>
      <c r="M258" s="99">
        <f t="shared" si="78"/>
        <v>7.4713865696525383</v>
      </c>
      <c r="N258" s="87"/>
      <c r="O258" s="46">
        <v>100</v>
      </c>
      <c r="P258" s="46">
        <v>120</v>
      </c>
      <c r="Q258" s="99">
        <f t="shared" si="79"/>
        <v>6.7919868999999994E-2</v>
      </c>
      <c r="R258" s="99">
        <v>0.19038512128462146</v>
      </c>
      <c r="T258" s="99"/>
      <c r="U258" s="51">
        <f t="shared" si="80"/>
        <v>0</v>
      </c>
    </row>
    <row r="259" spans="1:21" x14ac:dyDescent="0.3">
      <c r="A259" s="13" t="str">
        <f t="shared" si="70"/>
        <v>(120, 140]</v>
      </c>
      <c r="B259" s="102">
        <v>1669611</v>
      </c>
      <c r="C259" s="102">
        <v>21709356010</v>
      </c>
      <c r="D259" s="28">
        <f t="shared" si="71"/>
        <v>1.669611E-2</v>
      </c>
      <c r="E259" s="89">
        <f t="shared" si="72"/>
        <v>130.02643136634822</v>
      </c>
      <c r="F259" s="87"/>
      <c r="G259" s="13" t="str">
        <f t="shared" si="73"/>
        <v>(120, 140]</v>
      </c>
      <c r="H259" s="85">
        <v>3.8810113852867527</v>
      </c>
      <c r="I259" s="28">
        <f t="shared" si="74"/>
        <v>6.4797793000000006E-2</v>
      </c>
      <c r="J259" s="28">
        <f t="shared" si="75"/>
        <v>6.4797793000000006E-2</v>
      </c>
      <c r="K259" s="86">
        <f t="shared" si="76"/>
        <v>64797793</v>
      </c>
      <c r="L259" s="99">
        <f t="shared" si="77"/>
        <v>6.4797793000000006E-2</v>
      </c>
      <c r="M259" s="99">
        <f t="shared" si="78"/>
        <v>8.4254257842053395</v>
      </c>
      <c r="N259" s="87"/>
      <c r="O259" s="46">
        <v>120</v>
      </c>
      <c r="P259" s="46">
        <v>140</v>
      </c>
      <c r="Q259" s="99">
        <f t="shared" si="79"/>
        <v>6.4797793000000006E-2</v>
      </c>
      <c r="R259" s="99">
        <v>0.16559557398714689</v>
      </c>
      <c r="T259" s="99"/>
      <c r="U259" s="51">
        <f t="shared" si="80"/>
        <v>0</v>
      </c>
    </row>
    <row r="260" spans="1:21" x14ac:dyDescent="0.3">
      <c r="A260" s="13" t="str">
        <f t="shared" si="70"/>
        <v>(140, 160]</v>
      </c>
      <c r="B260" s="102">
        <v>1645452</v>
      </c>
      <c r="C260" s="102">
        <v>24688695850</v>
      </c>
      <c r="D260" s="28">
        <f t="shared" si="71"/>
        <v>1.645452E-2</v>
      </c>
      <c r="E260" s="89">
        <f t="shared" si="72"/>
        <v>150.04203009264324</v>
      </c>
      <c r="F260" s="87"/>
      <c r="G260" s="13" t="str">
        <f t="shared" si="73"/>
        <v>(140, 160]</v>
      </c>
      <c r="H260" s="85">
        <v>3.3713212539776305</v>
      </c>
      <c r="I260" s="28">
        <f t="shared" si="74"/>
        <v>5.5473473000000002E-2</v>
      </c>
      <c r="J260" s="28">
        <f t="shared" si="75"/>
        <v>5.5473473000000002E-2</v>
      </c>
      <c r="K260" s="86">
        <f t="shared" si="76"/>
        <v>55473473</v>
      </c>
      <c r="L260" s="99">
        <f t="shared" si="77"/>
        <v>5.5473473000000002E-2</v>
      </c>
      <c r="M260" s="99">
        <f t="shared" si="78"/>
        <v>8.3233525052094333</v>
      </c>
      <c r="N260" s="87"/>
      <c r="O260" s="46">
        <v>140</v>
      </c>
      <c r="P260" s="46">
        <v>160</v>
      </c>
      <c r="Q260" s="99">
        <f t="shared" si="79"/>
        <v>5.5473473000000002E-2</v>
      </c>
      <c r="R260" s="99">
        <v>0.13174008258088099</v>
      </c>
      <c r="T260" s="99"/>
      <c r="U260" s="51">
        <f t="shared" si="80"/>
        <v>0</v>
      </c>
    </row>
    <row r="261" spans="1:21" x14ac:dyDescent="0.3">
      <c r="A261" s="13" t="str">
        <f t="shared" si="70"/>
        <v>(160, 180]</v>
      </c>
      <c r="B261" s="102">
        <v>1627487</v>
      </c>
      <c r="C261" s="102">
        <v>27673572840</v>
      </c>
      <c r="D261" s="28">
        <f t="shared" si="71"/>
        <v>1.627487E-2</v>
      </c>
      <c r="E261" s="89">
        <f t="shared" si="72"/>
        <v>170.03867213685885</v>
      </c>
      <c r="F261" s="87"/>
      <c r="G261" s="13" t="str">
        <f t="shared" si="73"/>
        <v>(160, 180]</v>
      </c>
      <c r="H261" s="85">
        <v>2.5965699265186144</v>
      </c>
      <c r="I261" s="28">
        <f t="shared" si="74"/>
        <v>4.2258838E-2</v>
      </c>
      <c r="J261" s="28">
        <f t="shared" si="75"/>
        <v>4.2258838E-2</v>
      </c>
      <c r="K261" s="86">
        <f t="shared" si="76"/>
        <v>42258838</v>
      </c>
      <c r="L261" s="99">
        <f t="shared" si="77"/>
        <v>4.2258838E-2</v>
      </c>
      <c r="M261" s="99">
        <f t="shared" si="78"/>
        <v>7.1856366995666319</v>
      </c>
      <c r="N261" s="87"/>
      <c r="O261" s="46">
        <v>160</v>
      </c>
      <c r="P261" s="46">
        <v>180</v>
      </c>
      <c r="Q261" s="99">
        <f t="shared" si="79"/>
        <v>4.2258838E-2</v>
      </c>
      <c r="R261" s="99">
        <v>9.2868193114418324E-2</v>
      </c>
      <c r="T261" s="99"/>
      <c r="U261" s="51">
        <f t="shared" si="80"/>
        <v>0</v>
      </c>
    </row>
    <row r="262" spans="1:21" x14ac:dyDescent="0.3">
      <c r="A262" s="13" t="str">
        <f t="shared" si="70"/>
        <v>(180, 200]</v>
      </c>
      <c r="B262" s="102">
        <v>1614796</v>
      </c>
      <c r="C262" s="102">
        <v>30687818480</v>
      </c>
      <c r="D262" s="28">
        <f t="shared" si="71"/>
        <v>1.6147959999999999E-2</v>
      </c>
      <c r="E262" s="89">
        <f t="shared" si="72"/>
        <v>190.04145712523442</v>
      </c>
      <c r="F262" s="87"/>
      <c r="G262" s="13" t="str">
        <f t="shared" si="73"/>
        <v>(180, 200]</v>
      </c>
      <c r="H262" s="85">
        <v>1.9299583352943654</v>
      </c>
      <c r="I262" s="28">
        <f t="shared" si="74"/>
        <v>3.1164890000000001E-2</v>
      </c>
      <c r="J262" s="28">
        <f t="shared" si="75"/>
        <v>3.1164890000000001E-2</v>
      </c>
      <c r="K262" s="86">
        <f t="shared" si="76"/>
        <v>31164890</v>
      </c>
      <c r="L262" s="99">
        <f t="shared" si="77"/>
        <v>3.1164890000000001E-2</v>
      </c>
      <c r="M262" s="99">
        <f t="shared" si="78"/>
        <v>5.9226211067476466</v>
      </c>
      <c r="N262" s="87"/>
      <c r="O262" s="46">
        <v>180</v>
      </c>
      <c r="P262" s="46">
        <v>200</v>
      </c>
      <c r="Q262" s="99">
        <f t="shared" si="79"/>
        <v>3.1164890000000001E-2</v>
      </c>
      <c r="R262" s="99">
        <v>7.7661853931942249E-2</v>
      </c>
      <c r="T262" s="99"/>
      <c r="U262" s="51">
        <f t="shared" si="80"/>
        <v>0</v>
      </c>
    </row>
    <row r="263" spans="1:21" x14ac:dyDescent="0.3">
      <c r="A263" s="13" t="str">
        <f t="shared" si="70"/>
        <v>(200, 250]</v>
      </c>
      <c r="B263" s="102">
        <v>3986302</v>
      </c>
      <c r="C263" s="102">
        <v>89686715680</v>
      </c>
      <c r="D263" s="28">
        <f t="shared" si="71"/>
        <v>3.9863019999999999E-2</v>
      </c>
      <c r="E263" s="89">
        <f t="shared" si="72"/>
        <v>224.98725806524442</v>
      </c>
      <c r="F263" s="87"/>
      <c r="G263" s="13" t="str">
        <f t="shared" si="73"/>
        <v>(200, 250]</v>
      </c>
      <c r="H263" s="85">
        <v>0.78179952246468032</v>
      </c>
      <c r="I263" s="28">
        <f t="shared" si="74"/>
        <v>3.1164890000000001E-2</v>
      </c>
      <c r="J263" s="28">
        <f t="shared" si="75"/>
        <v>3.1164890000000001E-2</v>
      </c>
      <c r="K263" s="86">
        <f t="shared" si="76"/>
        <v>31164890</v>
      </c>
      <c r="L263" s="99">
        <f t="shared" si="77"/>
        <v>3.1164890000000001E-2</v>
      </c>
      <c r="M263" s="99">
        <f t="shared" si="78"/>
        <v>7.0117031490049548</v>
      </c>
      <c r="N263" s="87"/>
      <c r="O263" s="46">
        <v>200</v>
      </c>
      <c r="P263" s="46">
        <v>250</v>
      </c>
      <c r="Q263" s="99">
        <f t="shared" si="79"/>
        <v>3.1164890000000001E-2</v>
      </c>
      <c r="R263" s="99">
        <v>7.8106011937272138E-2</v>
      </c>
      <c r="T263" s="99"/>
      <c r="U263" s="51">
        <f t="shared" si="80"/>
        <v>0</v>
      </c>
    </row>
    <row r="264" spans="1:21" x14ac:dyDescent="0.3">
      <c r="A264" s="13" t="str">
        <f t="shared" si="70"/>
        <v>(250, 300]</v>
      </c>
      <c r="B264" s="102">
        <v>3928475</v>
      </c>
      <c r="C264" s="102">
        <v>108029604730</v>
      </c>
      <c r="D264" s="28">
        <f t="shared" si="71"/>
        <v>3.928475E-2</v>
      </c>
      <c r="E264" s="89">
        <f t="shared" si="72"/>
        <v>274.99119818759186</v>
      </c>
      <c r="F264" s="87"/>
      <c r="G264" s="13" t="str">
        <f t="shared" si="73"/>
        <v>(250, 300]</v>
      </c>
      <c r="H264" s="85">
        <v>0.79330758118608369</v>
      </c>
      <c r="I264" s="28">
        <f t="shared" si="74"/>
        <v>3.1164890000000001E-2</v>
      </c>
      <c r="J264" s="28">
        <f t="shared" si="75"/>
        <v>3.1164890000000001E-2</v>
      </c>
      <c r="K264" s="86">
        <f t="shared" si="76"/>
        <v>31164890</v>
      </c>
      <c r="L264" s="99">
        <f t="shared" si="77"/>
        <v>3.1164890000000001E-2</v>
      </c>
      <c r="M264" s="99">
        <f t="shared" si="78"/>
        <v>8.5700704424845</v>
      </c>
      <c r="N264" s="87"/>
      <c r="O264" s="46">
        <v>250</v>
      </c>
      <c r="P264" s="46">
        <v>300</v>
      </c>
      <c r="Q264" s="99">
        <f t="shared" si="79"/>
        <v>3.1164890000000001E-2</v>
      </c>
      <c r="R264" s="99">
        <v>6.2218464746621578E-2</v>
      </c>
      <c r="T264" s="99"/>
      <c r="U264" s="51">
        <f t="shared" si="80"/>
        <v>0</v>
      </c>
    </row>
    <row r="265" spans="1:21" x14ac:dyDescent="0.3">
      <c r="A265" s="13" t="str">
        <f t="shared" si="70"/>
        <v>(300, 350]</v>
      </c>
      <c r="B265" s="102">
        <v>3868465</v>
      </c>
      <c r="C265" s="102">
        <v>125714434430</v>
      </c>
      <c r="D265" s="28">
        <f t="shared" si="71"/>
        <v>3.8684650000000001E-2</v>
      </c>
      <c r="E265" s="89">
        <f t="shared" si="72"/>
        <v>324.97239713943384</v>
      </c>
      <c r="F265" s="87"/>
      <c r="G265" s="13" t="str">
        <f t="shared" si="73"/>
        <v>(300, 350]</v>
      </c>
      <c r="H265" s="85">
        <v>0.80561382874085719</v>
      </c>
      <c r="I265" s="28">
        <f t="shared" si="74"/>
        <v>3.1164889000000001E-2</v>
      </c>
      <c r="J265" s="28">
        <f t="shared" si="75"/>
        <v>3.1164889000000001E-2</v>
      </c>
      <c r="K265" s="86">
        <f t="shared" si="76"/>
        <v>31164889</v>
      </c>
      <c r="L265" s="99">
        <f t="shared" si="77"/>
        <v>3.1164889000000001E-2</v>
      </c>
      <c r="M265" s="99">
        <f t="shared" si="78"/>
        <v>10.127728684914374</v>
      </c>
      <c r="N265" s="87"/>
      <c r="O265" s="46">
        <v>300</v>
      </c>
      <c r="P265" s="46">
        <v>350</v>
      </c>
      <c r="Q265" s="99">
        <f t="shared" si="79"/>
        <v>3.1164889000000001E-2</v>
      </c>
      <c r="R265" s="99">
        <v>5.4238473650861686E-2</v>
      </c>
      <c r="T265" s="99"/>
      <c r="U265" s="51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102">
        <v>3791804</v>
      </c>
      <c r="C266" s="102">
        <v>142178060650</v>
      </c>
      <c r="D266" s="28">
        <f t="shared" ref="D266:D297" si="82">IFERROR(B266/SUM($B$234:$B$297),0)</f>
        <v>3.791804E-2</v>
      </c>
      <c r="E266" s="89">
        <f t="shared" ref="E266:E297" si="83">IFERROR(C266/B266/$B$3,0)</f>
        <v>374.96152398699928</v>
      </c>
      <c r="F266" s="87"/>
      <c r="G266" s="13" t="str">
        <f t="shared" ref="G266:G297" si="84">"("&amp;$O266&amp;", "&amp;$P266&amp;"]"</f>
        <v>(350, 400]</v>
      </c>
      <c r="H266" s="85">
        <v>1.2328520672482017</v>
      </c>
      <c r="I266" s="28">
        <f t="shared" ref="I266:I297" si="85">D266*H266</f>
        <v>4.6747334000000001E-2</v>
      </c>
      <c r="J266" s="28">
        <f t="shared" ref="J266:J297" si="86">IFERROR(I266/SUM($I$234:$I$297),0)</f>
        <v>4.6747334000000001E-2</v>
      </c>
      <c r="K266" s="86">
        <f t="shared" ref="K266:K297" si="87">INT(J266*$B$2)</f>
        <v>46747334</v>
      </c>
      <c r="L266" s="99">
        <f t="shared" ref="L266:L297" si="88">IFERROR(K266/SUM($K$234:$K$297),0)</f>
        <v>4.6747334000000001E-2</v>
      </c>
      <c r="M266" s="99">
        <f t="shared" ref="M266:M297" si="89">L266*E266</f>
        <v>17.528451598969269</v>
      </c>
      <c r="N266" s="87"/>
      <c r="O266" s="46">
        <v>350</v>
      </c>
      <c r="P266" s="46">
        <v>400</v>
      </c>
      <c r="Q266" s="99">
        <f t="shared" ref="Q266:Q297" si="90">L266</f>
        <v>4.6747334000000001E-2</v>
      </c>
      <c r="R266" s="99">
        <v>3.1967103383605242E-2</v>
      </c>
      <c r="T266" s="99"/>
      <c r="U266" s="51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102">
        <v>3702937</v>
      </c>
      <c r="C267" s="102">
        <v>157352462390</v>
      </c>
      <c r="D267" s="28">
        <f t="shared" si="82"/>
        <v>3.7029369999999999E-2</v>
      </c>
      <c r="E267" s="89">
        <f t="shared" si="83"/>
        <v>424.93961520274314</v>
      </c>
      <c r="F267" s="87"/>
      <c r="G267" s="13" t="str">
        <f t="shared" si="84"/>
        <v>(400, 450]</v>
      </c>
      <c r="H267" s="85">
        <v>0.84162622804546772</v>
      </c>
      <c r="I267" s="28">
        <f t="shared" si="85"/>
        <v>3.1164889000000001E-2</v>
      </c>
      <c r="J267" s="28">
        <f t="shared" si="86"/>
        <v>3.1164889000000001E-2</v>
      </c>
      <c r="K267" s="86">
        <f t="shared" si="87"/>
        <v>31164889</v>
      </c>
      <c r="L267" s="99">
        <f t="shared" si="88"/>
        <v>3.1164889000000001E-2</v>
      </c>
      <c r="M267" s="99">
        <f t="shared" si="89"/>
        <v>13.243195939496204</v>
      </c>
      <c r="N267" s="87"/>
      <c r="O267" s="46">
        <v>400</v>
      </c>
      <c r="P267" s="46">
        <v>450</v>
      </c>
      <c r="Q267" s="99">
        <f t="shared" si="90"/>
        <v>3.1164889000000001E-2</v>
      </c>
      <c r="R267" s="99">
        <v>2.673084232077011E-2</v>
      </c>
      <c r="T267" s="99"/>
      <c r="U267" s="51">
        <f t="shared" si="91"/>
        <v>0</v>
      </c>
    </row>
    <row r="268" spans="1:21" x14ac:dyDescent="0.3">
      <c r="A268" s="13" t="str">
        <f t="shared" si="81"/>
        <v>(450, 500]</v>
      </c>
      <c r="B268" s="102">
        <v>3597030</v>
      </c>
      <c r="C268" s="102">
        <v>170829477850</v>
      </c>
      <c r="D268" s="28">
        <f t="shared" si="82"/>
        <v>3.5970299999999997E-2</v>
      </c>
      <c r="E268" s="89">
        <f t="shared" si="83"/>
        <v>474.91813482233954</v>
      </c>
      <c r="F268" s="87"/>
      <c r="G268" s="13" t="str">
        <f t="shared" si="84"/>
        <v>(450, 500]</v>
      </c>
      <c r="H268" s="85">
        <v>1.2832116496109292</v>
      </c>
      <c r="I268" s="28">
        <f t="shared" si="85"/>
        <v>4.6157508E-2</v>
      </c>
      <c r="J268" s="28">
        <f t="shared" si="86"/>
        <v>4.6157508E-2</v>
      </c>
      <c r="K268" s="86">
        <f t="shared" si="87"/>
        <v>46157508</v>
      </c>
      <c r="L268" s="99">
        <f t="shared" si="88"/>
        <v>4.6157508E-2</v>
      </c>
      <c r="M268" s="99">
        <f t="shared" si="89"/>
        <v>21.921037607407214</v>
      </c>
      <c r="N268" s="87"/>
      <c r="O268" s="46">
        <v>450</v>
      </c>
      <c r="P268" s="46">
        <v>500</v>
      </c>
      <c r="Q268" s="99">
        <f t="shared" si="90"/>
        <v>4.6157508E-2</v>
      </c>
      <c r="R268" s="99">
        <v>2.4327817291933809E-2</v>
      </c>
      <c r="T268" s="99"/>
      <c r="U268" s="51">
        <f t="shared" si="91"/>
        <v>0</v>
      </c>
    </row>
    <row r="269" spans="1:21" x14ac:dyDescent="0.3">
      <c r="A269" s="13" t="str">
        <f t="shared" si="81"/>
        <v>(500, 550]</v>
      </c>
      <c r="B269" s="102">
        <v>3484131</v>
      </c>
      <c r="C269" s="102">
        <v>182886004040</v>
      </c>
      <c r="D269" s="28">
        <f t="shared" si="82"/>
        <v>3.484131E-2</v>
      </c>
      <c r="E269" s="89">
        <f t="shared" si="83"/>
        <v>524.91138834906042</v>
      </c>
      <c r="F269" s="87"/>
      <c r="G269" s="13" t="str">
        <f t="shared" si="84"/>
        <v>(500, 550]</v>
      </c>
      <c r="H269" s="85">
        <v>0.75080942708526166</v>
      </c>
      <c r="I269" s="28">
        <f t="shared" si="85"/>
        <v>2.6159183999999999E-2</v>
      </c>
      <c r="J269" s="28">
        <f t="shared" si="86"/>
        <v>2.6159183999999999E-2</v>
      </c>
      <c r="K269" s="86">
        <f t="shared" si="87"/>
        <v>26159184</v>
      </c>
      <c r="L269" s="99">
        <f t="shared" si="88"/>
        <v>2.6159183999999999E-2</v>
      </c>
      <c r="M269" s="99">
        <f t="shared" si="89"/>
        <v>13.731253591518527</v>
      </c>
      <c r="N269" s="87"/>
      <c r="O269" s="46">
        <v>500</v>
      </c>
      <c r="P269" s="46">
        <v>550</v>
      </c>
      <c r="Q269" s="99">
        <f t="shared" si="90"/>
        <v>2.6159183999999999E-2</v>
      </c>
      <c r="R269" s="99">
        <v>2.8445086341341037E-2</v>
      </c>
      <c r="T269" s="99"/>
      <c r="U269" s="51">
        <f t="shared" si="91"/>
        <v>0</v>
      </c>
    </row>
    <row r="270" spans="1:21" x14ac:dyDescent="0.3">
      <c r="A270" s="13" t="str">
        <f t="shared" si="81"/>
        <v>(550, 600]</v>
      </c>
      <c r="B270" s="102">
        <v>3359156</v>
      </c>
      <c r="C270" s="102">
        <v>193112441900</v>
      </c>
      <c r="D270" s="28">
        <f t="shared" si="82"/>
        <v>3.3591559999999999E-2</v>
      </c>
      <c r="E270" s="89">
        <f t="shared" si="83"/>
        <v>574.88381575610072</v>
      </c>
      <c r="F270" s="87"/>
      <c r="G270" s="13" t="str">
        <f t="shared" si="84"/>
        <v>(550, 600]</v>
      </c>
      <c r="H270" s="85">
        <v>0.65370500804368714</v>
      </c>
      <c r="I270" s="28">
        <f t="shared" si="85"/>
        <v>2.1958970999999997E-2</v>
      </c>
      <c r="J270" s="28">
        <f t="shared" si="86"/>
        <v>2.1958970999999997E-2</v>
      </c>
      <c r="K270" s="86">
        <f t="shared" si="87"/>
        <v>21958971</v>
      </c>
      <c r="L270" s="99">
        <f t="shared" si="88"/>
        <v>2.1958971000000001E-2</v>
      </c>
      <c r="M270" s="99">
        <f t="shared" si="89"/>
        <v>12.62385703855756</v>
      </c>
      <c r="N270" s="87"/>
      <c r="O270" s="46">
        <v>550</v>
      </c>
      <c r="P270" s="46">
        <v>600</v>
      </c>
      <c r="Q270" s="99">
        <f t="shared" si="90"/>
        <v>2.1958971000000001E-2</v>
      </c>
      <c r="R270" s="99">
        <v>1.2014650144175801E-2</v>
      </c>
      <c r="T270" s="99"/>
      <c r="U270" s="51">
        <f t="shared" si="91"/>
        <v>0</v>
      </c>
    </row>
    <row r="271" spans="1:21" x14ac:dyDescent="0.3">
      <c r="A271" s="13" t="str">
        <f t="shared" si="81"/>
        <v>(600, 650]</v>
      </c>
      <c r="B271" s="102">
        <v>3228255</v>
      </c>
      <c r="C271" s="102">
        <v>201723827880</v>
      </c>
      <c r="D271" s="28">
        <f t="shared" si="82"/>
        <v>3.228255E-2</v>
      </c>
      <c r="E271" s="89">
        <f t="shared" si="83"/>
        <v>624.86955918909746</v>
      </c>
      <c r="F271" s="87"/>
      <c r="G271" s="13" t="str">
        <f t="shared" si="84"/>
        <v>(600, 650]</v>
      </c>
      <c r="H271" s="85">
        <v>0.564958870968991</v>
      </c>
      <c r="I271" s="28">
        <f t="shared" si="85"/>
        <v>1.8238312999999999E-2</v>
      </c>
      <c r="J271" s="28">
        <f t="shared" si="86"/>
        <v>1.8238312999999999E-2</v>
      </c>
      <c r="K271" s="86">
        <f t="shared" si="87"/>
        <v>18238313</v>
      </c>
      <c r="L271" s="99">
        <f t="shared" si="88"/>
        <v>1.8238312999999999E-2</v>
      </c>
      <c r="M271" s="99">
        <f t="shared" si="89"/>
        <v>11.396566604662786</v>
      </c>
      <c r="N271" s="87"/>
      <c r="O271" s="46">
        <v>600</v>
      </c>
      <c r="P271" s="46">
        <v>650</v>
      </c>
      <c r="Q271" s="99">
        <f t="shared" si="90"/>
        <v>1.8238312999999999E-2</v>
      </c>
      <c r="R271" s="99">
        <v>3.7226010446712123E-3</v>
      </c>
      <c r="T271" s="99"/>
      <c r="U271" s="51">
        <f t="shared" si="91"/>
        <v>0</v>
      </c>
    </row>
    <row r="272" spans="1:21" x14ac:dyDescent="0.3">
      <c r="A272" s="13" t="str">
        <f t="shared" si="81"/>
        <v>(650, 700]</v>
      </c>
      <c r="B272" s="102">
        <v>3089495</v>
      </c>
      <c r="C272" s="102">
        <v>208496948510</v>
      </c>
      <c r="D272" s="28">
        <f t="shared" si="82"/>
        <v>3.0894950000000001E-2</v>
      </c>
      <c r="E272" s="89">
        <f t="shared" si="83"/>
        <v>674.85769845880964</v>
      </c>
      <c r="F272" s="87"/>
      <c r="G272" s="13" t="str">
        <f t="shared" si="84"/>
        <v>(650, 700]</v>
      </c>
      <c r="H272" s="85">
        <v>0.48593514474048344</v>
      </c>
      <c r="I272" s="28">
        <f t="shared" si="85"/>
        <v>1.5012942E-2</v>
      </c>
      <c r="J272" s="28">
        <f t="shared" si="86"/>
        <v>1.5012942E-2</v>
      </c>
      <c r="K272" s="86">
        <f t="shared" si="87"/>
        <v>15012942</v>
      </c>
      <c r="L272" s="99">
        <f t="shared" si="88"/>
        <v>1.5012942E-2</v>
      </c>
      <c r="M272" s="99">
        <f t="shared" si="89"/>
        <v>10.131599485215599</v>
      </c>
      <c r="N272" s="87"/>
      <c r="O272" s="46">
        <v>650</v>
      </c>
      <c r="P272" s="46">
        <v>700</v>
      </c>
      <c r="Q272" s="99">
        <f t="shared" si="90"/>
        <v>1.5012942E-2</v>
      </c>
      <c r="R272" s="99">
        <v>2.2526660270319925E-3</v>
      </c>
      <c r="T272" s="99"/>
      <c r="U272" s="51">
        <f t="shared" si="91"/>
        <v>0</v>
      </c>
    </row>
    <row r="273" spans="1:21" x14ac:dyDescent="0.3">
      <c r="A273" s="13" t="str">
        <f t="shared" si="81"/>
        <v>(700, 750]</v>
      </c>
      <c r="B273" s="102">
        <v>2943261</v>
      </c>
      <c r="C273" s="102">
        <v>213343099050</v>
      </c>
      <c r="D273" s="28">
        <f t="shared" si="82"/>
        <v>2.9432610000000001E-2</v>
      </c>
      <c r="E273" s="89">
        <f t="shared" si="83"/>
        <v>724.85280459327259</v>
      </c>
      <c r="F273" s="87"/>
      <c r="G273" s="13" t="str">
        <f t="shared" si="84"/>
        <v>(700, 750]</v>
      </c>
      <c r="H273" s="85">
        <v>0.41665258364786539</v>
      </c>
      <c r="I273" s="28">
        <f t="shared" si="85"/>
        <v>1.2263173E-2</v>
      </c>
      <c r="J273" s="28">
        <f t="shared" si="86"/>
        <v>1.2263173E-2</v>
      </c>
      <c r="K273" s="86">
        <f t="shared" si="87"/>
        <v>12263173</v>
      </c>
      <c r="L273" s="99">
        <f t="shared" si="88"/>
        <v>1.2263173E-2</v>
      </c>
      <c r="M273" s="99">
        <f t="shared" si="89"/>
        <v>8.888995342262497</v>
      </c>
      <c r="N273" s="87"/>
      <c r="O273" s="46">
        <v>700</v>
      </c>
      <c r="P273" s="46">
        <v>750</v>
      </c>
      <c r="Q273" s="99">
        <f t="shared" si="90"/>
        <v>1.2263173E-2</v>
      </c>
      <c r="R273" s="99">
        <v>2.2741570272898845E-3</v>
      </c>
      <c r="T273" s="99"/>
      <c r="U273" s="51">
        <f t="shared" si="91"/>
        <v>0</v>
      </c>
    </row>
    <row r="274" spans="1:21" x14ac:dyDescent="0.3">
      <c r="A274" s="13" t="str">
        <f t="shared" si="81"/>
        <v>(750, 800]</v>
      </c>
      <c r="B274" s="102">
        <v>2804978</v>
      </c>
      <c r="C274" s="102">
        <v>217337480350</v>
      </c>
      <c r="D274" s="28">
        <f t="shared" si="82"/>
        <v>2.804978E-2</v>
      </c>
      <c r="E274" s="89">
        <f t="shared" si="83"/>
        <v>774.82775390751738</v>
      </c>
      <c r="F274" s="87"/>
      <c r="G274" s="13" t="str">
        <f t="shared" si="84"/>
        <v>(750, 800]</v>
      </c>
      <c r="H274" s="85">
        <v>0.35478060790494614</v>
      </c>
      <c r="I274" s="28">
        <f t="shared" si="85"/>
        <v>9.9515179999999995E-3</v>
      </c>
      <c r="J274" s="28">
        <f t="shared" si="86"/>
        <v>9.9515179999999995E-3</v>
      </c>
      <c r="K274" s="86">
        <f t="shared" si="87"/>
        <v>9951518</v>
      </c>
      <c r="L274" s="99">
        <f t="shared" si="88"/>
        <v>9.9515179999999995E-3</v>
      </c>
      <c r="M274" s="99">
        <f t="shared" si="89"/>
        <v>7.7107123399102289</v>
      </c>
      <c r="N274" s="87"/>
      <c r="O274" s="46">
        <v>750</v>
      </c>
      <c r="P274" s="46">
        <v>800</v>
      </c>
      <c r="Q274" s="99">
        <f t="shared" si="90"/>
        <v>9.9515179999999995E-3</v>
      </c>
      <c r="R274" s="99">
        <v>2.2816250273795004E-3</v>
      </c>
      <c r="T274" s="99"/>
      <c r="U274" s="51">
        <f t="shared" si="91"/>
        <v>0</v>
      </c>
    </row>
    <row r="275" spans="1:21" x14ac:dyDescent="0.3">
      <c r="A275" s="13" t="str">
        <f t="shared" si="81"/>
        <v>(800, 850]</v>
      </c>
      <c r="B275" s="102">
        <v>2660017</v>
      </c>
      <c r="C275" s="102">
        <v>219406423770</v>
      </c>
      <c r="D275" s="28">
        <f t="shared" si="82"/>
        <v>2.6600169999999999E-2</v>
      </c>
      <c r="E275" s="89">
        <f t="shared" si="83"/>
        <v>824.83090811073771</v>
      </c>
      <c r="F275" s="87"/>
      <c r="G275" s="13" t="str">
        <f t="shared" si="84"/>
        <v>(800, 850]</v>
      </c>
      <c r="H275" s="85">
        <v>0.30179619152809928</v>
      </c>
      <c r="I275" s="28">
        <f t="shared" si="85"/>
        <v>8.0278299999999997E-3</v>
      </c>
      <c r="J275" s="28">
        <f t="shared" si="86"/>
        <v>8.0278299999999997E-3</v>
      </c>
      <c r="K275" s="86">
        <f t="shared" si="87"/>
        <v>8027830</v>
      </c>
      <c r="L275" s="99">
        <f t="shared" si="88"/>
        <v>8.0278299999999997E-3</v>
      </c>
      <c r="M275" s="99">
        <f t="shared" si="89"/>
        <v>6.6216023090586233</v>
      </c>
      <c r="N275" s="87"/>
      <c r="O275" s="46">
        <v>800</v>
      </c>
      <c r="P275" s="46">
        <v>850</v>
      </c>
      <c r="Q275" s="99">
        <f t="shared" si="90"/>
        <v>8.0278299999999997E-3</v>
      </c>
      <c r="R275" s="99">
        <v>1.5291920183503043E-3</v>
      </c>
      <c r="T275" s="99"/>
      <c r="U275" s="51">
        <f t="shared" si="91"/>
        <v>0</v>
      </c>
    </row>
    <row r="276" spans="1:21" x14ac:dyDescent="0.3">
      <c r="A276" s="13" t="str">
        <f t="shared" si="81"/>
        <v>(850, 900]</v>
      </c>
      <c r="B276" s="102">
        <v>2513651</v>
      </c>
      <c r="C276" s="102">
        <v>219894869590</v>
      </c>
      <c r="D276" s="28">
        <f t="shared" si="82"/>
        <v>2.5136510000000001E-2</v>
      </c>
      <c r="E276" s="89">
        <f t="shared" si="83"/>
        <v>874.80270566598153</v>
      </c>
      <c r="F276" s="87"/>
      <c r="G276" s="13" t="str">
        <f t="shared" si="84"/>
        <v>(850, 900]</v>
      </c>
      <c r="H276" s="85">
        <v>0.25634982740245166</v>
      </c>
      <c r="I276" s="28">
        <f t="shared" si="85"/>
        <v>6.4437400000000008E-3</v>
      </c>
      <c r="J276" s="28">
        <f t="shared" si="86"/>
        <v>6.4437400000000008E-3</v>
      </c>
      <c r="K276" s="91">
        <f t="shared" si="87"/>
        <v>6443740</v>
      </c>
      <c r="L276" s="99">
        <f t="shared" si="88"/>
        <v>6.4437399999999999E-3</v>
      </c>
      <c r="M276" s="99">
        <f t="shared" si="89"/>
        <v>5.6370011866081118</v>
      </c>
      <c r="N276" s="87"/>
      <c r="O276" s="46">
        <v>850</v>
      </c>
      <c r="P276" s="46">
        <v>900</v>
      </c>
      <c r="Q276" s="99">
        <f t="shared" si="90"/>
        <v>6.4437399999999999E-3</v>
      </c>
      <c r="R276" s="99">
        <v>1.5278220183338642E-3</v>
      </c>
      <c r="T276" s="99"/>
      <c r="U276" s="51">
        <f t="shared" si="91"/>
        <v>0</v>
      </c>
    </row>
    <row r="277" spans="1:21" x14ac:dyDescent="0.3">
      <c r="A277" s="13" t="str">
        <f t="shared" si="81"/>
        <v>(900, 950]</v>
      </c>
      <c r="B277" s="102">
        <v>2375835</v>
      </c>
      <c r="C277" s="102">
        <v>219715849890</v>
      </c>
      <c r="D277" s="28">
        <f t="shared" si="82"/>
        <v>2.3758350000000001E-2</v>
      </c>
      <c r="E277" s="89">
        <f t="shared" si="83"/>
        <v>924.79422977605759</v>
      </c>
      <c r="F277" s="87"/>
      <c r="G277" s="13" t="str">
        <f t="shared" si="84"/>
        <v>(900, 950]</v>
      </c>
      <c r="H277" s="85">
        <v>0.21669232080510639</v>
      </c>
      <c r="I277" s="28">
        <f t="shared" si="85"/>
        <v>5.1482519999999999E-3</v>
      </c>
      <c r="J277" s="28">
        <f t="shared" si="86"/>
        <v>5.1482519999999999E-3</v>
      </c>
      <c r="K277" s="91">
        <f t="shared" si="87"/>
        <v>5148252</v>
      </c>
      <c r="L277" s="99">
        <f t="shared" si="88"/>
        <v>5.1482519999999999E-3</v>
      </c>
      <c r="M277" s="99">
        <f t="shared" si="89"/>
        <v>4.7610737430330481</v>
      </c>
      <c r="N277" s="87"/>
      <c r="O277" s="46">
        <v>900</v>
      </c>
      <c r="P277" s="46">
        <v>950</v>
      </c>
      <c r="Q277" s="99">
        <f t="shared" si="90"/>
        <v>5.1482519999999999E-3</v>
      </c>
      <c r="R277" s="99">
        <v>1.5125650181507801E-3</v>
      </c>
      <c r="T277" s="99"/>
      <c r="U277" s="51">
        <f t="shared" si="91"/>
        <v>0</v>
      </c>
    </row>
    <row r="278" spans="1:21" x14ac:dyDescent="0.3">
      <c r="A278" s="13" t="str">
        <f t="shared" si="81"/>
        <v>(950, 1000]</v>
      </c>
      <c r="B278" s="102">
        <v>2235928</v>
      </c>
      <c r="C278" s="102">
        <v>217961799800</v>
      </c>
      <c r="D278" s="28">
        <f t="shared" si="82"/>
        <v>2.2359279999999999E-2</v>
      </c>
      <c r="E278" s="89">
        <f t="shared" si="83"/>
        <v>974.81582501762136</v>
      </c>
      <c r="F278" s="87"/>
      <c r="G278" s="13" t="str">
        <f t="shared" si="84"/>
        <v>(950, 1000]</v>
      </c>
      <c r="H278" s="85">
        <v>0.18318563925135337</v>
      </c>
      <c r="I278" s="28">
        <f t="shared" si="85"/>
        <v>4.0958990000000001E-3</v>
      </c>
      <c r="J278" s="28">
        <f t="shared" si="86"/>
        <v>4.0958990000000001E-3</v>
      </c>
      <c r="K278" s="91">
        <f t="shared" si="87"/>
        <v>4095899</v>
      </c>
      <c r="L278" s="99">
        <f t="shared" si="88"/>
        <v>4.0958990000000001E-3</v>
      </c>
      <c r="M278" s="99">
        <f t="shared" si="89"/>
        <v>3.9927471628738505</v>
      </c>
      <c r="N278" s="87"/>
      <c r="O278" s="46">
        <v>950</v>
      </c>
      <c r="P278" s="46">
        <v>1000</v>
      </c>
      <c r="Q278" s="99">
        <f t="shared" si="90"/>
        <v>4.0958990000000001E-3</v>
      </c>
      <c r="R278" s="99">
        <v>1.4996680179960161E-3</v>
      </c>
      <c r="T278" s="99"/>
      <c r="U278" s="51">
        <f t="shared" si="91"/>
        <v>0</v>
      </c>
    </row>
    <row r="279" spans="1:21" x14ac:dyDescent="0.3">
      <c r="A279" s="13" t="str">
        <f t="shared" si="81"/>
        <v>(1000, 2000]</v>
      </c>
      <c r="B279" s="102">
        <v>23009540</v>
      </c>
      <c r="C279" s="102">
        <v>3169738810250</v>
      </c>
      <c r="D279" s="28">
        <f t="shared" si="82"/>
        <v>0.23009540000000001</v>
      </c>
      <c r="E279" s="89">
        <f t="shared" si="83"/>
        <v>1377.5759142729494</v>
      </c>
      <c r="F279" s="87"/>
      <c r="G279" s="13" t="str">
        <f t="shared" si="84"/>
        <v>(1000, 2000]</v>
      </c>
      <c r="H279" s="85">
        <v>2.5316194934796609E-3</v>
      </c>
      <c r="I279" s="28">
        <f t="shared" si="85"/>
        <v>5.8251400000000001E-4</v>
      </c>
      <c r="J279" s="28">
        <f t="shared" si="86"/>
        <v>5.8251400000000001E-4</v>
      </c>
      <c r="K279" s="91">
        <f t="shared" si="87"/>
        <v>582514</v>
      </c>
      <c r="L279" s="99">
        <f t="shared" si="88"/>
        <v>5.8251400000000001E-4</v>
      </c>
      <c r="M279" s="99">
        <f t="shared" si="89"/>
        <v>0.80245725612679286</v>
      </c>
      <c r="N279" s="87"/>
      <c r="O279" s="46">
        <v>1000</v>
      </c>
      <c r="P279" s="46">
        <v>2000</v>
      </c>
      <c r="Q279" s="99">
        <f t="shared" si="90"/>
        <v>5.8251400000000001E-4</v>
      </c>
      <c r="R279" s="99">
        <v>3.8625470463505645E-3</v>
      </c>
      <c r="T279" s="99"/>
      <c r="U279" s="51">
        <f t="shared" si="91"/>
        <v>0</v>
      </c>
    </row>
    <row r="280" spans="1:21" x14ac:dyDescent="0.3">
      <c r="A280" s="13" t="str">
        <f t="shared" si="81"/>
        <v>(2000, 3000]</v>
      </c>
      <c r="B280" s="102">
        <v>4228222</v>
      </c>
      <c r="C280" s="102">
        <v>994412325940</v>
      </c>
      <c r="D280" s="28">
        <f t="shared" si="82"/>
        <v>4.2282220000000002E-2</v>
      </c>
      <c r="E280" s="89">
        <f t="shared" si="83"/>
        <v>2351.8451158430184</v>
      </c>
      <c r="F280" s="87"/>
      <c r="G280" s="13" t="str">
        <f t="shared" si="84"/>
        <v>(2000, 3000]</v>
      </c>
      <c r="H280" s="85">
        <v>8.0814110517375852E-5</v>
      </c>
      <c r="I280" s="28">
        <f t="shared" si="85"/>
        <v>3.4169999999999996E-6</v>
      </c>
      <c r="J280" s="28">
        <f t="shared" si="86"/>
        <v>3.4169999999999996E-6</v>
      </c>
      <c r="K280" s="91">
        <f t="shared" si="87"/>
        <v>3417</v>
      </c>
      <c r="L280" s="99">
        <f t="shared" si="88"/>
        <v>3.4170000000000001E-6</v>
      </c>
      <c r="M280" s="99">
        <f t="shared" si="89"/>
        <v>8.0362547608355938E-3</v>
      </c>
      <c r="N280" s="87"/>
      <c r="O280" s="46">
        <v>2000</v>
      </c>
      <c r="P280" s="46">
        <v>3000</v>
      </c>
      <c r="Q280" s="99">
        <f t="shared" si="90"/>
        <v>3.4170000000000001E-6</v>
      </c>
      <c r="R280" s="99">
        <v>1.7462260209547122E-3</v>
      </c>
      <c r="T280" s="99"/>
      <c r="U280" s="51">
        <f t="shared" si="91"/>
        <v>0</v>
      </c>
    </row>
    <row r="281" spans="1:21" x14ac:dyDescent="0.3">
      <c r="A281" s="13" t="str">
        <f t="shared" si="81"/>
        <v>(3000, 4000]</v>
      </c>
      <c r="B281" s="102">
        <v>596185</v>
      </c>
      <c r="C281" s="102">
        <v>199116551730</v>
      </c>
      <c r="D281" s="28">
        <f t="shared" si="82"/>
        <v>5.9618500000000003E-3</v>
      </c>
      <c r="E281" s="89">
        <f t="shared" si="83"/>
        <v>3339.8450435686909</v>
      </c>
      <c r="F281" s="87"/>
      <c r="G281" s="13" t="str">
        <f t="shared" si="84"/>
        <v>(3000, 4000]</v>
      </c>
      <c r="H281" s="85">
        <v>2.348264381022669E-6</v>
      </c>
      <c r="I281" s="28">
        <f t="shared" si="85"/>
        <v>1.4E-8</v>
      </c>
      <c r="J281" s="28">
        <f t="shared" si="86"/>
        <v>1.4E-8</v>
      </c>
      <c r="K281" s="91">
        <f t="shared" si="87"/>
        <v>14</v>
      </c>
      <c r="L281" s="99">
        <f t="shared" si="88"/>
        <v>1.4E-8</v>
      </c>
      <c r="M281" s="99">
        <f t="shared" si="89"/>
        <v>4.675783060996167E-5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6.3937700767252408E-4</v>
      </c>
      <c r="T281" s="99"/>
      <c r="U281" s="51">
        <f t="shared" si="91"/>
        <v>0</v>
      </c>
    </row>
    <row r="282" spans="1:21" x14ac:dyDescent="0.3">
      <c r="A282" s="13" t="str">
        <f t="shared" si="81"/>
        <v>(4000, 5000]</v>
      </c>
      <c r="B282" s="102">
        <v>73220</v>
      </c>
      <c r="C282" s="102">
        <v>31721222260</v>
      </c>
      <c r="D282" s="28">
        <f t="shared" si="82"/>
        <v>7.3220000000000002E-4</v>
      </c>
      <c r="E282" s="89">
        <f t="shared" si="83"/>
        <v>4332.3166156787765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3.3850700406208405E-4</v>
      </c>
      <c r="T282" s="99"/>
      <c r="U282" s="51">
        <f t="shared" si="91"/>
        <v>0</v>
      </c>
    </row>
    <row r="283" spans="1:21" x14ac:dyDescent="0.3">
      <c r="A283" s="13" t="str">
        <f t="shared" si="81"/>
        <v>(5000, 6000]</v>
      </c>
      <c r="B283" s="102">
        <v>8336</v>
      </c>
      <c r="C283" s="102">
        <v>4440337650</v>
      </c>
      <c r="D283" s="28">
        <f t="shared" si="82"/>
        <v>8.3360000000000001E-5</v>
      </c>
      <c r="E283" s="89">
        <f t="shared" si="83"/>
        <v>5326.7006357965456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2.9639800355677604E-4</v>
      </c>
      <c r="T283" s="99"/>
      <c r="U283" s="51">
        <f t="shared" si="91"/>
        <v>0</v>
      </c>
    </row>
    <row r="284" spans="1:21" x14ac:dyDescent="0.3">
      <c r="A284" s="13" t="str">
        <f t="shared" si="81"/>
        <v>(6000, 7000]</v>
      </c>
      <c r="B284" s="102">
        <v>894</v>
      </c>
      <c r="C284" s="102">
        <v>566177860</v>
      </c>
      <c r="D284" s="28">
        <f t="shared" si="82"/>
        <v>8.9400000000000008E-6</v>
      </c>
      <c r="E284" s="89">
        <f t="shared" si="83"/>
        <v>6333.0856823266213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2.1737400260848802E-4</v>
      </c>
      <c r="T284" s="99"/>
      <c r="U284" s="51">
        <f t="shared" si="91"/>
        <v>0</v>
      </c>
    </row>
    <row r="285" spans="1:21" x14ac:dyDescent="0.3">
      <c r="A285" s="13" t="str">
        <f t="shared" si="81"/>
        <v>(7000, 8000]</v>
      </c>
      <c r="B285" s="102">
        <v>91</v>
      </c>
      <c r="C285" s="102">
        <v>67246070</v>
      </c>
      <c r="D285" s="28">
        <f t="shared" si="82"/>
        <v>9.0999999999999997E-7</v>
      </c>
      <c r="E285" s="89">
        <f t="shared" si="83"/>
        <v>7389.6780219780221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 x14ac:dyDescent="0.3">
      <c r="A286" s="13" t="str">
        <f t="shared" si="81"/>
        <v>(8000, 9000]</v>
      </c>
      <c r="B286" s="102">
        <v>9</v>
      </c>
      <c r="C286" s="102">
        <v>7420800</v>
      </c>
      <c r="D286" s="28">
        <f t="shared" si="82"/>
        <v>8.9999999999999999E-8</v>
      </c>
      <c r="E286" s="89">
        <f t="shared" si="83"/>
        <v>8245.3333333333339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 x14ac:dyDescent="0.3">
      <c r="A287" s="13" t="str">
        <f t="shared" si="81"/>
        <v>(9000, 10000]</v>
      </c>
      <c r="B287" s="102">
        <v>1</v>
      </c>
      <c r="C287" s="102">
        <v>941950</v>
      </c>
      <c r="D287" s="28">
        <f t="shared" si="82"/>
        <v>1E-8</v>
      </c>
      <c r="E287" s="89">
        <f t="shared" si="83"/>
        <v>9419.5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 x14ac:dyDescent="0.3">
      <c r="A288" s="13" t="str">
        <f t="shared" si="81"/>
        <v>(10000, 20000]</v>
      </c>
      <c r="B288" s="102">
        <v>0</v>
      </c>
      <c r="C288" s="102">
        <v>0</v>
      </c>
      <c r="D288" s="28">
        <f t="shared" si="82"/>
        <v>0</v>
      </c>
      <c r="E288" s="89">
        <f t="shared" si="83"/>
        <v>0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 x14ac:dyDescent="0.3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 x14ac:dyDescent="0.3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 x14ac:dyDescent="0.3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 x14ac:dyDescent="0.3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 x14ac:dyDescent="0.3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 x14ac:dyDescent="0.3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 x14ac:dyDescent="0.3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 x14ac:dyDescent="0.3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 x14ac:dyDescent="0.3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5" operator="lessThan">
      <formula>0.001</formula>
    </cfRule>
  </conditionalFormatting>
  <conditionalFormatting sqref="D86:D149">
    <cfRule type="cellIs" dxfId="7" priority="39" operator="lessThan">
      <formula>0.001</formula>
    </cfRule>
  </conditionalFormatting>
  <conditionalFormatting sqref="D15:D78">
    <cfRule type="cellIs" dxfId="6" priority="40" operator="lessThan">
      <formula>0.001</formula>
    </cfRule>
  </conditionalFormatting>
  <conditionalFormatting sqref="D163:D226">
    <cfRule type="cellIs" dxfId="5" priority="35" operator="lessThan">
      <formula>0.001</formula>
    </cfRule>
  </conditionalFormatting>
  <conditionalFormatting sqref="D156">
    <cfRule type="cellIs" dxfId="4" priority="24" operator="lessThan">
      <formula>0.001</formula>
    </cfRule>
  </conditionalFormatting>
  <conditionalFormatting sqref="D234:D297">
    <cfRule type="cellIs" dxfId="3" priority="19" operator="lessThan">
      <formula>0.001</formula>
    </cfRule>
  </conditionalFormatting>
  <conditionalFormatting sqref="L18:L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Q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Q14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Q22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Q29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conditionalFormatting sqref="R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{AD2C6B4B-4728-4F76-BD7B-031A99F3844D}</x14:id>
        </ext>
      </extLst>
    </cfRule>
  </conditionalFormatting>
  <conditionalFormatting sqref="R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{C7A4836C-C705-4F24-A2DB-6AC4D25E1727}</x14:id>
        </ext>
      </extLst>
    </cfRule>
  </conditionalFormatting>
  <conditionalFormatting sqref="R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{E417C2C2-0329-4F38-831B-07AE1B384031}</x14:id>
        </ext>
      </extLst>
    </cfRule>
  </conditionalFormatting>
  <conditionalFormatting sqref="R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{6C6F17C1-7280-4B10-99B1-72BD2E63B51E}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Q86:Q149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Q163:Q226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Q234:Q297</xm:sqref>
        </x14:conditionalFormatting>
        <x14:conditionalFormatting xmlns:xm="http://schemas.microsoft.com/office/excel/2006/main">
          <x14:cfRule type="dataBar" id="{AD2C6B4B-4728-4F76-BD7B-031A99F38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C7A4836C-C705-4F24-A2DB-6AC4D25E1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R86:R149</xm:sqref>
        </x14:conditionalFormatting>
        <x14:conditionalFormatting xmlns:xm="http://schemas.microsoft.com/office/excel/2006/main">
          <x14:cfRule type="dataBar" id="{E417C2C2-0329-4F38-831B-07AE1B384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R163:R226</xm:sqref>
        </x14:conditionalFormatting>
        <x14:conditionalFormatting xmlns:xm="http://schemas.microsoft.com/office/excel/2006/main">
          <x14:cfRule type="dataBar" id="{6C6F17C1-7280-4B10-99B1-72BD2E63B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0.64999999973609668</v>
      </c>
      <c r="D7" s="76">
        <f>SUM(M86:M149)*F7</f>
        <v>0.27999999931568675</v>
      </c>
      <c r="E7" s="77">
        <f>SUM(C7:D7)</f>
        <v>0.92999999905178343</v>
      </c>
      <c r="F7" s="32">
        <f>L79</f>
        <v>7.6923077075739645E-3</v>
      </c>
      <c r="G7" s="33">
        <f>1/F7</f>
        <v>129.999999742</v>
      </c>
      <c r="H7" s="34">
        <f>D7*G7</f>
        <v>36.399999838799275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 x14ac:dyDescent="0.3">
      <c r="L8" s="38"/>
      <c r="M8" s="45"/>
      <c r="Q8" s="38"/>
      <c r="R8" s="38"/>
    </row>
    <row r="9" spans="1:21" x14ac:dyDescent="0.3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1.1851798643447777</v>
      </c>
      <c r="I15" s="28">
        <f t="shared" ref="I15:I46" si="4">D15*H15</f>
        <v>0.74847417100000002</v>
      </c>
      <c r="J15" s="28">
        <f t="shared" ref="J15:J46" si="5">IFERROR(I15/SUM($I$15:$I$78),0)</f>
        <v>0.74847417100000002</v>
      </c>
      <c r="K15" s="86">
        <f t="shared" ref="K15:K46" si="6">INT(J15*$B$2)</f>
        <v>748474171</v>
      </c>
      <c r="L15" s="99">
        <f t="shared" ref="L15:L46" si="7">IFERROR(K15/SUM($K$15:$K$79),0)</f>
        <v>0.74271667736549662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0.74271667736549662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0.83722530683919738</v>
      </c>
      <c r="I16" s="28">
        <f t="shared" si="4"/>
        <v>0.14127477299999999</v>
      </c>
      <c r="J16" s="28">
        <f t="shared" si="5"/>
        <v>0.14127477299999999</v>
      </c>
      <c r="K16" s="86">
        <f t="shared" si="6"/>
        <v>141274773</v>
      </c>
      <c r="L16" s="99">
        <f t="shared" si="7"/>
        <v>0.14018804397476634</v>
      </c>
      <c r="M16" s="99">
        <f t="shared" si="8"/>
        <v>5.8080888165933681E-2</v>
      </c>
      <c r="N16" s="87"/>
      <c r="O16" s="46">
        <v>0</v>
      </c>
      <c r="P16" s="46">
        <v>1</v>
      </c>
      <c r="Q16" s="99">
        <f t="shared" si="9"/>
        <v>0.14018804397476634</v>
      </c>
      <c r="R16" s="99">
        <v>0.15426599999999999</v>
      </c>
      <c r="T16" s="28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0.71989000366029532</v>
      </c>
      <c r="I17" s="28">
        <f t="shared" si="4"/>
        <v>3.5403535999999999E-2</v>
      </c>
      <c r="J17" s="28">
        <f t="shared" si="5"/>
        <v>3.5403535999999999E-2</v>
      </c>
      <c r="K17" s="86">
        <f t="shared" si="6"/>
        <v>35403536</v>
      </c>
      <c r="L17" s="99">
        <f t="shared" si="7"/>
        <v>3.513120110715183E-2</v>
      </c>
      <c r="M17" s="99">
        <f t="shared" si="8"/>
        <v>5.2763781483705967E-2</v>
      </c>
      <c r="N17" s="87"/>
      <c r="O17" s="46">
        <v>1</v>
      </c>
      <c r="P17" s="46">
        <v>2</v>
      </c>
      <c r="Q17" s="99">
        <f t="shared" si="9"/>
        <v>3.513120110715183E-2</v>
      </c>
      <c r="R17" s="99">
        <v>4.5428000000000003E-2</v>
      </c>
      <c r="T17" s="28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0.70934975703087255</v>
      </c>
      <c r="I18" s="28">
        <f t="shared" si="4"/>
        <v>1.9721991000000001E-2</v>
      </c>
      <c r="J18" s="28">
        <f t="shared" si="5"/>
        <v>1.9721991000000001E-2</v>
      </c>
      <c r="K18" s="86">
        <f t="shared" si="6"/>
        <v>19721991</v>
      </c>
      <c r="L18" s="99">
        <f t="shared" si="7"/>
        <v>1.9570283376621995E-2</v>
      </c>
      <c r="M18" s="99">
        <f t="shared" si="8"/>
        <v>4.9456435623817317E-2</v>
      </c>
      <c r="N18" s="87"/>
      <c r="O18" s="46">
        <v>2</v>
      </c>
      <c r="P18" s="46">
        <v>3</v>
      </c>
      <c r="Q18" s="99">
        <f t="shared" si="9"/>
        <v>1.9570283376621995E-2</v>
      </c>
      <c r="R18" s="99">
        <v>2.0910000000000002E-2</v>
      </c>
      <c r="T18" s="28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0.68863920490787434</v>
      </c>
      <c r="I19" s="28">
        <f t="shared" si="4"/>
        <v>1.2447906999999998E-2</v>
      </c>
      <c r="J19" s="28">
        <f t="shared" si="5"/>
        <v>1.2447906999999998E-2</v>
      </c>
      <c r="K19" s="86">
        <f t="shared" si="6"/>
        <v>12447907</v>
      </c>
      <c r="L19" s="99">
        <f t="shared" si="7"/>
        <v>1.2352153869040736E-2</v>
      </c>
      <c r="M19" s="99">
        <f t="shared" si="8"/>
        <v>4.3970657420025774E-2</v>
      </c>
      <c r="N19" s="87"/>
      <c r="O19" s="46">
        <v>3</v>
      </c>
      <c r="P19" s="46">
        <v>4</v>
      </c>
      <c r="Q19" s="99">
        <f t="shared" si="9"/>
        <v>1.2352153869040736E-2</v>
      </c>
      <c r="R19" s="99">
        <v>1.2886E-2</v>
      </c>
      <c r="T19" s="28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0.72436592050025617</v>
      </c>
      <c r="I20" s="28">
        <f t="shared" si="4"/>
        <v>1.0078705E-2</v>
      </c>
      <c r="J20" s="28">
        <f t="shared" si="5"/>
        <v>1.0078705E-2</v>
      </c>
      <c r="K20" s="86">
        <f t="shared" si="6"/>
        <v>10078705</v>
      </c>
      <c r="L20" s="99">
        <f t="shared" si="7"/>
        <v>1.0001176499846135E-2</v>
      </c>
      <c r="M20" s="99">
        <f t="shared" si="8"/>
        <v>4.5289321084651765E-2</v>
      </c>
      <c r="N20" s="87"/>
      <c r="O20" s="46">
        <v>4</v>
      </c>
      <c r="P20" s="46">
        <v>5</v>
      </c>
      <c r="Q20" s="99">
        <f t="shared" si="9"/>
        <v>1.0001176499846135E-2</v>
      </c>
      <c r="R20" s="99">
        <v>8.4060000000000003E-3</v>
      </c>
      <c r="T20" s="28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0.3911328856840916</v>
      </c>
      <c r="I21" s="28">
        <f t="shared" si="4"/>
        <v>4.1300929999999996E-3</v>
      </c>
      <c r="J21" s="28">
        <f t="shared" si="5"/>
        <v>4.1300929999999996E-3</v>
      </c>
      <c r="K21" s="86">
        <f t="shared" si="6"/>
        <v>4130093</v>
      </c>
      <c r="L21" s="99">
        <f t="shared" si="7"/>
        <v>4.098323053783103E-3</v>
      </c>
      <c r="M21" s="99">
        <f t="shared" si="8"/>
        <v>2.2738076089261788E-2</v>
      </c>
      <c r="N21" s="87"/>
      <c r="O21" s="46">
        <v>5</v>
      </c>
      <c r="P21" s="46">
        <v>6</v>
      </c>
      <c r="Q21" s="99">
        <f t="shared" si="9"/>
        <v>4.098323053783103E-3</v>
      </c>
      <c r="R21" s="99">
        <v>6.5170000000000002E-3</v>
      </c>
      <c r="T21" s="28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0.42929615461599602</v>
      </c>
      <c r="I22" s="28">
        <f t="shared" si="4"/>
        <v>3.5345910000000001E-3</v>
      </c>
      <c r="J22" s="28">
        <f t="shared" si="5"/>
        <v>3.5345910000000001E-3</v>
      </c>
      <c r="K22" s="86">
        <f t="shared" si="6"/>
        <v>3534591</v>
      </c>
      <c r="L22" s="99">
        <f t="shared" si="7"/>
        <v>3.5074018384075784E-3</v>
      </c>
      <c r="M22" s="99">
        <f t="shared" si="8"/>
        <v>2.2851820022215759E-2</v>
      </c>
      <c r="N22" s="87"/>
      <c r="O22" s="46">
        <v>6</v>
      </c>
      <c r="P22" s="46">
        <v>7</v>
      </c>
      <c r="Q22" s="99">
        <f t="shared" si="9"/>
        <v>3.5074018384075784E-3</v>
      </c>
      <c r="R22" s="99">
        <v>3.5239999999999998E-3</v>
      </c>
      <c r="T22" s="28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0.41521929143165931</v>
      </c>
      <c r="I23" s="28">
        <f t="shared" si="4"/>
        <v>3.0735570000000002E-3</v>
      </c>
      <c r="J23" s="28">
        <f t="shared" si="5"/>
        <v>3.0735570000000002E-3</v>
      </c>
      <c r="K23" s="86">
        <f t="shared" si="6"/>
        <v>3073557</v>
      </c>
      <c r="L23" s="99">
        <f t="shared" si="7"/>
        <v>3.049914253799232E-3</v>
      </c>
      <c r="M23" s="99">
        <f t="shared" si="8"/>
        <v>2.3003151664430746E-2</v>
      </c>
      <c r="N23" s="87"/>
      <c r="O23" s="46">
        <v>7</v>
      </c>
      <c r="P23" s="46">
        <v>8</v>
      </c>
      <c r="Q23" s="99">
        <f t="shared" si="9"/>
        <v>3.049914253799232E-3</v>
      </c>
      <c r="R23" s="99">
        <v>3.9699999999999996E-3</v>
      </c>
      <c r="T23" s="28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0.42612178180817673</v>
      </c>
      <c r="I24" s="28">
        <f t="shared" si="4"/>
        <v>2.6189270000000001E-3</v>
      </c>
      <c r="J24" s="28">
        <f t="shared" si="5"/>
        <v>2.6189270000000001E-3</v>
      </c>
      <c r="K24" s="86">
        <f t="shared" si="6"/>
        <v>2618927</v>
      </c>
      <c r="L24" s="99">
        <f t="shared" si="7"/>
        <v>2.5987814076523265E-3</v>
      </c>
      <c r="M24" s="99">
        <f t="shared" si="8"/>
        <v>2.2142305378435933E-2</v>
      </c>
      <c r="N24" s="87"/>
      <c r="O24" s="46">
        <v>8</v>
      </c>
      <c r="P24" s="46">
        <v>9</v>
      </c>
      <c r="Q24" s="99">
        <f t="shared" si="9"/>
        <v>2.5987814076523265E-3</v>
      </c>
      <c r="R24" s="99">
        <v>3.2269999999999998E-3</v>
      </c>
      <c r="T24" s="28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0.51286544918842414</v>
      </c>
      <c r="I25" s="28">
        <f t="shared" si="4"/>
        <v>2.5741039999999994E-3</v>
      </c>
      <c r="J25" s="28">
        <f t="shared" si="5"/>
        <v>2.5741039999999994E-3</v>
      </c>
      <c r="K25" s="86">
        <f t="shared" si="6"/>
        <v>2574104</v>
      </c>
      <c r="L25" s="99">
        <f t="shared" si="7"/>
        <v>2.5543031999607029E-3</v>
      </c>
      <c r="M25" s="99">
        <f t="shared" si="8"/>
        <v>2.4349540260524376E-2</v>
      </c>
      <c r="N25" s="87"/>
      <c r="O25" s="46">
        <v>9</v>
      </c>
      <c r="P25" s="46">
        <v>10</v>
      </c>
      <c r="Q25" s="99">
        <f t="shared" si="9"/>
        <v>2.5543031999607029E-3</v>
      </c>
      <c r="R25" s="99">
        <v>2.1020000000000001E-3</v>
      </c>
      <c r="T25" s="28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0.55592812320894403</v>
      </c>
      <c r="I26" s="28">
        <f t="shared" si="4"/>
        <v>9.5920599999999995E-3</v>
      </c>
      <c r="J26" s="28">
        <f t="shared" si="5"/>
        <v>9.5920599999999995E-3</v>
      </c>
      <c r="K26" s="86">
        <f t="shared" si="6"/>
        <v>9592060</v>
      </c>
      <c r="L26" s="99">
        <f t="shared" si="7"/>
        <v>9.5182749229304874E-3</v>
      </c>
      <c r="M26" s="99">
        <f t="shared" si="8"/>
        <v>0.11712560754498827</v>
      </c>
      <c r="N26" s="87"/>
      <c r="O26" s="46">
        <v>10</v>
      </c>
      <c r="P26" s="46">
        <v>15</v>
      </c>
      <c r="Q26" s="99">
        <f t="shared" si="9"/>
        <v>9.5182749229304874E-3</v>
      </c>
      <c r="R26" s="99">
        <v>6.4320000000000002E-3</v>
      </c>
      <c r="T26" s="28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0.2906155420634397</v>
      </c>
      <c r="I27" s="28">
        <f t="shared" si="4"/>
        <v>2.9262820000000001E-3</v>
      </c>
      <c r="J27" s="28">
        <f t="shared" si="5"/>
        <v>2.9262820000000001E-3</v>
      </c>
      <c r="K27" s="86">
        <f t="shared" si="6"/>
        <v>2926282</v>
      </c>
      <c r="L27" s="99">
        <f t="shared" si="7"/>
        <v>2.903772138416865E-3</v>
      </c>
      <c r="M27" s="99">
        <f t="shared" si="8"/>
        <v>5.036432566716853E-2</v>
      </c>
      <c r="N27" s="87"/>
      <c r="O27" s="46">
        <v>15</v>
      </c>
      <c r="P27" s="46">
        <v>20</v>
      </c>
      <c r="Q27" s="99">
        <f t="shared" si="9"/>
        <v>2.903772138416865E-3</v>
      </c>
      <c r="R27" s="99">
        <v>2.823E-3</v>
      </c>
      <c r="T27" s="28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0.35997444039582077</v>
      </c>
      <c r="I28" s="28">
        <f t="shared" si="4"/>
        <v>2.3243780000000002E-3</v>
      </c>
      <c r="J28" s="28">
        <f t="shared" si="5"/>
        <v>2.3243780000000002E-3</v>
      </c>
      <c r="K28" s="86">
        <f t="shared" si="6"/>
        <v>2324378</v>
      </c>
      <c r="L28" s="99">
        <f t="shared" si="7"/>
        <v>2.3064981691952847E-3</v>
      </c>
      <c r="M28" s="99">
        <f t="shared" si="8"/>
        <v>5.1698684433321429E-2</v>
      </c>
      <c r="N28" s="87"/>
      <c r="O28" s="46">
        <v>20</v>
      </c>
      <c r="P28" s="46">
        <v>25</v>
      </c>
      <c r="Q28" s="99">
        <f t="shared" si="9"/>
        <v>2.3064981691952847E-3</v>
      </c>
      <c r="R28" s="99">
        <v>1.6130000000000001E-3</v>
      </c>
      <c r="T28" s="28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0.40556241150875638</v>
      </c>
      <c r="I29" s="28">
        <f t="shared" si="4"/>
        <v>1.824925E-3</v>
      </c>
      <c r="J29" s="28">
        <f t="shared" si="5"/>
        <v>1.824925E-3</v>
      </c>
      <c r="K29" s="86">
        <f t="shared" si="6"/>
        <v>1824925</v>
      </c>
      <c r="L29" s="99">
        <f t="shared" si="7"/>
        <v>1.8108871153567556E-3</v>
      </c>
      <c r="M29" s="99">
        <f t="shared" si="8"/>
        <v>4.9539192259415471E-2</v>
      </c>
      <c r="N29" s="87"/>
      <c r="O29" s="46">
        <v>25</v>
      </c>
      <c r="P29" s="46">
        <v>30</v>
      </c>
      <c r="Q29" s="99">
        <f t="shared" si="9"/>
        <v>1.8108871153567556E-3</v>
      </c>
      <c r="R29" s="99">
        <v>1.3159999999999999E-3</v>
      </c>
      <c r="T29" s="28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 x14ac:dyDescent="0.3">
      <c r="A79" s="13" t="s">
        <v>18</v>
      </c>
      <c r="B79" s="88">
        <v>8837552</v>
      </c>
      <c r="C79" s="88">
        <v>1910155240</v>
      </c>
      <c r="D79" s="28">
        <f>B79/B13</f>
        <v>8.8375520000000003E-3</v>
      </c>
      <c r="E79" s="89">
        <f t="shared" si="13"/>
        <v>2.1614076386764118</v>
      </c>
      <c r="F79" s="90"/>
      <c r="G79" s="13" t="s">
        <v>18</v>
      </c>
      <c r="H79" s="85">
        <v>0.87715896890903722</v>
      </c>
      <c r="I79" s="28">
        <f t="shared" ref="I79:I110" si="22">D79*H79</f>
        <v>7.7519379999999999E-3</v>
      </c>
      <c r="J79" s="28">
        <f>I79</f>
        <v>7.7519379999999999E-3</v>
      </c>
      <c r="K79" s="91">
        <f t="shared" ref="K79:K110" si="23">INT(J79*$B$2)</f>
        <v>7751938</v>
      </c>
      <c r="L79" s="99">
        <f t="shared" ref="L79:L110" si="24">IFERROR(K79/SUM($K$15:$K$79),0)</f>
        <v>7.6923077075739645E-3</v>
      </c>
      <c r="M79" s="99">
        <f t="shared" ref="M79:M110" si="25">L79*E79</f>
        <v>1.6626212638199807E-2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5.3936188983064959</v>
      </c>
      <c r="I92" s="28">
        <f t="shared" si="30"/>
        <v>2.7989936999999999E-2</v>
      </c>
      <c r="J92" s="28">
        <f t="shared" si="31"/>
        <v>2.7989937000000003E-2</v>
      </c>
      <c r="K92" s="86">
        <f t="shared" si="32"/>
        <v>27989937</v>
      </c>
      <c r="L92" s="99">
        <f t="shared" si="33"/>
        <v>2.7989936999999999E-2</v>
      </c>
      <c r="M92" s="99">
        <f t="shared" si="34"/>
        <v>0.15571439267216716</v>
      </c>
      <c r="N92" s="100"/>
      <c r="O92" s="46">
        <v>5</v>
      </c>
      <c r="P92" s="46">
        <v>6</v>
      </c>
      <c r="Q92" s="99">
        <f t="shared" si="35"/>
        <v>2.7989936999999999E-2</v>
      </c>
      <c r="R92" s="99">
        <v>6.8970000000000004E-3</v>
      </c>
      <c r="T92" s="28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4.7978287459302074</v>
      </c>
      <c r="I93" s="28">
        <f t="shared" si="30"/>
        <v>2.4287702000000001E-2</v>
      </c>
      <c r="J93" s="28">
        <f t="shared" si="31"/>
        <v>2.4287702000000005E-2</v>
      </c>
      <c r="K93" s="86">
        <f t="shared" si="32"/>
        <v>24287702</v>
      </c>
      <c r="L93" s="99">
        <f t="shared" si="33"/>
        <v>2.4287702000000001E-2</v>
      </c>
      <c r="M93" s="99">
        <f t="shared" si="34"/>
        <v>0.1593286118715837</v>
      </c>
      <c r="N93" s="87"/>
      <c r="O93" s="46">
        <v>6</v>
      </c>
      <c r="P93" s="46">
        <v>7</v>
      </c>
      <c r="Q93" s="99">
        <f t="shared" si="35"/>
        <v>2.4287702000000001E-2</v>
      </c>
      <c r="R93" s="99">
        <v>2.069E-2</v>
      </c>
      <c r="T93" s="28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5.2284374838818053</v>
      </c>
      <c r="I94" s="28">
        <f t="shared" si="30"/>
        <v>2.6217804000000004E-2</v>
      </c>
      <c r="J94" s="28">
        <f t="shared" si="31"/>
        <v>2.6217804000000008E-2</v>
      </c>
      <c r="K94" s="86">
        <f t="shared" si="32"/>
        <v>26217804</v>
      </c>
      <c r="L94" s="99">
        <f t="shared" si="33"/>
        <v>2.6217804000000001E-2</v>
      </c>
      <c r="M94" s="99">
        <f t="shared" si="34"/>
        <v>0.19835654505015582</v>
      </c>
      <c r="N94" s="87"/>
      <c r="O94" s="46">
        <v>7</v>
      </c>
      <c r="P94" s="46">
        <v>8</v>
      </c>
      <c r="Q94" s="99">
        <f t="shared" si="35"/>
        <v>2.6217804000000001E-2</v>
      </c>
      <c r="R94" s="99">
        <v>0</v>
      </c>
      <c r="T94" s="28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5.0353235825353417</v>
      </c>
      <c r="I95" s="28">
        <f t="shared" si="30"/>
        <v>2.5303012999999999E-2</v>
      </c>
      <c r="J95" s="28">
        <f t="shared" si="31"/>
        <v>2.5303013000000003E-2</v>
      </c>
      <c r="K95" s="86">
        <f t="shared" si="32"/>
        <v>25303013</v>
      </c>
      <c r="L95" s="99">
        <f t="shared" si="33"/>
        <v>2.5303012999999999E-2</v>
      </c>
      <c r="M95" s="99">
        <f t="shared" si="34"/>
        <v>0.21662588949378736</v>
      </c>
      <c r="N95" s="87"/>
      <c r="O95" s="46">
        <v>8</v>
      </c>
      <c r="P95" s="46">
        <v>9</v>
      </c>
      <c r="Q95" s="99">
        <f t="shared" si="35"/>
        <v>2.5303012999999999E-2</v>
      </c>
      <c r="R95" s="99">
        <v>6.8970000000000004E-3</v>
      </c>
      <c r="T95" s="28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5.4427143399177229</v>
      </c>
      <c r="I96" s="28">
        <f t="shared" si="30"/>
        <v>2.7271778999999999E-2</v>
      </c>
      <c r="J96" s="28">
        <f t="shared" si="31"/>
        <v>2.7271779000000003E-2</v>
      </c>
      <c r="K96" s="86">
        <f t="shared" si="32"/>
        <v>27271779</v>
      </c>
      <c r="L96" s="99">
        <f t="shared" si="33"/>
        <v>2.7271778999999999E-2</v>
      </c>
      <c r="M96" s="99">
        <f t="shared" si="34"/>
        <v>0.26073607356371176</v>
      </c>
      <c r="N96" s="87"/>
      <c r="O96" s="46">
        <v>9</v>
      </c>
      <c r="P96" s="46">
        <v>10</v>
      </c>
      <c r="Q96" s="99">
        <f t="shared" si="35"/>
        <v>2.7271778999999999E-2</v>
      </c>
      <c r="R96" s="99">
        <v>0</v>
      </c>
      <c r="T96" s="28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4.9458308117524545</v>
      </c>
      <c r="I97" s="28">
        <f t="shared" si="30"/>
        <v>0.121586766</v>
      </c>
      <c r="J97" s="28">
        <f t="shared" si="31"/>
        <v>0.12158676600000001</v>
      </c>
      <c r="K97" s="86">
        <f t="shared" si="32"/>
        <v>121586766</v>
      </c>
      <c r="L97" s="99">
        <f t="shared" si="33"/>
        <v>0.121586766</v>
      </c>
      <c r="M97" s="99">
        <f t="shared" si="34"/>
        <v>1.5255017287588193</v>
      </c>
      <c r="N97" s="87"/>
      <c r="O97" s="46">
        <v>10</v>
      </c>
      <c r="P97" s="46">
        <v>15</v>
      </c>
      <c r="Q97" s="99">
        <f t="shared" si="35"/>
        <v>0.121586766</v>
      </c>
      <c r="R97" s="99">
        <v>6.2068999999999999E-2</v>
      </c>
      <c r="T97" s="28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3.6696638898944371</v>
      </c>
      <c r="I98" s="28">
        <f t="shared" si="30"/>
        <v>8.9148353999999999E-2</v>
      </c>
      <c r="J98" s="28">
        <f t="shared" si="31"/>
        <v>8.9148354000000013E-2</v>
      </c>
      <c r="K98" s="86">
        <f t="shared" si="32"/>
        <v>89148354</v>
      </c>
      <c r="L98" s="99">
        <f t="shared" si="33"/>
        <v>8.9148353999999999E-2</v>
      </c>
      <c r="M98" s="99">
        <f t="shared" si="34"/>
        <v>1.5649145885811822</v>
      </c>
      <c r="N98" s="87"/>
      <c r="O98" s="46">
        <v>15</v>
      </c>
      <c r="P98" s="46">
        <v>20</v>
      </c>
      <c r="Q98" s="99">
        <f t="shared" si="35"/>
        <v>8.9148353999999999E-2</v>
      </c>
      <c r="R98" s="99">
        <v>2.7585999999999999E-2</v>
      </c>
      <c r="T98" s="28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3.723075878071314</v>
      </c>
      <c r="I99" s="28">
        <f t="shared" si="30"/>
        <v>8.9320730000000001E-2</v>
      </c>
      <c r="J99" s="28">
        <f t="shared" si="31"/>
        <v>8.9320730000000015E-2</v>
      </c>
      <c r="K99" s="86">
        <f t="shared" si="32"/>
        <v>89320730</v>
      </c>
      <c r="L99" s="99">
        <f t="shared" si="33"/>
        <v>8.9320730000000001E-2</v>
      </c>
      <c r="M99" s="99">
        <f t="shared" si="34"/>
        <v>2.013679308010754</v>
      </c>
      <c r="N99" s="87"/>
      <c r="O99" s="46">
        <v>20</v>
      </c>
      <c r="P99" s="46">
        <v>25</v>
      </c>
      <c r="Q99" s="99">
        <f t="shared" si="35"/>
        <v>8.9320730000000001E-2</v>
      </c>
      <c r="R99" s="99">
        <v>2.069E-2</v>
      </c>
      <c r="T99" s="28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3.0489925740010468</v>
      </c>
      <c r="I100" s="28">
        <f t="shared" si="30"/>
        <v>7.2285381999999995E-2</v>
      </c>
      <c r="J100" s="28">
        <f t="shared" si="31"/>
        <v>7.2285382000000009E-2</v>
      </c>
      <c r="K100" s="86">
        <f t="shared" si="32"/>
        <v>72285382</v>
      </c>
      <c r="L100" s="99">
        <f t="shared" si="33"/>
        <v>7.2285381999999995E-2</v>
      </c>
      <c r="M100" s="99">
        <f t="shared" si="34"/>
        <v>1.9914402428790692</v>
      </c>
      <c r="N100" s="87"/>
      <c r="O100" s="46">
        <v>25</v>
      </c>
      <c r="P100" s="46">
        <v>30</v>
      </c>
      <c r="Q100" s="99">
        <f t="shared" si="35"/>
        <v>7.2285381999999995E-2</v>
      </c>
      <c r="R100" s="99">
        <v>8.9654999999999999E-2</v>
      </c>
      <c r="T100" s="28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2.8138781046421664</v>
      </c>
      <c r="I101" s="28">
        <f t="shared" si="30"/>
        <v>6.5618279000000002E-2</v>
      </c>
      <c r="J101" s="28">
        <f t="shared" si="31"/>
        <v>6.5618279000000015E-2</v>
      </c>
      <c r="K101" s="86">
        <f t="shared" si="32"/>
        <v>65618279</v>
      </c>
      <c r="L101" s="99">
        <f t="shared" si="33"/>
        <v>6.5618279000000002E-2</v>
      </c>
      <c r="M101" s="99">
        <f t="shared" si="34"/>
        <v>2.1358590617224902</v>
      </c>
      <c r="N101" s="87"/>
      <c r="O101" s="46">
        <v>30</v>
      </c>
      <c r="P101" s="46">
        <v>35</v>
      </c>
      <c r="Q101" s="99">
        <f t="shared" si="35"/>
        <v>6.5618279000000002E-2</v>
      </c>
      <c r="R101" s="99">
        <v>3.4483E-2</v>
      </c>
      <c r="T101" s="28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2.7882217784351879</v>
      </c>
      <c r="I102" s="28">
        <f t="shared" si="30"/>
        <v>6.4153851999999997E-2</v>
      </c>
      <c r="J102" s="28">
        <f t="shared" si="31"/>
        <v>6.4153852000000011E-2</v>
      </c>
      <c r="K102" s="86">
        <f t="shared" si="32"/>
        <v>64153852</v>
      </c>
      <c r="L102" s="99">
        <f t="shared" si="33"/>
        <v>6.4153851999999997E-2</v>
      </c>
      <c r="M102" s="99">
        <f t="shared" si="34"/>
        <v>2.4088814136419736</v>
      </c>
      <c r="N102" s="87"/>
      <c r="O102" s="46">
        <v>35</v>
      </c>
      <c r="P102" s="46">
        <v>40</v>
      </c>
      <c r="Q102" s="99">
        <f t="shared" si="35"/>
        <v>6.4153851999999997E-2</v>
      </c>
      <c r="R102" s="99">
        <v>6.2068999999999999E-2</v>
      </c>
      <c r="T102" s="28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3.0602057111997847</v>
      </c>
      <c r="I103" s="28">
        <f t="shared" si="30"/>
        <v>6.9438211999999999E-2</v>
      </c>
      <c r="J103" s="28">
        <f t="shared" si="31"/>
        <v>6.9438212000000013E-2</v>
      </c>
      <c r="K103" s="86">
        <f t="shared" si="32"/>
        <v>69438212</v>
      </c>
      <c r="L103" s="99">
        <f t="shared" si="33"/>
        <v>6.9438211999999999E-2</v>
      </c>
      <c r="M103" s="99">
        <f t="shared" si="34"/>
        <v>2.9543513462925262</v>
      </c>
      <c r="N103" s="87"/>
      <c r="O103" s="46">
        <v>40</v>
      </c>
      <c r="P103" s="46">
        <v>45</v>
      </c>
      <c r="Q103" s="99">
        <f t="shared" si="35"/>
        <v>6.9438211999999999E-2</v>
      </c>
      <c r="R103" s="99">
        <v>5.5171999999999999E-2</v>
      </c>
      <c r="T103" s="28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2.7088277556607805</v>
      </c>
      <c r="I104" s="28">
        <f t="shared" si="30"/>
        <v>6.0387769000000001E-2</v>
      </c>
      <c r="J104" s="28">
        <f t="shared" si="31"/>
        <v>6.0387769000000008E-2</v>
      </c>
      <c r="K104" s="86">
        <f t="shared" si="32"/>
        <v>60387769</v>
      </c>
      <c r="L104" s="99">
        <f t="shared" si="33"/>
        <v>6.0387769000000001E-2</v>
      </c>
      <c r="M104" s="99">
        <f t="shared" si="34"/>
        <v>2.8714827560317335</v>
      </c>
      <c r="N104" s="87"/>
      <c r="O104" s="46">
        <v>45</v>
      </c>
      <c r="P104" s="46">
        <v>50</v>
      </c>
      <c r="Q104" s="99">
        <f t="shared" si="35"/>
        <v>6.0387769000000001E-2</v>
      </c>
      <c r="R104" s="99">
        <v>4.8275999999999999E-2</v>
      </c>
      <c r="T104" s="28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1.7681857543134902</v>
      </c>
      <c r="I105" s="28">
        <f t="shared" si="30"/>
        <v>7.6797809999999994E-2</v>
      </c>
      <c r="J105" s="28">
        <f t="shared" si="31"/>
        <v>7.6797810000000008E-2</v>
      </c>
      <c r="K105" s="86">
        <f t="shared" si="32"/>
        <v>76797810</v>
      </c>
      <c r="L105" s="99">
        <f t="shared" si="33"/>
        <v>7.6797809999999994E-2</v>
      </c>
      <c r="M105" s="99">
        <f t="shared" si="34"/>
        <v>4.2260161363636373</v>
      </c>
      <c r="N105" s="87"/>
      <c r="O105" s="46">
        <v>50</v>
      </c>
      <c r="P105" s="46">
        <v>60</v>
      </c>
      <c r="Q105" s="99">
        <f t="shared" si="35"/>
        <v>7.6797809999999994E-2</v>
      </c>
      <c r="R105" s="99">
        <v>4.8275999999999999E-2</v>
      </c>
      <c r="T105" s="28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0.91328636370711436</v>
      </c>
      <c r="I106" s="28">
        <f t="shared" si="30"/>
        <v>3.8183372E-2</v>
      </c>
      <c r="J106" s="28">
        <f t="shared" si="31"/>
        <v>3.8183372000000007E-2</v>
      </c>
      <c r="K106" s="86">
        <f t="shared" si="32"/>
        <v>38183372</v>
      </c>
      <c r="L106" s="99">
        <f t="shared" si="33"/>
        <v>3.8183372E-2</v>
      </c>
      <c r="M106" s="99">
        <f t="shared" si="34"/>
        <v>2.4826271229333998</v>
      </c>
      <c r="N106" s="87"/>
      <c r="O106" s="46">
        <v>60</v>
      </c>
      <c r="P106" s="46">
        <v>70</v>
      </c>
      <c r="Q106" s="99">
        <f t="shared" si="35"/>
        <v>3.8183372E-2</v>
      </c>
      <c r="R106" s="99">
        <v>6.8966E-2</v>
      </c>
      <c r="T106" s="28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0.80617851549798381</v>
      </c>
      <c r="I107" s="28">
        <f t="shared" si="30"/>
        <v>3.2372132999999997E-2</v>
      </c>
      <c r="J107" s="28">
        <f t="shared" si="31"/>
        <v>3.2372133000000004E-2</v>
      </c>
      <c r="K107" s="86">
        <f t="shared" si="32"/>
        <v>32372133</v>
      </c>
      <c r="L107" s="99">
        <f t="shared" si="33"/>
        <v>3.2372132999999997E-2</v>
      </c>
      <c r="M107" s="99">
        <f t="shared" si="34"/>
        <v>2.4286018556228339</v>
      </c>
      <c r="N107" s="87"/>
      <c r="O107" s="46">
        <v>70</v>
      </c>
      <c r="P107" s="46">
        <v>80</v>
      </c>
      <c r="Q107" s="99">
        <f t="shared" si="35"/>
        <v>3.2372132999999997E-2</v>
      </c>
      <c r="R107" s="99">
        <v>3.4483E-2</v>
      </c>
      <c r="T107" s="28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0.68342100369952863</v>
      </c>
      <c r="I108" s="28">
        <f t="shared" si="30"/>
        <v>2.6270654000000001E-2</v>
      </c>
      <c r="J108" s="28">
        <f t="shared" si="31"/>
        <v>2.6270654000000004E-2</v>
      </c>
      <c r="K108" s="86">
        <f t="shared" si="32"/>
        <v>26270654</v>
      </c>
      <c r="L108" s="99">
        <f t="shared" si="33"/>
        <v>2.6270654000000001E-2</v>
      </c>
      <c r="M108" s="99">
        <f t="shared" si="34"/>
        <v>2.2332242123141399</v>
      </c>
      <c r="N108" s="87"/>
      <c r="O108" s="46">
        <v>80</v>
      </c>
      <c r="P108" s="46">
        <v>90</v>
      </c>
      <c r="Q108" s="99">
        <f t="shared" si="35"/>
        <v>2.6270654000000001E-2</v>
      </c>
      <c r="R108" s="99">
        <v>6.8966E-2</v>
      </c>
      <c r="T108" s="28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0.71687571684530527</v>
      </c>
      <c r="I109" s="53">
        <f t="shared" si="30"/>
        <v>2.6239496000000001E-2</v>
      </c>
      <c r="J109" s="53">
        <f t="shared" si="31"/>
        <v>2.6239496000000005E-2</v>
      </c>
      <c r="K109" s="86">
        <f t="shared" si="32"/>
        <v>26239496</v>
      </c>
      <c r="L109" s="99">
        <f t="shared" si="33"/>
        <v>2.6239496000000001E-2</v>
      </c>
      <c r="M109" s="99">
        <f t="shared" si="34"/>
        <v>2.4930300262269376</v>
      </c>
      <c r="N109" s="87"/>
      <c r="O109" s="46">
        <v>90</v>
      </c>
      <c r="P109" s="46">
        <v>100</v>
      </c>
      <c r="Q109" s="99">
        <f t="shared" si="35"/>
        <v>2.6239496000000001E-2</v>
      </c>
      <c r="R109" s="99">
        <v>2.7585999999999999E-2</v>
      </c>
      <c r="T109" s="28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0.54691824669334266</v>
      </c>
      <c r="I110" s="53">
        <f t="shared" si="30"/>
        <v>3.7126956000000003E-2</v>
      </c>
      <c r="J110" s="53">
        <f t="shared" si="31"/>
        <v>3.712695600000001E-2</v>
      </c>
      <c r="K110" s="86">
        <f t="shared" si="32"/>
        <v>37126956</v>
      </c>
      <c r="L110" s="99">
        <f t="shared" si="33"/>
        <v>3.7126956000000003E-2</v>
      </c>
      <c r="M110" s="99">
        <f t="shared" si="34"/>
        <v>4.0796285267683734</v>
      </c>
      <c r="N110" s="87"/>
      <c r="O110" s="46">
        <v>100</v>
      </c>
      <c r="P110" s="46">
        <v>120</v>
      </c>
      <c r="Q110" s="99">
        <f t="shared" si="35"/>
        <v>3.7126956000000003E-2</v>
      </c>
      <c r="R110" s="99">
        <v>6.8966E-2</v>
      </c>
      <c r="T110" s="28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workbookViewId="0">
      <selection activeCell="D9" sqref="D9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90</v>
      </c>
      <c r="C2" s="96">
        <v>10000000000</v>
      </c>
    </row>
    <row r="4" spans="1:3" x14ac:dyDescent="0.3">
      <c r="B4" s="12" t="s">
        <v>8</v>
      </c>
      <c r="C4" s="12" t="s">
        <v>114</v>
      </c>
    </row>
    <row r="5" spans="1:3" x14ac:dyDescent="0.3">
      <c r="A5" s="20"/>
      <c r="B5" s="14" t="s">
        <v>115</v>
      </c>
      <c r="C5" s="21" t="s">
        <v>118</v>
      </c>
    </row>
    <row r="6" spans="1:3" x14ac:dyDescent="0.3">
      <c r="B6" s="14" t="s">
        <v>116</v>
      </c>
      <c r="C6" s="21" t="s">
        <v>121</v>
      </c>
    </row>
    <row r="7" spans="1:3" x14ac:dyDescent="0.3">
      <c r="A7" s="20"/>
      <c r="B7" s="14" t="s">
        <v>117</v>
      </c>
      <c r="C7" s="21" t="s">
        <v>119</v>
      </c>
    </row>
    <row r="8" spans="1:3" x14ac:dyDescent="0.3">
      <c r="B8" s="14" t="s">
        <v>120</v>
      </c>
      <c r="C8" s="21"/>
    </row>
    <row r="9" spans="1:3" x14ac:dyDescent="0.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2026-08-19T06:16:39Z</dcterms:modified>
</cp:coreProperties>
</file>