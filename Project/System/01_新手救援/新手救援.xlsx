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Desktop\"/>
    </mc:Choice>
  </mc:AlternateContent>
  <xr:revisionPtr revIDLastSave="0" documentId="8_{2CEB2E37-0330-437D-8DB2-24F06D91F2CC}" xr6:coauthVersionLast="47" xr6:coauthVersionMax="47" xr10:uidLastSave="{00000000-0000-0000-0000-000000000000}"/>
  <bookViews>
    <workbookView xWindow="-19815" yWindow="4995" windowWidth="16410" windowHeight="11235" xr2:uid="{856490A8-F7BF-49A2-B89D-8BD7F07EE67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5" i="1" l="1"/>
  <c r="Q35" i="1"/>
  <c r="E8" i="1" l="1" a="1"/>
  <c r="E8" i="1" s="1"/>
  <c r="E29" i="1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8" i="1"/>
  <c r="B8" i="1" a="1"/>
  <c r="B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<sst xmlns="http://schemas.openxmlformats.org/spreadsheetml/2006/main" count="4" uniqueCount="3">
  <si>
    <t>cnt</t>
    <phoneticPr fontId="1" type="noConversion"/>
  </si>
  <si>
    <t>prob</t>
    <phoneticPr fontId="1" type="noConversion"/>
  </si>
  <si>
    <t>spin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</si>
</sst>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工作表1!$E$7</c:f>
              <c:strCache>
                <c:ptCount val="1"/>
                <c:pt idx="0">
                  <c:v>cnt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工作表1!$D$8:$D$27</c:f>
              <c:strCache>
                <c:ptCount val="20"/>
                <c:pt idx="0">
                  <c:v>1~10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  <c:pt idx="10">
                  <c:v>101~110</c:v>
                </c:pt>
                <c:pt idx="11">
                  <c:v>111~120</c:v>
                </c:pt>
                <c:pt idx="12">
                  <c:v>121~130</c:v>
                </c:pt>
                <c:pt idx="13">
                  <c:v>131~140</c:v>
                </c:pt>
                <c:pt idx="14">
                  <c:v>141~150</c:v>
                </c:pt>
                <c:pt idx="15">
                  <c:v>151~160</c:v>
                </c:pt>
                <c:pt idx="16">
                  <c:v>161~170</c:v>
                </c:pt>
                <c:pt idx="17">
                  <c:v>171~180</c:v>
                </c:pt>
                <c:pt idx="18">
                  <c:v>181~190</c:v>
                </c:pt>
                <c:pt idx="19">
                  <c:v>191~200</c:v>
                </c:pt>
              </c:strCache>
            </c:strRef>
          </c:cat>
          <c:val>
            <c:numRef>
              <c:f>工作表1!$E$8:$E$27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140</c:v>
                </c:pt>
                <c:pt idx="7">
                  <c:v>199</c:v>
                </c:pt>
                <c:pt idx="8">
                  <c:v>41</c:v>
                </c:pt>
                <c:pt idx="9">
                  <c:v>10</c:v>
                </c:pt>
                <c:pt idx="10">
                  <c:v>16</c:v>
                </c:pt>
                <c:pt idx="11">
                  <c:v>7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7-40F6-82EA-E374448B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755903"/>
        <c:axId val="659756319"/>
      </c:barChart>
      <c:catAx>
        <c:axId val="65975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59756319"/>
        <c:crosses val="autoZero"/>
        <c:auto val="1"/>
        <c:lblAlgn val="ctr"/>
        <c:lblOffset val="100"/>
        <c:noMultiLvlLbl val="0"/>
      </c:catAx>
      <c:valAx>
        <c:axId val="6597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5975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621030</xdr:colOff>
      <xdr:row>2</xdr:row>
      <xdr:rowOff>45720</xdr:rowOff>
    </xdr:from>
    <xdr:to>
      <xdr:col>16</xdr:col>
      <xdr:colOff>552450</xdr:colOff>
      <xdr:row>28</xdr:row>
      <xdr:rowOff>83820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5C04A0F-312B-4D17-8156-A78220E62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9C55-F3AE-4EF2-A59C-F2552C1D66EE}">
  <dimension ref="A6:R35"/>
  <sheetViews>
    <sheetView tabSelected="1" workbookViewId="0">
      <selection activeCell="D6" sqref="D6"/>
    </sheetView>
  </sheetViews>
  <sheetFormatPr defaultRowHeight="15.6" x14ac:dyDescent="0.3"/>
  <cols>
    <col min="4" max="5" width="9.1640625" bestFit="1" customWidth="1"/>
  </cols>
  <sheetData>
    <row r="6" spans="1:5" x14ac:dyDescent="0.3">
      <c r="E6">
        <v>7746</v>
      </c>
    </row>
    <row r="7" spans="1:5" x14ac:dyDescent="0.3">
      <c r="A7" t="s">
        <v>2</v>
      </c>
      <c r="C7" t="s">
        <v>1</v>
      </c>
      <c r="D7" t="s">
        <v>2</v>
      </c>
      <c r="E7" t="s">
        <v>0</v>
      </c>
    </row>
    <row r="8" spans="1:5" x14ac:dyDescent="0.3">
      <c r="A8">
        <v>1</v>
      </c>
      <c r="B8" cm="1">
        <f t="array" ref="B8:B27">A8:A27+9</f>
        <v>10</v>
      </c>
      <c r="C8" s="1">
        <v>0</v>
      </c>
      <c r="D8" t="str">
        <f>A8&amp;"~"&amp;B8</f>
        <v>1~10</v>
      </c>
      <c r="E8" s="2" cm="1">
        <f t="array" ref="E8:E27">INT(C8:C27*E6)</f>
        <v>0</v>
      </c>
    </row>
    <row r="9" spans="1:5" x14ac:dyDescent="0.3">
      <c r="A9">
        <v>11</v>
      </c>
      <c r="B9">
        <v>20</v>
      </c>
      <c r="C9" s="1">
        <v>0</v>
      </c>
      <c r="D9" t="str">
        <f t="shared" ref="D9:D27" si="0">A9&amp;"~"&amp;B9</f>
        <v>11~20</v>
      </c>
      <c r="E9" s="2">
        <v>0</v>
      </c>
    </row>
    <row r="10" spans="1:5" x14ac:dyDescent="0.3">
      <c r="A10">
        <v>21</v>
      </c>
      <c r="B10">
        <v>30</v>
      </c>
      <c r="C10" s="1">
        <v>0</v>
      </c>
      <c r="D10" t="str">
        <f t="shared" si="0"/>
        <v>21~30</v>
      </c>
      <c r="E10" s="2">
        <v>0</v>
      </c>
    </row>
    <row r="11" spans="1:5" x14ac:dyDescent="0.3">
      <c r="A11">
        <v>31</v>
      </c>
      <c r="B11">
        <v>40</v>
      </c>
      <c r="C11" s="1">
        <v>0</v>
      </c>
      <c r="D11" t="str">
        <f t="shared" si="0"/>
        <v>31~40</v>
      </c>
      <c r="E11" s="2">
        <v>0</v>
      </c>
    </row>
    <row r="12" spans="1:5" x14ac:dyDescent="0.3">
      <c r="A12">
        <v>41</v>
      </c>
      <c r="B12">
        <v>50</v>
      </c>
      <c r="C12" s="1">
        <v>0</v>
      </c>
      <c r="D12" t="str">
        <f t="shared" si="0"/>
        <v>41~50</v>
      </c>
      <c r="E12" s="2">
        <v>0</v>
      </c>
    </row>
    <row r="13" spans="1:5" x14ac:dyDescent="0.3">
      <c r="A13">
        <v>51</v>
      </c>
      <c r="B13">
        <v>60</v>
      </c>
      <c r="C13" s="1">
        <v>1E-3</v>
      </c>
      <c r="D13" t="str">
        <f t="shared" si="0"/>
        <v>51~60</v>
      </c>
      <c r="E13" s="2">
        <v>7</v>
      </c>
    </row>
    <row r="14" spans="1:5" x14ac:dyDescent="0.3">
      <c r="A14">
        <v>61</v>
      </c>
      <c r="B14">
        <v>70</v>
      </c>
      <c r="C14" s="1">
        <v>1.8100000000000002E-2</v>
      </c>
      <c r="D14" t="str">
        <f t="shared" si="0"/>
        <v>61~70</v>
      </c>
      <c r="E14" s="2">
        <v>140</v>
      </c>
    </row>
    <row r="15" spans="1:5" x14ac:dyDescent="0.3">
      <c r="A15">
        <v>71</v>
      </c>
      <c r="B15">
        <v>80</v>
      </c>
      <c r="C15" s="1">
        <v>2.58E-2</v>
      </c>
      <c r="D15" t="str">
        <f t="shared" si="0"/>
        <v>71~80</v>
      </c>
      <c r="E15" s="2">
        <v>199</v>
      </c>
    </row>
    <row r="16" spans="1:5" x14ac:dyDescent="0.3">
      <c r="A16">
        <v>81</v>
      </c>
      <c r="B16">
        <v>90</v>
      </c>
      <c r="C16" s="1">
        <v>5.3E-3</v>
      </c>
      <c r="D16" t="str">
        <f t="shared" si="0"/>
        <v>81~90</v>
      </c>
      <c r="E16" s="2">
        <v>41</v>
      </c>
    </row>
    <row r="17" spans="1:5" x14ac:dyDescent="0.3">
      <c r="A17">
        <v>91</v>
      </c>
      <c r="B17">
        <v>100</v>
      </c>
      <c r="C17" s="1">
        <v>1.4E-3</v>
      </c>
      <c r="D17" t="str">
        <f t="shared" si="0"/>
        <v>91~100</v>
      </c>
      <c r="E17" s="2">
        <v>10</v>
      </c>
    </row>
    <row r="18" spans="1:5" x14ac:dyDescent="0.3">
      <c r="A18">
        <v>101</v>
      </c>
      <c r="B18">
        <v>110</v>
      </c>
      <c r="C18" s="1">
        <v>2.0999999999999999E-3</v>
      </c>
      <c r="D18" t="str">
        <f t="shared" si="0"/>
        <v>101~110</v>
      </c>
      <c r="E18" s="2">
        <v>16</v>
      </c>
    </row>
    <row r="19" spans="1:5" x14ac:dyDescent="0.3">
      <c r="A19">
        <v>111</v>
      </c>
      <c r="B19">
        <v>120</v>
      </c>
      <c r="C19" s="1">
        <v>1E-3</v>
      </c>
      <c r="D19" t="str">
        <f t="shared" si="0"/>
        <v>111~120</v>
      </c>
      <c r="E19" s="2">
        <v>7</v>
      </c>
    </row>
    <row r="20" spans="1:5" x14ac:dyDescent="0.3">
      <c r="A20">
        <v>121</v>
      </c>
      <c r="B20">
        <v>130</v>
      </c>
      <c r="C20" s="1">
        <v>2.9999999999999997E-4</v>
      </c>
      <c r="D20" t="str">
        <f t="shared" si="0"/>
        <v>121~130</v>
      </c>
      <c r="E20" s="2">
        <v>2</v>
      </c>
    </row>
    <row r="21" spans="1:5" x14ac:dyDescent="0.3">
      <c r="A21">
        <v>131</v>
      </c>
      <c r="B21">
        <v>140</v>
      </c>
      <c r="C21" s="1">
        <v>2.9999999999999997E-4</v>
      </c>
      <c r="D21" t="str">
        <f t="shared" si="0"/>
        <v>131~140</v>
      </c>
      <c r="E21" s="2">
        <v>2</v>
      </c>
    </row>
    <row r="22" spans="1:5" x14ac:dyDescent="0.3">
      <c r="A22">
        <v>141</v>
      </c>
      <c r="B22">
        <v>150</v>
      </c>
      <c r="C22" s="1">
        <v>2.9999999999999997E-4</v>
      </c>
      <c r="D22" t="str">
        <f t="shared" si="0"/>
        <v>141~150</v>
      </c>
      <c r="E22" s="2">
        <v>2</v>
      </c>
    </row>
    <row r="23" spans="1:5" x14ac:dyDescent="0.3">
      <c r="A23">
        <v>151</v>
      </c>
      <c r="B23">
        <v>160</v>
      </c>
      <c r="C23" s="1">
        <v>4.0000000000000002E-4</v>
      </c>
      <c r="D23" t="str">
        <f t="shared" si="0"/>
        <v>151~160</v>
      </c>
      <c r="E23" s="2">
        <v>3</v>
      </c>
    </row>
    <row r="24" spans="1:5" x14ac:dyDescent="0.3">
      <c r="A24">
        <v>161</v>
      </c>
      <c r="B24">
        <v>170</v>
      </c>
      <c r="C24" s="1">
        <v>1E-4</v>
      </c>
      <c r="D24" t="str">
        <f t="shared" si="0"/>
        <v>161~170</v>
      </c>
      <c r="E24" s="2">
        <v>0</v>
      </c>
    </row>
    <row r="25" spans="1:5" x14ac:dyDescent="0.3">
      <c r="A25">
        <v>171</v>
      </c>
      <c r="B25">
        <v>180</v>
      </c>
      <c r="C25" s="1">
        <v>1E-4</v>
      </c>
      <c r="D25" t="str">
        <f t="shared" si="0"/>
        <v>171~180</v>
      </c>
      <c r="E25" s="2">
        <v>0</v>
      </c>
    </row>
    <row r="26" spans="1:5" x14ac:dyDescent="0.3">
      <c r="A26">
        <v>181</v>
      </c>
      <c r="B26">
        <v>190</v>
      </c>
      <c r="C26" s="1">
        <v>2.9999999999999997E-4</v>
      </c>
      <c r="D26" t="str">
        <f t="shared" si="0"/>
        <v>181~190</v>
      </c>
      <c r="E26" s="2">
        <v>2</v>
      </c>
    </row>
    <row r="27" spans="1:5" x14ac:dyDescent="0.3">
      <c r="A27">
        <v>191</v>
      </c>
      <c r="B27">
        <v>200</v>
      </c>
      <c r="C27" s="1">
        <v>0</v>
      </c>
      <c r="D27" t="str">
        <f t="shared" si="0"/>
        <v>191~200</v>
      </c>
      <c r="E27" s="2">
        <v>0</v>
      </c>
    </row>
    <row r="29" spans="1:5" x14ac:dyDescent="0.3">
      <c r="E29" s="2">
        <f>SUM(_xlfn.ANCHORARRAY(E8))</f>
        <v>431</v>
      </c>
    </row>
    <row r="35" spans="14:18" x14ac:dyDescent="0.3">
      <c r="N35">
        <v>54</v>
      </c>
      <c r="O35">
        <v>0</v>
      </c>
      <c r="P35">
        <v>0.4</v>
      </c>
      <c r="Q35">
        <f>(N35-O35)*P35</f>
        <v>21.6</v>
      </c>
      <c r="R35">
        <f>Q35-6</f>
        <v>15.600000000000001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2025-09-10T03:23:35Z</dcterms:created>
  <dcterms:modified xsi:type="dcterms:W3CDTF">2025-09-10T11:56:46Z</dcterms:modified>
</cp:coreProperties>
</file>