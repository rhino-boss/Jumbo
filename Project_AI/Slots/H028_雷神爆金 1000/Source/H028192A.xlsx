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8_{204D23A4-B91A-4D31-903A-41A8CFB2D066}" xr6:coauthVersionLast="47" xr6:coauthVersionMax="47" xr10:uidLastSave="{00000000-0000-0000-0000-000000000000}"/>
  <bookViews>
    <workbookView xWindow="-22485" yWindow="1050" windowWidth="21600" windowHeight="11235" tabRatio="858" activeTab="1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state="hidden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Performance Wheel" sheetId="60" r:id="rId1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0" i="72" l="1"/>
  <c r="H30" i="72"/>
  <c r="G30" i="72"/>
  <c r="F30" i="72"/>
  <c r="E30" i="72"/>
  <c r="D30" i="72"/>
  <c r="C30" i="72"/>
  <c r="I30" i="71"/>
  <c r="H30" i="71"/>
  <c r="G30" i="71"/>
  <c r="F30" i="71"/>
  <c r="E30" i="71"/>
  <c r="D30" i="71"/>
  <c r="C30" i="71"/>
  <c r="I30" i="70"/>
  <c r="H30" i="70"/>
  <c r="G30" i="70"/>
  <c r="F30" i="70"/>
  <c r="E30" i="70"/>
  <c r="D30" i="70"/>
  <c r="C30" i="70"/>
  <c r="I30" i="69"/>
  <c r="H30" i="69"/>
  <c r="G30" i="69"/>
  <c r="F30" i="69"/>
  <c r="E30" i="69"/>
  <c r="D30" i="69"/>
  <c r="C30" i="69"/>
  <c r="I30" i="59"/>
  <c r="H30" i="59"/>
  <c r="G30" i="59"/>
  <c r="F30" i="59"/>
  <c r="E30" i="59"/>
  <c r="D30" i="59"/>
  <c r="C30" i="59"/>
  <c r="I30" i="67"/>
  <c r="H30" i="67"/>
  <c r="G30" i="67"/>
  <c r="F30" i="67"/>
  <c r="E30" i="67"/>
  <c r="D30" i="67"/>
  <c r="C30" i="67"/>
  <c r="E29" i="72"/>
  <c r="D29" i="72"/>
  <c r="C29" i="72"/>
  <c r="I28" i="72"/>
  <c r="F27" i="72"/>
  <c r="G26" i="72"/>
  <c r="F26" i="72"/>
  <c r="E26" i="72"/>
  <c r="I25" i="72"/>
  <c r="G25" i="72"/>
  <c r="F25" i="72"/>
  <c r="H24" i="72"/>
  <c r="G24" i="72"/>
  <c r="F24" i="72"/>
  <c r="E24" i="72"/>
  <c r="D24" i="72"/>
  <c r="C24" i="72"/>
  <c r="I23" i="72"/>
  <c r="H23" i="72"/>
  <c r="G23" i="72"/>
  <c r="I22" i="72"/>
  <c r="H22" i="72"/>
  <c r="G22" i="72"/>
  <c r="F22" i="72"/>
  <c r="E22" i="72"/>
  <c r="D22" i="72"/>
  <c r="C22" i="72"/>
  <c r="G21" i="72"/>
  <c r="F21" i="72"/>
  <c r="I20" i="72"/>
  <c r="H20" i="72"/>
  <c r="D20" i="72"/>
  <c r="C20" i="72"/>
  <c r="D19" i="72"/>
  <c r="C19" i="72"/>
  <c r="I18" i="72"/>
  <c r="H18" i="72"/>
  <c r="G18" i="72"/>
  <c r="E18" i="72"/>
  <c r="D18" i="72"/>
  <c r="C18" i="72"/>
  <c r="I16" i="72"/>
  <c r="H16" i="72"/>
  <c r="G16" i="72"/>
  <c r="F16" i="72"/>
  <c r="E16" i="72"/>
  <c r="D16" i="72"/>
  <c r="G14" i="72"/>
  <c r="F14" i="72"/>
  <c r="E14" i="72"/>
  <c r="D14" i="72"/>
  <c r="G12" i="72"/>
  <c r="C12" i="72"/>
  <c r="I11" i="72"/>
  <c r="H11" i="72"/>
  <c r="I9" i="72"/>
  <c r="H9" i="72"/>
  <c r="H8" i="72"/>
  <c r="G8" i="72"/>
  <c r="F7" i="72"/>
  <c r="I6" i="72"/>
  <c r="H6" i="72"/>
  <c r="G6" i="72"/>
  <c r="I5" i="72"/>
  <c r="G5" i="72"/>
  <c r="F5" i="72"/>
  <c r="A4" i="72" a="1"/>
  <c r="W64" i="71"/>
  <c r="U63" i="71"/>
  <c r="W43" i="71"/>
  <c r="V43" i="71"/>
  <c r="I29" i="71"/>
  <c r="H29" i="71"/>
  <c r="G29" i="71"/>
  <c r="F29" i="71"/>
  <c r="E29" i="71"/>
  <c r="D29" i="71"/>
  <c r="C29" i="71"/>
  <c r="I28" i="71"/>
  <c r="H28" i="71"/>
  <c r="G28" i="71"/>
  <c r="F28" i="71"/>
  <c r="D28" i="71"/>
  <c r="C28" i="71"/>
  <c r="H27" i="71"/>
  <c r="F27" i="71"/>
  <c r="E27" i="71"/>
  <c r="C27" i="71"/>
  <c r="I26" i="71"/>
  <c r="H26" i="71"/>
  <c r="G26" i="71"/>
  <c r="F26" i="71"/>
  <c r="E26" i="71"/>
  <c r="D26" i="71"/>
  <c r="I25" i="71"/>
  <c r="H25" i="71"/>
  <c r="F25" i="71"/>
  <c r="E25" i="71"/>
  <c r="D25" i="71"/>
  <c r="C25" i="71"/>
  <c r="H24" i="71"/>
  <c r="G24" i="71"/>
  <c r="E24" i="71"/>
  <c r="D24" i="71"/>
  <c r="C24" i="71"/>
  <c r="I23" i="71"/>
  <c r="H23" i="71"/>
  <c r="G23" i="71"/>
  <c r="F23" i="71"/>
  <c r="D23" i="71"/>
  <c r="H22" i="71"/>
  <c r="G22" i="71"/>
  <c r="F22" i="71"/>
  <c r="E22" i="71"/>
  <c r="D22" i="71"/>
  <c r="C22" i="71"/>
  <c r="I21" i="71"/>
  <c r="G21" i="71"/>
  <c r="F21" i="71"/>
  <c r="E21" i="71"/>
  <c r="D21" i="71"/>
  <c r="I20" i="71"/>
  <c r="H20" i="71"/>
  <c r="F20" i="71"/>
  <c r="D20" i="71"/>
  <c r="C20" i="71"/>
  <c r="I19" i="71"/>
  <c r="H19" i="71"/>
  <c r="G19" i="71"/>
  <c r="F19" i="71"/>
  <c r="E19" i="71"/>
  <c r="D19" i="71"/>
  <c r="C19" i="71"/>
  <c r="I18" i="71"/>
  <c r="H18" i="71"/>
  <c r="G18" i="71"/>
  <c r="F18" i="71"/>
  <c r="D18" i="71"/>
  <c r="C18" i="71"/>
  <c r="H17" i="71"/>
  <c r="F17" i="71"/>
  <c r="E17" i="71"/>
  <c r="C17" i="71"/>
  <c r="I16" i="71"/>
  <c r="AA97" i="71" s="1"/>
  <c r="H16" i="71"/>
  <c r="G16" i="71"/>
  <c r="F16" i="71"/>
  <c r="E16" i="71"/>
  <c r="D16" i="71"/>
  <c r="Y15" i="71"/>
  <c r="I15" i="71"/>
  <c r="U95" i="71" s="1"/>
  <c r="H15" i="71"/>
  <c r="F15" i="71"/>
  <c r="E15" i="71"/>
  <c r="D15" i="71"/>
  <c r="C15" i="71"/>
  <c r="H14" i="71"/>
  <c r="G14" i="71"/>
  <c r="E14" i="71"/>
  <c r="D14" i="71"/>
  <c r="C14" i="71"/>
  <c r="I13" i="71"/>
  <c r="U98" i="71" s="1"/>
  <c r="H13" i="71"/>
  <c r="G13" i="71"/>
  <c r="F13" i="71"/>
  <c r="D13" i="71"/>
  <c r="H12" i="71"/>
  <c r="G12" i="71"/>
  <c r="F12" i="71"/>
  <c r="E12" i="71"/>
  <c r="D12" i="71"/>
  <c r="C12" i="71"/>
  <c r="I11" i="71"/>
  <c r="Y68" i="71" s="1"/>
  <c r="G11" i="71"/>
  <c r="F11" i="71"/>
  <c r="E11" i="71"/>
  <c r="D11" i="71"/>
  <c r="I10" i="71"/>
  <c r="Y7" i="71" s="1"/>
  <c r="H10" i="71"/>
  <c r="F10" i="71"/>
  <c r="D10" i="71"/>
  <c r="C10" i="71"/>
  <c r="I9" i="71"/>
  <c r="U45" i="71" s="1"/>
  <c r="H9" i="71"/>
  <c r="G9" i="71"/>
  <c r="F9" i="71"/>
  <c r="E9" i="71"/>
  <c r="D9" i="71"/>
  <c r="C9" i="71"/>
  <c r="I8" i="71"/>
  <c r="AA76" i="71" s="1"/>
  <c r="H8" i="71"/>
  <c r="G8" i="71"/>
  <c r="F8" i="71"/>
  <c r="D8" i="71"/>
  <c r="C8" i="71"/>
  <c r="H7" i="71"/>
  <c r="F7" i="71"/>
  <c r="E7" i="71"/>
  <c r="C7" i="71"/>
  <c r="I6" i="71"/>
  <c r="H6" i="71"/>
  <c r="G6" i="71"/>
  <c r="F6" i="71"/>
  <c r="E6" i="71"/>
  <c r="D6" i="71"/>
  <c r="Y5" i="71"/>
  <c r="I5" i="71"/>
  <c r="H5" i="71"/>
  <c r="F5" i="71"/>
  <c r="E5" i="71"/>
  <c r="D5" i="71"/>
  <c r="C5" i="71"/>
  <c r="A4" i="71"/>
  <c r="A4" i="71" a="1"/>
  <c r="I27" i="71" s="1"/>
  <c r="V105" i="70"/>
  <c r="V85" i="70"/>
  <c r="V84" i="70"/>
  <c r="U84" i="70"/>
  <c r="Y76" i="70"/>
  <c r="X76" i="70"/>
  <c r="W68" i="70"/>
  <c r="U48" i="70"/>
  <c r="Y45" i="70"/>
  <c r="U44" i="70"/>
  <c r="Y43" i="70"/>
  <c r="W43" i="70"/>
  <c r="I29" i="70"/>
  <c r="H29" i="70"/>
  <c r="G29" i="70"/>
  <c r="F29" i="70"/>
  <c r="E29" i="70"/>
  <c r="D29" i="70"/>
  <c r="C29" i="70"/>
  <c r="I28" i="70"/>
  <c r="H28" i="70"/>
  <c r="G28" i="70"/>
  <c r="F28" i="70"/>
  <c r="D28" i="70"/>
  <c r="C28" i="70"/>
  <c r="E27" i="70"/>
  <c r="D27" i="70"/>
  <c r="C27" i="70"/>
  <c r="Z26" i="70"/>
  <c r="I26" i="70"/>
  <c r="Y105" i="70" s="1"/>
  <c r="H26" i="70"/>
  <c r="G26" i="70"/>
  <c r="F26" i="70"/>
  <c r="E26" i="70"/>
  <c r="D26" i="70"/>
  <c r="I25" i="70"/>
  <c r="W17" i="70" s="1"/>
  <c r="H25" i="70"/>
  <c r="F25" i="70"/>
  <c r="E25" i="70"/>
  <c r="D25" i="70"/>
  <c r="C25" i="70"/>
  <c r="G24" i="70"/>
  <c r="F24" i="70"/>
  <c r="E24" i="70"/>
  <c r="D24" i="70"/>
  <c r="C24" i="70"/>
  <c r="I23" i="70"/>
  <c r="H23" i="70"/>
  <c r="G23" i="70"/>
  <c r="F23" i="70"/>
  <c r="Z22" i="70"/>
  <c r="H22" i="70"/>
  <c r="G22" i="70"/>
  <c r="F22" i="70"/>
  <c r="E22" i="70"/>
  <c r="D22" i="70"/>
  <c r="C22" i="70"/>
  <c r="I21" i="70"/>
  <c r="Y72" i="70" s="1"/>
  <c r="H21" i="70"/>
  <c r="G21" i="70"/>
  <c r="F21" i="70"/>
  <c r="E21" i="70"/>
  <c r="D21" i="70"/>
  <c r="I20" i="70"/>
  <c r="V48" i="70" s="1"/>
  <c r="H20" i="70"/>
  <c r="C20" i="70"/>
  <c r="I19" i="70"/>
  <c r="V62" i="70" s="1"/>
  <c r="H19" i="70"/>
  <c r="G19" i="70"/>
  <c r="F19" i="70"/>
  <c r="E19" i="70"/>
  <c r="D19" i="70"/>
  <c r="C19" i="70"/>
  <c r="I18" i="70"/>
  <c r="H18" i="70"/>
  <c r="G18" i="70"/>
  <c r="F18" i="70"/>
  <c r="D18" i="70"/>
  <c r="C18" i="70"/>
  <c r="E17" i="70"/>
  <c r="D17" i="70"/>
  <c r="C17" i="70"/>
  <c r="I16" i="70"/>
  <c r="W97" i="70" s="1"/>
  <c r="H16" i="70"/>
  <c r="G16" i="70"/>
  <c r="F16" i="70"/>
  <c r="E16" i="70"/>
  <c r="D16" i="70"/>
  <c r="I15" i="70"/>
  <c r="AA113" i="70" s="1"/>
  <c r="H15" i="70"/>
  <c r="F15" i="70"/>
  <c r="E15" i="70"/>
  <c r="D15" i="70"/>
  <c r="C15" i="70"/>
  <c r="G14" i="70"/>
  <c r="F14" i="70"/>
  <c r="E14" i="70"/>
  <c r="D14" i="70"/>
  <c r="C14" i="70"/>
  <c r="I13" i="70"/>
  <c r="W80" i="70" s="1"/>
  <c r="H13" i="70"/>
  <c r="G13" i="70"/>
  <c r="F13" i="70"/>
  <c r="H12" i="70"/>
  <c r="G12" i="70"/>
  <c r="F12" i="70"/>
  <c r="E12" i="70"/>
  <c r="D12" i="70"/>
  <c r="C12" i="70"/>
  <c r="Z11" i="70"/>
  <c r="I11" i="70"/>
  <c r="Y48" i="70" s="1"/>
  <c r="H11" i="70"/>
  <c r="G11" i="70"/>
  <c r="F11" i="70"/>
  <c r="E11" i="70"/>
  <c r="D11" i="70"/>
  <c r="I10" i="70"/>
  <c r="Z63" i="70" s="1"/>
  <c r="H10" i="70"/>
  <c r="C10" i="70"/>
  <c r="I9" i="70"/>
  <c r="Z27" i="70" s="1"/>
  <c r="H9" i="70"/>
  <c r="G9" i="70"/>
  <c r="F9" i="70"/>
  <c r="E9" i="70"/>
  <c r="D9" i="70"/>
  <c r="C9" i="70"/>
  <c r="U8" i="70"/>
  <c r="I8" i="70"/>
  <c r="X109" i="70" s="1"/>
  <c r="H8" i="70"/>
  <c r="G8" i="70"/>
  <c r="F8" i="70"/>
  <c r="D8" i="70"/>
  <c r="C8" i="70"/>
  <c r="E7" i="70"/>
  <c r="D7" i="70"/>
  <c r="C7" i="70"/>
  <c r="I6" i="70"/>
  <c r="AA59" i="70" s="1"/>
  <c r="H6" i="70"/>
  <c r="G6" i="70"/>
  <c r="F6" i="70"/>
  <c r="E6" i="70"/>
  <c r="D6" i="70"/>
  <c r="W5" i="70"/>
  <c r="I5" i="70"/>
  <c r="H5" i="70"/>
  <c r="F5" i="70"/>
  <c r="E5" i="70"/>
  <c r="D5" i="70"/>
  <c r="C5" i="70"/>
  <c r="G4" i="70"/>
  <c r="F4" i="70"/>
  <c r="A4" i="70"/>
  <c r="A4" i="70" a="1"/>
  <c r="I27" i="70" s="1"/>
  <c r="I27" i="72" l="1"/>
  <c r="C26" i="72"/>
  <c r="E23" i="72"/>
  <c r="G20" i="72"/>
  <c r="I17" i="72"/>
  <c r="C16" i="72"/>
  <c r="E13" i="72"/>
  <c r="G10" i="72"/>
  <c r="I7" i="72"/>
  <c r="C6" i="72"/>
  <c r="H27" i="72"/>
  <c r="D23" i="72"/>
  <c r="F20" i="72"/>
  <c r="H17" i="72"/>
  <c r="D13" i="72"/>
  <c r="F10" i="72"/>
  <c r="H7" i="72"/>
  <c r="G27" i="72"/>
  <c r="I24" i="72"/>
  <c r="C23" i="72"/>
  <c r="E20" i="72"/>
  <c r="G17" i="72"/>
  <c r="I14" i="72"/>
  <c r="C13" i="72"/>
  <c r="E10" i="72"/>
  <c r="G7" i="72"/>
  <c r="F28" i="72"/>
  <c r="H25" i="72"/>
  <c r="D21" i="72"/>
  <c r="F18" i="72"/>
  <c r="H15" i="72"/>
  <c r="D11" i="72"/>
  <c r="F8" i="72"/>
  <c r="H5" i="72"/>
  <c r="A4" i="72"/>
  <c r="G28" i="72"/>
  <c r="E21" i="72"/>
  <c r="H19" i="72"/>
  <c r="C14" i="72"/>
  <c r="F12" i="72"/>
  <c r="D5" i="72"/>
  <c r="E28" i="72"/>
  <c r="I26" i="72"/>
  <c r="C21" i="72"/>
  <c r="G19" i="72"/>
  <c r="E12" i="72"/>
  <c r="I10" i="72"/>
  <c r="C5" i="72"/>
  <c r="D28" i="72"/>
  <c r="H26" i="72"/>
  <c r="F19" i="72"/>
  <c r="D12" i="72"/>
  <c r="H10" i="72"/>
  <c r="I8" i="72"/>
  <c r="G29" i="72"/>
  <c r="D6" i="72"/>
  <c r="C8" i="72"/>
  <c r="C10" i="72"/>
  <c r="H12" i="72"/>
  <c r="H14" i="72"/>
  <c r="C25" i="72"/>
  <c r="C27" i="72"/>
  <c r="F29" i="72"/>
  <c r="E6" i="72"/>
  <c r="D8" i="72"/>
  <c r="D10" i="72"/>
  <c r="I12" i="72"/>
  <c r="D25" i="72"/>
  <c r="D27" i="72"/>
  <c r="H29" i="72"/>
  <c r="F6" i="72"/>
  <c r="E8" i="72"/>
  <c r="F23" i="72"/>
  <c r="E25" i="72"/>
  <c r="E27" i="72"/>
  <c r="I29" i="72"/>
  <c r="C17" i="72"/>
  <c r="C9" i="72"/>
  <c r="D17" i="72"/>
  <c r="I21" i="72"/>
  <c r="C11" i="72"/>
  <c r="E15" i="72"/>
  <c r="C7" i="72"/>
  <c r="E9" i="72"/>
  <c r="E11" i="72"/>
  <c r="G13" i="72"/>
  <c r="F15" i="72"/>
  <c r="F17" i="72"/>
  <c r="D9" i="72"/>
  <c r="F13" i="72"/>
  <c r="E17" i="72"/>
  <c r="D7" i="72"/>
  <c r="F9" i="72"/>
  <c r="F11" i="72"/>
  <c r="H13" i="72"/>
  <c r="G15" i="72"/>
  <c r="C28" i="72"/>
  <c r="C15" i="72"/>
  <c r="E19" i="72"/>
  <c r="H21" i="72"/>
  <c r="D15" i="72"/>
  <c r="I19" i="72"/>
  <c r="E5" i="72"/>
  <c r="E7" i="72"/>
  <c r="G9" i="72"/>
  <c r="G11" i="72"/>
  <c r="I13" i="72"/>
  <c r="I15" i="72"/>
  <c r="D26" i="72"/>
  <c r="H28" i="72"/>
  <c r="Y39" i="71"/>
  <c r="W13" i="71"/>
  <c r="AA66" i="71"/>
  <c r="Y24" i="71"/>
  <c r="U10" i="71"/>
  <c r="AA93" i="71"/>
  <c r="AA40" i="71"/>
  <c r="Z66" i="71"/>
  <c r="U108" i="71"/>
  <c r="U45" i="70"/>
  <c r="X85" i="70"/>
  <c r="W88" i="70"/>
  <c r="W9" i="70"/>
  <c r="V92" i="70"/>
  <c r="Y51" i="70"/>
  <c r="Z96" i="70"/>
  <c r="X52" i="70"/>
  <c r="AA13" i="70"/>
  <c r="AA120" i="70"/>
  <c r="W60" i="70"/>
  <c r="X105" i="70"/>
  <c r="AA76" i="70"/>
  <c r="V104" i="70"/>
  <c r="AA63" i="70"/>
  <c r="Y108" i="70"/>
  <c r="W40" i="70"/>
  <c r="AA53" i="70"/>
  <c r="X55" i="70"/>
  <c r="W25" i="70"/>
  <c r="U64" i="70"/>
  <c r="W13" i="70"/>
  <c r="W105" i="70"/>
  <c r="X25" i="70"/>
  <c r="U65" i="70"/>
  <c r="W31" i="70"/>
  <c r="Y11" i="70"/>
  <c r="U68" i="70"/>
  <c r="W92" i="70"/>
  <c r="Z108" i="70"/>
  <c r="W48" i="70"/>
  <c r="X68" i="70"/>
  <c r="X92" i="70"/>
  <c r="U109" i="70"/>
  <c r="Y6" i="70"/>
  <c r="U9" i="70"/>
  <c r="U12" i="70"/>
  <c r="AA68" i="70"/>
  <c r="Y93" i="70"/>
  <c r="Z6" i="70"/>
  <c r="AA19" i="70"/>
  <c r="Z51" i="70"/>
  <c r="Z71" i="70"/>
  <c r="W94" i="70"/>
  <c r="Y109" i="70"/>
  <c r="Y9" i="70"/>
  <c r="W26" i="70"/>
  <c r="AA51" i="70"/>
  <c r="W72" i="70"/>
  <c r="X94" i="70"/>
  <c r="U111" i="70"/>
  <c r="X117" i="70"/>
  <c r="V97" i="70"/>
  <c r="W4" i="70"/>
  <c r="X56" i="70"/>
  <c r="W100" i="70"/>
  <c r="W119" i="70"/>
  <c r="Z24" i="70"/>
  <c r="Y35" i="70"/>
  <c r="W37" i="70"/>
  <c r="U101" i="70"/>
  <c r="AA121" i="70"/>
  <c r="AA39" i="70"/>
  <c r="U60" i="70"/>
  <c r="AA80" i="70"/>
  <c r="V122" i="70"/>
  <c r="Y26" i="70"/>
  <c r="Y96" i="70"/>
  <c r="U117" i="70"/>
  <c r="Y7" i="70"/>
  <c r="Z31" i="70"/>
  <c r="X118" i="70"/>
  <c r="W35" i="70"/>
  <c r="U77" i="70"/>
  <c r="Z17" i="70"/>
  <c r="Y56" i="70"/>
  <c r="U78" i="70"/>
  <c r="Z100" i="70"/>
  <c r="U27" i="70"/>
  <c r="Z36" i="70"/>
  <c r="AA56" i="70"/>
  <c r="AA100" i="70"/>
  <c r="U121" i="70"/>
  <c r="Z80" i="70"/>
  <c r="V60" i="70"/>
  <c r="AA83" i="70"/>
  <c r="Y102" i="70"/>
  <c r="V22" i="71"/>
  <c r="AA46" i="71"/>
  <c r="X72" i="71"/>
  <c r="U103" i="71"/>
  <c r="W8" i="71"/>
  <c r="U75" i="71"/>
  <c r="V105" i="71"/>
  <c r="Y45" i="71"/>
  <c r="AA102" i="71"/>
  <c r="U16" i="71"/>
  <c r="AA22" i="71"/>
  <c r="U25" i="71"/>
  <c r="X14" i="71"/>
  <c r="W16" i="71"/>
  <c r="Y48" i="71"/>
  <c r="V75" i="71"/>
  <c r="AA124" i="71"/>
  <c r="U122" i="71"/>
  <c r="V119" i="71"/>
  <c r="W116" i="71"/>
  <c r="X113" i="71"/>
  <c r="Y110" i="71"/>
  <c r="AA104" i="71"/>
  <c r="U102" i="71"/>
  <c r="V99" i="71"/>
  <c r="W96" i="71"/>
  <c r="X93" i="71"/>
  <c r="Y90" i="71"/>
  <c r="Z87" i="71"/>
  <c r="U82" i="71"/>
  <c r="V79" i="71"/>
  <c r="W76" i="71"/>
  <c r="X73" i="71"/>
  <c r="Y70" i="71"/>
  <c r="Z67" i="71"/>
  <c r="AA64" i="71"/>
  <c r="U62" i="71"/>
  <c r="V59" i="71"/>
  <c r="W56" i="71"/>
  <c r="X53" i="71"/>
  <c r="Y50" i="71"/>
  <c r="Z47" i="71"/>
  <c r="AA44" i="71"/>
  <c r="U42" i="71"/>
  <c r="V24" i="71"/>
  <c r="X21" i="71"/>
  <c r="Z18" i="71"/>
  <c r="V14" i="71"/>
  <c r="X11" i="71"/>
  <c r="Z8" i="71"/>
  <c r="V4" i="71"/>
  <c r="Z124" i="71"/>
  <c r="AA121" i="71"/>
  <c r="U119" i="71"/>
  <c r="X110" i="71"/>
  <c r="Y107" i="71"/>
  <c r="Z104" i="71"/>
  <c r="AA101" i="71"/>
  <c r="U99" i="71"/>
  <c r="V96" i="71"/>
  <c r="W93" i="71"/>
  <c r="Y87" i="71"/>
  <c r="Z84" i="71"/>
  <c r="AA81" i="71"/>
  <c r="U79" i="71"/>
  <c r="W73" i="71"/>
  <c r="X70" i="71"/>
  <c r="Y67" i="71"/>
  <c r="AA61" i="71"/>
  <c r="U59" i="71"/>
  <c r="Y124" i="71"/>
  <c r="Z121" i="71"/>
  <c r="AA118" i="71"/>
  <c r="U116" i="71"/>
  <c r="W110" i="71"/>
  <c r="X107" i="71"/>
  <c r="Y104" i="71"/>
  <c r="Z101" i="71"/>
  <c r="AA98" i="71"/>
  <c r="U96" i="71"/>
  <c r="X87" i="71"/>
  <c r="Z81" i="71"/>
  <c r="U76" i="71"/>
  <c r="X67" i="71"/>
  <c r="Y64" i="71"/>
  <c r="Z61" i="71"/>
  <c r="AA58" i="71"/>
  <c r="U56" i="71"/>
  <c r="V53" i="71"/>
  <c r="W50" i="71"/>
  <c r="X47" i="71"/>
  <c r="Y44" i="71"/>
  <c r="Z41" i="71"/>
  <c r="AA38" i="71"/>
  <c r="U36" i="71"/>
  <c r="W30" i="71"/>
  <c r="X28" i="71"/>
  <c r="Z25" i="71"/>
  <c r="V21" i="71"/>
  <c r="X18" i="71"/>
  <c r="Z15" i="71"/>
  <c r="V11" i="71"/>
  <c r="X8" i="71"/>
  <c r="Z5" i="71"/>
  <c r="I4" i="71"/>
  <c r="X124" i="71"/>
  <c r="Z118" i="71"/>
  <c r="AA115" i="71"/>
  <c r="U113" i="71"/>
  <c r="V110" i="71"/>
  <c r="W107" i="71"/>
  <c r="X104" i="71"/>
  <c r="Y101" i="71"/>
  <c r="Z98" i="71"/>
  <c r="AA95" i="71"/>
  <c r="U93" i="71"/>
  <c r="V90" i="71"/>
  <c r="X84" i="71"/>
  <c r="Y81" i="71"/>
  <c r="Z78" i="71"/>
  <c r="AA75" i="71"/>
  <c r="U73" i="71"/>
  <c r="V70" i="71"/>
  <c r="W67" i="71"/>
  <c r="Y61" i="71"/>
  <c r="AA55" i="71"/>
  <c r="U53" i="71"/>
  <c r="V50" i="71"/>
  <c r="W47" i="71"/>
  <c r="X44" i="71"/>
  <c r="Y41" i="71"/>
  <c r="Z38" i="71"/>
  <c r="AA35" i="71"/>
  <c r="V30" i="71"/>
  <c r="X64" i="71"/>
  <c r="Y118" i="71"/>
  <c r="V124" i="71"/>
  <c r="X118" i="71"/>
  <c r="Y115" i="71"/>
  <c r="Z112" i="71"/>
  <c r="AA109" i="71"/>
  <c r="U107" i="71"/>
  <c r="V104" i="71"/>
  <c r="W101" i="71"/>
  <c r="X98" i="71"/>
  <c r="Y95" i="71"/>
  <c r="Z92" i="71"/>
  <c r="AA89" i="71"/>
  <c r="U87" i="71"/>
  <c r="V84" i="71"/>
  <c r="W81" i="71"/>
  <c r="X78" i="71"/>
  <c r="Z72" i="71"/>
  <c r="AA69" i="71"/>
  <c r="U67" i="71"/>
  <c r="V64" i="71"/>
  <c r="W61" i="71"/>
  <c r="X58" i="71"/>
  <c r="AA49" i="71"/>
  <c r="U47" i="71"/>
  <c r="V44" i="71"/>
  <c r="W41" i="71"/>
  <c r="X38" i="71"/>
  <c r="Y35" i="71"/>
  <c r="Z32" i="71"/>
  <c r="AA29" i="71"/>
  <c r="U28" i="71"/>
  <c r="W25" i="71"/>
  <c r="Y22" i="71"/>
  <c r="AA19" i="71"/>
  <c r="U18" i="71"/>
  <c r="W15" i="71"/>
  <c r="Y12" i="71"/>
  <c r="U8" i="71"/>
  <c r="W5" i="71"/>
  <c r="F4" i="71"/>
  <c r="U124" i="71"/>
  <c r="V121" i="71"/>
  <c r="W118" i="71"/>
  <c r="X115" i="71"/>
  <c r="Z109" i="71"/>
  <c r="AA106" i="71"/>
  <c r="U104" i="71"/>
  <c r="V101" i="71"/>
  <c r="W98" i="71"/>
  <c r="X95" i="71"/>
  <c r="AA86" i="71"/>
  <c r="U84" i="71"/>
  <c r="V81" i="71"/>
  <c r="AA123" i="71"/>
  <c r="U121" i="71"/>
  <c r="W115" i="71"/>
  <c r="X112" i="71"/>
  <c r="Y109" i="71"/>
  <c r="Z106" i="71"/>
  <c r="AA103" i="71"/>
  <c r="U101" i="71"/>
  <c r="V98" i="71"/>
  <c r="W95" i="71"/>
  <c r="X92" i="71"/>
  <c r="Y89" i="71"/>
  <c r="AA83" i="71"/>
  <c r="X123" i="71"/>
  <c r="Y120" i="71"/>
  <c r="AA114" i="71"/>
  <c r="U112" i="71"/>
  <c r="V109" i="71"/>
  <c r="W106" i="71"/>
  <c r="Y100" i="71"/>
  <c r="Z97" i="71"/>
  <c r="AA94" i="71"/>
  <c r="U92" i="71"/>
  <c r="X83" i="71"/>
  <c r="Y80" i="71"/>
  <c r="Z77" i="71"/>
  <c r="AA74" i="71"/>
  <c r="U72" i="71"/>
  <c r="W66" i="71"/>
  <c r="X63" i="71"/>
  <c r="Z57" i="71"/>
  <c r="AA54" i="71"/>
  <c r="U52" i="71"/>
  <c r="X43" i="71"/>
  <c r="Y40" i="71"/>
  <c r="Z37" i="71"/>
  <c r="AA34" i="71"/>
  <c r="U32" i="71"/>
  <c r="V29" i="71"/>
  <c r="X26" i="71"/>
  <c r="Z23" i="71"/>
  <c r="V19" i="71"/>
  <c r="Z13" i="71"/>
  <c r="X119" i="71"/>
  <c r="V114" i="71"/>
  <c r="U109" i="71"/>
  <c r="U105" i="71"/>
  <c r="AA99" i="71"/>
  <c r="Z90" i="71"/>
  <c r="Y85" i="71"/>
  <c r="X80" i="71"/>
  <c r="Z76" i="71"/>
  <c r="W72" i="71"/>
  <c r="X68" i="71"/>
  <c r="U64" i="71"/>
  <c r="V60" i="71"/>
  <c r="X56" i="71"/>
  <c r="Z40" i="71"/>
  <c r="U37" i="71"/>
  <c r="W33" i="71"/>
  <c r="W29" i="71"/>
  <c r="Z27" i="71"/>
  <c r="U22" i="71"/>
  <c r="V13" i="71"/>
  <c r="Z11" i="71"/>
  <c r="X4" i="71"/>
  <c r="AA25" i="71"/>
  <c r="X9" i="71"/>
  <c r="W9" i="71"/>
  <c r="Y123" i="71"/>
  <c r="W119" i="71"/>
  <c r="U114" i="71"/>
  <c r="W104" i="71"/>
  <c r="Z99" i="71"/>
  <c r="Y94" i="71"/>
  <c r="U90" i="71"/>
  <c r="X85" i="71"/>
  <c r="W80" i="71"/>
  <c r="Y76" i="71"/>
  <c r="W68" i="71"/>
  <c r="AA63" i="71"/>
  <c r="U60" i="71"/>
  <c r="Z55" i="71"/>
  <c r="AA51" i="71"/>
  <c r="W48" i="71"/>
  <c r="W44" i="71"/>
  <c r="X40" i="71"/>
  <c r="AA36" i="71"/>
  <c r="AA32" i="71"/>
  <c r="U29" i="71"/>
  <c r="Y27" i="71"/>
  <c r="W20" i="71"/>
  <c r="AA18" i="71"/>
  <c r="Y11" i="71"/>
  <c r="Z9" i="71"/>
  <c r="W4" i="71"/>
  <c r="X27" i="71"/>
  <c r="W11" i="71"/>
  <c r="Y9" i="71"/>
  <c r="U4" i="71"/>
  <c r="H4" i="71"/>
  <c r="Z7" i="71"/>
  <c r="G4" i="71"/>
  <c r="AA122" i="71"/>
  <c r="X117" i="71"/>
  <c r="AA112" i="71"/>
  <c r="Y98" i="71"/>
  <c r="W84" i="71"/>
  <c r="Z79" i="71"/>
  <c r="W75" i="71"/>
  <c r="X71" i="71"/>
  <c r="V67" i="71"/>
  <c r="V63" i="71"/>
  <c r="X59" i="71"/>
  <c r="U55" i="71"/>
  <c r="Y47" i="71"/>
  <c r="Y43" i="71"/>
  <c r="AA39" i="71"/>
  <c r="V36" i="71"/>
  <c r="W123" i="71"/>
  <c r="U118" i="71"/>
  <c r="AA113" i="71"/>
  <c r="Z108" i="71"/>
  <c r="Z103" i="71"/>
  <c r="Y99" i="71"/>
  <c r="X94" i="71"/>
  <c r="V80" i="71"/>
  <c r="X76" i="71"/>
  <c r="AA71" i="71"/>
  <c r="Z63" i="71"/>
  <c r="AA59" i="71"/>
  <c r="X55" i="71"/>
  <c r="Z51" i="71"/>
  <c r="V48" i="71"/>
  <c r="U44" i="71"/>
  <c r="W40" i="71"/>
  <c r="Z36" i="71"/>
  <c r="Y32" i="71"/>
  <c r="V20" i="71"/>
  <c r="Y18" i="71"/>
  <c r="AA16" i="71"/>
  <c r="V123" i="71"/>
  <c r="Z113" i="71"/>
  <c r="Y108" i="71"/>
  <c r="Y103" i="71"/>
  <c r="X99" i="71"/>
  <c r="W94" i="71"/>
  <c r="V85" i="71"/>
  <c r="U80" i="71"/>
  <c r="Z75" i="71"/>
  <c r="Z71" i="71"/>
  <c r="U68" i="71"/>
  <c r="Y63" i="71"/>
  <c r="Z59" i="71"/>
  <c r="W55" i="71"/>
  <c r="Y51" i="71"/>
  <c r="U48" i="71"/>
  <c r="AA43" i="71"/>
  <c r="V40" i="71"/>
  <c r="Y36" i="71"/>
  <c r="X32" i="71"/>
  <c r="W27" i="71"/>
  <c r="Y25" i="71"/>
  <c r="U20" i="71"/>
  <c r="W18" i="71"/>
  <c r="Z16" i="71"/>
  <c r="U11" i="71"/>
  <c r="AA7" i="71"/>
  <c r="U27" i="71"/>
  <c r="U123" i="71"/>
  <c r="Y117" i="71"/>
  <c r="Y113" i="71"/>
  <c r="W103" i="71"/>
  <c r="W99" i="71"/>
  <c r="U89" i="71"/>
  <c r="U85" i="71"/>
  <c r="Y71" i="71"/>
  <c r="AA67" i="71"/>
  <c r="W63" i="71"/>
  <c r="V55" i="71"/>
  <c r="Z43" i="71"/>
  <c r="U40" i="71"/>
  <c r="X36" i="71"/>
  <c r="W32" i="71"/>
  <c r="V27" i="71"/>
  <c r="X25" i="71"/>
  <c r="AA23" i="71"/>
  <c r="V18" i="71"/>
  <c r="Y16" i="71"/>
  <c r="AA88" i="71"/>
  <c r="U117" i="71"/>
  <c r="AA111" i="71"/>
  <c r="Z102" i="71"/>
  <c r="Y97" i="71"/>
  <c r="Y93" i="71"/>
  <c r="X88" i="71"/>
  <c r="W83" i="71"/>
  <c r="W79" i="71"/>
  <c r="Z74" i="71"/>
  <c r="U71" i="71"/>
  <c r="Y66" i="71"/>
  <c r="Z62" i="71"/>
  <c r="W58" i="71"/>
  <c r="X54" i="71"/>
  <c r="AA50" i="71"/>
  <c r="Z46" i="71"/>
  <c r="U43" i="71"/>
  <c r="X39" i="71"/>
  <c r="W35" i="71"/>
  <c r="Z21" i="71"/>
  <c r="W122" i="71"/>
  <c r="V107" i="71"/>
  <c r="Y102" i="71"/>
  <c r="X97" i="71"/>
  <c r="AA92" i="71"/>
  <c r="W88" i="71"/>
  <c r="Y78" i="71"/>
  <c r="Y74" i="71"/>
  <c r="AA70" i="71"/>
  <c r="X66" i="71"/>
  <c r="Y62" i="71"/>
  <c r="V58" i="71"/>
  <c r="W54" i="71"/>
  <c r="Z50" i="71"/>
  <c r="AA42" i="71"/>
  <c r="W39" i="71"/>
  <c r="AA28" i="71"/>
  <c r="U23" i="71"/>
  <c r="Y21" i="71"/>
  <c r="Z19" i="71"/>
  <c r="W14" i="71"/>
  <c r="X12" i="71"/>
  <c r="U7" i="71"/>
  <c r="V5" i="71"/>
  <c r="Z120" i="71"/>
  <c r="W111" i="71"/>
  <c r="V106" i="71"/>
  <c r="V102" i="71"/>
  <c r="U97" i="71"/>
  <c r="AA91" i="71"/>
  <c r="Z82" i="71"/>
  <c r="U78" i="71"/>
  <c r="AA65" i="71"/>
  <c r="Z49" i="71"/>
  <c r="Y34" i="71"/>
  <c r="V28" i="71"/>
  <c r="W19" i="71"/>
  <c r="U12" i="71"/>
  <c r="X120" i="71"/>
  <c r="V111" i="71"/>
  <c r="U106" i="71"/>
  <c r="X101" i="71"/>
  <c r="AA96" i="71"/>
  <c r="Z91" i="71"/>
  <c r="V87" i="71"/>
  <c r="Y82" i="71"/>
  <c r="U74" i="71"/>
  <c r="Y69" i="71"/>
  <c r="X61" i="71"/>
  <c r="X57" i="71"/>
  <c r="Y49" i="71"/>
  <c r="W42" i="71"/>
  <c r="V38" i="71"/>
  <c r="X34" i="71"/>
  <c r="AA30" i="71"/>
  <c r="Y17" i="71"/>
  <c r="V26" i="71"/>
  <c r="X17" i="71"/>
  <c r="V120" i="71"/>
  <c r="Z105" i="71"/>
  <c r="Y96" i="71"/>
  <c r="X77" i="71"/>
  <c r="U61" i="71"/>
  <c r="W53" i="71"/>
  <c r="AA41" i="71"/>
  <c r="V34" i="71"/>
  <c r="V122" i="71"/>
  <c r="Y111" i="71"/>
  <c r="Y106" i="71"/>
  <c r="W97" i="71"/>
  <c r="W92" i="71"/>
  <c r="V88" i="71"/>
  <c r="U83" i="71"/>
  <c r="W78" i="71"/>
  <c r="X74" i="71"/>
  <c r="U58" i="71"/>
  <c r="V54" i="71"/>
  <c r="X46" i="71"/>
  <c r="Z42" i="71"/>
  <c r="U39" i="71"/>
  <c r="U35" i="71"/>
  <c r="W31" i="71"/>
  <c r="Y28" i="71"/>
  <c r="W21" i="71"/>
  <c r="Y19" i="71"/>
  <c r="U14" i="71"/>
  <c r="W12" i="71"/>
  <c r="Z10" i="71"/>
  <c r="U5" i="71"/>
  <c r="X116" i="71"/>
  <c r="V74" i="71"/>
  <c r="V62" i="71"/>
  <c r="AA53" i="71"/>
  <c r="U46" i="71"/>
  <c r="W38" i="71"/>
  <c r="U31" i="71"/>
  <c r="Y26" i="71"/>
  <c r="Z17" i="71"/>
  <c r="AA45" i="71"/>
  <c r="U111" i="71"/>
  <c r="AA105" i="71"/>
  <c r="AA100" i="71"/>
  <c r="Z96" i="71"/>
  <c r="Y91" i="71"/>
  <c r="Y86" i="71"/>
  <c r="X82" i="71"/>
  <c r="Y77" i="71"/>
  <c r="X69" i="71"/>
  <c r="Y65" i="71"/>
  <c r="W57" i="71"/>
  <c r="Y53" i="71"/>
  <c r="Z45" i="71"/>
  <c r="V42" i="71"/>
  <c r="U38" i="71"/>
  <c r="W34" i="71"/>
  <c r="Z30" i="71"/>
  <c r="U115" i="71"/>
  <c r="AA110" i="71"/>
  <c r="Z100" i="71"/>
  <c r="X91" i="71"/>
  <c r="W82" i="71"/>
  <c r="Z73" i="71"/>
  <c r="X65" i="71"/>
  <c r="V57" i="71"/>
  <c r="AA37" i="71"/>
  <c r="AA120" i="71"/>
  <c r="Y116" i="71"/>
  <c r="X111" i="71"/>
  <c r="V97" i="71"/>
  <c r="V92" i="71"/>
  <c r="U88" i="71"/>
  <c r="AA82" i="71"/>
  <c r="V78" i="71"/>
  <c r="W74" i="71"/>
  <c r="U70" i="71"/>
  <c r="U66" i="71"/>
  <c r="W62" i="71"/>
  <c r="AA57" i="71"/>
  <c r="U54" i="71"/>
  <c r="U50" i="71"/>
  <c r="Y42" i="71"/>
  <c r="Y38" i="71"/>
  <c r="V31" i="71"/>
  <c r="W28" i="71"/>
  <c r="Z26" i="71"/>
  <c r="U21" i="71"/>
  <c r="AA17" i="71"/>
  <c r="V12" i="71"/>
  <c r="Y10" i="71"/>
  <c r="W26" i="71"/>
  <c r="AA24" i="71"/>
  <c r="Z24" i="71"/>
  <c r="AA15" i="71"/>
  <c r="Y8" i="71"/>
  <c r="U120" i="71"/>
  <c r="Y105" i="71"/>
  <c r="X100" i="71"/>
  <c r="X96" i="71"/>
  <c r="W91" i="71"/>
  <c r="V86" i="71"/>
  <c r="V82" i="71"/>
  <c r="W77" i="71"/>
  <c r="Y73" i="71"/>
  <c r="W65" i="71"/>
  <c r="AA60" i="71"/>
  <c r="U57" i="71"/>
  <c r="AA52" i="71"/>
  <c r="U49" i="71"/>
  <c r="X45" i="71"/>
  <c r="X41" i="71"/>
  <c r="Y37" i="71"/>
  <c r="U34" i="71"/>
  <c r="U30" i="71"/>
  <c r="Z22" i="71"/>
  <c r="V17" i="71"/>
  <c r="X15" i="71"/>
  <c r="AA13" i="71"/>
  <c r="V8" i="71"/>
  <c r="Y6" i="71"/>
  <c r="AA119" i="71"/>
  <c r="Y114" i="71"/>
  <c r="U110" i="71"/>
  <c r="X105" i="71"/>
  <c r="W100" i="71"/>
  <c r="V91" i="71"/>
  <c r="U86" i="71"/>
  <c r="X81" i="71"/>
  <c r="V77" i="71"/>
  <c r="AA68" i="71"/>
  <c r="AA56" i="71"/>
  <c r="Y52" i="71"/>
  <c r="AA48" i="71"/>
  <c r="W45" i="71"/>
  <c r="V41" i="71"/>
  <c r="X37" i="71"/>
  <c r="AA33" i="71"/>
  <c r="Z29" i="71"/>
  <c r="W24" i="71"/>
  <c r="X22" i="71"/>
  <c r="U17" i="71"/>
  <c r="V15" i="71"/>
  <c r="Y13" i="71"/>
  <c r="X114" i="71"/>
  <c r="X109" i="71"/>
  <c r="W105" i="71"/>
  <c r="V100" i="71"/>
  <c r="V95" i="71"/>
  <c r="U91" i="71"/>
  <c r="AA85" i="71"/>
  <c r="AA80" i="71"/>
  <c r="U77" i="71"/>
  <c r="Y72" i="71"/>
  <c r="Z68" i="71"/>
  <c r="U65" i="71"/>
  <c r="X60" i="71"/>
  <c r="X52" i="71"/>
  <c r="Z48" i="71"/>
  <c r="U41" i="71"/>
  <c r="W37" i="71"/>
  <c r="Z33" i="71"/>
  <c r="Y29" i="71"/>
  <c r="W22" i="71"/>
  <c r="Z20" i="71"/>
  <c r="Y14" i="71"/>
  <c r="V108" i="71"/>
  <c r="C4" i="71"/>
  <c r="U6" i="71"/>
  <c r="Z14" i="71"/>
  <c r="V51" i="71"/>
  <c r="X79" i="71"/>
  <c r="W109" i="71"/>
  <c r="D4" i="71"/>
  <c r="V6" i="71"/>
  <c r="AA14" i="71"/>
  <c r="Y79" i="71"/>
  <c r="E4" i="71"/>
  <c r="Z6" i="71"/>
  <c r="X29" i="71"/>
  <c r="Z80" i="71"/>
  <c r="W112" i="71"/>
  <c r="Y4" i="71"/>
  <c r="W17" i="71"/>
  <c r="X23" i="71"/>
  <c r="U26" i="71"/>
  <c r="Z31" i="71"/>
  <c r="Z54" i="71"/>
  <c r="Y83" i="71"/>
  <c r="W114" i="71"/>
  <c r="Z4" i="71"/>
  <c r="Z12" i="71"/>
  <c r="AA31" i="71"/>
  <c r="Y56" i="71"/>
  <c r="Z83" i="71"/>
  <c r="U9" i="71"/>
  <c r="AA12" i="71"/>
  <c r="Y33" i="71"/>
  <c r="Z85" i="71"/>
  <c r="W117" i="71"/>
  <c r="W59" i="71"/>
  <c r="Y119" i="71"/>
  <c r="Z35" i="71"/>
  <c r="W60" i="71"/>
  <c r="Z88" i="71"/>
  <c r="Y122" i="71"/>
  <c r="W7" i="71"/>
  <c r="U15" i="71"/>
  <c r="AA21" i="71"/>
  <c r="AA27" i="71"/>
  <c r="AA62" i="71"/>
  <c r="AA90" i="71"/>
  <c r="G5" i="71"/>
  <c r="E8" i="71"/>
  <c r="C11" i="71"/>
  <c r="I12" i="71"/>
  <c r="W120" i="71" s="1"/>
  <c r="G15" i="71"/>
  <c r="E18" i="71"/>
  <c r="C21" i="71"/>
  <c r="I22" i="71"/>
  <c r="Y84" i="71" s="1"/>
  <c r="G25" i="71"/>
  <c r="E28" i="71"/>
  <c r="D7" i="71"/>
  <c r="H11" i="71"/>
  <c r="F14" i="71"/>
  <c r="D17" i="71"/>
  <c r="H21" i="71"/>
  <c r="F24" i="71"/>
  <c r="D27" i="71"/>
  <c r="G7" i="71"/>
  <c r="E10" i="71"/>
  <c r="C13" i="71"/>
  <c r="I14" i="71"/>
  <c r="AA78" i="71" s="1"/>
  <c r="G17" i="71"/>
  <c r="E20" i="71"/>
  <c r="C23" i="71"/>
  <c r="I24" i="71"/>
  <c r="W49" i="71" s="1"/>
  <c r="G27" i="71"/>
  <c r="C6" i="71"/>
  <c r="I7" i="71"/>
  <c r="AA108" i="71" s="1"/>
  <c r="G10" i="71"/>
  <c r="E13" i="71"/>
  <c r="C16" i="71"/>
  <c r="I17" i="71"/>
  <c r="V7" i="71" s="1"/>
  <c r="G20" i="71"/>
  <c r="E23" i="71"/>
  <c r="C26" i="71"/>
  <c r="AA43" i="70"/>
  <c r="AA60" i="70"/>
  <c r="U29" i="70"/>
  <c r="Y69" i="70"/>
  <c r="U86" i="70"/>
  <c r="AA110" i="70"/>
  <c r="X27" i="70"/>
  <c r="W29" i="70"/>
  <c r="U54" i="70"/>
  <c r="W62" i="70"/>
  <c r="Z102" i="70"/>
  <c r="Z9" i="70"/>
  <c r="W14" i="70"/>
  <c r="U17" i="70"/>
  <c r="W19" i="70"/>
  <c r="Y22" i="70"/>
  <c r="Y27" i="70"/>
  <c r="X29" i="70"/>
  <c r="Y37" i="70"/>
  <c r="AA45" i="70"/>
  <c r="V54" i="70"/>
  <c r="AA69" i="70"/>
  <c r="V78" i="70"/>
  <c r="Y94" i="70"/>
  <c r="AA102" i="70"/>
  <c r="X119" i="70"/>
  <c r="W117" i="70"/>
  <c r="W101" i="70"/>
  <c r="Z7" i="70"/>
  <c r="X112" i="70"/>
  <c r="AA71" i="70"/>
  <c r="X80" i="70"/>
  <c r="AA31" i="70"/>
  <c r="W32" i="70"/>
  <c r="X40" i="70"/>
  <c r="Z48" i="70"/>
  <c r="U57" i="70"/>
  <c r="W65" i="70"/>
  <c r="Z72" i="70"/>
  <c r="X97" i="70"/>
  <c r="Z105" i="70"/>
  <c r="U114" i="70"/>
  <c r="Y68" i="70"/>
  <c r="Y52" i="70"/>
  <c r="AA96" i="70"/>
  <c r="V12" i="70"/>
  <c r="Y17" i="70"/>
  <c r="V121" i="70"/>
  <c r="X72" i="70"/>
  <c r="U23" i="70"/>
  <c r="AA124" i="70"/>
  <c r="U122" i="70"/>
  <c r="V119" i="70"/>
  <c r="W116" i="70"/>
  <c r="X113" i="70"/>
  <c r="Y110" i="70"/>
  <c r="AA104" i="70"/>
  <c r="U102" i="70"/>
  <c r="V99" i="70"/>
  <c r="W96" i="70"/>
  <c r="X93" i="70"/>
  <c r="Y90" i="70"/>
  <c r="Z87" i="70"/>
  <c r="AA84" i="70"/>
  <c r="V79" i="70"/>
  <c r="W76" i="70"/>
  <c r="X73" i="70"/>
  <c r="Y70" i="70"/>
  <c r="Z67" i="70"/>
  <c r="AA64" i="70"/>
  <c r="U62" i="70"/>
  <c r="V59" i="70"/>
  <c r="W56" i="70"/>
  <c r="X53" i="70"/>
  <c r="Y50" i="70"/>
  <c r="AA44" i="70"/>
  <c r="U42" i="70"/>
  <c r="W36" i="70"/>
  <c r="X21" i="70"/>
  <c r="V14" i="70"/>
  <c r="X11" i="70"/>
  <c r="Z8" i="70"/>
  <c r="V4" i="70"/>
  <c r="U119" i="70"/>
  <c r="X110" i="70"/>
  <c r="Y107" i="70"/>
  <c r="Z104" i="70"/>
  <c r="AA101" i="70"/>
  <c r="U99" i="70"/>
  <c r="V96" i="70"/>
  <c r="W93" i="70"/>
  <c r="Y87" i="70"/>
  <c r="AA81" i="70"/>
  <c r="U79" i="70"/>
  <c r="W73" i="70"/>
  <c r="X70" i="70"/>
  <c r="Y67" i="70"/>
  <c r="Z64" i="70"/>
  <c r="AA61" i="70"/>
  <c r="U59" i="70"/>
  <c r="W53" i="70"/>
  <c r="Y47" i="70"/>
  <c r="AA41" i="70"/>
  <c r="U39" i="70"/>
  <c r="W33" i="70"/>
  <c r="Y28" i="70"/>
  <c r="W21" i="70"/>
  <c r="Y18" i="70"/>
  <c r="AA15" i="70"/>
  <c r="W11" i="70"/>
  <c r="Y8" i="70"/>
  <c r="U4" i="70"/>
  <c r="Y124" i="70"/>
  <c r="U116" i="70"/>
  <c r="W110" i="70"/>
  <c r="Y104" i="70"/>
  <c r="Z101" i="70"/>
  <c r="AA98" i="70"/>
  <c r="U96" i="70"/>
  <c r="W90" i="70"/>
  <c r="X87" i="70"/>
  <c r="Z81" i="70"/>
  <c r="U76" i="70"/>
  <c r="Y64" i="70"/>
  <c r="Z61" i="70"/>
  <c r="AA58" i="70"/>
  <c r="U56" i="70"/>
  <c r="V53" i="70"/>
  <c r="Y44" i="70"/>
  <c r="Z41" i="70"/>
  <c r="AA38" i="70"/>
  <c r="U36" i="70"/>
  <c r="W30" i="70"/>
  <c r="X28" i="70"/>
  <c r="Z25" i="70"/>
  <c r="V21" i="70"/>
  <c r="X18" i="70"/>
  <c r="Z15" i="70"/>
  <c r="V11" i="70"/>
  <c r="Z5" i="70"/>
  <c r="I4" i="70"/>
  <c r="X124" i="70"/>
  <c r="Z118" i="70"/>
  <c r="W107" i="70"/>
  <c r="X104" i="70"/>
  <c r="Y101" i="70"/>
  <c r="Z98" i="70"/>
  <c r="AA95" i="70"/>
  <c r="U93" i="70"/>
  <c r="V90" i="70"/>
  <c r="X84" i="70"/>
  <c r="Y81" i="70"/>
  <c r="Z78" i="70"/>
  <c r="AA75" i="70"/>
  <c r="U73" i="70"/>
  <c r="V70" i="70"/>
  <c r="W67" i="70"/>
  <c r="X64" i="70"/>
  <c r="Y61" i="70"/>
  <c r="AA55" i="70"/>
  <c r="W47" i="70"/>
  <c r="X44" i="70"/>
  <c r="Y41" i="70"/>
  <c r="Z38" i="70"/>
  <c r="AA35" i="70"/>
  <c r="V30" i="70"/>
  <c r="W28" i="70"/>
  <c r="Y25" i="70"/>
  <c r="U21" i="70"/>
  <c r="Y15" i="70"/>
  <c r="AA12" i="70"/>
  <c r="U11" i="70"/>
  <c r="W8" i="70"/>
  <c r="Y5" i="70"/>
  <c r="H4" i="70"/>
  <c r="W124" i="70"/>
  <c r="Y118" i="70"/>
  <c r="AA112" i="70"/>
  <c r="U110" i="70"/>
  <c r="V107" i="70"/>
  <c r="W104" i="70"/>
  <c r="X101" i="70"/>
  <c r="Y98" i="70"/>
  <c r="AA92" i="70"/>
  <c r="W84" i="70"/>
  <c r="X81" i="70"/>
  <c r="Y78" i="70"/>
  <c r="W64" i="70"/>
  <c r="X61" i="70"/>
  <c r="Z55" i="70"/>
  <c r="AA52" i="70"/>
  <c r="U50" i="70"/>
  <c r="W44" i="70"/>
  <c r="X41" i="70"/>
  <c r="Y38" i="70"/>
  <c r="Z35" i="70"/>
  <c r="AA32" i="70"/>
  <c r="U30" i="70"/>
  <c r="X123" i="70"/>
  <c r="AA114" i="70"/>
  <c r="V109" i="70"/>
  <c r="W106" i="70"/>
  <c r="Y100" i="70"/>
  <c r="Z97" i="70"/>
  <c r="AA94" i="70"/>
  <c r="U92" i="70"/>
  <c r="X83" i="70"/>
  <c r="Y80" i="70"/>
  <c r="Z77" i="70"/>
  <c r="AA74" i="70"/>
  <c r="U72" i="70"/>
  <c r="W66" i="70"/>
  <c r="X63" i="70"/>
  <c r="AA54" i="70"/>
  <c r="U52" i="70"/>
  <c r="X43" i="70"/>
  <c r="Y40" i="70"/>
  <c r="AA34" i="70"/>
  <c r="V29" i="70"/>
  <c r="X26" i="70"/>
  <c r="Z23" i="70"/>
  <c r="V19" i="70"/>
  <c r="Z13" i="70"/>
  <c r="V124" i="70"/>
  <c r="X120" i="70"/>
  <c r="W112" i="70"/>
  <c r="U104" i="70"/>
  <c r="V100" i="70"/>
  <c r="X96" i="70"/>
  <c r="AA91" i="70"/>
  <c r="V88" i="70"/>
  <c r="Z83" i="70"/>
  <c r="X75" i="70"/>
  <c r="Y71" i="70"/>
  <c r="AA67" i="70"/>
  <c r="Y63" i="70"/>
  <c r="Z59" i="70"/>
  <c r="W55" i="70"/>
  <c r="U47" i="70"/>
  <c r="V43" i="70"/>
  <c r="X39" i="70"/>
  <c r="U35" i="70"/>
  <c r="V26" i="70"/>
  <c r="Y24" i="70"/>
  <c r="X22" i="70"/>
  <c r="Z20" i="70"/>
  <c r="V5" i="70"/>
  <c r="Y111" i="70"/>
  <c r="Y42" i="70"/>
  <c r="Y119" i="70"/>
  <c r="Y62" i="70"/>
  <c r="AA37" i="70"/>
  <c r="X14" i="70"/>
  <c r="U124" i="70"/>
  <c r="Y116" i="70"/>
  <c r="AA103" i="70"/>
  <c r="U88" i="70"/>
  <c r="Y83" i="70"/>
  <c r="Z79" i="70"/>
  <c r="W75" i="70"/>
  <c r="X71" i="70"/>
  <c r="V67" i="70"/>
  <c r="W63" i="70"/>
  <c r="V55" i="70"/>
  <c r="AA46" i="70"/>
  <c r="U43" i="70"/>
  <c r="W39" i="70"/>
  <c r="U31" i="70"/>
  <c r="W22" i="70"/>
  <c r="AA16" i="70"/>
  <c r="U5" i="70"/>
  <c r="W103" i="70"/>
  <c r="Y99" i="70"/>
  <c r="V95" i="70"/>
  <c r="W91" i="70"/>
  <c r="AA86" i="70"/>
  <c r="U83" i="70"/>
  <c r="W79" i="70"/>
  <c r="Z74" i="70"/>
  <c r="U71" i="70"/>
  <c r="Z66" i="70"/>
  <c r="AA62" i="70"/>
  <c r="X46" i="70"/>
  <c r="W34" i="70"/>
  <c r="V20" i="70"/>
  <c r="Y12" i="70"/>
  <c r="W111" i="70"/>
  <c r="AA49" i="70"/>
  <c r="AA123" i="70"/>
  <c r="V120" i="70"/>
  <c r="X116" i="70"/>
  <c r="AA111" i="70"/>
  <c r="V108" i="70"/>
  <c r="Z103" i="70"/>
  <c r="AA99" i="70"/>
  <c r="X95" i="70"/>
  <c r="W83" i="70"/>
  <c r="Y79" i="70"/>
  <c r="V75" i="70"/>
  <c r="U67" i="70"/>
  <c r="V63" i="70"/>
  <c r="X59" i="70"/>
  <c r="U55" i="70"/>
  <c r="AA42" i="70"/>
  <c r="X38" i="70"/>
  <c r="Y34" i="70"/>
  <c r="AA30" i="70"/>
  <c r="W24" i="70"/>
  <c r="V22" i="70"/>
  <c r="AA18" i="70"/>
  <c r="Z16" i="70"/>
  <c r="U7" i="70"/>
  <c r="X115" i="70"/>
  <c r="AA50" i="70"/>
  <c r="Z14" i="70"/>
  <c r="W123" i="70"/>
  <c r="Z119" i="70"/>
  <c r="W115" i="70"/>
  <c r="X111" i="70"/>
  <c r="U95" i="70"/>
  <c r="V91" i="70"/>
  <c r="AA82" i="70"/>
  <c r="X78" i="70"/>
  <c r="Y74" i="70"/>
  <c r="AA70" i="70"/>
  <c r="Y66" i="70"/>
  <c r="W58" i="70"/>
  <c r="X54" i="70"/>
  <c r="Z50" i="70"/>
  <c r="U38" i="70"/>
  <c r="V34" i="70"/>
  <c r="Z29" i="70"/>
  <c r="U20" i="70"/>
  <c r="AA106" i="70"/>
  <c r="U103" i="70"/>
  <c r="W99" i="70"/>
  <c r="U91" i="70"/>
  <c r="Y86" i="70"/>
  <c r="Z82" i="70"/>
  <c r="W78" i="70"/>
  <c r="X74" i="70"/>
  <c r="V58" i="70"/>
  <c r="W42" i="70"/>
  <c r="U34" i="70"/>
  <c r="U16" i="70"/>
  <c r="Y10" i="70"/>
  <c r="Z123" i="70"/>
  <c r="U120" i="70"/>
  <c r="Y115" i="70"/>
  <c r="U108" i="70"/>
  <c r="Y103" i="70"/>
  <c r="Z99" i="70"/>
  <c r="W95" i="70"/>
  <c r="X91" i="70"/>
  <c r="U87" i="70"/>
  <c r="X79" i="70"/>
  <c r="U75" i="70"/>
  <c r="AA66" i="70"/>
  <c r="U63" i="70"/>
  <c r="W59" i="70"/>
  <c r="Z54" i="70"/>
  <c r="W38" i="70"/>
  <c r="X34" i="70"/>
  <c r="U22" i="70"/>
  <c r="W20" i="70"/>
  <c r="Y16" i="70"/>
  <c r="AA14" i="70"/>
  <c r="Z12" i="70"/>
  <c r="AA119" i="70"/>
  <c r="X58" i="70"/>
  <c r="V38" i="70"/>
  <c r="AA29" i="70"/>
  <c r="U18" i="70"/>
  <c r="W16" i="70"/>
  <c r="Y14" i="70"/>
  <c r="X12" i="70"/>
  <c r="Z10" i="70"/>
  <c r="W54" i="70"/>
  <c r="Y29" i="70"/>
  <c r="W12" i="70"/>
  <c r="Y122" i="70"/>
  <c r="W118" i="70"/>
  <c r="X114" i="70"/>
  <c r="V106" i="70"/>
  <c r="U98" i="70"/>
  <c r="AA85" i="70"/>
  <c r="Y77" i="70"/>
  <c r="X69" i="70"/>
  <c r="W61" i="70"/>
  <c r="X57" i="70"/>
  <c r="X45" i="70"/>
  <c r="U41" i="70"/>
  <c r="Z32" i="70"/>
  <c r="W27" i="70"/>
  <c r="X23" i="70"/>
  <c r="Z19" i="70"/>
  <c r="U10" i="70"/>
  <c r="V6" i="70"/>
  <c r="Y4" i="70"/>
  <c r="AA109" i="70"/>
  <c r="U106" i="70"/>
  <c r="AA97" i="70"/>
  <c r="Y89" i="70"/>
  <c r="W81" i="70"/>
  <c r="X77" i="70"/>
  <c r="Z73" i="70"/>
  <c r="W69" i="70"/>
  <c r="Y65" i="70"/>
  <c r="W57" i="70"/>
  <c r="U49" i="70"/>
  <c r="W45" i="70"/>
  <c r="AA40" i="70"/>
  <c r="U37" i="70"/>
  <c r="Y32" i="70"/>
  <c r="V27" i="70"/>
  <c r="Z21" i="70"/>
  <c r="Y19" i="70"/>
  <c r="AA17" i="70"/>
  <c r="U6" i="70"/>
  <c r="X4" i="70"/>
  <c r="W122" i="70"/>
  <c r="V114" i="70"/>
  <c r="Z109" i="70"/>
  <c r="AA105" i="70"/>
  <c r="V102" i="70"/>
  <c r="Y97" i="70"/>
  <c r="AA93" i="70"/>
  <c r="Y85" i="70"/>
  <c r="V81" i="70"/>
  <c r="W77" i="70"/>
  <c r="Y73" i="70"/>
  <c r="X65" i="70"/>
  <c r="U61" i="70"/>
  <c r="V45" i="70"/>
  <c r="Z40" i="70"/>
  <c r="AA36" i="70"/>
  <c r="X32" i="70"/>
  <c r="V8" i="70"/>
  <c r="U15" i="70"/>
  <c r="C4" i="70"/>
  <c r="V15" i="70"/>
  <c r="U28" i="70"/>
  <c r="Y33" i="70"/>
  <c r="V41" i="70"/>
  <c r="AA65" i="70"/>
  <c r="U74" i="70"/>
  <c r="W82" i="70"/>
  <c r="V98" i="70"/>
  <c r="X106" i="70"/>
  <c r="Y114" i="70"/>
  <c r="Y21" i="70"/>
  <c r="X60" i="70"/>
  <c r="Z68" i="70"/>
  <c r="Y39" i="70"/>
  <c r="U105" i="70"/>
  <c r="Z112" i="70"/>
  <c r="U40" i="70"/>
  <c r="V64" i="70"/>
  <c r="Z88" i="70"/>
  <c r="Y113" i="70"/>
  <c r="V40" i="70"/>
  <c r="Z113" i="70"/>
  <c r="W15" i="70"/>
  <c r="V28" i="70"/>
  <c r="W41" i="70"/>
  <c r="Y49" i="70"/>
  <c r="AA57" i="70"/>
  <c r="U66" i="70"/>
  <c r="V74" i="70"/>
  <c r="Z90" i="70"/>
  <c r="W98" i="70"/>
  <c r="Y106" i="70"/>
  <c r="AA122" i="70"/>
  <c r="X100" i="70"/>
  <c r="Y13" i="70"/>
  <c r="Y36" i="70"/>
  <c r="Y117" i="70"/>
  <c r="U80" i="70"/>
  <c r="V80" i="70"/>
  <c r="D4" i="70"/>
  <c r="E4" i="70"/>
  <c r="V13" i="70"/>
  <c r="X15" i="70"/>
  <c r="AA28" i="70"/>
  <c r="AA33" i="70"/>
  <c r="V42" i="70"/>
  <c r="Z49" i="70"/>
  <c r="U58" i="70"/>
  <c r="W74" i="70"/>
  <c r="Y82" i="70"/>
  <c r="AA90" i="70"/>
  <c r="X98" i="70"/>
  <c r="U115" i="70"/>
  <c r="U123" i="70"/>
  <c r="G5" i="70"/>
  <c r="E8" i="70"/>
  <c r="C11" i="70"/>
  <c r="I12" i="70"/>
  <c r="Z47" i="70" s="1"/>
  <c r="G15" i="70"/>
  <c r="E18" i="70"/>
  <c r="C21" i="70"/>
  <c r="I22" i="70"/>
  <c r="W89" i="70" s="1"/>
  <c r="G25" i="70"/>
  <c r="E28" i="70"/>
  <c r="F7" i="70"/>
  <c r="D10" i="70"/>
  <c r="H14" i="70"/>
  <c r="F17" i="70"/>
  <c r="D20" i="70"/>
  <c r="H24" i="70"/>
  <c r="F27" i="70"/>
  <c r="G7" i="70"/>
  <c r="E10" i="70"/>
  <c r="C13" i="70"/>
  <c r="I14" i="70"/>
  <c r="V23" i="70" s="1"/>
  <c r="G17" i="70"/>
  <c r="E20" i="70"/>
  <c r="C23" i="70"/>
  <c r="I24" i="70"/>
  <c r="X35" i="70" s="1"/>
  <c r="G27" i="70"/>
  <c r="H7" i="70"/>
  <c r="F10" i="70"/>
  <c r="D13" i="70"/>
  <c r="H17" i="70"/>
  <c r="F20" i="70"/>
  <c r="D23" i="70"/>
  <c r="H27" i="70"/>
  <c r="C6" i="70"/>
  <c r="I7" i="70"/>
  <c r="AA115" i="70" s="1"/>
  <c r="G10" i="70"/>
  <c r="E13" i="70"/>
  <c r="C16" i="70"/>
  <c r="I17" i="70"/>
  <c r="G20" i="70"/>
  <c r="E23" i="70"/>
  <c r="C26" i="70"/>
  <c r="AA124" i="72" l="1"/>
  <c r="U122" i="72"/>
  <c r="V119" i="72"/>
  <c r="W116" i="72"/>
  <c r="X113" i="72"/>
  <c r="Y110" i="72"/>
  <c r="Z107" i="72"/>
  <c r="AA104" i="72"/>
  <c r="U102" i="72"/>
  <c r="V99" i="72"/>
  <c r="W96" i="72"/>
  <c r="X93" i="72"/>
  <c r="Y90" i="72"/>
  <c r="Z87" i="72"/>
  <c r="AA84" i="72"/>
  <c r="U82" i="72"/>
  <c r="V79" i="72"/>
  <c r="W76" i="72"/>
  <c r="X73" i="72"/>
  <c r="Y70" i="72"/>
  <c r="Z67" i="72"/>
  <c r="AA64" i="72"/>
  <c r="U62" i="72"/>
  <c r="V59" i="72"/>
  <c r="W56" i="72"/>
  <c r="X53" i="72"/>
  <c r="Y50" i="72"/>
  <c r="Z47" i="72"/>
  <c r="AA44" i="72"/>
  <c r="U42" i="72"/>
  <c r="V39" i="72"/>
  <c r="W36" i="72"/>
  <c r="X33" i="72"/>
  <c r="Y30" i="72"/>
  <c r="Z28" i="72"/>
  <c r="V24" i="72"/>
  <c r="X21" i="72"/>
  <c r="Z18" i="72"/>
  <c r="V14" i="72"/>
  <c r="X11" i="72"/>
  <c r="Z8" i="72"/>
  <c r="V4" i="72"/>
  <c r="Z118" i="72"/>
  <c r="AA115" i="72"/>
  <c r="V110" i="72"/>
  <c r="X104" i="72"/>
  <c r="Z98" i="72"/>
  <c r="U93" i="72"/>
  <c r="V90" i="72"/>
  <c r="Y81" i="72"/>
  <c r="Z124" i="72"/>
  <c r="AA121" i="72"/>
  <c r="U119" i="72"/>
  <c r="V116" i="72"/>
  <c r="W113" i="72"/>
  <c r="X110" i="72"/>
  <c r="Y107" i="72"/>
  <c r="Z104" i="72"/>
  <c r="AA101" i="72"/>
  <c r="U99" i="72"/>
  <c r="V96" i="72"/>
  <c r="W93" i="72"/>
  <c r="X90" i="72"/>
  <c r="Y87" i="72"/>
  <c r="Z84" i="72"/>
  <c r="AA81" i="72"/>
  <c r="U79" i="72"/>
  <c r="V76" i="72"/>
  <c r="W73" i="72"/>
  <c r="X70" i="72"/>
  <c r="Y67" i="72"/>
  <c r="Z64" i="72"/>
  <c r="AA61" i="72"/>
  <c r="U59" i="72"/>
  <c r="V56" i="72"/>
  <c r="W53" i="72"/>
  <c r="X50" i="72"/>
  <c r="Y47" i="72"/>
  <c r="Z44" i="72"/>
  <c r="AA41" i="72"/>
  <c r="U39" i="72"/>
  <c r="V36" i="72"/>
  <c r="W33" i="72"/>
  <c r="X30" i="72"/>
  <c r="Y28" i="72"/>
  <c r="AA25" i="72"/>
  <c r="U24" i="72"/>
  <c r="W21" i="72"/>
  <c r="Y18" i="72"/>
  <c r="AA15" i="72"/>
  <c r="U14" i="72"/>
  <c r="W11" i="72"/>
  <c r="Y8" i="72"/>
  <c r="AA5" i="72"/>
  <c r="U4" i="72"/>
  <c r="Y124" i="72"/>
  <c r="Z121" i="72"/>
  <c r="AA118" i="72"/>
  <c r="U116" i="72"/>
  <c r="V113" i="72"/>
  <c r="W110" i="72"/>
  <c r="X107" i="72"/>
  <c r="Y104" i="72"/>
  <c r="Z101" i="72"/>
  <c r="AA98" i="72"/>
  <c r="U96" i="72"/>
  <c r="V93" i="72"/>
  <c r="W90" i="72"/>
  <c r="X87" i="72"/>
  <c r="Y84" i="72"/>
  <c r="Z81" i="72"/>
  <c r="AA78" i="72"/>
  <c r="U76" i="72"/>
  <c r="V73" i="72"/>
  <c r="W70" i="72"/>
  <c r="X67" i="72"/>
  <c r="Y64" i="72"/>
  <c r="Z61" i="72"/>
  <c r="AA58" i="72"/>
  <c r="U56" i="72"/>
  <c r="V53" i="72"/>
  <c r="W50" i="72"/>
  <c r="X47" i="72"/>
  <c r="Y44" i="72"/>
  <c r="Z41" i="72"/>
  <c r="AA38" i="72"/>
  <c r="U36" i="72"/>
  <c r="V33" i="72"/>
  <c r="W30" i="72"/>
  <c r="X28" i="72"/>
  <c r="Z25" i="72"/>
  <c r="V21" i="72"/>
  <c r="X18" i="72"/>
  <c r="Z15" i="72"/>
  <c r="V11" i="72"/>
  <c r="X8" i="72"/>
  <c r="Z5" i="72"/>
  <c r="I4" i="72"/>
  <c r="X124" i="72"/>
  <c r="U113" i="72"/>
  <c r="W107" i="72"/>
  <c r="Y101" i="72"/>
  <c r="AA95" i="72"/>
  <c r="W87" i="72"/>
  <c r="X84" i="72"/>
  <c r="Z78" i="72"/>
  <c r="Y123" i="72"/>
  <c r="Z120" i="72"/>
  <c r="AA117" i="72"/>
  <c r="U115" i="72"/>
  <c r="V112" i="72"/>
  <c r="W109" i="72"/>
  <c r="X106" i="72"/>
  <c r="Y103" i="72"/>
  <c r="Z100" i="72"/>
  <c r="AA97" i="72"/>
  <c r="U95" i="72"/>
  <c r="V92" i="72"/>
  <c r="W89" i="72"/>
  <c r="X86" i="72"/>
  <c r="Y83" i="72"/>
  <c r="Z80" i="72"/>
  <c r="AA77" i="72"/>
  <c r="U75" i="72"/>
  <c r="V72" i="72"/>
  <c r="W69" i="72"/>
  <c r="X66" i="72"/>
  <c r="Y63" i="72"/>
  <c r="Z60" i="72"/>
  <c r="AA57" i="72"/>
  <c r="U55" i="72"/>
  <c r="V52" i="72"/>
  <c r="W49" i="72"/>
  <c r="X46" i="72"/>
  <c r="Y43" i="72"/>
  <c r="Z40" i="72"/>
  <c r="AA37" i="72"/>
  <c r="U35" i="72"/>
  <c r="V32" i="72"/>
  <c r="W29" i="72"/>
  <c r="Y26" i="72"/>
  <c r="AA23" i="72"/>
  <c r="U22" i="72"/>
  <c r="W19" i="72"/>
  <c r="Y16" i="72"/>
  <c r="AA13" i="72"/>
  <c r="U12" i="72"/>
  <c r="W9" i="72"/>
  <c r="Y6" i="72"/>
  <c r="X123" i="72"/>
  <c r="Y120" i="72"/>
  <c r="Z117" i="72"/>
  <c r="AA114" i="72"/>
  <c r="U112" i="72"/>
  <c r="V109" i="72"/>
  <c r="W106" i="72"/>
  <c r="X103" i="72"/>
  <c r="Y100" i="72"/>
  <c r="Z97" i="72"/>
  <c r="AA94" i="72"/>
  <c r="U92" i="72"/>
  <c r="V89" i="72"/>
  <c r="W86" i="72"/>
  <c r="X83" i="72"/>
  <c r="Y80" i="72"/>
  <c r="Z77" i="72"/>
  <c r="AA74" i="72"/>
  <c r="U72" i="72"/>
  <c r="V69" i="72"/>
  <c r="W66" i="72"/>
  <c r="X63" i="72"/>
  <c r="Y60" i="72"/>
  <c r="Z57" i="72"/>
  <c r="AA54" i="72"/>
  <c r="U52" i="72"/>
  <c r="V49" i="72"/>
  <c r="W46" i="72"/>
  <c r="X43" i="72"/>
  <c r="Y40" i="72"/>
  <c r="Z37" i="72"/>
  <c r="AA34" i="72"/>
  <c r="U32" i="72"/>
  <c r="W124" i="72"/>
  <c r="X120" i="72"/>
  <c r="Z116" i="72"/>
  <c r="X112" i="72"/>
  <c r="X108" i="72"/>
  <c r="V104" i="72"/>
  <c r="V100" i="72"/>
  <c r="X96" i="72"/>
  <c r="AA91" i="72"/>
  <c r="V88" i="72"/>
  <c r="AA83" i="72"/>
  <c r="AA79" i="72"/>
  <c r="Z75" i="72"/>
  <c r="AA71" i="72"/>
  <c r="W68" i="72"/>
  <c r="W64" i="72"/>
  <c r="X60" i="72"/>
  <c r="AA56" i="72"/>
  <c r="AA52" i="72"/>
  <c r="U49" i="72"/>
  <c r="X45" i="72"/>
  <c r="X41" i="72"/>
  <c r="Y37" i="72"/>
  <c r="U34" i="72"/>
  <c r="U30" i="72"/>
  <c r="U26" i="72"/>
  <c r="Y24" i="72"/>
  <c r="Z22" i="72"/>
  <c r="W17" i="72"/>
  <c r="X15" i="72"/>
  <c r="U10" i="72"/>
  <c r="V8" i="72"/>
  <c r="Z6" i="72"/>
  <c r="V124" i="72"/>
  <c r="W120" i="72"/>
  <c r="Y116" i="72"/>
  <c r="W112" i="72"/>
  <c r="W108" i="72"/>
  <c r="U104" i="72"/>
  <c r="U100" i="72"/>
  <c r="Z95" i="72"/>
  <c r="Z91" i="72"/>
  <c r="Z83" i="72"/>
  <c r="Z79" i="72"/>
  <c r="Y75" i="72"/>
  <c r="Z71" i="72"/>
  <c r="V68" i="72"/>
  <c r="V64" i="72"/>
  <c r="W60" i="72"/>
  <c r="Z56" i="72"/>
  <c r="Z52" i="72"/>
  <c r="AA48" i="72"/>
  <c r="W45" i="72"/>
  <c r="W41" i="72"/>
  <c r="X37" i="72"/>
  <c r="AA33" i="72"/>
  <c r="AA29" i="72"/>
  <c r="X24" i="72"/>
  <c r="V17" i="72"/>
  <c r="W15" i="72"/>
  <c r="Z13" i="72"/>
  <c r="U8" i="72"/>
  <c r="X6" i="72"/>
  <c r="V120" i="72"/>
  <c r="W83" i="72"/>
  <c r="Y56" i="72"/>
  <c r="V41" i="72"/>
  <c r="U17" i="72"/>
  <c r="U120" i="72"/>
  <c r="W75" i="72"/>
  <c r="AA63" i="72"/>
  <c r="U88" i="72"/>
  <c r="Y22" i="72"/>
  <c r="X116" i="72"/>
  <c r="AA111" i="72"/>
  <c r="V108" i="72"/>
  <c r="AA103" i="72"/>
  <c r="AA99" i="72"/>
  <c r="Y95" i="72"/>
  <c r="Y91" i="72"/>
  <c r="AA87" i="72"/>
  <c r="Y79" i="72"/>
  <c r="X75" i="72"/>
  <c r="Y71" i="72"/>
  <c r="U68" i="72"/>
  <c r="U64" i="72"/>
  <c r="V60" i="72"/>
  <c r="Y52" i="72"/>
  <c r="Z48" i="72"/>
  <c r="V45" i="72"/>
  <c r="W37" i="72"/>
  <c r="Z33" i="72"/>
  <c r="Z29" i="72"/>
  <c r="W24" i="72"/>
  <c r="X22" i="72"/>
  <c r="AA20" i="72"/>
  <c r="V15" i="72"/>
  <c r="Y13" i="72"/>
  <c r="W6" i="72"/>
  <c r="AA4" i="72"/>
  <c r="AA123" i="72"/>
  <c r="Z115" i="72"/>
  <c r="Z111" i="72"/>
  <c r="U108" i="72"/>
  <c r="Z103" i="72"/>
  <c r="Z99" i="72"/>
  <c r="X95" i="72"/>
  <c r="X91" i="72"/>
  <c r="V87" i="72"/>
  <c r="V83" i="72"/>
  <c r="X79" i="72"/>
  <c r="X71" i="72"/>
  <c r="AA67" i="72"/>
  <c r="U60" i="72"/>
  <c r="X56" i="72"/>
  <c r="U124" i="72"/>
  <c r="Z122" i="72"/>
  <c r="Y118" i="72"/>
  <c r="Y114" i="72"/>
  <c r="AA110" i="72"/>
  <c r="Y106" i="72"/>
  <c r="Y102" i="72"/>
  <c r="W98" i="72"/>
  <c r="W94" i="72"/>
  <c r="U90" i="72"/>
  <c r="U86" i="72"/>
  <c r="W82" i="72"/>
  <c r="U78" i="72"/>
  <c r="V74" i="72"/>
  <c r="V70" i="72"/>
  <c r="Y66" i="72"/>
  <c r="Z62" i="72"/>
  <c r="Z58" i="72"/>
  <c r="V55" i="72"/>
  <c r="W51" i="72"/>
  <c r="W47" i="72"/>
  <c r="Z43" i="72"/>
  <c r="AA39" i="72"/>
  <c r="AA35" i="72"/>
  <c r="W32" i="72"/>
  <c r="V27" i="72"/>
  <c r="Y122" i="72"/>
  <c r="Z123" i="72"/>
  <c r="W118" i="72"/>
  <c r="Y113" i="72"/>
  <c r="V107" i="72"/>
  <c r="W102" i="72"/>
  <c r="U97" i="72"/>
  <c r="V91" i="72"/>
  <c r="Z85" i="72"/>
  <c r="X80" i="72"/>
  <c r="Z74" i="72"/>
  <c r="AA69" i="72"/>
  <c r="W65" i="72"/>
  <c r="Z59" i="72"/>
  <c r="Y54" i="72"/>
  <c r="U50" i="72"/>
  <c r="Y45" i="72"/>
  <c r="W40" i="72"/>
  <c r="Y35" i="72"/>
  <c r="V31" i="72"/>
  <c r="Z23" i="72"/>
  <c r="AA21" i="72"/>
  <c r="Y19" i="72"/>
  <c r="Y17" i="72"/>
  <c r="AA112" i="72"/>
  <c r="Y111" i="72"/>
  <c r="V106" i="72"/>
  <c r="V101" i="72"/>
  <c r="AA89" i="72"/>
  <c r="V85" i="72"/>
  <c r="U74" i="72"/>
  <c r="Z63" i="72"/>
  <c r="U54" i="72"/>
  <c r="V44" i="72"/>
  <c r="Z34" i="72"/>
  <c r="Y27" i="72"/>
  <c r="V23" i="72"/>
  <c r="AA10" i="72"/>
  <c r="V6" i="72"/>
  <c r="X122" i="72"/>
  <c r="U101" i="72"/>
  <c r="Z89" i="72"/>
  <c r="Y78" i="72"/>
  <c r="AA68" i="72"/>
  <c r="X58" i="72"/>
  <c r="Y48" i="72"/>
  <c r="X39" i="72"/>
  <c r="Y29" i="72"/>
  <c r="U25" i="72"/>
  <c r="Z10" i="72"/>
  <c r="U6" i="72"/>
  <c r="V117" i="72"/>
  <c r="AA105" i="72"/>
  <c r="Z94" i="72"/>
  <c r="W84" i="72"/>
  <c r="Z73" i="72"/>
  <c r="V63" i="72"/>
  <c r="Z53" i="72"/>
  <c r="AA43" i="72"/>
  <c r="X34" i="72"/>
  <c r="W27" i="72"/>
  <c r="W123" i="72"/>
  <c r="V118" i="72"/>
  <c r="U107" i="72"/>
  <c r="V102" i="72"/>
  <c r="AA96" i="72"/>
  <c r="U91" i="72"/>
  <c r="Y85" i="72"/>
  <c r="W80" i="72"/>
  <c r="Y74" i="72"/>
  <c r="Z69" i="72"/>
  <c r="V65" i="72"/>
  <c r="Y59" i="72"/>
  <c r="X54" i="72"/>
  <c r="AA49" i="72"/>
  <c r="U45" i="72"/>
  <c r="V40" i="72"/>
  <c r="X35" i="72"/>
  <c r="U31" i="72"/>
  <c r="Y25" i="72"/>
  <c r="Y23" i="72"/>
  <c r="Z21" i="72"/>
  <c r="X19" i="72"/>
  <c r="X17" i="72"/>
  <c r="Z4" i="72"/>
  <c r="AA6" i="72"/>
  <c r="X4" i="72"/>
  <c r="AA122" i="72"/>
  <c r="V123" i="72"/>
  <c r="U118" i="72"/>
  <c r="Z112" i="72"/>
  <c r="AA106" i="72"/>
  <c r="X101" i="72"/>
  <c r="Z96" i="72"/>
  <c r="AA90" i="72"/>
  <c r="X85" i="72"/>
  <c r="V80" i="72"/>
  <c r="X74" i="72"/>
  <c r="Y69" i="72"/>
  <c r="U65" i="72"/>
  <c r="X59" i="72"/>
  <c r="W54" i="72"/>
  <c r="Z49" i="72"/>
  <c r="X44" i="72"/>
  <c r="U40" i="72"/>
  <c r="W35" i="72"/>
  <c r="AA30" i="72"/>
  <c r="AA27" i="72"/>
  <c r="X25" i="72"/>
  <c r="X23" i="72"/>
  <c r="Y21" i="72"/>
  <c r="V19" i="72"/>
  <c r="Y4" i="72"/>
  <c r="U123" i="72"/>
  <c r="W74" i="72"/>
  <c r="Y49" i="72"/>
  <c r="W44" i="72"/>
  <c r="Z39" i="72"/>
  <c r="V35" i="72"/>
  <c r="Z30" i="72"/>
  <c r="Z27" i="72"/>
  <c r="W25" i="72"/>
  <c r="W23" i="72"/>
  <c r="U21" i="72"/>
  <c r="U19" i="72"/>
  <c r="X117" i="72"/>
  <c r="W95" i="72"/>
  <c r="W79" i="72"/>
  <c r="U69" i="72"/>
  <c r="Y58" i="72"/>
  <c r="X49" i="72"/>
  <c r="Y39" i="72"/>
  <c r="V30" i="72"/>
  <c r="V25" i="72"/>
  <c r="AA12" i="72"/>
  <c r="W4" i="72"/>
  <c r="W117" i="72"/>
  <c r="X111" i="72"/>
  <c r="U106" i="72"/>
  <c r="V95" i="72"/>
  <c r="U85" i="72"/>
  <c r="AA73" i="72"/>
  <c r="W63" i="72"/>
  <c r="AA53" i="72"/>
  <c r="U44" i="72"/>
  <c r="Y34" i="72"/>
  <c r="X27" i="72"/>
  <c r="U23" i="72"/>
  <c r="Z12" i="72"/>
  <c r="AA8" i="72"/>
  <c r="H4" i="72"/>
  <c r="W122" i="72"/>
  <c r="W111" i="72"/>
  <c r="AA100" i="72"/>
  <c r="Y89" i="72"/>
  <c r="X78" i="72"/>
  <c r="Z68" i="72"/>
  <c r="W58" i="72"/>
  <c r="X48" i="72"/>
  <c r="W39" i="72"/>
  <c r="X29" i="72"/>
  <c r="Y117" i="72"/>
  <c r="Y112" i="72"/>
  <c r="Z106" i="72"/>
  <c r="W101" i="72"/>
  <c r="Y96" i="72"/>
  <c r="Z90" i="72"/>
  <c r="W85" i="72"/>
  <c r="U80" i="72"/>
  <c r="X69" i="72"/>
  <c r="X64" i="72"/>
  <c r="W59" i="72"/>
  <c r="V54" i="72"/>
  <c r="X121" i="72"/>
  <c r="Y115" i="72"/>
  <c r="Z110" i="72"/>
  <c r="X105" i="72"/>
  <c r="Y99" i="72"/>
  <c r="V94" i="72"/>
  <c r="AA88" i="72"/>
  <c r="U83" i="72"/>
  <c r="Y77" i="72"/>
  <c r="AA72" i="72"/>
  <c r="W67" i="72"/>
  <c r="Y62" i="72"/>
  <c r="Y57" i="72"/>
  <c r="X52" i="72"/>
  <c r="U48" i="72"/>
  <c r="U43" i="72"/>
  <c r="X38" i="72"/>
  <c r="Y33" i="72"/>
  <c r="Y20" i="72"/>
  <c r="W18" i="72"/>
  <c r="W16" i="72"/>
  <c r="X14" i="72"/>
  <c r="V12" i="72"/>
  <c r="V10" i="72"/>
  <c r="D4" i="72"/>
  <c r="W121" i="72"/>
  <c r="X115" i="72"/>
  <c r="U110" i="72"/>
  <c r="W105" i="72"/>
  <c r="X99" i="72"/>
  <c r="U94" i="72"/>
  <c r="Z88" i="72"/>
  <c r="AA82" i="72"/>
  <c r="X77" i="72"/>
  <c r="Z72" i="72"/>
  <c r="V67" i="72"/>
  <c r="X62" i="72"/>
  <c r="X57" i="72"/>
  <c r="W52" i="72"/>
  <c r="AA47" i="72"/>
  <c r="AA42" i="72"/>
  <c r="W38" i="72"/>
  <c r="U33" i="72"/>
  <c r="AA22" i="72"/>
  <c r="X20" i="72"/>
  <c r="V18" i="72"/>
  <c r="V16" i="72"/>
  <c r="W14" i="72"/>
  <c r="C4" i="72"/>
  <c r="V121" i="72"/>
  <c r="W115" i="72"/>
  <c r="AA109" i="72"/>
  <c r="V105" i="72"/>
  <c r="W99" i="72"/>
  <c r="AA93" i="72"/>
  <c r="Y88" i="72"/>
  <c r="Z82" i="72"/>
  <c r="W77" i="72"/>
  <c r="Y72" i="72"/>
  <c r="U67" i="72"/>
  <c r="W62" i="72"/>
  <c r="W57" i="72"/>
  <c r="AA51" i="72"/>
  <c r="V47" i="72"/>
  <c r="Z42" i="72"/>
  <c r="V38" i="72"/>
  <c r="AA32" i="72"/>
  <c r="W22" i="72"/>
  <c r="W20" i="72"/>
  <c r="U18" i="72"/>
  <c r="U16" i="72"/>
  <c r="V122" i="72"/>
  <c r="V111" i="72"/>
  <c r="X100" i="72"/>
  <c r="X89" i="72"/>
  <c r="W78" i="72"/>
  <c r="Y68" i="72"/>
  <c r="V58" i="72"/>
  <c r="W48" i="72"/>
  <c r="Z38" i="72"/>
  <c r="V29" i="72"/>
  <c r="AA9" i="72"/>
  <c r="W119" i="72"/>
  <c r="Y108" i="72"/>
  <c r="W97" i="72"/>
  <c r="V86" i="72"/>
  <c r="AA75" i="72"/>
  <c r="Y65" i="72"/>
  <c r="W55" i="72"/>
  <c r="AA45" i="72"/>
  <c r="X36" i="72"/>
  <c r="U28" i="72"/>
  <c r="W12" i="72"/>
  <c r="W8" i="72"/>
  <c r="AA7" i="72"/>
  <c r="V115" i="72"/>
  <c r="Z93" i="72"/>
  <c r="Y82" i="72"/>
  <c r="V62" i="72"/>
  <c r="Y42" i="72"/>
  <c r="AA26" i="72"/>
  <c r="Z19" i="72"/>
  <c r="Z92" i="72"/>
  <c r="V71" i="72"/>
  <c r="V42" i="72"/>
  <c r="V7" i="72"/>
  <c r="AA102" i="72"/>
  <c r="AA70" i="72"/>
  <c r="Y31" i="72"/>
  <c r="X10" i="72"/>
  <c r="Z113" i="72"/>
  <c r="X102" i="72"/>
  <c r="W91" i="72"/>
  <c r="AA80" i="72"/>
  <c r="U70" i="72"/>
  <c r="V50" i="72"/>
  <c r="Y121" i="72"/>
  <c r="U111" i="72"/>
  <c r="W100" i="72"/>
  <c r="U89" i="72"/>
  <c r="V78" i="72"/>
  <c r="X68" i="72"/>
  <c r="U58" i="72"/>
  <c r="V48" i="72"/>
  <c r="Y38" i="72"/>
  <c r="U29" i="72"/>
  <c r="Z9" i="72"/>
  <c r="AA108" i="72"/>
  <c r="Y97" i="72"/>
  <c r="Y76" i="72"/>
  <c r="AA65" i="72"/>
  <c r="Y55" i="72"/>
  <c r="V46" i="72"/>
  <c r="Z36" i="72"/>
  <c r="W28" i="72"/>
  <c r="U20" i="72"/>
  <c r="X16" i="72"/>
  <c r="Y12" i="72"/>
  <c r="Z108" i="72"/>
  <c r="Y86" i="72"/>
  <c r="Z65" i="72"/>
  <c r="U46" i="72"/>
  <c r="V28" i="72"/>
  <c r="X12" i="72"/>
  <c r="Y105" i="72"/>
  <c r="U73" i="72"/>
  <c r="U53" i="72"/>
  <c r="V34" i="72"/>
  <c r="Z11" i="72"/>
  <c r="Z7" i="72"/>
  <c r="E4" i="72"/>
  <c r="Z114" i="72"/>
  <c r="W72" i="72"/>
  <c r="X42" i="72"/>
  <c r="U103" i="72"/>
  <c r="Y41" i="72"/>
  <c r="U61" i="72"/>
  <c r="U7" i="72"/>
  <c r="W92" i="72"/>
  <c r="U81" i="72"/>
  <c r="AA60" i="72"/>
  <c r="AA40" i="72"/>
  <c r="AA59" i="72"/>
  <c r="U121" i="72"/>
  <c r="Z109" i="72"/>
  <c r="Y98" i="72"/>
  <c r="X88" i="72"/>
  <c r="V77" i="72"/>
  <c r="AA66" i="72"/>
  <c r="V57" i="72"/>
  <c r="U47" i="72"/>
  <c r="U38" i="72"/>
  <c r="AA17" i="72"/>
  <c r="X13" i="72"/>
  <c r="Y9" i="72"/>
  <c r="Y5" i="72"/>
  <c r="Z24" i="72"/>
  <c r="Z20" i="72"/>
  <c r="AA16" i="72"/>
  <c r="V13" i="72"/>
  <c r="V9" i="72"/>
  <c r="W5" i="72"/>
  <c r="Z119" i="72"/>
  <c r="U109" i="72"/>
  <c r="U98" i="72"/>
  <c r="AA86" i="72"/>
  <c r="Z76" i="72"/>
  <c r="U66" i="72"/>
  <c r="Y46" i="72"/>
  <c r="AA36" i="72"/>
  <c r="AA28" i="72"/>
  <c r="Z86" i="72"/>
  <c r="U5" i="72"/>
  <c r="X119" i="72"/>
  <c r="X97" i="72"/>
  <c r="X76" i="72"/>
  <c r="X55" i="72"/>
  <c r="Y36" i="72"/>
  <c r="X94" i="72"/>
  <c r="AA19" i="72"/>
  <c r="W104" i="72"/>
  <c r="Y51" i="72"/>
  <c r="Z26" i="72"/>
  <c r="Y15" i="72"/>
  <c r="Y11" i="72"/>
  <c r="Y7" i="72"/>
  <c r="W103" i="72"/>
  <c r="AA92" i="72"/>
  <c r="V82" i="72"/>
  <c r="W71" i="72"/>
  <c r="X61" i="72"/>
  <c r="W42" i="72"/>
  <c r="X32" i="72"/>
  <c r="X26" i="72"/>
  <c r="V22" i="72"/>
  <c r="U15" i="72"/>
  <c r="U11" i="72"/>
  <c r="X7" i="72"/>
  <c r="W114" i="72"/>
  <c r="X81" i="72"/>
  <c r="V51" i="72"/>
  <c r="W26" i="72"/>
  <c r="AA18" i="72"/>
  <c r="X92" i="72"/>
  <c r="AA50" i="72"/>
  <c r="W10" i="72"/>
  <c r="AA120" i="72"/>
  <c r="Y109" i="72"/>
  <c r="X98" i="72"/>
  <c r="W88" i="72"/>
  <c r="U77" i="72"/>
  <c r="Z66" i="72"/>
  <c r="U57" i="72"/>
  <c r="AA46" i="72"/>
  <c r="V37" i="72"/>
  <c r="AA24" i="72"/>
  <c r="Z17" i="72"/>
  <c r="W13" i="72"/>
  <c r="X9" i="72"/>
  <c r="X5" i="72"/>
  <c r="AA119" i="72"/>
  <c r="X109" i="72"/>
  <c r="V98" i="72"/>
  <c r="U87" i="72"/>
  <c r="AA76" i="72"/>
  <c r="V66" i="72"/>
  <c r="AA55" i="72"/>
  <c r="Z46" i="72"/>
  <c r="U37" i="72"/>
  <c r="Z55" i="72"/>
  <c r="V20" i="72"/>
  <c r="Z16" i="72"/>
  <c r="U13" i="72"/>
  <c r="U9" i="72"/>
  <c r="V5" i="72"/>
  <c r="Y119" i="72"/>
  <c r="X114" i="72"/>
  <c r="X51" i="72"/>
  <c r="U114" i="72"/>
  <c r="V81" i="72"/>
  <c r="U41" i="72"/>
  <c r="X118" i="72"/>
  <c r="AA107" i="72"/>
  <c r="V97" i="72"/>
  <c r="AA85" i="72"/>
  <c r="V75" i="72"/>
  <c r="X65" i="72"/>
  <c r="Z54" i="72"/>
  <c r="Z45" i="72"/>
  <c r="Z35" i="72"/>
  <c r="G4" i="72"/>
  <c r="AA116" i="72"/>
  <c r="U84" i="72"/>
  <c r="AA62" i="72"/>
  <c r="V43" i="72"/>
  <c r="Y93" i="72"/>
  <c r="X82" i="72"/>
  <c r="Y61" i="72"/>
  <c r="Y32" i="72"/>
  <c r="Y92" i="72"/>
  <c r="V26" i="72"/>
  <c r="Z14" i="72"/>
  <c r="Y10" i="72"/>
  <c r="Z102" i="72"/>
  <c r="Z50" i="72"/>
  <c r="W31" i="72"/>
  <c r="U117" i="72"/>
  <c r="Z105" i="72"/>
  <c r="Y94" i="72"/>
  <c r="V84" i="72"/>
  <c r="Y73" i="72"/>
  <c r="U63" i="72"/>
  <c r="Y53" i="72"/>
  <c r="W43" i="72"/>
  <c r="W34" i="72"/>
  <c r="U27" i="72"/>
  <c r="AA11" i="72"/>
  <c r="F4" i="72"/>
  <c r="U105" i="72"/>
  <c r="X72" i="72"/>
  <c r="Z51" i="72"/>
  <c r="Z32" i="72"/>
  <c r="V103" i="72"/>
  <c r="W61" i="72"/>
  <c r="AA31" i="72"/>
  <c r="AA14" i="72"/>
  <c r="W7" i="72"/>
  <c r="V114" i="72"/>
  <c r="W81" i="72"/>
  <c r="U71" i="72"/>
  <c r="V61" i="72"/>
  <c r="U51" i="72"/>
  <c r="Z31" i="72"/>
  <c r="Y14" i="72"/>
  <c r="AA113" i="72"/>
  <c r="Z70" i="72"/>
  <c r="X31" i="72"/>
  <c r="X40" i="72"/>
  <c r="V103" i="71"/>
  <c r="W108" i="71"/>
  <c r="Y112" i="71"/>
  <c r="V76" i="71"/>
  <c r="Y58" i="71"/>
  <c r="Z119" i="71"/>
  <c r="Z65" i="71"/>
  <c r="AA73" i="71"/>
  <c r="AA84" i="71"/>
  <c r="W6" i="71"/>
  <c r="Z123" i="71"/>
  <c r="W121" i="71"/>
  <c r="V45" i="71"/>
  <c r="W102" i="71"/>
  <c r="AA87" i="71"/>
  <c r="AA79" i="71"/>
  <c r="V117" i="71"/>
  <c r="X19" i="71"/>
  <c r="X31" i="71"/>
  <c r="V23" i="71"/>
  <c r="Y23" i="71"/>
  <c r="V89" i="71"/>
  <c r="X90" i="71"/>
  <c r="W36" i="71"/>
  <c r="Y88" i="71"/>
  <c r="X49" i="71"/>
  <c r="AA72" i="71"/>
  <c r="AA4" i="71"/>
  <c r="AA8" i="71"/>
  <c r="W10" i="71"/>
  <c r="X75" i="71"/>
  <c r="W90" i="71"/>
  <c r="V112" i="71"/>
  <c r="Z95" i="71"/>
  <c r="V61" i="71"/>
  <c r="W52" i="71"/>
  <c r="V35" i="71"/>
  <c r="V25" i="71"/>
  <c r="V72" i="71"/>
  <c r="AA9" i="71"/>
  <c r="W124" i="71"/>
  <c r="V47" i="71"/>
  <c r="X50" i="71"/>
  <c r="X51" i="71"/>
  <c r="Z115" i="71"/>
  <c r="AA116" i="71"/>
  <c r="Z28" i="71"/>
  <c r="W86" i="71"/>
  <c r="V93" i="71"/>
  <c r="Y30" i="71"/>
  <c r="V37" i="71"/>
  <c r="Z56" i="71"/>
  <c r="AA20" i="71"/>
  <c r="X102" i="71"/>
  <c r="V32" i="71"/>
  <c r="V94" i="71"/>
  <c r="W51" i="71"/>
  <c r="V33" i="71"/>
  <c r="V115" i="70"/>
  <c r="V123" i="70"/>
  <c r="V7" i="70"/>
  <c r="AA87" i="70"/>
  <c r="Z124" i="70"/>
  <c r="Y123" i="70"/>
  <c r="Z110" i="70"/>
  <c r="Z58" i="70"/>
  <c r="X31" i="70"/>
  <c r="V111" i="70"/>
  <c r="Y58" i="70"/>
  <c r="V61" i="70"/>
  <c r="W51" i="70"/>
  <c r="W7" i="70"/>
  <c r="V101" i="70"/>
  <c r="Z122" i="70"/>
  <c r="V112" i="70"/>
  <c r="V89" i="70"/>
  <c r="V37" i="70"/>
  <c r="AA73" i="70"/>
  <c r="Y59" i="70"/>
  <c r="Y121" i="70"/>
  <c r="X90" i="70"/>
  <c r="AA78" i="70"/>
  <c r="X102" i="70"/>
  <c r="W86" i="70"/>
  <c r="U25" i="70"/>
  <c r="AA89" i="70"/>
  <c r="V93" i="70"/>
  <c r="V36" i="70"/>
  <c r="Z33" i="70"/>
  <c r="U69" i="70"/>
  <c r="X20" i="70"/>
  <c r="AA107" i="70"/>
  <c r="U70" i="70"/>
  <c r="W6" i="70"/>
  <c r="AA72" i="70"/>
  <c r="W87" i="70"/>
  <c r="Z85" i="70"/>
  <c r="X108" i="70"/>
  <c r="V47" i="70"/>
  <c r="AA48" i="70"/>
  <c r="U24" i="70"/>
  <c r="Z52" i="70"/>
  <c r="AA25" i="70"/>
  <c r="V57" i="70"/>
  <c r="V118" i="70"/>
  <c r="Y46" i="70"/>
  <c r="U32" i="70"/>
  <c r="X49" i="70"/>
  <c r="V25" i="70"/>
  <c r="AA8" i="70"/>
  <c r="Z70" i="70"/>
  <c r="Y20" i="70"/>
  <c r="U112" i="70"/>
  <c r="U33" i="70"/>
  <c r="X107" i="70"/>
  <c r="AA79" i="70"/>
  <c r="V49" i="70"/>
  <c r="X47" i="70"/>
  <c r="Z18" i="70"/>
  <c r="W50" i="70"/>
  <c r="Z106" i="70"/>
  <c r="V83" i="70"/>
  <c r="U107" i="70"/>
  <c r="U113" i="70"/>
  <c r="Y30" i="70"/>
  <c r="Z94" i="70"/>
  <c r="X33" i="70"/>
  <c r="U118" i="70"/>
  <c r="U14" i="70"/>
  <c r="Z69" i="71"/>
  <c r="AA26" i="71"/>
  <c r="U19" i="71"/>
  <c r="AA10" i="71"/>
  <c r="V83" i="71"/>
  <c r="X108" i="71"/>
  <c r="Z52" i="71"/>
  <c r="Z58" i="71"/>
  <c r="X33" i="71"/>
  <c r="U69" i="71"/>
  <c r="AA6" i="71"/>
  <c r="V115" i="71"/>
  <c r="X10" i="71"/>
  <c r="Z94" i="71"/>
  <c r="W46" i="71"/>
  <c r="X103" i="71"/>
  <c r="Y55" i="71"/>
  <c r="Y121" i="71"/>
  <c r="V113" i="71"/>
  <c r="W71" i="71"/>
  <c r="V10" i="71"/>
  <c r="Z116" i="71"/>
  <c r="X20" i="71"/>
  <c r="V49" i="71"/>
  <c r="V118" i="71"/>
  <c r="V39" i="71"/>
  <c r="X7" i="71"/>
  <c r="Z93" i="71"/>
  <c r="X5" i="71"/>
  <c r="Z39" i="71"/>
  <c r="AA5" i="71"/>
  <c r="X35" i="71"/>
  <c r="X106" i="71"/>
  <c r="Z53" i="71"/>
  <c r="X42" i="71"/>
  <c r="Z111" i="71"/>
  <c r="AA47" i="71"/>
  <c r="W89" i="71"/>
  <c r="V68" i="71"/>
  <c r="Y60" i="71"/>
  <c r="Z117" i="71"/>
  <c r="W70" i="71"/>
  <c r="V56" i="71"/>
  <c r="W113" i="71"/>
  <c r="Z107" i="71"/>
  <c r="V16" i="71"/>
  <c r="X121" i="71"/>
  <c r="V73" i="71"/>
  <c r="V116" i="71"/>
  <c r="AA11" i="71"/>
  <c r="W69" i="71"/>
  <c r="X6" i="71"/>
  <c r="Z89" i="71"/>
  <c r="Y54" i="71"/>
  <c r="Z34" i="71"/>
  <c r="AA107" i="71"/>
  <c r="Y59" i="71"/>
  <c r="U13" i="71"/>
  <c r="Z44" i="71"/>
  <c r="V9" i="71"/>
  <c r="V69" i="71"/>
  <c r="U81" i="71"/>
  <c r="Y92" i="71"/>
  <c r="W87" i="71"/>
  <c r="Z64" i="71"/>
  <c r="U51" i="71"/>
  <c r="U100" i="71"/>
  <c r="V71" i="71"/>
  <c r="X13" i="71"/>
  <c r="Z122" i="71"/>
  <c r="Z60" i="71"/>
  <c r="X24" i="71"/>
  <c r="Z110" i="71"/>
  <c r="X30" i="71"/>
  <c r="X62" i="71"/>
  <c r="X86" i="71"/>
  <c r="W85" i="71"/>
  <c r="X48" i="71"/>
  <c r="W23" i="71"/>
  <c r="U24" i="71"/>
  <c r="V65" i="71"/>
  <c r="Z114" i="71"/>
  <c r="V66" i="71"/>
  <c r="AA77" i="71"/>
  <c r="Y46" i="71"/>
  <c r="Y31" i="71"/>
  <c r="X89" i="71"/>
  <c r="V52" i="71"/>
  <c r="X16" i="71"/>
  <c r="Z86" i="71"/>
  <c r="U33" i="71"/>
  <c r="Y57" i="71"/>
  <c r="Y75" i="71"/>
  <c r="Y20" i="71"/>
  <c r="V46" i="71"/>
  <c r="Z70" i="71"/>
  <c r="X122" i="71"/>
  <c r="AA117" i="71"/>
  <c r="U94" i="71"/>
  <c r="V18" i="70"/>
  <c r="AA23" i="70"/>
  <c r="U94" i="70"/>
  <c r="W49" i="70"/>
  <c r="X48" i="70"/>
  <c r="V72" i="70"/>
  <c r="Z120" i="70"/>
  <c r="AA88" i="70"/>
  <c r="Y31" i="70"/>
  <c r="AA24" i="70"/>
  <c r="Y92" i="70"/>
  <c r="AA26" i="70"/>
  <c r="V35" i="70"/>
  <c r="X88" i="70"/>
  <c r="V68" i="70"/>
  <c r="X13" i="70"/>
  <c r="V17" i="70"/>
  <c r="X9" i="70"/>
  <c r="AA117" i="70"/>
  <c r="V52" i="70"/>
  <c r="V86" i="70"/>
  <c r="Z69" i="70"/>
  <c r="Z45" i="70"/>
  <c r="X37" i="70"/>
  <c r="AA77" i="70"/>
  <c r="Z53" i="70"/>
  <c r="X99" i="70"/>
  <c r="Z46" i="70"/>
  <c r="AA27" i="70"/>
  <c r="X121" i="70"/>
  <c r="V50" i="70"/>
  <c r="Z84" i="70"/>
  <c r="V24" i="70"/>
  <c r="U82" i="70"/>
  <c r="U13" i="70"/>
  <c r="W23" i="70"/>
  <c r="W102" i="70"/>
  <c r="Z30" i="70"/>
  <c r="Z111" i="70"/>
  <c r="V103" i="70"/>
  <c r="V51" i="70"/>
  <c r="W46" i="70"/>
  <c r="X103" i="70"/>
  <c r="U53" i="70"/>
  <c r="V110" i="70"/>
  <c r="X30" i="70"/>
  <c r="Z28" i="70"/>
  <c r="V33" i="70"/>
  <c r="V76" i="70"/>
  <c r="Y57" i="70"/>
  <c r="Z65" i="70"/>
  <c r="W114" i="70"/>
  <c r="Z42" i="70"/>
  <c r="Z75" i="70"/>
  <c r="Z116" i="70"/>
  <c r="Y88" i="70"/>
  <c r="AA47" i="70"/>
  <c r="W85" i="70"/>
  <c r="W109" i="70"/>
  <c r="U89" i="70"/>
  <c r="AA11" i="70"/>
  <c r="Y55" i="70"/>
  <c r="V117" i="70"/>
  <c r="AA108" i="70"/>
  <c r="V10" i="70"/>
  <c r="AA9" i="70"/>
  <c r="AA116" i="70"/>
  <c r="U51" i="70"/>
  <c r="W71" i="70"/>
  <c r="Z117" i="70"/>
  <c r="Z114" i="70"/>
  <c r="AA118" i="70"/>
  <c r="X86" i="70"/>
  <c r="Z115" i="70"/>
  <c r="V66" i="70"/>
  <c r="AA10" i="70"/>
  <c r="X6" i="70"/>
  <c r="V87" i="70"/>
  <c r="W18" i="70"/>
  <c r="Z121" i="70"/>
  <c r="X50" i="70"/>
  <c r="U81" i="70"/>
  <c r="V32" i="70"/>
  <c r="X5" i="70"/>
  <c r="X36" i="70"/>
  <c r="W10" i="70"/>
  <c r="W121" i="70"/>
  <c r="Z56" i="70"/>
  <c r="X17" i="70"/>
  <c r="Z39" i="70"/>
  <c r="Z93" i="70"/>
  <c r="X7" i="70"/>
  <c r="V65" i="70"/>
  <c r="U97" i="70"/>
  <c r="V44" i="70"/>
  <c r="Z92" i="70"/>
  <c r="Z4" i="70"/>
  <c r="Z43" i="70"/>
  <c r="AA20" i="70"/>
  <c r="W52" i="70"/>
  <c r="U85" i="70"/>
  <c r="Y75" i="70"/>
  <c r="U19" i="70"/>
  <c r="AA7" i="70"/>
  <c r="V77" i="70"/>
  <c r="Z60" i="70"/>
  <c r="AA4" i="70"/>
  <c r="Z76" i="70"/>
  <c r="Z91" i="70"/>
  <c r="Y60" i="70"/>
  <c r="X89" i="70"/>
  <c r="Y54" i="70"/>
  <c r="Y53" i="70"/>
  <c r="Z89" i="70"/>
  <c r="U46" i="70"/>
  <c r="Z34" i="70"/>
  <c r="X51" i="70"/>
  <c r="V9" i="70"/>
  <c r="V69" i="70"/>
  <c r="U90" i="70"/>
  <c r="X8" i="70"/>
  <c r="X67" i="70"/>
  <c r="Z107" i="70"/>
  <c r="Z37" i="70"/>
  <c r="Y95" i="70"/>
  <c r="V31" i="70"/>
  <c r="U100" i="70"/>
  <c r="Z57" i="70"/>
  <c r="X122" i="70"/>
  <c r="X24" i="70"/>
  <c r="V82" i="70"/>
  <c r="V46" i="70"/>
  <c r="W108" i="70"/>
  <c r="Y120" i="70"/>
  <c r="V94" i="70"/>
  <c r="W120" i="70"/>
  <c r="AA22" i="70"/>
  <c r="W70" i="70"/>
  <c r="V56" i="70"/>
  <c r="W113" i="70"/>
  <c r="X62" i="70"/>
  <c r="Y112" i="70"/>
  <c r="X19" i="70"/>
  <c r="Y84" i="70"/>
  <c r="Z86" i="70"/>
  <c r="AA6" i="70"/>
  <c r="V113" i="70"/>
  <c r="V39" i="70"/>
  <c r="V16" i="70"/>
  <c r="Z44" i="70"/>
  <c r="Y23" i="70"/>
  <c r="X42" i="70"/>
  <c r="U26" i="70"/>
  <c r="X82" i="70"/>
  <c r="X10" i="70"/>
  <c r="AA21" i="70"/>
  <c r="V71" i="70"/>
  <c r="X66" i="70"/>
  <c r="Z62" i="70"/>
  <c r="Y91" i="70"/>
  <c r="X16" i="70"/>
  <c r="Z95" i="70"/>
  <c r="V73" i="70"/>
  <c r="AA5" i="70"/>
  <c r="V116" i="70"/>
  <c r="H29" i="69" l="1"/>
  <c r="E28" i="69"/>
  <c r="D28" i="69"/>
  <c r="C28" i="69"/>
  <c r="G27" i="69"/>
  <c r="G26" i="69"/>
  <c r="F26" i="69"/>
  <c r="E26" i="69"/>
  <c r="D26" i="69"/>
  <c r="F24" i="69"/>
  <c r="E24" i="69"/>
  <c r="C24" i="69"/>
  <c r="F22" i="69"/>
  <c r="E22" i="69"/>
  <c r="I21" i="69"/>
  <c r="H21" i="69"/>
  <c r="I19" i="69"/>
  <c r="H19" i="69"/>
  <c r="I18" i="69"/>
  <c r="H17" i="69"/>
  <c r="I16" i="69"/>
  <c r="G15" i="69"/>
  <c r="F15" i="69"/>
  <c r="E15" i="69"/>
  <c r="D15" i="69"/>
  <c r="C15" i="69"/>
  <c r="I14" i="69"/>
  <c r="I13" i="69"/>
  <c r="H13" i="69"/>
  <c r="G13" i="69"/>
  <c r="F13" i="69"/>
  <c r="D13" i="69"/>
  <c r="C13" i="69"/>
  <c r="E12" i="69"/>
  <c r="D12" i="69"/>
  <c r="I11" i="69"/>
  <c r="H11" i="69"/>
  <c r="G11" i="69"/>
  <c r="E11" i="69"/>
  <c r="D11" i="69"/>
  <c r="C11" i="69"/>
  <c r="E10" i="69"/>
  <c r="D10" i="69"/>
  <c r="I9" i="69"/>
  <c r="C9" i="69"/>
  <c r="E8" i="69"/>
  <c r="D8" i="69"/>
  <c r="F7" i="69"/>
  <c r="E7" i="69"/>
  <c r="D7" i="69"/>
  <c r="C7" i="69"/>
  <c r="F5" i="69"/>
  <c r="E5" i="69"/>
  <c r="D5" i="69"/>
  <c r="C5" i="69"/>
  <c r="A4" i="69" a="1"/>
  <c r="F23" i="69" s="1"/>
  <c r="G24" i="69" l="1"/>
  <c r="H26" i="69"/>
  <c r="G7" i="69"/>
  <c r="D16" i="69"/>
  <c r="H22" i="69"/>
  <c r="I26" i="69"/>
  <c r="H5" i="69"/>
  <c r="D18" i="69"/>
  <c r="I22" i="69"/>
  <c r="D29" i="69"/>
  <c r="I5" i="69"/>
  <c r="F14" i="69"/>
  <c r="F16" i="69"/>
  <c r="E18" i="69"/>
  <c r="D27" i="69"/>
  <c r="E29" i="69"/>
  <c r="G22" i="69"/>
  <c r="G5" i="69"/>
  <c r="C18" i="69"/>
  <c r="C20" i="69"/>
  <c r="H24" i="69"/>
  <c r="C29" i="69"/>
  <c r="H7" i="69"/>
  <c r="E16" i="69"/>
  <c r="D20" i="69"/>
  <c r="I24" i="69"/>
  <c r="G14" i="69"/>
  <c r="G16" i="69"/>
  <c r="F18" i="69"/>
  <c r="E27" i="69"/>
  <c r="F29" i="69"/>
  <c r="C8" i="69"/>
  <c r="C10" i="69"/>
  <c r="C12" i="69"/>
  <c r="H14" i="69"/>
  <c r="H16" i="69"/>
  <c r="G18" i="69"/>
  <c r="F27" i="69"/>
  <c r="G29" i="69"/>
  <c r="C19" i="69"/>
  <c r="G8" i="69"/>
  <c r="C23" i="69"/>
  <c r="I6" i="69"/>
  <c r="I8" i="69"/>
  <c r="I10" i="69"/>
  <c r="E19" i="69"/>
  <c r="D21" i="69"/>
  <c r="D23" i="69"/>
  <c r="H27" i="69"/>
  <c r="I29" i="69"/>
  <c r="F8" i="69"/>
  <c r="A4" i="69"/>
  <c r="C21" i="69"/>
  <c r="F19" i="69"/>
  <c r="E21" i="69"/>
  <c r="I27" i="69"/>
  <c r="C26" i="69"/>
  <c r="E23" i="69"/>
  <c r="G20" i="69"/>
  <c r="I17" i="69"/>
  <c r="C16" i="69"/>
  <c r="E13" i="69"/>
  <c r="G10" i="69"/>
  <c r="I7" i="69"/>
  <c r="C6" i="69"/>
  <c r="H28" i="69"/>
  <c r="D24" i="69"/>
  <c r="F21" i="69"/>
  <c r="H18" i="69"/>
  <c r="D14" i="69"/>
  <c r="F11" i="69"/>
  <c r="H8" i="69"/>
  <c r="F28" i="69"/>
  <c r="H25" i="69"/>
  <c r="C27" i="69"/>
  <c r="F25" i="69"/>
  <c r="D22" i="69"/>
  <c r="G17" i="69"/>
  <c r="E14" i="69"/>
  <c r="H9" i="69"/>
  <c r="F6" i="69"/>
  <c r="E25" i="69"/>
  <c r="C22" i="69"/>
  <c r="I20" i="69"/>
  <c r="F17" i="69"/>
  <c r="C14" i="69"/>
  <c r="I12" i="69"/>
  <c r="G9" i="69"/>
  <c r="E6" i="69"/>
  <c r="I28" i="69"/>
  <c r="C25" i="69"/>
  <c r="F20" i="69"/>
  <c r="D17" i="69"/>
  <c r="I15" i="69"/>
  <c r="G12" i="69"/>
  <c r="C17" i="69"/>
  <c r="D9" i="69"/>
  <c r="D25" i="69"/>
  <c r="H20" i="69"/>
  <c r="E17" i="69"/>
  <c r="H12" i="69"/>
  <c r="F9" i="69"/>
  <c r="D6" i="69"/>
  <c r="I23" i="69"/>
  <c r="E9" i="69"/>
  <c r="G28" i="69"/>
  <c r="H23" i="69"/>
  <c r="E20" i="69"/>
  <c r="H15" i="69"/>
  <c r="F12" i="69"/>
  <c r="G6" i="69"/>
  <c r="F10" i="69"/>
  <c r="G25" i="69"/>
  <c r="H6" i="69"/>
  <c r="H10" i="69"/>
  <c r="D19" i="69"/>
  <c r="I25" i="69"/>
  <c r="G19" i="69"/>
  <c r="G21" i="69"/>
  <c r="G23" i="69"/>
  <c r="AA124" i="69" l="1"/>
  <c r="U122" i="69"/>
  <c r="V119" i="69"/>
  <c r="W116" i="69"/>
  <c r="X113" i="69"/>
  <c r="Y110" i="69"/>
  <c r="Z107" i="69"/>
  <c r="AA104" i="69"/>
  <c r="U102" i="69"/>
  <c r="V99" i="69"/>
  <c r="W96" i="69"/>
  <c r="X93" i="69"/>
  <c r="Y90" i="69"/>
  <c r="Z87" i="69"/>
  <c r="AA84" i="69"/>
  <c r="U82" i="69"/>
  <c r="V79" i="69"/>
  <c r="W76" i="69"/>
  <c r="X73" i="69"/>
  <c r="Y70" i="69"/>
  <c r="Z67" i="69"/>
  <c r="AA64" i="69"/>
  <c r="U62" i="69"/>
  <c r="V59" i="69"/>
  <c r="W56" i="69"/>
  <c r="X53" i="69"/>
  <c r="Y50" i="69"/>
  <c r="Z47" i="69"/>
  <c r="AA44" i="69"/>
  <c r="U42" i="69"/>
  <c r="V39" i="69"/>
  <c r="W36" i="69"/>
  <c r="X33" i="69"/>
  <c r="Y30" i="69"/>
  <c r="Z28" i="69"/>
  <c r="V24" i="69"/>
  <c r="X21" i="69"/>
  <c r="Z18" i="69"/>
  <c r="V14" i="69"/>
  <c r="X11" i="69"/>
  <c r="Z8" i="69"/>
  <c r="V4" i="69"/>
  <c r="AA123" i="69"/>
  <c r="U121" i="69"/>
  <c r="V118" i="69"/>
  <c r="W115" i="69"/>
  <c r="X112" i="69"/>
  <c r="Y109" i="69"/>
  <c r="Z106" i="69"/>
  <c r="AA103" i="69"/>
  <c r="U101" i="69"/>
  <c r="V98" i="69"/>
  <c r="W95" i="69"/>
  <c r="X92" i="69"/>
  <c r="Y89" i="69"/>
  <c r="Z86" i="69"/>
  <c r="AA83" i="69"/>
  <c r="U81" i="69"/>
  <c r="V78" i="69"/>
  <c r="W75" i="69"/>
  <c r="X72" i="69"/>
  <c r="Y69" i="69"/>
  <c r="Z66" i="69"/>
  <c r="AA63" i="69"/>
  <c r="U61" i="69"/>
  <c r="V58" i="69"/>
  <c r="W55" i="69"/>
  <c r="X52" i="69"/>
  <c r="Y49" i="69"/>
  <c r="Z46" i="69"/>
  <c r="AA43" i="69"/>
  <c r="U41" i="69"/>
  <c r="V38" i="69"/>
  <c r="W35" i="69"/>
  <c r="X32" i="69"/>
  <c r="Y29" i="69"/>
  <c r="AA26" i="69"/>
  <c r="U25" i="69"/>
  <c r="W22" i="69"/>
  <c r="Y19" i="69"/>
  <c r="AA16" i="69"/>
  <c r="U15" i="69"/>
  <c r="W12" i="69"/>
  <c r="Y9" i="69"/>
  <c r="AA6" i="69"/>
  <c r="U5" i="69"/>
  <c r="D4" i="69"/>
  <c r="Z123" i="69"/>
  <c r="AA120" i="69"/>
  <c r="U118" i="69"/>
  <c r="V115" i="69"/>
  <c r="W112" i="69"/>
  <c r="X109" i="69"/>
  <c r="Y106" i="69"/>
  <c r="Z103" i="69"/>
  <c r="AA100" i="69"/>
  <c r="U98" i="69"/>
  <c r="V95" i="69"/>
  <c r="W92" i="69"/>
  <c r="X89" i="69"/>
  <c r="Y86" i="69"/>
  <c r="Z83" i="69"/>
  <c r="AA80" i="69"/>
  <c r="U78" i="69"/>
  <c r="V75" i="69"/>
  <c r="W72" i="69"/>
  <c r="X69" i="69"/>
  <c r="Y66" i="69"/>
  <c r="Z63" i="69"/>
  <c r="AA60" i="69"/>
  <c r="U58" i="69"/>
  <c r="V55" i="69"/>
  <c r="W52" i="69"/>
  <c r="X49" i="69"/>
  <c r="Y46" i="69"/>
  <c r="Z43" i="69"/>
  <c r="AA40" i="69"/>
  <c r="U38" i="69"/>
  <c r="V35" i="69"/>
  <c r="W32" i="69"/>
  <c r="Y123" i="69"/>
  <c r="Z120" i="69"/>
  <c r="AA117" i="69"/>
  <c r="U115" i="69"/>
  <c r="V112" i="69"/>
  <c r="W109" i="69"/>
  <c r="X106" i="69"/>
  <c r="Y103" i="69"/>
  <c r="Z100" i="69"/>
  <c r="AA97" i="69"/>
  <c r="U95" i="69"/>
  <c r="V92" i="69"/>
  <c r="W89" i="69"/>
  <c r="X86" i="69"/>
  <c r="Y83" i="69"/>
  <c r="Z80" i="69"/>
  <c r="AA77" i="69"/>
  <c r="U75" i="69"/>
  <c r="V72" i="69"/>
  <c r="W69" i="69"/>
  <c r="X66" i="69"/>
  <c r="Y63" i="69"/>
  <c r="Z60" i="69"/>
  <c r="AA57" i="69"/>
  <c r="U55" i="69"/>
  <c r="V52" i="69"/>
  <c r="W49" i="69"/>
  <c r="X46" i="69"/>
  <c r="Y43" i="69"/>
  <c r="Z40" i="69"/>
  <c r="AA37" i="69"/>
  <c r="U35" i="69"/>
  <c r="V32" i="69"/>
  <c r="W29" i="69"/>
  <c r="Y26" i="69"/>
  <c r="W123" i="69"/>
  <c r="AA119" i="69"/>
  <c r="X116" i="69"/>
  <c r="AA112" i="69"/>
  <c r="U109" i="69"/>
  <c r="Y105" i="69"/>
  <c r="V102" i="69"/>
  <c r="Y98" i="69"/>
  <c r="Z94" i="69"/>
  <c r="W91" i="69"/>
  <c r="AA87" i="69"/>
  <c r="W84" i="69"/>
  <c r="X80" i="69"/>
  <c r="U77" i="69"/>
  <c r="Y73" i="69"/>
  <c r="U70" i="69"/>
  <c r="V66" i="69"/>
  <c r="Z62" i="69"/>
  <c r="W59" i="69"/>
  <c r="Z55" i="69"/>
  <c r="AA51" i="69"/>
  <c r="X48" i="69"/>
  <c r="U45" i="69"/>
  <c r="X41" i="69"/>
  <c r="Y37" i="69"/>
  <c r="V34" i="69"/>
  <c r="Z30" i="69"/>
  <c r="W28" i="69"/>
  <c r="W23" i="69"/>
  <c r="U20" i="69"/>
  <c r="AA18" i="69"/>
  <c r="X15" i="69"/>
  <c r="U12" i="69"/>
  <c r="AA10" i="69"/>
  <c r="Y7" i="69"/>
  <c r="W4" i="69"/>
  <c r="V123" i="69"/>
  <c r="Z119" i="69"/>
  <c r="V116" i="69"/>
  <c r="Z112" i="69"/>
  <c r="AA108" i="69"/>
  <c r="X105" i="69"/>
  <c r="AA101" i="69"/>
  <c r="X98" i="69"/>
  <c r="Y94" i="69"/>
  <c r="V91" i="69"/>
  <c r="Y87" i="69"/>
  <c r="V84" i="69"/>
  <c r="W80" i="69"/>
  <c r="AA76" i="69"/>
  <c r="W73" i="69"/>
  <c r="AA69" i="69"/>
  <c r="U66" i="69"/>
  <c r="Y62" i="69"/>
  <c r="U59" i="69"/>
  <c r="Y55" i="69"/>
  <c r="Z51" i="69"/>
  <c r="W48" i="69"/>
  <c r="Z44" i="69"/>
  <c r="W41" i="69"/>
  <c r="X37" i="69"/>
  <c r="U34" i="69"/>
  <c r="X30" i="69"/>
  <c r="V28" i="69"/>
  <c r="Z26" i="69"/>
  <c r="V23" i="69"/>
  <c r="Y18" i="69"/>
  <c r="W15" i="69"/>
  <c r="Z10" i="69"/>
  <c r="X7" i="69"/>
  <c r="U4" i="69"/>
  <c r="X119" i="69"/>
  <c r="AA115" i="69"/>
  <c r="U112" i="69"/>
  <c r="Y108" i="69"/>
  <c r="V105" i="69"/>
  <c r="Y101" i="69"/>
  <c r="Z97" i="69"/>
  <c r="W94" i="69"/>
  <c r="AA90" i="69"/>
  <c r="W87" i="69"/>
  <c r="X83" i="69"/>
  <c r="U80" i="69"/>
  <c r="Y76" i="69"/>
  <c r="U73" i="69"/>
  <c r="V69" i="69"/>
  <c r="Z65" i="69"/>
  <c r="W62" i="69"/>
  <c r="Z58" i="69"/>
  <c r="AA54" i="69"/>
  <c r="U48" i="69"/>
  <c r="X44" i="69"/>
  <c r="Y40" i="69"/>
  <c r="V37" i="69"/>
  <c r="Z33" i="69"/>
  <c r="W26" i="69"/>
  <c r="Z21" i="69"/>
  <c r="W18" i="69"/>
  <c r="Z13" i="69"/>
  <c r="X10" i="69"/>
  <c r="V7" i="69"/>
  <c r="AA5" i="69"/>
  <c r="H4" i="69"/>
  <c r="Z122" i="69"/>
  <c r="W119" i="69"/>
  <c r="Z115" i="69"/>
  <c r="AA111" i="69"/>
  <c r="X108" i="69"/>
  <c r="U105" i="69"/>
  <c r="X101" i="69"/>
  <c r="Y97" i="69"/>
  <c r="V94" i="69"/>
  <c r="Z90" i="69"/>
  <c r="V87" i="69"/>
  <c r="W83" i="69"/>
  <c r="AA79" i="69"/>
  <c r="X76" i="69"/>
  <c r="AA72" i="69"/>
  <c r="U69" i="69"/>
  <c r="V62" i="69"/>
  <c r="Y58" i="69"/>
  <c r="Z54" i="69"/>
  <c r="W51" i="69"/>
  <c r="AA47" i="69"/>
  <c r="W44" i="69"/>
  <c r="X40" i="69"/>
  <c r="U37" i="69"/>
  <c r="Y33" i="69"/>
  <c r="U30" i="69"/>
  <c r="V26" i="69"/>
  <c r="AA24" i="69"/>
  <c r="Y21" i="69"/>
  <c r="Y13" i="69"/>
  <c r="Z5" i="69"/>
  <c r="Y122" i="69"/>
  <c r="Y115" i="69"/>
  <c r="Z111" i="69"/>
  <c r="W108" i="69"/>
  <c r="Z104" i="69"/>
  <c r="W101" i="69"/>
  <c r="X97" i="69"/>
  <c r="U94" i="69"/>
  <c r="X90" i="69"/>
  <c r="U87" i="69"/>
  <c r="Z79" i="69"/>
  <c r="V76" i="69"/>
  <c r="AA68" i="69"/>
  <c r="U123" i="69"/>
  <c r="Y119" i="69"/>
  <c r="U116" i="69"/>
  <c r="Y112" i="69"/>
  <c r="Z108" i="69"/>
  <c r="W105" i="69"/>
  <c r="Z101" i="69"/>
  <c r="W98" i="69"/>
  <c r="X94" i="69"/>
  <c r="U91" i="69"/>
  <c r="X87" i="69"/>
  <c r="U84" i="69"/>
  <c r="V80" i="69"/>
  <c r="Z76" i="69"/>
  <c r="V73" i="69"/>
  <c r="Z69" i="69"/>
  <c r="AA65" i="69"/>
  <c r="X62" i="69"/>
  <c r="AA58" i="69"/>
  <c r="X55" i="69"/>
  <c r="Y51" i="69"/>
  <c r="V48" i="69"/>
  <c r="Y44" i="69"/>
  <c r="V41" i="69"/>
  <c r="W37" i="69"/>
  <c r="AA33" i="69"/>
  <c r="W30" i="69"/>
  <c r="U28" i="69"/>
  <c r="X26" i="69"/>
  <c r="U23" i="69"/>
  <c r="AA21" i="69"/>
  <c r="X18" i="69"/>
  <c r="V15" i="69"/>
  <c r="AA13" i="69"/>
  <c r="Y10" i="69"/>
  <c r="W7" i="69"/>
  <c r="I4" i="69"/>
  <c r="AA122" i="69"/>
  <c r="X51" i="69"/>
  <c r="V30" i="69"/>
  <c r="Y65" i="69"/>
  <c r="V18" i="69"/>
  <c r="W10" i="69"/>
  <c r="U7" i="69"/>
  <c r="G4" i="69"/>
  <c r="U119" i="69"/>
  <c r="V83" i="69"/>
  <c r="Z72" i="69"/>
  <c r="X65" i="69"/>
  <c r="Z124" i="69"/>
  <c r="U120" i="69"/>
  <c r="W114" i="69"/>
  <c r="AA109" i="69"/>
  <c r="V104" i="69"/>
  <c r="X99" i="69"/>
  <c r="Z93" i="69"/>
  <c r="AA88" i="69"/>
  <c r="X84" i="69"/>
  <c r="Z78" i="69"/>
  <c r="U74" i="69"/>
  <c r="W68" i="69"/>
  <c r="X63" i="69"/>
  <c r="X58" i="69"/>
  <c r="AA53" i="69"/>
  <c r="V49" i="69"/>
  <c r="V44" i="69"/>
  <c r="Y39" i="69"/>
  <c r="AA34" i="69"/>
  <c r="AA29" i="69"/>
  <c r="Y27" i="69"/>
  <c r="X25" i="69"/>
  <c r="Z16" i="69"/>
  <c r="AA14" i="69"/>
  <c r="AA12" i="69"/>
  <c r="V10" i="69"/>
  <c r="V8" i="69"/>
  <c r="V6" i="69"/>
  <c r="F4" i="69"/>
  <c r="AA118" i="69"/>
  <c r="X27" i="69"/>
  <c r="Z12" i="69"/>
  <c r="AA113" i="69"/>
  <c r="W43" i="69"/>
  <c r="X14" i="69"/>
  <c r="V124" i="69"/>
  <c r="U108" i="69"/>
  <c r="V103" i="69"/>
  <c r="Z98" i="69"/>
  <c r="U93" i="69"/>
  <c r="Y82" i="69"/>
  <c r="Z77" i="69"/>
  <c r="U72" i="69"/>
  <c r="Y67" i="69"/>
  <c r="V53" i="69"/>
  <c r="Y48" i="69"/>
  <c r="V43" i="69"/>
  <c r="AA38" i="69"/>
  <c r="W34" i="69"/>
  <c r="AA22" i="69"/>
  <c r="AA20" i="69"/>
  <c r="W14" i="69"/>
  <c r="X123" i="69"/>
  <c r="W113" i="69"/>
  <c r="Y107" i="69"/>
  <c r="AA102" i="69"/>
  <c r="V97" i="69"/>
  <c r="Z92" i="69"/>
  <c r="U88" i="69"/>
  <c r="W82" i="69"/>
  <c r="X77" i="69"/>
  <c r="Z71" i="69"/>
  <c r="Z61" i="69"/>
  <c r="V57" i="69"/>
  <c r="X47" i="69"/>
  <c r="AA42" i="69"/>
  <c r="V33" i="69"/>
  <c r="X5" i="69"/>
  <c r="Z19" i="69"/>
  <c r="Z17" i="69"/>
  <c r="U13" i="69"/>
  <c r="U11" i="69"/>
  <c r="U9" i="69"/>
  <c r="Y124" i="69"/>
  <c r="V114" i="69"/>
  <c r="Z109" i="69"/>
  <c r="U104" i="69"/>
  <c r="W99" i="69"/>
  <c r="Y93" i="69"/>
  <c r="Z88" i="69"/>
  <c r="U83" i="69"/>
  <c r="Y78" i="69"/>
  <c r="AA73" i="69"/>
  <c r="V68" i="69"/>
  <c r="W63" i="69"/>
  <c r="W58" i="69"/>
  <c r="Z53" i="69"/>
  <c r="U49" i="69"/>
  <c r="U44" i="69"/>
  <c r="X39" i="69"/>
  <c r="Z34" i="69"/>
  <c r="Z29" i="69"/>
  <c r="W25" i="69"/>
  <c r="Y16" i="69"/>
  <c r="Z14" i="69"/>
  <c r="U10" i="69"/>
  <c r="U8" i="69"/>
  <c r="U6" i="69"/>
  <c r="E4" i="69"/>
  <c r="Y118" i="69"/>
  <c r="W53" i="69"/>
  <c r="V27" i="69"/>
  <c r="X12" i="69"/>
  <c r="X118" i="69"/>
  <c r="W88" i="69"/>
  <c r="X57" i="69"/>
  <c r="U27" i="69"/>
  <c r="V16" i="69"/>
  <c r="U124" i="69"/>
  <c r="AA107" i="69"/>
  <c r="W97" i="69"/>
  <c r="X82" i="69"/>
  <c r="AA71" i="69"/>
  <c r="AA61" i="69"/>
  <c r="W57" i="69"/>
  <c r="Y47" i="69"/>
  <c r="Z38" i="69"/>
  <c r="Z22" i="69"/>
  <c r="U18" i="69"/>
  <c r="U16" i="69"/>
  <c r="Y116" i="69"/>
  <c r="AA95" i="69"/>
  <c r="AA74" i="69"/>
  <c r="Z64" i="69"/>
  <c r="AA55" i="69"/>
  <c r="Y41" i="69"/>
  <c r="X28" i="69"/>
  <c r="X115" i="69"/>
  <c r="U60" i="69"/>
  <c r="U36" i="69"/>
  <c r="X124" i="69"/>
  <c r="Z118" i="69"/>
  <c r="U114" i="69"/>
  <c r="V109" i="69"/>
  <c r="X103" i="69"/>
  <c r="U99" i="69"/>
  <c r="W93" i="69"/>
  <c r="Y88" i="69"/>
  <c r="AA82" i="69"/>
  <c r="X78" i="69"/>
  <c r="Z73" i="69"/>
  <c r="U68" i="69"/>
  <c r="V63" i="69"/>
  <c r="Z57" i="69"/>
  <c r="Y53" i="69"/>
  <c r="AA48" i="69"/>
  <c r="X43" i="69"/>
  <c r="W39" i="69"/>
  <c r="Y34" i="69"/>
  <c r="X29" i="69"/>
  <c r="W27" i="69"/>
  <c r="V25" i="69"/>
  <c r="X16" i="69"/>
  <c r="Y14" i="69"/>
  <c r="Y12" i="69"/>
  <c r="C4" i="69"/>
  <c r="W124" i="69"/>
  <c r="V108" i="69"/>
  <c r="W103" i="69"/>
  <c r="AA98" i="69"/>
  <c r="V93" i="69"/>
  <c r="X88" i="69"/>
  <c r="Z82" i="69"/>
  <c r="W78" i="69"/>
  <c r="Y72" i="69"/>
  <c r="AA67" i="69"/>
  <c r="U63" i="69"/>
  <c r="Y57" i="69"/>
  <c r="Z48" i="69"/>
  <c r="U39" i="69"/>
  <c r="X34" i="69"/>
  <c r="V29" i="69"/>
  <c r="W16" i="69"/>
  <c r="Z113" i="69"/>
  <c r="AA62" i="69"/>
  <c r="U29" i="69"/>
  <c r="V12" i="69"/>
  <c r="W118" i="69"/>
  <c r="Y113" i="69"/>
  <c r="U103" i="69"/>
  <c r="AA92" i="69"/>
  <c r="Y77" i="69"/>
  <c r="X67" i="69"/>
  <c r="U53" i="69"/>
  <c r="U43" i="69"/>
  <c r="W33" i="69"/>
  <c r="Z24" i="69"/>
  <c r="Z20" i="69"/>
  <c r="U14" i="69"/>
  <c r="Z15" i="69"/>
  <c r="W121" i="69"/>
  <c r="U106" i="69"/>
  <c r="W100" i="69"/>
  <c r="V90" i="69"/>
  <c r="Y80" i="69"/>
  <c r="X70" i="69"/>
  <c r="V60" i="69"/>
  <c r="X50" i="69"/>
  <c r="AA45" i="69"/>
  <c r="Y31" i="69"/>
  <c r="Z110" i="69"/>
  <c r="W85" i="69"/>
  <c r="W70" i="69"/>
  <c r="W50" i="69"/>
  <c r="V88" i="69"/>
  <c r="Y5" i="69"/>
  <c r="Z117" i="69"/>
  <c r="W67" i="69"/>
  <c r="AA52" i="69"/>
  <c r="Y38" i="69"/>
  <c r="V100" i="69"/>
  <c r="Y24" i="69"/>
  <c r="Y22" i="69"/>
  <c r="Y20" i="69"/>
  <c r="X122" i="69"/>
  <c r="Y117" i="69"/>
  <c r="V113" i="69"/>
  <c r="X107" i="69"/>
  <c r="Z102" i="69"/>
  <c r="U97" i="69"/>
  <c r="Y92" i="69"/>
  <c r="AA86" i="69"/>
  <c r="V82" i="69"/>
  <c r="W77" i="69"/>
  <c r="Y71" i="69"/>
  <c r="V67" i="69"/>
  <c r="Y61" i="69"/>
  <c r="U57" i="69"/>
  <c r="Z52" i="69"/>
  <c r="W47" i="69"/>
  <c r="Z42" i="69"/>
  <c r="X38" i="69"/>
  <c r="U33" i="69"/>
  <c r="X24" i="69"/>
  <c r="X22" i="69"/>
  <c r="X20" i="69"/>
  <c r="W5" i="69"/>
  <c r="W122" i="69"/>
  <c r="X117" i="69"/>
  <c r="U113" i="69"/>
  <c r="W107" i="69"/>
  <c r="Y102" i="69"/>
  <c r="AA96" i="69"/>
  <c r="U92" i="69"/>
  <c r="W86" i="69"/>
  <c r="AA81" i="69"/>
  <c r="V77" i="69"/>
  <c r="X71" i="69"/>
  <c r="U67" i="69"/>
  <c r="X61" i="69"/>
  <c r="AA56" i="69"/>
  <c r="Y52" i="69"/>
  <c r="V47" i="69"/>
  <c r="Y42" i="69"/>
  <c r="W38" i="69"/>
  <c r="AA32" i="69"/>
  <c r="W24" i="69"/>
  <c r="V22" i="69"/>
  <c r="W20" i="69"/>
  <c r="AA11" i="69"/>
  <c r="AA9" i="69"/>
  <c r="AA7" i="69"/>
  <c r="V5" i="69"/>
  <c r="AA75" i="69"/>
  <c r="AA36" i="69"/>
  <c r="X13" i="69"/>
  <c r="X9" i="69"/>
  <c r="Z121" i="69"/>
  <c r="W111" i="69"/>
  <c r="AA106" i="69"/>
  <c r="V101" i="69"/>
  <c r="X96" i="69"/>
  <c r="Y91" i="69"/>
  <c r="AA85" i="69"/>
  <c r="X81" i="69"/>
  <c r="Z75" i="69"/>
  <c r="U71" i="69"/>
  <c r="W65" i="69"/>
  <c r="Y60" i="69"/>
  <c r="U51" i="69"/>
  <c r="W46" i="69"/>
  <c r="V42" i="69"/>
  <c r="U32" i="69"/>
  <c r="W13" i="69"/>
  <c r="W9" i="69"/>
  <c r="Y121" i="69"/>
  <c r="V111" i="69"/>
  <c r="Y100" i="69"/>
  <c r="Z85" i="69"/>
  <c r="Y75" i="69"/>
  <c r="V65" i="69"/>
  <c r="V56" i="69"/>
  <c r="V46" i="69"/>
  <c r="Y36" i="69"/>
  <c r="AA28" i="69"/>
  <c r="AA17" i="69"/>
  <c r="V13" i="69"/>
  <c r="V9" i="69"/>
  <c r="X121" i="69"/>
  <c r="U111" i="69"/>
  <c r="V106" i="69"/>
  <c r="X100" i="69"/>
  <c r="U96" i="69"/>
  <c r="W90" i="69"/>
  <c r="Y85" i="69"/>
  <c r="V81" i="69"/>
  <c r="X75" i="69"/>
  <c r="U65" i="69"/>
  <c r="W60" i="69"/>
  <c r="Z50" i="69"/>
  <c r="U46" i="69"/>
  <c r="X36" i="69"/>
  <c r="Y28" i="69"/>
  <c r="AA110" i="69"/>
  <c r="V36" i="69"/>
  <c r="X19" i="69"/>
  <c r="Y15" i="69"/>
  <c r="V121" i="69"/>
  <c r="Z95" i="69"/>
  <c r="U90" i="69"/>
  <c r="Y79" i="69"/>
  <c r="Y64" i="69"/>
  <c r="Y54" i="69"/>
  <c r="Z45" i="69"/>
  <c r="V122" i="69"/>
  <c r="W117" i="69"/>
  <c r="Y111" i="69"/>
  <c r="V107" i="69"/>
  <c r="X102" i="69"/>
  <c r="Z96" i="69"/>
  <c r="AA91" i="69"/>
  <c r="V86" i="69"/>
  <c r="Z81" i="69"/>
  <c r="U76" i="69"/>
  <c r="W71" i="69"/>
  <c r="AA66" i="69"/>
  <c r="W61" i="69"/>
  <c r="Z56" i="69"/>
  <c r="U52" i="69"/>
  <c r="U47" i="69"/>
  <c r="X42" i="69"/>
  <c r="Z37" i="69"/>
  <c r="Z32" i="69"/>
  <c r="U24" i="69"/>
  <c r="U22" i="69"/>
  <c r="V20" i="69"/>
  <c r="Z11" i="69"/>
  <c r="Z9" i="69"/>
  <c r="Z7" i="69"/>
  <c r="AA121" i="69"/>
  <c r="V117" i="69"/>
  <c r="X111" i="69"/>
  <c r="U107" i="69"/>
  <c r="W102" i="69"/>
  <c r="Y96" i="69"/>
  <c r="Z91" i="69"/>
  <c r="U86" i="69"/>
  <c r="Y81" i="69"/>
  <c r="V71" i="69"/>
  <c r="W66" i="69"/>
  <c r="V61" i="69"/>
  <c r="Y56" i="69"/>
  <c r="V51" i="69"/>
  <c r="AA46" i="69"/>
  <c r="W42" i="69"/>
  <c r="Y32" i="69"/>
  <c r="U26" i="69"/>
  <c r="Y11" i="69"/>
  <c r="U117" i="69"/>
  <c r="X56" i="69"/>
  <c r="Z36" i="69"/>
  <c r="W11" i="69"/>
  <c r="AA116" i="69"/>
  <c r="W106" i="69"/>
  <c r="V96" i="69"/>
  <c r="X91" i="69"/>
  <c r="W81" i="69"/>
  <c r="AA70" i="69"/>
  <c r="X60" i="69"/>
  <c r="AA50" i="69"/>
  <c r="AA41" i="69"/>
  <c r="AA31" i="69"/>
  <c r="AA19" i="69"/>
  <c r="AA15" i="69"/>
  <c r="V11" i="69"/>
  <c r="Z116" i="69"/>
  <c r="Z70" i="69"/>
  <c r="U56" i="69"/>
  <c r="Z41" i="69"/>
  <c r="Z31" i="69"/>
  <c r="X85" i="69"/>
  <c r="Y17" i="69"/>
  <c r="AA105" i="69"/>
  <c r="Y120" i="69"/>
  <c r="Y95" i="69"/>
  <c r="V74" i="69"/>
  <c r="Z49" i="69"/>
  <c r="X120" i="69"/>
  <c r="X95" i="69"/>
  <c r="V70" i="69"/>
  <c r="Y45" i="69"/>
  <c r="AA4" i="69"/>
  <c r="W120" i="69"/>
  <c r="Z68" i="69"/>
  <c r="X45" i="69"/>
  <c r="Z4" i="69"/>
  <c r="V17" i="69"/>
  <c r="Y23" i="69"/>
  <c r="Y99" i="69"/>
  <c r="AA49" i="69"/>
  <c r="X23" i="69"/>
  <c r="Z99" i="69"/>
  <c r="AA94" i="69"/>
  <c r="W21" i="69"/>
  <c r="Z74" i="69"/>
  <c r="AA23" i="69"/>
  <c r="U17" i="69"/>
  <c r="W6" i="69"/>
  <c r="AA99" i="69"/>
  <c r="V50" i="69"/>
  <c r="U31" i="69"/>
  <c r="Z23" i="69"/>
  <c r="V120" i="69"/>
  <c r="AA93" i="69"/>
  <c r="Y68" i="69"/>
  <c r="W45" i="69"/>
  <c r="AA27" i="69"/>
  <c r="V21" i="69"/>
  <c r="AA8" i="69"/>
  <c r="Y4" i="69"/>
  <c r="AA114" i="69"/>
  <c r="AA89" i="69"/>
  <c r="X68" i="69"/>
  <c r="V45" i="69"/>
  <c r="Z27" i="69"/>
  <c r="U21" i="69"/>
  <c r="Y8" i="69"/>
  <c r="X4" i="69"/>
  <c r="Z114" i="69"/>
  <c r="Z89" i="69"/>
  <c r="X64" i="69"/>
  <c r="W40" i="69"/>
  <c r="X8" i="69"/>
  <c r="Y114" i="69"/>
  <c r="V89" i="69"/>
  <c r="W64" i="69"/>
  <c r="V40" i="69"/>
  <c r="W8" i="69"/>
  <c r="X79" i="69"/>
  <c r="W79" i="69"/>
  <c r="X54" i="69"/>
  <c r="X35" i="69"/>
  <c r="X17" i="69"/>
  <c r="X104" i="69"/>
  <c r="X31" i="69"/>
  <c r="Y74" i="69"/>
  <c r="AA30" i="69"/>
  <c r="U54" i="69"/>
  <c r="X74" i="69"/>
  <c r="W74" i="69"/>
  <c r="X114" i="69"/>
  <c r="U89" i="69"/>
  <c r="V64" i="69"/>
  <c r="U40" i="69"/>
  <c r="W19" i="69"/>
  <c r="X110" i="69"/>
  <c r="V85" i="69"/>
  <c r="U64" i="69"/>
  <c r="AA39" i="69"/>
  <c r="V19" i="69"/>
  <c r="U110" i="69"/>
  <c r="Y84" i="69"/>
  <c r="Y59" i="69"/>
  <c r="Z35" i="69"/>
  <c r="Z25" i="69"/>
  <c r="Y104" i="69"/>
  <c r="Z6" i="69"/>
  <c r="U79" i="69"/>
  <c r="W54" i="69"/>
  <c r="W17" i="69"/>
  <c r="Y6" i="69"/>
  <c r="W104" i="69"/>
  <c r="AA78" i="69"/>
  <c r="V54" i="69"/>
  <c r="W31" i="69"/>
  <c r="U50" i="69"/>
  <c r="W110" i="69"/>
  <c r="U85" i="69"/>
  <c r="AA59" i="69"/>
  <c r="Z39" i="69"/>
  <c r="U19" i="69"/>
  <c r="V110" i="69"/>
  <c r="Z84" i="69"/>
  <c r="Z59" i="69"/>
  <c r="AA35" i="69"/>
  <c r="AA25" i="69"/>
  <c r="Z105" i="69"/>
  <c r="X59" i="69"/>
  <c r="Y35" i="69"/>
  <c r="Y25" i="69"/>
  <c r="X6" i="69"/>
  <c r="U100" i="69"/>
  <c r="V31" i="69"/>
  <c r="A4" i="67" l="1" a="1"/>
  <c r="I29" i="67" s="1"/>
  <c r="C19" i="67" l="1"/>
  <c r="E6" i="67"/>
  <c r="F6" i="67"/>
  <c r="G6" i="67"/>
  <c r="D20" i="67"/>
  <c r="D7" i="67"/>
  <c r="F20" i="67"/>
  <c r="F7" i="67"/>
  <c r="C23" i="67"/>
  <c r="H7" i="67"/>
  <c r="H23" i="67"/>
  <c r="D19" i="67"/>
  <c r="E19" i="67"/>
  <c r="C20" i="67"/>
  <c r="C7" i="67"/>
  <c r="E20" i="67"/>
  <c r="E7" i="67"/>
  <c r="E22" i="67"/>
  <c r="G7" i="67"/>
  <c r="I7" i="67"/>
  <c r="I23" i="67"/>
  <c r="C8" i="67"/>
  <c r="G25" i="67"/>
  <c r="D8" i="67"/>
  <c r="H25" i="67"/>
  <c r="G8" i="67"/>
  <c r="I25" i="67"/>
  <c r="H8" i="67"/>
  <c r="I26" i="67"/>
  <c r="D11" i="67"/>
  <c r="C28" i="67"/>
  <c r="E11" i="67"/>
  <c r="D28" i="67"/>
  <c r="C12" i="67"/>
  <c r="H28" i="67"/>
  <c r="D15" i="67"/>
  <c r="H29" i="67"/>
  <c r="H16" i="67"/>
  <c r="G28" i="67"/>
  <c r="C26" i="67"/>
  <c r="G23" i="67"/>
  <c r="C21" i="67"/>
  <c r="G18" i="67"/>
  <c r="F27" i="67"/>
  <c r="F22" i="67"/>
  <c r="F17" i="67"/>
  <c r="E29" i="67"/>
  <c r="F25" i="67"/>
  <c r="G21" i="67"/>
  <c r="H17" i="67"/>
  <c r="C15" i="67"/>
  <c r="G12" i="67"/>
  <c r="D29" i="67"/>
  <c r="E25" i="67"/>
  <c r="C29" i="67"/>
  <c r="F28" i="67"/>
  <c r="D22" i="67"/>
  <c r="I21" i="67"/>
  <c r="C17" i="67"/>
  <c r="C14" i="67"/>
  <c r="C11" i="67"/>
  <c r="F8" i="67"/>
  <c r="E28" i="67"/>
  <c r="I27" i="67"/>
  <c r="C22" i="67"/>
  <c r="H21" i="67"/>
  <c r="I16" i="67"/>
  <c r="I13" i="67"/>
  <c r="I10" i="67"/>
  <c r="E8" i="67"/>
  <c r="I5" i="67"/>
  <c r="C27" i="67"/>
  <c r="E26" i="67"/>
  <c r="D25" i="67"/>
  <c r="E24" i="67"/>
  <c r="F23" i="67"/>
  <c r="I22" i="67"/>
  <c r="G14" i="67"/>
  <c r="H9" i="67"/>
  <c r="D6" i="67"/>
  <c r="H5" i="67"/>
  <c r="D26" i="67"/>
  <c r="C25" i="67"/>
  <c r="D24" i="67"/>
  <c r="E23" i="67"/>
  <c r="H22" i="67"/>
  <c r="I20" i="67"/>
  <c r="F14" i="67"/>
  <c r="G9" i="67"/>
  <c r="C6" i="67"/>
  <c r="G5" i="67"/>
  <c r="C24" i="67"/>
  <c r="D23" i="67"/>
  <c r="G22" i="67"/>
  <c r="F21" i="67"/>
  <c r="H20" i="67"/>
  <c r="E14" i="67"/>
  <c r="H13" i="67"/>
  <c r="F9" i="67"/>
  <c r="F5" i="67"/>
  <c r="G26" i="67"/>
  <c r="I17" i="67"/>
  <c r="G16" i="67"/>
  <c r="I15" i="67"/>
  <c r="G13" i="67"/>
  <c r="I12" i="67"/>
  <c r="H27" i="67"/>
  <c r="F26" i="67"/>
  <c r="I19" i="67"/>
  <c r="I18" i="67"/>
  <c r="G17" i="67"/>
  <c r="F16" i="67"/>
  <c r="H15" i="67"/>
  <c r="I14" i="67"/>
  <c r="F13" i="67"/>
  <c r="H12" i="67"/>
  <c r="I11" i="67"/>
  <c r="I28" i="67"/>
  <c r="F19" i="67"/>
  <c r="E15" i="67"/>
  <c r="C13" i="67"/>
  <c r="F11" i="67"/>
  <c r="I9" i="67"/>
  <c r="G27" i="67"/>
  <c r="H19" i="67"/>
  <c r="H18" i="67"/>
  <c r="E17" i="67"/>
  <c r="E16" i="67"/>
  <c r="G15" i="67"/>
  <c r="H14" i="67"/>
  <c r="E13" i="67"/>
  <c r="F12" i="67"/>
  <c r="H11" i="67"/>
  <c r="H10" i="67"/>
  <c r="E27" i="67"/>
  <c r="G19" i="67"/>
  <c r="F18" i="67"/>
  <c r="D17" i="67"/>
  <c r="D16" i="67"/>
  <c r="F15" i="67"/>
  <c r="D14" i="67"/>
  <c r="D13" i="67"/>
  <c r="E12" i="67"/>
  <c r="G11" i="67"/>
  <c r="G10" i="67"/>
  <c r="D27" i="67"/>
  <c r="G20" i="67"/>
  <c r="E18" i="67"/>
  <c r="C16" i="67"/>
  <c r="D12" i="67"/>
  <c r="F10" i="67"/>
  <c r="I8" i="67"/>
  <c r="I6" i="67"/>
  <c r="D5" i="67"/>
  <c r="D10" i="67"/>
  <c r="C18" i="67"/>
  <c r="G24" i="67"/>
  <c r="D21" i="67"/>
  <c r="H24" i="67"/>
  <c r="C9" i="67"/>
  <c r="E21" i="67"/>
  <c r="I24" i="67"/>
  <c r="D9" i="67"/>
  <c r="H6" i="67"/>
  <c r="E9" i="67"/>
  <c r="F29" i="67"/>
  <c r="A4" i="67"/>
  <c r="C5" i="67"/>
  <c r="C10" i="67"/>
  <c r="E5" i="67"/>
  <c r="E10" i="67"/>
  <c r="D18" i="67"/>
  <c r="F24" i="67"/>
  <c r="H26" i="67"/>
  <c r="G29" i="67"/>
  <c r="AA123" i="67" l="1"/>
  <c r="U122" i="67"/>
  <c r="W119" i="67"/>
  <c r="Y116" i="67"/>
  <c r="AA113" i="67"/>
  <c r="U112" i="67"/>
  <c r="W109" i="67"/>
  <c r="Y106" i="67"/>
  <c r="AA103" i="67"/>
  <c r="U102" i="67"/>
  <c r="W99" i="67"/>
  <c r="Y96" i="67"/>
  <c r="AA93" i="67"/>
  <c r="U92" i="67"/>
  <c r="W89" i="67"/>
  <c r="Y86" i="67"/>
  <c r="AA83" i="67"/>
  <c r="U82" i="67"/>
  <c r="W79" i="67"/>
  <c r="Y76" i="67"/>
  <c r="AA73" i="67"/>
  <c r="U72" i="67"/>
  <c r="W69" i="67"/>
  <c r="Y66" i="67"/>
  <c r="AA63" i="67"/>
  <c r="U62" i="67"/>
  <c r="W59" i="67"/>
  <c r="Y56" i="67"/>
  <c r="AA53" i="67"/>
  <c r="U52" i="67"/>
  <c r="W49" i="67"/>
  <c r="Y46" i="67"/>
  <c r="AA43" i="67"/>
  <c r="U42" i="67"/>
  <c r="W39" i="67"/>
  <c r="Y36" i="67"/>
  <c r="AA33" i="67"/>
  <c r="U32" i="67"/>
  <c r="Z27" i="67"/>
  <c r="V25" i="67"/>
  <c r="Z22" i="67"/>
  <c r="V20" i="67"/>
  <c r="Z17" i="67"/>
  <c r="AA124" i="67"/>
  <c r="Z124" i="67"/>
  <c r="Y124" i="67"/>
  <c r="X124" i="67"/>
  <c r="Z121" i="67"/>
  <c r="V117" i="67"/>
  <c r="X114" i="67"/>
  <c r="Z111" i="67"/>
  <c r="V107" i="67"/>
  <c r="X104" i="67"/>
  <c r="Z101" i="67"/>
  <c r="V97" i="67"/>
  <c r="X94" i="67"/>
  <c r="Z91" i="67"/>
  <c r="V87" i="67"/>
  <c r="X84" i="67"/>
  <c r="Z81" i="67"/>
  <c r="V77" i="67"/>
  <c r="X74" i="67"/>
  <c r="Z71" i="67"/>
  <c r="V67" i="67"/>
  <c r="X64" i="67"/>
  <c r="Z61" i="67"/>
  <c r="V57" i="67"/>
  <c r="X54" i="67"/>
  <c r="Z51" i="67"/>
  <c r="V47" i="67"/>
  <c r="X44" i="67"/>
  <c r="Z41" i="67"/>
  <c r="V37" i="67"/>
  <c r="X34" i="67"/>
  <c r="Z31" i="67"/>
  <c r="U29" i="67"/>
  <c r="Y26" i="67"/>
  <c r="U24" i="67"/>
  <c r="Y21" i="67"/>
  <c r="U19" i="67"/>
  <c r="W124" i="67"/>
  <c r="V124" i="67"/>
  <c r="U124" i="67"/>
  <c r="Z123" i="67"/>
  <c r="X120" i="67"/>
  <c r="U117" i="67"/>
  <c r="AA115" i="67"/>
  <c r="Y112" i="67"/>
  <c r="V109" i="67"/>
  <c r="Z104" i="67"/>
  <c r="W101" i="67"/>
  <c r="U98" i="67"/>
  <c r="AA96" i="67"/>
  <c r="X93" i="67"/>
  <c r="V90" i="67"/>
  <c r="AA88" i="67"/>
  <c r="Y85" i="67"/>
  <c r="W82" i="67"/>
  <c r="Z77" i="67"/>
  <c r="W74" i="67"/>
  <c r="U71" i="67"/>
  <c r="AA69" i="67"/>
  <c r="X66" i="67"/>
  <c r="V63" i="67"/>
  <c r="Y58" i="67"/>
  <c r="W55" i="67"/>
  <c r="Z50" i="67"/>
  <c r="X47" i="67"/>
  <c r="U44" i="67"/>
  <c r="AA42" i="67"/>
  <c r="Y39" i="67"/>
  <c r="V36" i="67"/>
  <c r="Y31" i="67"/>
  <c r="V28" i="67"/>
  <c r="W24" i="67"/>
  <c r="X20" i="67"/>
  <c r="Z16" i="67"/>
  <c r="V14" i="67"/>
  <c r="Z11" i="67"/>
  <c r="Y123" i="67"/>
  <c r="W120" i="67"/>
  <c r="Z115" i="67"/>
  <c r="X112" i="67"/>
  <c r="U109" i="67"/>
  <c r="AA107" i="67"/>
  <c r="Y104" i="67"/>
  <c r="V101" i="67"/>
  <c r="Z96" i="67"/>
  <c r="W93" i="67"/>
  <c r="U90" i="67"/>
  <c r="Z88" i="67"/>
  <c r="X85" i="67"/>
  <c r="V82" i="67"/>
  <c r="AA80" i="67"/>
  <c r="Y77" i="67"/>
  <c r="V74" i="67"/>
  <c r="Z69" i="67"/>
  <c r="W66" i="67"/>
  <c r="U63" i="67"/>
  <c r="AA61" i="67"/>
  <c r="X58" i="67"/>
  <c r="V55" i="67"/>
  <c r="Y50" i="67"/>
  <c r="W47" i="67"/>
  <c r="Z42" i="67"/>
  <c r="X39" i="67"/>
  <c r="U36" i="67"/>
  <c r="AA34" i="67"/>
  <c r="X31" i="67"/>
  <c r="U28" i="67"/>
  <c r="AA27" i="67"/>
  <c r="V24" i="67"/>
  <c r="AA23" i="67"/>
  <c r="V118" i="67"/>
  <c r="Z116" i="67"/>
  <c r="V111" i="67"/>
  <c r="Z109" i="67"/>
  <c r="X102" i="67"/>
  <c r="AA100" i="67"/>
  <c r="X95" i="67"/>
  <c r="V88" i="67"/>
  <c r="Z86" i="67"/>
  <c r="V81" i="67"/>
  <c r="Z79" i="67"/>
  <c r="X72" i="67"/>
  <c r="AA70" i="67"/>
  <c r="X65" i="67"/>
  <c r="U60" i="67"/>
  <c r="V58" i="67"/>
  <c r="Z56" i="67"/>
  <c r="V51" i="67"/>
  <c r="Z49" i="67"/>
  <c r="V44" i="67"/>
  <c r="X42" i="67"/>
  <c r="AA40" i="67"/>
  <c r="X35" i="67"/>
  <c r="X123" i="67"/>
  <c r="U118" i="67"/>
  <c r="X116" i="67"/>
  <c r="U111" i="67"/>
  <c r="Y109" i="67"/>
  <c r="Z107" i="67"/>
  <c r="W102" i="67"/>
  <c r="Z100" i="67"/>
  <c r="W95" i="67"/>
  <c r="Z93" i="67"/>
  <c r="U88" i="67"/>
  <c r="X86" i="67"/>
  <c r="U81" i="67"/>
  <c r="Y79" i="67"/>
  <c r="W72" i="67"/>
  <c r="Z70" i="67"/>
  <c r="W65" i="67"/>
  <c r="Z63" i="67"/>
  <c r="U58" i="67"/>
  <c r="X56" i="67"/>
  <c r="U51" i="67"/>
  <c r="Y49" i="67"/>
  <c r="W42" i="67"/>
  <c r="Z40" i="67"/>
  <c r="W35" i="67"/>
  <c r="Z33" i="67"/>
  <c r="U27" i="67"/>
  <c r="X26" i="67"/>
  <c r="Y20" i="67"/>
  <c r="U16" i="67"/>
  <c r="U13" i="67"/>
  <c r="U10" i="67"/>
  <c r="Y7" i="67"/>
  <c r="U5" i="67"/>
  <c r="W123" i="67"/>
  <c r="AA121" i="67"/>
  <c r="W116" i="67"/>
  <c r="AA114" i="67"/>
  <c r="X109" i="67"/>
  <c r="Y107" i="67"/>
  <c r="V102" i="67"/>
  <c r="Y100" i="67"/>
  <c r="V95" i="67"/>
  <c r="Y93" i="67"/>
  <c r="AA91" i="67"/>
  <c r="W86" i="67"/>
  <c r="AA84" i="67"/>
  <c r="X79" i="67"/>
  <c r="AA77" i="67"/>
  <c r="V72" i="67"/>
  <c r="Y70" i="67"/>
  <c r="V65" i="67"/>
  <c r="Y63" i="67"/>
  <c r="W56" i="67"/>
  <c r="AA54" i="67"/>
  <c r="X49" i="67"/>
  <c r="AA47" i="67"/>
  <c r="V42" i="67"/>
  <c r="Y40" i="67"/>
  <c r="V35" i="67"/>
  <c r="Y33" i="67"/>
  <c r="W26" i="67"/>
  <c r="AA25" i="67"/>
  <c r="W20" i="67"/>
  <c r="AA19" i="67"/>
  <c r="AA15" i="67"/>
  <c r="AA12" i="67"/>
  <c r="X7" i="67"/>
  <c r="V123" i="67"/>
  <c r="V121" i="67"/>
  <c r="V119" i="67"/>
  <c r="W117" i="67"/>
  <c r="U115" i="67"/>
  <c r="U113" i="67"/>
  <c r="Y98" i="67"/>
  <c r="W96" i="67"/>
  <c r="W94" i="67"/>
  <c r="X92" i="67"/>
  <c r="X90" i="67"/>
  <c r="Z75" i="67"/>
  <c r="Z73" i="67"/>
  <c r="AA71" i="67"/>
  <c r="Y69" i="67"/>
  <c r="Y67" i="67"/>
  <c r="Y65" i="67"/>
  <c r="AA48" i="67"/>
  <c r="W40" i="67"/>
  <c r="W38" i="67"/>
  <c r="W36" i="67"/>
  <c r="U34" i="67"/>
  <c r="V32" i="67"/>
  <c r="V30" i="67"/>
  <c r="V21" i="67"/>
  <c r="U20" i="67"/>
  <c r="X19" i="67"/>
  <c r="Z18" i="67"/>
  <c r="W13" i="67"/>
  <c r="Z12" i="67"/>
  <c r="Y8" i="67"/>
  <c r="Z4" i="67"/>
  <c r="Z110" i="67"/>
  <c r="Z108" i="67"/>
  <c r="AA106" i="67"/>
  <c r="AA104" i="67"/>
  <c r="Y102" i="67"/>
  <c r="V100" i="67"/>
  <c r="U123" i="67"/>
  <c r="U121" i="67"/>
  <c r="U119" i="67"/>
  <c r="AA102" i="67"/>
  <c r="X100" i="67"/>
  <c r="X98" i="67"/>
  <c r="V96" i="67"/>
  <c r="V94" i="67"/>
  <c r="W92" i="67"/>
  <c r="W90" i="67"/>
  <c r="Y75" i="67"/>
  <c r="Y73" i="67"/>
  <c r="Y71" i="67"/>
  <c r="X69" i="67"/>
  <c r="X67" i="67"/>
  <c r="U65" i="67"/>
  <c r="Z48" i="67"/>
  <c r="AA46" i="67"/>
  <c r="AA44" i="67"/>
  <c r="Y42" i="67"/>
  <c r="V40" i="67"/>
  <c r="V38" i="67"/>
  <c r="U30" i="67"/>
  <c r="U21" i="67"/>
  <c r="W19" i="67"/>
  <c r="Y18" i="67"/>
  <c r="V13" i="67"/>
  <c r="Y12" i="67"/>
  <c r="X8" i="67"/>
  <c r="Y4" i="67"/>
  <c r="AA110" i="67"/>
  <c r="AA108" i="67"/>
  <c r="Z102" i="67"/>
  <c r="W100" i="67"/>
  <c r="W98" i="67"/>
  <c r="U96" i="67"/>
  <c r="U94" i="67"/>
  <c r="V92" i="67"/>
  <c r="X77" i="67"/>
  <c r="X75" i="67"/>
  <c r="X73" i="67"/>
  <c r="X71" i="67"/>
  <c r="V69" i="67"/>
  <c r="W67" i="67"/>
  <c r="AA52" i="67"/>
  <c r="AA50" i="67"/>
  <c r="Y48" i="67"/>
  <c r="Z46" i="67"/>
  <c r="Z44" i="67"/>
  <c r="U40" i="67"/>
  <c r="U38" i="67"/>
  <c r="V19" i="67"/>
  <c r="X18" i="67"/>
  <c r="AA17" i="67"/>
  <c r="X12" i="67"/>
  <c r="W8" i="67"/>
  <c r="X4" i="67"/>
  <c r="V113" i="67"/>
  <c r="V110" i="67"/>
  <c r="V105" i="67"/>
  <c r="Z97" i="67"/>
  <c r="Y90" i="67"/>
  <c r="AA87" i="67"/>
  <c r="V85" i="67"/>
  <c r="X80" i="67"/>
  <c r="U78" i="67"/>
  <c r="W75" i="67"/>
  <c r="V68" i="67"/>
  <c r="X63" i="67"/>
  <c r="Z58" i="67"/>
  <c r="Z53" i="67"/>
  <c r="W51" i="67"/>
  <c r="V46" i="67"/>
  <c r="X41" i="67"/>
  <c r="AA36" i="67"/>
  <c r="W31" i="67"/>
  <c r="Z28" i="67"/>
  <c r="V27" i="67"/>
  <c r="Y19" i="67"/>
  <c r="U18" i="67"/>
  <c r="U14" i="67"/>
  <c r="U11" i="67"/>
  <c r="W10" i="67"/>
  <c r="X9" i="67"/>
  <c r="AA8" i="67"/>
  <c r="AA7" i="67"/>
  <c r="AA120" i="67"/>
  <c r="Y115" i="67"/>
  <c r="AA112" i="67"/>
  <c r="U110" i="67"/>
  <c r="U105" i="67"/>
  <c r="Y97" i="67"/>
  <c r="AA92" i="67"/>
  <c r="Z87" i="67"/>
  <c r="U85" i="67"/>
  <c r="W80" i="67"/>
  <c r="V75" i="67"/>
  <c r="X70" i="67"/>
  <c r="U68" i="67"/>
  <c r="W63" i="67"/>
  <c r="W58" i="67"/>
  <c r="Y53" i="67"/>
  <c r="X48" i="67"/>
  <c r="U46" i="67"/>
  <c r="Z43" i="67"/>
  <c r="W41" i="67"/>
  <c r="Z36" i="67"/>
  <c r="V31" i="67"/>
  <c r="AA29" i="67"/>
  <c r="Y28" i="67"/>
  <c r="V10" i="67"/>
  <c r="W9" i="67"/>
  <c r="Z8" i="67"/>
  <c r="Z7" i="67"/>
  <c r="AA6" i="67"/>
  <c r="Y120" i="67"/>
  <c r="V48" i="67"/>
  <c r="V120" i="67"/>
  <c r="AA72" i="67"/>
  <c r="AA55" i="67"/>
  <c r="X50" i="67"/>
  <c r="Z45" i="67"/>
  <c r="Z21" i="67"/>
  <c r="U7" i="67"/>
  <c r="AA5" i="67"/>
  <c r="U120" i="67"/>
  <c r="W104" i="67"/>
  <c r="U87" i="67"/>
  <c r="Z120" i="67"/>
  <c r="X115" i="67"/>
  <c r="Z112" i="67"/>
  <c r="X107" i="67"/>
  <c r="AA99" i="67"/>
  <c r="X97" i="67"/>
  <c r="Z92" i="67"/>
  <c r="Y87" i="67"/>
  <c r="AA82" i="67"/>
  <c r="V80" i="67"/>
  <c r="U75" i="67"/>
  <c r="W70" i="67"/>
  <c r="AA60" i="67"/>
  <c r="X53" i="67"/>
  <c r="W48" i="67"/>
  <c r="Y43" i="67"/>
  <c r="V41" i="67"/>
  <c r="AA38" i="67"/>
  <c r="X36" i="67"/>
  <c r="U31" i="67"/>
  <c r="Z29" i="67"/>
  <c r="X28" i="67"/>
  <c r="AA20" i="67"/>
  <c r="V9" i="67"/>
  <c r="V8" i="67"/>
  <c r="W7" i="67"/>
  <c r="Z6" i="67"/>
  <c r="W115" i="67"/>
  <c r="W112" i="67"/>
  <c r="W107" i="67"/>
  <c r="Z99" i="67"/>
  <c r="W97" i="67"/>
  <c r="Y92" i="67"/>
  <c r="AA89" i="67"/>
  <c r="X87" i="67"/>
  <c r="Z82" i="67"/>
  <c r="U80" i="67"/>
  <c r="W77" i="67"/>
  <c r="V70" i="67"/>
  <c r="AA65" i="67"/>
  <c r="Z60" i="67"/>
  <c r="W53" i="67"/>
  <c r="AA45" i="67"/>
  <c r="X43" i="67"/>
  <c r="U41" i="67"/>
  <c r="Z38" i="67"/>
  <c r="Y29" i="67"/>
  <c r="W28" i="67"/>
  <c r="AA21" i="67"/>
  <c r="Z20" i="67"/>
  <c r="U9" i="67"/>
  <c r="U8" i="67"/>
  <c r="V7" i="67"/>
  <c r="Y6" i="67"/>
  <c r="V115" i="67"/>
  <c r="V112" i="67"/>
  <c r="U107" i="67"/>
  <c r="Y99" i="67"/>
  <c r="U97" i="67"/>
  <c r="AA94" i="67"/>
  <c r="Z89" i="67"/>
  <c r="W87" i="67"/>
  <c r="Y82" i="67"/>
  <c r="U77" i="67"/>
  <c r="U70" i="67"/>
  <c r="Z65" i="67"/>
  <c r="Y60" i="67"/>
  <c r="V53" i="67"/>
  <c r="U48" i="67"/>
  <c r="W43" i="67"/>
  <c r="Y38" i="67"/>
  <c r="X33" i="67"/>
  <c r="X29" i="67"/>
  <c r="AA22" i="67"/>
  <c r="X6" i="67"/>
  <c r="AA122" i="67"/>
  <c r="X99" i="67"/>
  <c r="Z94" i="67"/>
  <c r="Y89" i="67"/>
  <c r="Z122" i="67"/>
  <c r="X119" i="67"/>
  <c r="W108" i="67"/>
  <c r="U104" i="67"/>
  <c r="AA97" i="67"/>
  <c r="Y83" i="67"/>
  <c r="Y80" i="67"/>
  <c r="Y57" i="67"/>
  <c r="U54" i="67"/>
  <c r="X51" i="67"/>
  <c r="Z47" i="67"/>
  <c r="Y41" i="67"/>
  <c r="AA31" i="67"/>
  <c r="Z24" i="67"/>
  <c r="U17" i="67"/>
  <c r="X13" i="67"/>
  <c r="Y9" i="67"/>
  <c r="U4" i="67"/>
  <c r="W114" i="67"/>
  <c r="U73" i="67"/>
  <c r="W37" i="67"/>
  <c r="E4" i="67"/>
  <c r="X118" i="67"/>
  <c r="Z72" i="67"/>
  <c r="AA62" i="67"/>
  <c r="AA59" i="67"/>
  <c r="U53" i="67"/>
  <c r="V43" i="67"/>
  <c r="U37" i="67"/>
  <c r="W33" i="67"/>
  <c r="Z30" i="67"/>
  <c r="Y15" i="67"/>
  <c r="W6" i="67"/>
  <c r="V76" i="67"/>
  <c r="Z59" i="67"/>
  <c r="U43" i="67"/>
  <c r="Y30" i="67"/>
  <c r="X22" i="67"/>
  <c r="AA117" i="67"/>
  <c r="U76" i="67"/>
  <c r="Y59" i="67"/>
  <c r="U33" i="67"/>
  <c r="W15" i="67"/>
  <c r="X11" i="67"/>
  <c r="U6" i="67"/>
  <c r="Y122" i="67"/>
  <c r="V108" i="67"/>
  <c r="AA90" i="67"/>
  <c r="X83" i="67"/>
  <c r="X60" i="67"/>
  <c r="X57" i="67"/>
  <c r="W50" i="67"/>
  <c r="Y47" i="67"/>
  <c r="Y44" i="67"/>
  <c r="AA37" i="67"/>
  <c r="Y24" i="67"/>
  <c r="X21" i="67"/>
  <c r="AA14" i="67"/>
  <c r="Z5" i="67"/>
  <c r="I4" i="67"/>
  <c r="AA118" i="67"/>
  <c r="Z118" i="67"/>
  <c r="W5" i="67"/>
  <c r="Y118" i="67"/>
  <c r="X111" i="67"/>
  <c r="Z103" i="67"/>
  <c r="U89" i="67"/>
  <c r="U79" i="67"/>
  <c r="X76" i="67"/>
  <c r="Z66" i="67"/>
  <c r="V34" i="67"/>
  <c r="W27" i="67"/>
  <c r="V18" i="67"/>
  <c r="Z15" i="67"/>
  <c r="W14" i="67"/>
  <c r="V5" i="67"/>
  <c r="W111" i="67"/>
  <c r="Y103" i="67"/>
  <c r="X82" i="67"/>
  <c r="W76" i="67"/>
  <c r="V66" i="67"/>
  <c r="AA56" i="67"/>
  <c r="Y22" i="67"/>
  <c r="D4" i="67"/>
  <c r="U114" i="67"/>
  <c r="U69" i="67"/>
  <c r="U56" i="67"/>
  <c r="X30" i="67"/>
  <c r="Y25" i="67"/>
  <c r="X121" i="67"/>
  <c r="W121" i="67"/>
  <c r="Y117" i="67"/>
  <c r="W110" i="67"/>
  <c r="W106" i="67"/>
  <c r="U103" i="67"/>
  <c r="Y91" i="67"/>
  <c r="W85" i="67"/>
  <c r="AA78" i="67"/>
  <c r="AA75" i="67"/>
  <c r="W62" i="67"/>
  <c r="V59" i="67"/>
  <c r="X52" i="67"/>
  <c r="AA49" i="67"/>
  <c r="W46" i="67"/>
  <c r="AA28" i="67"/>
  <c r="W25" i="67"/>
  <c r="U22" i="67"/>
  <c r="Z19" i="67"/>
  <c r="AA16" i="67"/>
  <c r="U15" i="67"/>
  <c r="V11" i="67"/>
  <c r="X117" i="67"/>
  <c r="X122" i="67"/>
  <c r="U108" i="67"/>
  <c r="V93" i="67"/>
  <c r="Z90" i="67"/>
  <c r="AA86" i="67"/>
  <c r="W83" i="67"/>
  <c r="W60" i="67"/>
  <c r="W57" i="67"/>
  <c r="V50" i="67"/>
  <c r="U47" i="67"/>
  <c r="W44" i="67"/>
  <c r="Z37" i="67"/>
  <c r="Z34" i="67"/>
  <c r="X24" i="67"/>
  <c r="W21" i="67"/>
  <c r="Z14" i="67"/>
  <c r="AA10" i="67"/>
  <c r="Y5" i="67"/>
  <c r="H4" i="67"/>
  <c r="W122" i="67"/>
  <c r="Z114" i="67"/>
  <c r="AA111" i="67"/>
  <c r="U93" i="67"/>
  <c r="X89" i="67"/>
  <c r="V86" i="67"/>
  <c r="V83" i="67"/>
  <c r="AA79" i="67"/>
  <c r="AA76" i="67"/>
  <c r="W73" i="67"/>
  <c r="V60" i="67"/>
  <c r="U57" i="67"/>
  <c r="U50" i="67"/>
  <c r="Y37" i="67"/>
  <c r="Y34" i="67"/>
  <c r="Y27" i="67"/>
  <c r="AA18" i="67"/>
  <c r="Y14" i="67"/>
  <c r="Z10" i="67"/>
  <c r="X5" i="67"/>
  <c r="G4" i="67"/>
  <c r="V122" i="67"/>
  <c r="Y114" i="67"/>
  <c r="Y111" i="67"/>
  <c r="U100" i="67"/>
  <c r="X96" i="67"/>
  <c r="V89" i="67"/>
  <c r="U86" i="67"/>
  <c r="U83" i="67"/>
  <c r="V79" i="67"/>
  <c r="Z76" i="67"/>
  <c r="V73" i="67"/>
  <c r="AA66" i="67"/>
  <c r="X40" i="67"/>
  <c r="X37" i="67"/>
  <c r="W34" i="67"/>
  <c r="X27" i="67"/>
  <c r="W18" i="67"/>
  <c r="X14" i="67"/>
  <c r="Y10" i="67"/>
  <c r="F4" i="67"/>
  <c r="AA30" i="67"/>
  <c r="X10" i="67"/>
  <c r="V114" i="67"/>
  <c r="AA11" i="67"/>
  <c r="W118" i="67"/>
  <c r="X103" i="67"/>
  <c r="V99" i="67"/>
  <c r="Y72" i="67"/>
  <c r="U66" i="67"/>
  <c r="Z62" i="67"/>
  <c r="V56" i="67"/>
  <c r="V33" i="67"/>
  <c r="Z25" i="67"/>
  <c r="X15" i="67"/>
  <c r="Y11" i="67"/>
  <c r="V6" i="67"/>
  <c r="C4" i="67"/>
  <c r="Y121" i="67"/>
  <c r="Y110" i="67"/>
  <c r="Z106" i="67"/>
  <c r="W103" i="67"/>
  <c r="U99" i="67"/>
  <c r="AA85" i="67"/>
  <c r="Y62" i="67"/>
  <c r="Z52" i="67"/>
  <c r="W22" i="67"/>
  <c r="Z117" i="67"/>
  <c r="X110" i="67"/>
  <c r="X106" i="67"/>
  <c r="V103" i="67"/>
  <c r="Z85" i="67"/>
  <c r="X62" i="67"/>
  <c r="X59" i="67"/>
  <c r="Y52" i="67"/>
  <c r="X46" i="67"/>
  <c r="W30" i="67"/>
  <c r="X25" i="67"/>
  <c r="V22" i="67"/>
  <c r="V15" i="67"/>
  <c r="W11" i="67"/>
  <c r="X113" i="67"/>
  <c r="X105" i="67"/>
  <c r="Y88" i="67"/>
  <c r="W81" i="67"/>
  <c r="Z74" i="67"/>
  <c r="Z67" i="67"/>
  <c r="U59" i="67"/>
  <c r="U45" i="67"/>
  <c r="W113" i="67"/>
  <c r="W105" i="67"/>
  <c r="AA95" i="67"/>
  <c r="X88" i="67"/>
  <c r="Y74" i="67"/>
  <c r="U67" i="67"/>
  <c r="V23" i="67"/>
  <c r="V17" i="67"/>
  <c r="U23" i="67"/>
  <c r="Y16" i="67"/>
  <c r="AA26" i="67"/>
  <c r="X16" i="67"/>
  <c r="Z26" i="67"/>
  <c r="W16" i="67"/>
  <c r="AA13" i="67"/>
  <c r="Z13" i="67"/>
  <c r="AA24" i="67"/>
  <c r="V104" i="67"/>
  <c r="Z95" i="67"/>
  <c r="W88" i="67"/>
  <c r="U74" i="67"/>
  <c r="Y95" i="67"/>
  <c r="U95" i="67"/>
  <c r="AA58" i="67"/>
  <c r="AA119" i="67"/>
  <c r="Y94" i="67"/>
  <c r="Z80" i="67"/>
  <c r="AA64" i="67"/>
  <c r="AA51" i="67"/>
  <c r="AA35" i="67"/>
  <c r="Z119" i="67"/>
  <c r="Z78" i="67"/>
  <c r="Z64" i="67"/>
  <c r="Y51" i="67"/>
  <c r="Z35" i="67"/>
  <c r="W29" i="67"/>
  <c r="U26" i="67"/>
  <c r="Y119" i="67"/>
  <c r="AA109" i="67"/>
  <c r="AA101" i="67"/>
  <c r="Y78" i="67"/>
  <c r="Y64" i="67"/>
  <c r="AA57" i="67"/>
  <c r="V49" i="67"/>
  <c r="Y35" i="67"/>
  <c r="V29" i="67"/>
  <c r="Y101" i="67"/>
  <c r="X78" i="67"/>
  <c r="W71" i="67"/>
  <c r="W64" i="67"/>
  <c r="Z57" i="67"/>
  <c r="U49" i="67"/>
  <c r="U35" i="67"/>
  <c r="X101" i="67"/>
  <c r="Z84" i="67"/>
  <c r="W78" i="67"/>
  <c r="V71" i="67"/>
  <c r="V64" i="67"/>
  <c r="Z55" i="67"/>
  <c r="AA4" i="67"/>
  <c r="W12" i="67"/>
  <c r="W4" i="67"/>
  <c r="V12" i="67"/>
  <c r="V4" i="67"/>
  <c r="U12" i="67"/>
  <c r="AA9" i="67"/>
  <c r="Z9" i="67"/>
  <c r="Z23" i="67"/>
  <c r="U101" i="67"/>
  <c r="X91" i="67"/>
  <c r="Y84" i="67"/>
  <c r="V78" i="67"/>
  <c r="U64" i="67"/>
  <c r="Y55" i="67"/>
  <c r="AA116" i="67"/>
  <c r="W91" i="67"/>
  <c r="W84" i="67"/>
  <c r="V62" i="67"/>
  <c r="X55" i="67"/>
  <c r="V116" i="67"/>
  <c r="Y108" i="67"/>
  <c r="V91" i="67"/>
  <c r="V84" i="67"/>
  <c r="U55" i="67"/>
  <c r="U116" i="67"/>
  <c r="X108" i="67"/>
  <c r="AA98" i="67"/>
  <c r="U91" i="67"/>
  <c r="U84" i="67"/>
  <c r="AA68" i="67"/>
  <c r="AA41" i="67"/>
  <c r="V106" i="67"/>
  <c r="Z98" i="67"/>
  <c r="Z68" i="67"/>
  <c r="Z54" i="67"/>
  <c r="AA39" i="67"/>
  <c r="AA32" i="67"/>
  <c r="U106" i="67"/>
  <c r="V98" i="67"/>
  <c r="Y68" i="67"/>
  <c r="Y61" i="67"/>
  <c r="Y54" i="67"/>
  <c r="Z39" i="67"/>
  <c r="Z32" i="67"/>
  <c r="Z83" i="67"/>
  <c r="X68" i="67"/>
  <c r="X61" i="67"/>
  <c r="W54" i="67"/>
  <c r="Y45" i="67"/>
  <c r="V39" i="67"/>
  <c r="Y32" i="67"/>
  <c r="AA105" i="67"/>
  <c r="AA81" i="67"/>
  <c r="W68" i="67"/>
  <c r="W61" i="67"/>
  <c r="V54" i="67"/>
  <c r="X45" i="67"/>
  <c r="U39" i="67"/>
  <c r="X32" i="67"/>
  <c r="Z113" i="67"/>
  <c r="Z105" i="67"/>
  <c r="Y81" i="67"/>
  <c r="V61" i="67"/>
  <c r="W52" i="67"/>
  <c r="W45" i="67"/>
  <c r="W32" i="67"/>
  <c r="Y23" i="67"/>
  <c r="Y17" i="67"/>
  <c r="X23" i="67"/>
  <c r="X17" i="67"/>
  <c r="W23" i="67"/>
  <c r="W17" i="67"/>
  <c r="V26" i="67"/>
  <c r="V16" i="67"/>
  <c r="U25" i="67"/>
  <c r="Y13" i="67"/>
  <c r="Y113" i="67"/>
  <c r="Y105" i="67"/>
  <c r="X81" i="67"/>
  <c r="AA74" i="67"/>
  <c r="AA67" i="67"/>
  <c r="U61" i="67"/>
  <c r="V52" i="67"/>
  <c r="V45" i="67"/>
  <c r="X38" i="67"/>
  <c r="A4" i="59" l="1" a="1"/>
  <c r="A4" i="59" s="1"/>
  <c r="B3" i="64" l="1"/>
  <c r="B3" i="66"/>
  <c r="G4" i="42" a="1"/>
  <c r="G4" i="42" s="1"/>
  <c r="E4" i="42" a="1"/>
  <c r="E4" i="42" s="1"/>
  <c r="C4" i="42" a="1"/>
  <c r="C4" i="42" s="1"/>
  <c r="B7" i="64" a="1"/>
  <c r="B7" i="64" s="1"/>
  <c r="B7" i="66" a="1"/>
  <c r="B7" i="66"/>
  <c r="H150" i="66"/>
  <c r="H149" i="66"/>
  <c r="H148" i="66"/>
  <c r="H147" i="66"/>
  <c r="H146" i="66"/>
  <c r="H145" i="66"/>
  <c r="H144" i="66"/>
  <c r="H143" i="66"/>
  <c r="H142" i="66"/>
  <c r="H141" i="66"/>
  <c r="H140" i="66"/>
  <c r="H139" i="66"/>
  <c r="H138" i="66"/>
  <c r="H137" i="66"/>
  <c r="H136" i="66"/>
  <c r="H135" i="66"/>
  <c r="H134" i="66"/>
  <c r="H133" i="66"/>
  <c r="H132" i="66"/>
  <c r="H131" i="66"/>
  <c r="H130" i="66"/>
  <c r="H129" i="66"/>
  <c r="H128" i="66"/>
  <c r="H127" i="66"/>
  <c r="H126" i="66"/>
  <c r="H125" i="66"/>
  <c r="H124" i="66"/>
  <c r="H123" i="66"/>
  <c r="H122" i="66"/>
  <c r="H121" i="66"/>
  <c r="H120" i="66"/>
  <c r="H119" i="66"/>
  <c r="H118" i="66"/>
  <c r="H117" i="66"/>
  <c r="H116" i="66"/>
  <c r="H115" i="66"/>
  <c r="H114" i="66"/>
  <c r="H113" i="66"/>
  <c r="H112" i="66"/>
  <c r="H111" i="66"/>
  <c r="H110" i="66"/>
  <c r="H109" i="66"/>
  <c r="H108" i="66"/>
  <c r="H107" i="66"/>
  <c r="H106" i="66"/>
  <c r="H105" i="66"/>
  <c r="H104" i="66"/>
  <c r="H103" i="66"/>
  <c r="H102" i="66"/>
  <c r="H101" i="66"/>
  <c r="H100" i="66"/>
  <c r="H99" i="66"/>
  <c r="H98" i="66"/>
  <c r="H97" i="66"/>
  <c r="H96" i="66"/>
  <c r="H95" i="66"/>
  <c r="H94" i="66"/>
  <c r="H93" i="66"/>
  <c r="H92" i="66"/>
  <c r="H91" i="66"/>
  <c r="H90" i="66"/>
  <c r="H89" i="66"/>
  <c r="G89" i="66"/>
  <c r="H88" i="66"/>
  <c r="H87" i="66"/>
  <c r="E87" i="66" a="1"/>
  <c r="E87" i="66" s="1"/>
  <c r="J87" i="66" s="1" a="1"/>
  <c r="J87" i="66" s="1"/>
  <c r="K87" i="66" s="1" a="1"/>
  <c r="K87" i="66" s="1"/>
  <c r="L87" i="66" s="1" a="1"/>
  <c r="L87" i="66" s="1"/>
  <c r="D4" i="42" s="1" a="1"/>
  <c r="D4" i="42" s="1"/>
  <c r="B85" i="66"/>
  <c r="M80" i="66"/>
  <c r="C79" i="66"/>
  <c r="H78" i="66"/>
  <c r="H77" i="66"/>
  <c r="H76" i="66"/>
  <c r="H75" i="66"/>
  <c r="H74" i="66"/>
  <c r="H73" i="66"/>
  <c r="H72" i="66"/>
  <c r="H71" i="66"/>
  <c r="H70" i="66"/>
  <c r="H69" i="66"/>
  <c r="H68" i="66"/>
  <c r="H67" i="66"/>
  <c r="H66" i="66"/>
  <c r="H65" i="66"/>
  <c r="H64" i="66"/>
  <c r="H63" i="66"/>
  <c r="H62" i="66"/>
  <c r="H61" i="66"/>
  <c r="H60" i="66"/>
  <c r="H59" i="66"/>
  <c r="H58" i="66"/>
  <c r="H57" i="66"/>
  <c r="H56" i="66"/>
  <c r="H55" i="66"/>
  <c r="H54" i="66"/>
  <c r="H53" i="66"/>
  <c r="H52" i="66"/>
  <c r="H51" i="66"/>
  <c r="H50" i="66"/>
  <c r="H49" i="66"/>
  <c r="H48" i="66"/>
  <c r="H47" i="66"/>
  <c r="H46" i="66"/>
  <c r="H45" i="66"/>
  <c r="H44" i="66"/>
  <c r="H43" i="66"/>
  <c r="H42" i="66"/>
  <c r="H41" i="66"/>
  <c r="H40" i="66"/>
  <c r="H39" i="66"/>
  <c r="H38" i="66"/>
  <c r="H37" i="66"/>
  <c r="H36" i="66"/>
  <c r="H35" i="66"/>
  <c r="H34" i="66"/>
  <c r="H33" i="66"/>
  <c r="H32" i="66"/>
  <c r="H31" i="66"/>
  <c r="H30" i="66"/>
  <c r="H29" i="66"/>
  <c r="H28" i="66"/>
  <c r="H27" i="66"/>
  <c r="H26" i="66"/>
  <c r="H25" i="66"/>
  <c r="H24" i="66"/>
  <c r="H23" i="66"/>
  <c r="H22" i="66"/>
  <c r="H21" i="66"/>
  <c r="H20" i="66"/>
  <c r="H19" i="66"/>
  <c r="H18" i="66"/>
  <c r="H17" i="66"/>
  <c r="G17" i="66"/>
  <c r="H16" i="66"/>
  <c r="H15" i="66"/>
  <c r="E15" i="66" a="1"/>
  <c r="E15" i="66" s="1"/>
  <c r="J15" i="66" s="1" a="1"/>
  <c r="F87" i="66" a="1"/>
  <c r="F87" i="66" s="1"/>
  <c r="J7" i="66" l="1" a="1"/>
  <c r="J7" i="66" s="1"/>
  <c r="M87" i="66" a="1"/>
  <c r="M87" i="66" s="1"/>
  <c r="J15" i="66"/>
  <c r="K15" i="66" s="1" a="1"/>
  <c r="K15" i="66" s="1"/>
  <c r="K79" i="66"/>
  <c r="K81" i="66" s="1"/>
  <c r="F15" i="66" a="1"/>
  <c r="R403" i="60"/>
  <c r="Q403" i="60"/>
  <c r="P403" i="60"/>
  <c r="O403" i="60"/>
  <c r="N403" i="60"/>
  <c r="M403" i="60"/>
  <c r="L403" i="60"/>
  <c r="R402" i="60"/>
  <c r="Q402" i="60"/>
  <c r="P402" i="60"/>
  <c r="O402" i="60"/>
  <c r="N402" i="60"/>
  <c r="M402" i="60"/>
  <c r="L402" i="60"/>
  <c r="R401" i="60"/>
  <c r="Q401" i="60"/>
  <c r="P401" i="60"/>
  <c r="O401" i="60"/>
  <c r="N401" i="60"/>
  <c r="M401" i="60"/>
  <c r="L401" i="60"/>
  <c r="R400" i="60"/>
  <c r="Q400" i="60"/>
  <c r="P400" i="60"/>
  <c r="O400" i="60"/>
  <c r="N400" i="60"/>
  <c r="M400" i="60"/>
  <c r="L400" i="60"/>
  <c r="R399" i="60"/>
  <c r="Q399" i="60"/>
  <c r="P399" i="60"/>
  <c r="O399" i="60"/>
  <c r="N399" i="60"/>
  <c r="M399" i="60"/>
  <c r="L399" i="60"/>
  <c r="R398" i="60"/>
  <c r="Q398" i="60"/>
  <c r="P398" i="60"/>
  <c r="O398" i="60"/>
  <c r="N398" i="60"/>
  <c r="M398" i="60"/>
  <c r="L398" i="60"/>
  <c r="R397" i="60"/>
  <c r="Q397" i="60"/>
  <c r="P397" i="60"/>
  <c r="O397" i="60"/>
  <c r="N397" i="60"/>
  <c r="M397" i="60"/>
  <c r="L397" i="60"/>
  <c r="R396" i="60"/>
  <c r="Q396" i="60"/>
  <c r="P396" i="60"/>
  <c r="O396" i="60"/>
  <c r="N396" i="60"/>
  <c r="M396" i="60"/>
  <c r="L396" i="60"/>
  <c r="R395" i="60"/>
  <c r="Q395" i="60"/>
  <c r="P395" i="60"/>
  <c r="O395" i="60"/>
  <c r="N395" i="60"/>
  <c r="M395" i="60"/>
  <c r="L395" i="60"/>
  <c r="R394" i="60"/>
  <c r="Q394" i="60"/>
  <c r="P394" i="60"/>
  <c r="O394" i="60"/>
  <c r="N394" i="60"/>
  <c r="M394" i="60"/>
  <c r="L394" i="60"/>
  <c r="R393" i="60"/>
  <c r="Q393" i="60"/>
  <c r="P393" i="60"/>
  <c r="O393" i="60"/>
  <c r="N393" i="60"/>
  <c r="M393" i="60"/>
  <c r="L393" i="60"/>
  <c r="R392" i="60"/>
  <c r="Q392" i="60"/>
  <c r="P392" i="60"/>
  <c r="O392" i="60"/>
  <c r="N392" i="60"/>
  <c r="M392" i="60"/>
  <c r="L392" i="60"/>
  <c r="R391" i="60"/>
  <c r="Q391" i="60"/>
  <c r="P391" i="60"/>
  <c r="O391" i="60"/>
  <c r="N391" i="60"/>
  <c r="M391" i="60"/>
  <c r="L391" i="60"/>
  <c r="R390" i="60"/>
  <c r="Q390" i="60"/>
  <c r="P390" i="60"/>
  <c r="O390" i="60"/>
  <c r="N390" i="60"/>
  <c r="M390" i="60"/>
  <c r="L390" i="60"/>
  <c r="R389" i="60"/>
  <c r="Q389" i="60"/>
  <c r="P389" i="60"/>
  <c r="O389" i="60"/>
  <c r="N389" i="60"/>
  <c r="M389" i="60"/>
  <c r="L389" i="60"/>
  <c r="R388" i="60"/>
  <c r="Q388" i="60"/>
  <c r="P388" i="60"/>
  <c r="O388" i="60"/>
  <c r="N388" i="60"/>
  <c r="M388" i="60"/>
  <c r="L388" i="60"/>
  <c r="R387" i="60"/>
  <c r="Q387" i="60"/>
  <c r="P387" i="60"/>
  <c r="O387" i="60"/>
  <c r="N387" i="60"/>
  <c r="M387" i="60"/>
  <c r="L387" i="60"/>
  <c r="R386" i="60"/>
  <c r="Q386" i="60"/>
  <c r="P386" i="60"/>
  <c r="O386" i="60"/>
  <c r="N386" i="60"/>
  <c r="M386" i="60"/>
  <c r="L386" i="60"/>
  <c r="R385" i="60"/>
  <c r="Q385" i="60"/>
  <c r="P385" i="60"/>
  <c r="O385" i="60"/>
  <c r="N385" i="60"/>
  <c r="M385" i="60"/>
  <c r="L385" i="60"/>
  <c r="R384" i="60"/>
  <c r="Q384" i="60"/>
  <c r="P384" i="60"/>
  <c r="O384" i="60"/>
  <c r="N384" i="60"/>
  <c r="M384" i="60"/>
  <c r="L384" i="60"/>
  <c r="R383" i="60"/>
  <c r="Q383" i="60"/>
  <c r="P383" i="60"/>
  <c r="O383" i="60"/>
  <c r="N383" i="60"/>
  <c r="M383" i="60"/>
  <c r="L383" i="60"/>
  <c r="R382" i="60"/>
  <c r="Q382" i="60"/>
  <c r="P382" i="60"/>
  <c r="O382" i="60"/>
  <c r="N382" i="60"/>
  <c r="M382" i="60"/>
  <c r="L382" i="60"/>
  <c r="R381" i="60"/>
  <c r="Q381" i="60"/>
  <c r="P381" i="60"/>
  <c r="O381" i="60"/>
  <c r="N381" i="60"/>
  <c r="M381" i="60"/>
  <c r="L381" i="60"/>
  <c r="R380" i="60"/>
  <c r="Q380" i="60"/>
  <c r="P380" i="60"/>
  <c r="O380" i="60"/>
  <c r="N380" i="60"/>
  <c r="M380" i="60"/>
  <c r="L380" i="60"/>
  <c r="R379" i="60"/>
  <c r="Q379" i="60"/>
  <c r="P379" i="60"/>
  <c r="O379" i="60"/>
  <c r="N379" i="60"/>
  <c r="M379" i="60"/>
  <c r="L379" i="60"/>
  <c r="R378" i="60"/>
  <c r="Q378" i="60"/>
  <c r="P378" i="60"/>
  <c r="O378" i="60"/>
  <c r="N378" i="60"/>
  <c r="M378" i="60"/>
  <c r="L378" i="60"/>
  <c r="R377" i="60"/>
  <c r="Q377" i="60"/>
  <c r="P377" i="60"/>
  <c r="O377" i="60"/>
  <c r="N377" i="60"/>
  <c r="M377" i="60"/>
  <c r="L377" i="60"/>
  <c r="R376" i="60"/>
  <c r="Q376" i="60"/>
  <c r="P376" i="60"/>
  <c r="O376" i="60"/>
  <c r="N376" i="60"/>
  <c r="M376" i="60"/>
  <c r="L376" i="60"/>
  <c r="R375" i="60"/>
  <c r="Q375" i="60"/>
  <c r="P375" i="60"/>
  <c r="O375" i="60"/>
  <c r="N375" i="60"/>
  <c r="M375" i="60"/>
  <c r="L375" i="60"/>
  <c r="R374" i="60"/>
  <c r="Q374" i="60"/>
  <c r="P374" i="60"/>
  <c r="O374" i="60"/>
  <c r="N374" i="60"/>
  <c r="M374" i="60"/>
  <c r="L374" i="60"/>
  <c r="R373" i="60"/>
  <c r="Q373" i="60"/>
  <c r="P373" i="60"/>
  <c r="O373" i="60"/>
  <c r="N373" i="60"/>
  <c r="M373" i="60"/>
  <c r="L373" i="60"/>
  <c r="R372" i="60"/>
  <c r="Q372" i="60"/>
  <c r="P372" i="60"/>
  <c r="O372" i="60"/>
  <c r="N372" i="60"/>
  <c r="M372" i="60"/>
  <c r="L372" i="60"/>
  <c r="R371" i="60"/>
  <c r="Q371" i="60"/>
  <c r="P371" i="60"/>
  <c r="O371" i="60"/>
  <c r="N371" i="60"/>
  <c r="M371" i="60"/>
  <c r="L371" i="60"/>
  <c r="R370" i="60"/>
  <c r="Q370" i="60"/>
  <c r="P370" i="60"/>
  <c r="O370" i="60"/>
  <c r="N370" i="60"/>
  <c r="M370" i="60"/>
  <c r="L370" i="60"/>
  <c r="R369" i="60"/>
  <c r="Q369" i="60"/>
  <c r="P369" i="60"/>
  <c r="O369" i="60"/>
  <c r="N369" i="60"/>
  <c r="M369" i="60"/>
  <c r="L369" i="60"/>
  <c r="R368" i="60"/>
  <c r="Q368" i="60"/>
  <c r="P368" i="60"/>
  <c r="O368" i="60"/>
  <c r="N368" i="60"/>
  <c r="M368" i="60"/>
  <c r="L368" i="60"/>
  <c r="R367" i="60"/>
  <c r="Q367" i="60"/>
  <c r="P367" i="60"/>
  <c r="O367" i="60"/>
  <c r="N367" i="60"/>
  <c r="M367" i="60"/>
  <c r="L367" i="60"/>
  <c r="R366" i="60"/>
  <c r="Q366" i="60"/>
  <c r="P366" i="60"/>
  <c r="O366" i="60"/>
  <c r="N366" i="60"/>
  <c r="M366" i="60"/>
  <c r="L366" i="60"/>
  <c r="R365" i="60"/>
  <c r="Q365" i="60"/>
  <c r="P365" i="60"/>
  <c r="O365" i="60"/>
  <c r="N365" i="60"/>
  <c r="M365" i="60"/>
  <c r="L365" i="60"/>
  <c r="R364" i="60"/>
  <c r="Q364" i="60"/>
  <c r="P364" i="60"/>
  <c r="O364" i="60"/>
  <c r="N364" i="60"/>
  <c r="M364" i="60"/>
  <c r="L364" i="60"/>
  <c r="R363" i="60"/>
  <c r="Q363" i="60"/>
  <c r="P363" i="60"/>
  <c r="O363" i="60"/>
  <c r="N363" i="60"/>
  <c r="M363" i="60"/>
  <c r="L363" i="60"/>
  <c r="R362" i="60"/>
  <c r="Q362" i="60"/>
  <c r="P362" i="60"/>
  <c r="O362" i="60"/>
  <c r="N362" i="60"/>
  <c r="M362" i="60"/>
  <c r="L362" i="60"/>
  <c r="R361" i="60"/>
  <c r="Q361" i="60"/>
  <c r="P361" i="60"/>
  <c r="O361" i="60"/>
  <c r="N361" i="60"/>
  <c r="M361" i="60"/>
  <c r="L361" i="60"/>
  <c r="R360" i="60"/>
  <c r="Q360" i="60"/>
  <c r="P360" i="60"/>
  <c r="O360" i="60"/>
  <c r="N360" i="60"/>
  <c r="M360" i="60"/>
  <c r="L360" i="60"/>
  <c r="R359" i="60"/>
  <c r="Q359" i="60"/>
  <c r="P359" i="60"/>
  <c r="O359" i="60"/>
  <c r="N359" i="60"/>
  <c r="M359" i="60"/>
  <c r="L359" i="60"/>
  <c r="R358" i="60"/>
  <c r="Q358" i="60"/>
  <c r="P358" i="60"/>
  <c r="O358" i="60"/>
  <c r="N358" i="60"/>
  <c r="M358" i="60"/>
  <c r="L358" i="60"/>
  <c r="R357" i="60"/>
  <c r="Q357" i="60"/>
  <c r="P357" i="60"/>
  <c r="O357" i="60"/>
  <c r="N357" i="60"/>
  <c r="M357" i="60"/>
  <c r="L357" i="60"/>
  <c r="R356" i="60"/>
  <c r="Q356" i="60"/>
  <c r="P356" i="60"/>
  <c r="O356" i="60"/>
  <c r="N356" i="60"/>
  <c r="M356" i="60"/>
  <c r="L356" i="60"/>
  <c r="R355" i="60"/>
  <c r="Q355" i="60"/>
  <c r="P355" i="60"/>
  <c r="O355" i="60"/>
  <c r="N355" i="60"/>
  <c r="M355" i="60"/>
  <c r="L355" i="60"/>
  <c r="R354" i="60"/>
  <c r="Q354" i="60"/>
  <c r="P354" i="60"/>
  <c r="O354" i="60"/>
  <c r="N354" i="60"/>
  <c r="M354" i="60"/>
  <c r="L354" i="60"/>
  <c r="R353" i="60"/>
  <c r="Q353" i="60"/>
  <c r="P353" i="60"/>
  <c r="O353" i="60"/>
  <c r="N353" i="60"/>
  <c r="M353" i="60"/>
  <c r="L353" i="60"/>
  <c r="R352" i="60"/>
  <c r="Q352" i="60"/>
  <c r="P352" i="60"/>
  <c r="O352" i="60"/>
  <c r="N352" i="60"/>
  <c r="M352" i="60"/>
  <c r="L352" i="60"/>
  <c r="R351" i="60"/>
  <c r="Q351" i="60"/>
  <c r="P351" i="60"/>
  <c r="O351" i="60"/>
  <c r="N351" i="60"/>
  <c r="M351" i="60"/>
  <c r="L351" i="60"/>
  <c r="R350" i="60"/>
  <c r="Q350" i="60"/>
  <c r="P350" i="60"/>
  <c r="O350" i="60"/>
  <c r="N350" i="60"/>
  <c r="M350" i="60"/>
  <c r="L350" i="60"/>
  <c r="R349" i="60"/>
  <c r="Q349" i="60"/>
  <c r="P349" i="60"/>
  <c r="O349" i="60"/>
  <c r="N349" i="60"/>
  <c r="M349" i="60"/>
  <c r="L349" i="60"/>
  <c r="R348" i="60"/>
  <c r="Q348" i="60"/>
  <c r="P348" i="60"/>
  <c r="O348" i="60"/>
  <c r="N348" i="60"/>
  <c r="M348" i="60"/>
  <c r="L348" i="60"/>
  <c r="R347" i="60"/>
  <c r="Q347" i="60"/>
  <c r="P347" i="60"/>
  <c r="O347" i="60"/>
  <c r="N347" i="60"/>
  <c r="M347" i="60"/>
  <c r="L347" i="60"/>
  <c r="R346" i="60"/>
  <c r="Q346" i="60"/>
  <c r="P346" i="60"/>
  <c r="O346" i="60"/>
  <c r="N346" i="60"/>
  <c r="M346" i="60"/>
  <c r="L346" i="60"/>
  <c r="R345" i="60"/>
  <c r="Q345" i="60"/>
  <c r="P345" i="60"/>
  <c r="O345" i="60"/>
  <c r="N345" i="60"/>
  <c r="M345" i="60"/>
  <c r="L345" i="60"/>
  <c r="R344" i="60"/>
  <c r="Q344" i="60"/>
  <c r="P344" i="60"/>
  <c r="O344" i="60"/>
  <c r="N344" i="60"/>
  <c r="M344" i="60"/>
  <c r="L344" i="60"/>
  <c r="R343" i="60"/>
  <c r="Q343" i="60"/>
  <c r="P343" i="60"/>
  <c r="O343" i="60"/>
  <c r="N343" i="60"/>
  <c r="M343" i="60"/>
  <c r="L343" i="60"/>
  <c r="R342" i="60"/>
  <c r="Q342" i="60"/>
  <c r="P342" i="60"/>
  <c r="O342" i="60"/>
  <c r="N342" i="60"/>
  <c r="M342" i="60"/>
  <c r="L342" i="60"/>
  <c r="R341" i="60"/>
  <c r="Q341" i="60"/>
  <c r="P341" i="60"/>
  <c r="O341" i="60"/>
  <c r="N341" i="60"/>
  <c r="M341" i="60"/>
  <c r="L341" i="60"/>
  <c r="R340" i="60"/>
  <c r="Q340" i="60"/>
  <c r="P340" i="60"/>
  <c r="O340" i="60"/>
  <c r="N340" i="60"/>
  <c r="M340" i="60"/>
  <c r="L340" i="60"/>
  <c r="R339" i="60"/>
  <c r="Q339" i="60"/>
  <c r="P339" i="60"/>
  <c r="O339" i="60"/>
  <c r="N339" i="60"/>
  <c r="M339" i="60"/>
  <c r="L339" i="60"/>
  <c r="R338" i="60"/>
  <c r="Q338" i="60"/>
  <c r="P338" i="60"/>
  <c r="O338" i="60"/>
  <c r="N338" i="60"/>
  <c r="M338" i="60"/>
  <c r="L338" i="60"/>
  <c r="R337" i="60"/>
  <c r="Q337" i="60"/>
  <c r="P337" i="60"/>
  <c r="O337" i="60"/>
  <c r="N337" i="60"/>
  <c r="M337" i="60"/>
  <c r="L337" i="60"/>
  <c r="R336" i="60"/>
  <c r="Q336" i="60"/>
  <c r="P336" i="60"/>
  <c r="O336" i="60"/>
  <c r="N336" i="60"/>
  <c r="M336" i="60"/>
  <c r="L336" i="60"/>
  <c r="R335" i="60"/>
  <c r="Q335" i="60"/>
  <c r="P335" i="60"/>
  <c r="O335" i="60"/>
  <c r="N335" i="60"/>
  <c r="M335" i="60"/>
  <c r="L335" i="60"/>
  <c r="R334" i="60"/>
  <c r="Q334" i="60"/>
  <c r="P334" i="60"/>
  <c r="O334" i="60"/>
  <c r="N334" i="60"/>
  <c r="M334" i="60"/>
  <c r="L334" i="60"/>
  <c r="R333" i="60"/>
  <c r="Q333" i="60"/>
  <c r="P333" i="60"/>
  <c r="O333" i="60"/>
  <c r="N333" i="60"/>
  <c r="M333" i="60"/>
  <c r="L333" i="60"/>
  <c r="R332" i="60"/>
  <c r="Q332" i="60"/>
  <c r="P332" i="60"/>
  <c r="O332" i="60"/>
  <c r="N332" i="60"/>
  <c r="M332" i="60"/>
  <c r="L332" i="60"/>
  <c r="R331" i="60"/>
  <c r="Q331" i="60"/>
  <c r="P331" i="60"/>
  <c r="O331" i="60"/>
  <c r="N331" i="60"/>
  <c r="M331" i="60"/>
  <c r="L331" i="60"/>
  <c r="R330" i="60"/>
  <c r="Q330" i="60"/>
  <c r="P330" i="60"/>
  <c r="O330" i="60"/>
  <c r="N330" i="60"/>
  <c r="M330" i="60"/>
  <c r="L330" i="60"/>
  <c r="R329" i="60"/>
  <c r="Q329" i="60"/>
  <c r="P329" i="60"/>
  <c r="O329" i="60"/>
  <c r="N329" i="60"/>
  <c r="M329" i="60"/>
  <c r="L329" i="60"/>
  <c r="R328" i="60"/>
  <c r="Q328" i="60"/>
  <c r="P328" i="60"/>
  <c r="O328" i="60"/>
  <c r="N328" i="60"/>
  <c r="M328" i="60"/>
  <c r="L328" i="60"/>
  <c r="R327" i="60"/>
  <c r="Q327" i="60"/>
  <c r="P327" i="60"/>
  <c r="O327" i="60"/>
  <c r="N327" i="60"/>
  <c r="M327" i="60"/>
  <c r="L327" i="60"/>
  <c r="R326" i="60"/>
  <c r="Q326" i="60"/>
  <c r="P326" i="60"/>
  <c r="O326" i="60"/>
  <c r="N326" i="60"/>
  <c r="M326" i="60"/>
  <c r="L326" i="60"/>
  <c r="R325" i="60"/>
  <c r="Q325" i="60"/>
  <c r="P325" i="60"/>
  <c r="O325" i="60"/>
  <c r="N325" i="60"/>
  <c r="M325" i="60"/>
  <c r="L325" i="60"/>
  <c r="R324" i="60"/>
  <c r="Q324" i="60"/>
  <c r="P324" i="60"/>
  <c r="O324" i="60"/>
  <c r="N324" i="60"/>
  <c r="M324" i="60"/>
  <c r="L324" i="60"/>
  <c r="R323" i="60"/>
  <c r="Q323" i="60"/>
  <c r="P323" i="60"/>
  <c r="O323" i="60"/>
  <c r="N323" i="60"/>
  <c r="M323" i="60"/>
  <c r="L323" i="60"/>
  <c r="R322" i="60"/>
  <c r="Q322" i="60"/>
  <c r="P322" i="60"/>
  <c r="O322" i="60"/>
  <c r="N322" i="60"/>
  <c r="M322" i="60"/>
  <c r="L322" i="60"/>
  <c r="R321" i="60"/>
  <c r="Q321" i="60"/>
  <c r="P321" i="60"/>
  <c r="O321" i="60"/>
  <c r="N321" i="60"/>
  <c r="M321" i="60"/>
  <c r="L321" i="60"/>
  <c r="R320" i="60"/>
  <c r="Q320" i="60"/>
  <c r="P320" i="60"/>
  <c r="O320" i="60"/>
  <c r="N320" i="60"/>
  <c r="M320" i="60"/>
  <c r="L320" i="60"/>
  <c r="R319" i="60"/>
  <c r="Q319" i="60"/>
  <c r="P319" i="60"/>
  <c r="O319" i="60"/>
  <c r="N319" i="60"/>
  <c r="M319" i="60"/>
  <c r="L319" i="60"/>
  <c r="R318" i="60"/>
  <c r="Q318" i="60"/>
  <c r="P318" i="60"/>
  <c r="O318" i="60"/>
  <c r="N318" i="60"/>
  <c r="M318" i="60"/>
  <c r="L318" i="60"/>
  <c r="R317" i="60"/>
  <c r="Q317" i="60"/>
  <c r="P317" i="60"/>
  <c r="O317" i="60"/>
  <c r="N317" i="60"/>
  <c r="M317" i="60"/>
  <c r="L317" i="60"/>
  <c r="R316" i="60"/>
  <c r="Q316" i="60"/>
  <c r="P316" i="60"/>
  <c r="O316" i="60"/>
  <c r="N316" i="60"/>
  <c r="M316" i="60"/>
  <c r="L316" i="60"/>
  <c r="R315" i="60"/>
  <c r="Q315" i="60"/>
  <c r="P315" i="60"/>
  <c r="O315" i="60"/>
  <c r="N315" i="60"/>
  <c r="M315" i="60"/>
  <c r="L315" i="60"/>
  <c r="R314" i="60"/>
  <c r="Q314" i="60"/>
  <c r="P314" i="60"/>
  <c r="O314" i="60"/>
  <c r="N314" i="60"/>
  <c r="M314" i="60"/>
  <c r="L314" i="60"/>
  <c r="R313" i="60"/>
  <c r="Q313" i="60"/>
  <c r="P313" i="60"/>
  <c r="O313" i="60"/>
  <c r="N313" i="60"/>
  <c r="M313" i="60"/>
  <c r="L313" i="60"/>
  <c r="R312" i="60"/>
  <c r="Q312" i="60"/>
  <c r="P312" i="60"/>
  <c r="O312" i="60"/>
  <c r="N312" i="60"/>
  <c r="M312" i="60"/>
  <c r="L312" i="60"/>
  <c r="R311" i="60"/>
  <c r="Q311" i="60"/>
  <c r="P311" i="60"/>
  <c r="O311" i="60"/>
  <c r="N311" i="60"/>
  <c r="M311" i="60"/>
  <c r="L311" i="60"/>
  <c r="R310" i="60"/>
  <c r="Q310" i="60"/>
  <c r="P310" i="60"/>
  <c r="O310" i="60"/>
  <c r="N310" i="60"/>
  <c r="M310" i="60"/>
  <c r="L310" i="60"/>
  <c r="R309" i="60"/>
  <c r="Q309" i="60"/>
  <c r="P309" i="60"/>
  <c r="O309" i="60"/>
  <c r="N309" i="60"/>
  <c r="M309" i="60"/>
  <c r="L309" i="60"/>
  <c r="R308" i="60"/>
  <c r="Q308" i="60"/>
  <c r="P308" i="60"/>
  <c r="O308" i="60"/>
  <c r="N308" i="60"/>
  <c r="M308" i="60"/>
  <c r="L308" i="60"/>
  <c r="R307" i="60"/>
  <c r="Q307" i="60"/>
  <c r="P307" i="60"/>
  <c r="O307" i="60"/>
  <c r="N307" i="60"/>
  <c r="M307" i="60"/>
  <c r="L307" i="60"/>
  <c r="R306" i="60"/>
  <c r="Q306" i="60"/>
  <c r="P306" i="60"/>
  <c r="O306" i="60"/>
  <c r="N306" i="60"/>
  <c r="M306" i="60"/>
  <c r="L306" i="60"/>
  <c r="R305" i="60"/>
  <c r="Q305" i="60"/>
  <c r="P305" i="60"/>
  <c r="O305" i="60"/>
  <c r="N305" i="60"/>
  <c r="M305" i="60"/>
  <c r="L305" i="60"/>
  <c r="R304" i="60"/>
  <c r="Q304" i="60"/>
  <c r="P304" i="60"/>
  <c r="O304" i="60"/>
  <c r="N304" i="60"/>
  <c r="M304" i="60"/>
  <c r="L304" i="60"/>
  <c r="R303" i="60"/>
  <c r="Q303" i="60"/>
  <c r="P303" i="60"/>
  <c r="O303" i="60"/>
  <c r="N303" i="60"/>
  <c r="M303" i="60"/>
  <c r="L303" i="60"/>
  <c r="R302" i="60"/>
  <c r="Q302" i="60"/>
  <c r="P302" i="60"/>
  <c r="O302" i="60"/>
  <c r="N302" i="60"/>
  <c r="M302" i="60"/>
  <c r="L302" i="60"/>
  <c r="R301" i="60"/>
  <c r="Q301" i="60"/>
  <c r="P301" i="60"/>
  <c r="O301" i="60"/>
  <c r="N301" i="60"/>
  <c r="M301" i="60"/>
  <c r="L301" i="60"/>
  <c r="R300" i="60"/>
  <c r="Q300" i="60"/>
  <c r="P300" i="60"/>
  <c r="O300" i="60"/>
  <c r="N300" i="60"/>
  <c r="M300" i="60"/>
  <c r="L300" i="60"/>
  <c r="R299" i="60"/>
  <c r="Q299" i="60"/>
  <c r="P299" i="60"/>
  <c r="O299" i="60"/>
  <c r="N299" i="60"/>
  <c r="M299" i="60"/>
  <c r="L299" i="60"/>
  <c r="R298" i="60"/>
  <c r="Q298" i="60"/>
  <c r="P298" i="60"/>
  <c r="O298" i="60"/>
  <c r="N298" i="60"/>
  <c r="M298" i="60"/>
  <c r="L298" i="60"/>
  <c r="R297" i="60"/>
  <c r="Q297" i="60"/>
  <c r="P297" i="60"/>
  <c r="O297" i="60"/>
  <c r="N297" i="60"/>
  <c r="M297" i="60"/>
  <c r="L297" i="60"/>
  <c r="R296" i="60"/>
  <c r="Q296" i="60"/>
  <c r="P296" i="60"/>
  <c r="O296" i="60"/>
  <c r="N296" i="60"/>
  <c r="M296" i="60"/>
  <c r="L296" i="60"/>
  <c r="R295" i="60"/>
  <c r="Q295" i="60"/>
  <c r="P295" i="60"/>
  <c r="O295" i="60"/>
  <c r="N295" i="60"/>
  <c r="M295" i="60"/>
  <c r="L295" i="60"/>
  <c r="R294" i="60"/>
  <c r="Q294" i="60"/>
  <c r="P294" i="60"/>
  <c r="O294" i="60"/>
  <c r="N294" i="60"/>
  <c r="M294" i="60"/>
  <c r="L294" i="60"/>
  <c r="R293" i="60"/>
  <c r="Q293" i="60"/>
  <c r="P293" i="60"/>
  <c r="O293" i="60"/>
  <c r="N293" i="60"/>
  <c r="M293" i="60"/>
  <c r="L293" i="60"/>
  <c r="R292" i="60"/>
  <c r="Q292" i="60"/>
  <c r="P292" i="60"/>
  <c r="O292" i="60"/>
  <c r="N292" i="60"/>
  <c r="M292" i="60"/>
  <c r="L292" i="60"/>
  <c r="R291" i="60"/>
  <c r="Q291" i="60"/>
  <c r="P291" i="60"/>
  <c r="O291" i="60"/>
  <c r="N291" i="60"/>
  <c r="M291" i="60"/>
  <c r="L291" i="60"/>
  <c r="R290" i="60"/>
  <c r="Q290" i="60"/>
  <c r="P290" i="60"/>
  <c r="O290" i="60"/>
  <c r="N290" i="60"/>
  <c r="M290" i="60"/>
  <c r="L290" i="60"/>
  <c r="R289" i="60"/>
  <c r="Q289" i="60"/>
  <c r="P289" i="60"/>
  <c r="O289" i="60"/>
  <c r="N289" i="60"/>
  <c r="M289" i="60"/>
  <c r="L289" i="60"/>
  <c r="R288" i="60"/>
  <c r="Q288" i="60"/>
  <c r="P288" i="60"/>
  <c r="O288" i="60"/>
  <c r="N288" i="60"/>
  <c r="M288" i="60"/>
  <c r="L288" i="60"/>
  <c r="R287" i="60"/>
  <c r="Q287" i="60"/>
  <c r="P287" i="60"/>
  <c r="O287" i="60"/>
  <c r="N287" i="60"/>
  <c r="M287" i="60"/>
  <c r="L287" i="60"/>
  <c r="R286" i="60"/>
  <c r="Q286" i="60"/>
  <c r="P286" i="60"/>
  <c r="O286" i="60"/>
  <c r="N286" i="60"/>
  <c r="M286" i="60"/>
  <c r="L286" i="60"/>
  <c r="R285" i="60"/>
  <c r="Q285" i="60"/>
  <c r="P285" i="60"/>
  <c r="O285" i="60"/>
  <c r="N285" i="60"/>
  <c r="M285" i="60"/>
  <c r="L285" i="60"/>
  <c r="R284" i="60"/>
  <c r="Q284" i="60"/>
  <c r="P284" i="60"/>
  <c r="O284" i="60"/>
  <c r="N284" i="60"/>
  <c r="M284" i="60"/>
  <c r="L284" i="60"/>
  <c r="R283" i="60"/>
  <c r="Q283" i="60"/>
  <c r="P283" i="60"/>
  <c r="O283" i="60"/>
  <c r="N283" i="60"/>
  <c r="M283" i="60"/>
  <c r="L283" i="60"/>
  <c r="R282" i="60"/>
  <c r="Q282" i="60"/>
  <c r="P282" i="60"/>
  <c r="O282" i="60"/>
  <c r="N282" i="60"/>
  <c r="M282" i="60"/>
  <c r="L282" i="60"/>
  <c r="R281" i="60"/>
  <c r="Q281" i="60"/>
  <c r="P281" i="60"/>
  <c r="O281" i="60"/>
  <c r="N281" i="60"/>
  <c r="M281" i="60"/>
  <c r="L281" i="60"/>
  <c r="R280" i="60"/>
  <c r="Q280" i="60"/>
  <c r="P280" i="60"/>
  <c r="O280" i="60"/>
  <c r="N280" i="60"/>
  <c r="M280" i="60"/>
  <c r="L280" i="60"/>
  <c r="R279" i="60"/>
  <c r="Q279" i="60"/>
  <c r="P279" i="60"/>
  <c r="O279" i="60"/>
  <c r="N279" i="60"/>
  <c r="M279" i="60"/>
  <c r="L279" i="60"/>
  <c r="R278" i="60"/>
  <c r="Q278" i="60"/>
  <c r="P278" i="60"/>
  <c r="O278" i="60"/>
  <c r="N278" i="60"/>
  <c r="M278" i="60"/>
  <c r="L278" i="60"/>
  <c r="R277" i="60"/>
  <c r="Q277" i="60"/>
  <c r="P277" i="60"/>
  <c r="O277" i="60"/>
  <c r="N277" i="60"/>
  <c r="M277" i="60"/>
  <c r="L277" i="60"/>
  <c r="R276" i="60"/>
  <c r="Q276" i="60"/>
  <c r="P276" i="60"/>
  <c r="O276" i="60"/>
  <c r="N276" i="60"/>
  <c r="M276" i="60"/>
  <c r="L276" i="60"/>
  <c r="R275" i="60"/>
  <c r="Q275" i="60"/>
  <c r="P275" i="60"/>
  <c r="O275" i="60"/>
  <c r="N275" i="60"/>
  <c r="M275" i="60"/>
  <c r="L275" i="60"/>
  <c r="R274" i="60"/>
  <c r="Q274" i="60"/>
  <c r="P274" i="60"/>
  <c r="O274" i="60"/>
  <c r="N274" i="60"/>
  <c r="M274" i="60"/>
  <c r="L274" i="60"/>
  <c r="R273" i="60"/>
  <c r="Q273" i="60"/>
  <c r="P273" i="60"/>
  <c r="O273" i="60"/>
  <c r="N273" i="60"/>
  <c r="M273" i="60"/>
  <c r="L273" i="60"/>
  <c r="R272" i="60"/>
  <c r="Q272" i="60"/>
  <c r="P272" i="60"/>
  <c r="O272" i="60"/>
  <c r="N272" i="60"/>
  <c r="M272" i="60"/>
  <c r="L272" i="60"/>
  <c r="R271" i="60"/>
  <c r="Q271" i="60"/>
  <c r="P271" i="60"/>
  <c r="O271" i="60"/>
  <c r="N271" i="60"/>
  <c r="M271" i="60"/>
  <c r="L271" i="60"/>
  <c r="R270" i="60"/>
  <c r="Q270" i="60"/>
  <c r="P270" i="60"/>
  <c r="O270" i="60"/>
  <c r="N270" i="60"/>
  <c r="M270" i="60"/>
  <c r="L270" i="60"/>
  <c r="R269" i="60"/>
  <c r="Q269" i="60"/>
  <c r="P269" i="60"/>
  <c r="O269" i="60"/>
  <c r="N269" i="60"/>
  <c r="M269" i="60"/>
  <c r="L269" i="60"/>
  <c r="R268" i="60"/>
  <c r="Q268" i="60"/>
  <c r="P268" i="60"/>
  <c r="O268" i="60"/>
  <c r="N268" i="60"/>
  <c r="M268" i="60"/>
  <c r="L268" i="60"/>
  <c r="R267" i="60"/>
  <c r="Q267" i="60"/>
  <c r="P267" i="60"/>
  <c r="O267" i="60"/>
  <c r="N267" i="60"/>
  <c r="M267" i="60"/>
  <c r="L267" i="60"/>
  <c r="R266" i="60"/>
  <c r="Q266" i="60"/>
  <c r="P266" i="60"/>
  <c r="O266" i="60"/>
  <c r="N266" i="60"/>
  <c r="M266" i="60"/>
  <c r="L266" i="60"/>
  <c r="R265" i="60"/>
  <c r="Q265" i="60"/>
  <c r="P265" i="60"/>
  <c r="O265" i="60"/>
  <c r="N265" i="60"/>
  <c r="M265" i="60"/>
  <c r="L265" i="60"/>
  <c r="R264" i="60"/>
  <c r="Q264" i="60"/>
  <c r="P264" i="60"/>
  <c r="O264" i="60"/>
  <c r="N264" i="60"/>
  <c r="M264" i="60"/>
  <c r="L264" i="60"/>
  <c r="R263" i="60"/>
  <c r="Q263" i="60"/>
  <c r="P263" i="60"/>
  <c r="O263" i="60"/>
  <c r="N263" i="60"/>
  <c r="M263" i="60"/>
  <c r="L263" i="60"/>
  <c r="R262" i="60"/>
  <c r="Q262" i="60"/>
  <c r="P262" i="60"/>
  <c r="O262" i="60"/>
  <c r="N262" i="60"/>
  <c r="M262" i="60"/>
  <c r="L262" i="60"/>
  <c r="R261" i="60"/>
  <c r="Q261" i="60"/>
  <c r="P261" i="60"/>
  <c r="O261" i="60"/>
  <c r="N261" i="60"/>
  <c r="M261" i="60"/>
  <c r="L261" i="60"/>
  <c r="R260" i="60"/>
  <c r="Q260" i="60"/>
  <c r="P260" i="60"/>
  <c r="O260" i="60"/>
  <c r="N260" i="60"/>
  <c r="M260" i="60"/>
  <c r="L260" i="60"/>
  <c r="R259" i="60"/>
  <c r="Q259" i="60"/>
  <c r="P259" i="60"/>
  <c r="O259" i="60"/>
  <c r="N259" i="60"/>
  <c r="M259" i="60"/>
  <c r="L259" i="60"/>
  <c r="R258" i="60"/>
  <c r="Q258" i="60"/>
  <c r="P258" i="60"/>
  <c r="O258" i="60"/>
  <c r="N258" i="60"/>
  <c r="M258" i="60"/>
  <c r="L258" i="60"/>
  <c r="R257" i="60"/>
  <c r="Q257" i="60"/>
  <c r="P257" i="60"/>
  <c r="O257" i="60"/>
  <c r="N257" i="60"/>
  <c r="M257" i="60"/>
  <c r="L257" i="60"/>
  <c r="R256" i="60"/>
  <c r="Q256" i="60"/>
  <c r="P256" i="60"/>
  <c r="O256" i="60"/>
  <c r="N256" i="60"/>
  <c r="M256" i="60"/>
  <c r="L256" i="60"/>
  <c r="R255" i="60"/>
  <c r="Q255" i="60"/>
  <c r="P255" i="60"/>
  <c r="O255" i="60"/>
  <c r="N255" i="60"/>
  <c r="M255" i="60"/>
  <c r="L255" i="60"/>
  <c r="R254" i="60"/>
  <c r="Q254" i="60"/>
  <c r="P254" i="60"/>
  <c r="O254" i="60"/>
  <c r="N254" i="60"/>
  <c r="M254" i="60"/>
  <c r="L254" i="60"/>
  <c r="R253" i="60"/>
  <c r="Q253" i="60"/>
  <c r="P253" i="60"/>
  <c r="O253" i="60"/>
  <c r="N253" i="60"/>
  <c r="M253" i="60"/>
  <c r="L253" i="60"/>
  <c r="R252" i="60"/>
  <c r="Q252" i="60"/>
  <c r="P252" i="60"/>
  <c r="O252" i="60"/>
  <c r="N252" i="60"/>
  <c r="M252" i="60"/>
  <c r="L252" i="60"/>
  <c r="R251" i="60"/>
  <c r="Q251" i="60"/>
  <c r="P251" i="60"/>
  <c r="O251" i="60"/>
  <c r="N251" i="60"/>
  <c r="M251" i="60"/>
  <c r="L251" i="60"/>
  <c r="R250" i="60"/>
  <c r="Q250" i="60"/>
  <c r="P250" i="60"/>
  <c r="O250" i="60"/>
  <c r="N250" i="60"/>
  <c r="M250" i="60"/>
  <c r="L250" i="60"/>
  <c r="R249" i="60"/>
  <c r="Q249" i="60"/>
  <c r="P249" i="60"/>
  <c r="O249" i="60"/>
  <c r="N249" i="60"/>
  <c r="M249" i="60"/>
  <c r="L249" i="60"/>
  <c r="R248" i="60"/>
  <c r="Q248" i="60"/>
  <c r="P248" i="60"/>
  <c r="O248" i="60"/>
  <c r="N248" i="60"/>
  <c r="M248" i="60"/>
  <c r="L248" i="60"/>
  <c r="R247" i="60"/>
  <c r="Q247" i="60"/>
  <c r="P247" i="60"/>
  <c r="O247" i="60"/>
  <c r="N247" i="60"/>
  <c r="M247" i="60"/>
  <c r="L247" i="60"/>
  <c r="R246" i="60"/>
  <c r="Q246" i="60"/>
  <c r="P246" i="60"/>
  <c r="O246" i="60"/>
  <c r="N246" i="60"/>
  <c r="M246" i="60"/>
  <c r="L246" i="60"/>
  <c r="R245" i="60"/>
  <c r="Q245" i="60"/>
  <c r="P245" i="60"/>
  <c r="O245" i="60"/>
  <c r="N245" i="60"/>
  <c r="M245" i="60"/>
  <c r="L245" i="60"/>
  <c r="R244" i="60"/>
  <c r="Q244" i="60"/>
  <c r="P244" i="60"/>
  <c r="O244" i="60"/>
  <c r="N244" i="60"/>
  <c r="M244" i="60"/>
  <c r="L244" i="60"/>
  <c r="R243" i="60"/>
  <c r="Q243" i="60"/>
  <c r="P243" i="60"/>
  <c r="O243" i="60"/>
  <c r="N243" i="60"/>
  <c r="M243" i="60"/>
  <c r="L243" i="60"/>
  <c r="R242" i="60"/>
  <c r="Q242" i="60"/>
  <c r="P242" i="60"/>
  <c r="O242" i="60"/>
  <c r="N242" i="60"/>
  <c r="M242" i="60"/>
  <c r="L242" i="60"/>
  <c r="R241" i="60"/>
  <c r="Q241" i="60"/>
  <c r="P241" i="60"/>
  <c r="O241" i="60"/>
  <c r="N241" i="60"/>
  <c r="M241" i="60"/>
  <c r="L241" i="60"/>
  <c r="R240" i="60"/>
  <c r="Q240" i="60"/>
  <c r="P240" i="60"/>
  <c r="O240" i="60"/>
  <c r="N240" i="60"/>
  <c r="M240" i="60"/>
  <c r="L240" i="60"/>
  <c r="R239" i="60"/>
  <c r="Q239" i="60"/>
  <c r="P239" i="60"/>
  <c r="O239" i="60"/>
  <c r="N239" i="60"/>
  <c r="M239" i="60"/>
  <c r="L239" i="60"/>
  <c r="R238" i="60"/>
  <c r="Q238" i="60"/>
  <c r="P238" i="60"/>
  <c r="O238" i="60"/>
  <c r="N238" i="60"/>
  <c r="M238" i="60"/>
  <c r="L238" i="60"/>
  <c r="R237" i="60"/>
  <c r="Q237" i="60"/>
  <c r="P237" i="60"/>
  <c r="O237" i="60"/>
  <c r="N237" i="60"/>
  <c r="M237" i="60"/>
  <c r="L237" i="60"/>
  <c r="R236" i="60"/>
  <c r="Q236" i="60"/>
  <c r="P236" i="60"/>
  <c r="O236" i="60"/>
  <c r="N236" i="60"/>
  <c r="M236" i="60"/>
  <c r="L236" i="60"/>
  <c r="R235" i="60"/>
  <c r="Q235" i="60"/>
  <c r="P235" i="60"/>
  <c r="O235" i="60"/>
  <c r="N235" i="60"/>
  <c r="M235" i="60"/>
  <c r="L235" i="60"/>
  <c r="R234" i="60"/>
  <c r="Q234" i="60"/>
  <c r="P234" i="60"/>
  <c r="O234" i="60"/>
  <c r="N234" i="60"/>
  <c r="M234" i="60"/>
  <c r="L234" i="60"/>
  <c r="R233" i="60"/>
  <c r="Q233" i="60"/>
  <c r="P233" i="60"/>
  <c r="O233" i="60"/>
  <c r="N233" i="60"/>
  <c r="M233" i="60"/>
  <c r="L233" i="60"/>
  <c r="R232" i="60"/>
  <c r="Q232" i="60"/>
  <c r="P232" i="60"/>
  <c r="O232" i="60"/>
  <c r="N232" i="60"/>
  <c r="M232" i="60"/>
  <c r="L232" i="60"/>
  <c r="R231" i="60"/>
  <c r="Q231" i="60"/>
  <c r="P231" i="60"/>
  <c r="O231" i="60"/>
  <c r="N231" i="60"/>
  <c r="M231" i="60"/>
  <c r="L231" i="60"/>
  <c r="R230" i="60"/>
  <c r="Q230" i="60"/>
  <c r="P230" i="60"/>
  <c r="O230" i="60"/>
  <c r="N230" i="60"/>
  <c r="M230" i="60"/>
  <c r="L230" i="60"/>
  <c r="R229" i="60"/>
  <c r="Q229" i="60"/>
  <c r="P229" i="60"/>
  <c r="O229" i="60"/>
  <c r="N229" i="60"/>
  <c r="M229" i="60"/>
  <c r="L229" i="60"/>
  <c r="R228" i="60"/>
  <c r="Q228" i="60"/>
  <c r="P228" i="60"/>
  <c r="O228" i="60"/>
  <c r="N228" i="60"/>
  <c r="M228" i="60"/>
  <c r="L228" i="60"/>
  <c r="R227" i="60"/>
  <c r="Q227" i="60"/>
  <c r="P227" i="60"/>
  <c r="O227" i="60"/>
  <c r="N227" i="60"/>
  <c r="M227" i="60"/>
  <c r="L227" i="60"/>
  <c r="R226" i="60"/>
  <c r="Q226" i="60"/>
  <c r="P226" i="60"/>
  <c r="O226" i="60"/>
  <c r="N226" i="60"/>
  <c r="M226" i="60"/>
  <c r="L226" i="60"/>
  <c r="R225" i="60"/>
  <c r="Q225" i="60"/>
  <c r="P225" i="60"/>
  <c r="O225" i="60"/>
  <c r="N225" i="60"/>
  <c r="M225" i="60"/>
  <c r="L225" i="60"/>
  <c r="R224" i="60"/>
  <c r="Q224" i="60"/>
  <c r="P224" i="60"/>
  <c r="O224" i="60"/>
  <c r="N224" i="60"/>
  <c r="M224" i="60"/>
  <c r="L224" i="60"/>
  <c r="R223" i="60"/>
  <c r="Q223" i="60"/>
  <c r="P223" i="60"/>
  <c r="O223" i="60"/>
  <c r="N223" i="60"/>
  <c r="M223" i="60"/>
  <c r="L223" i="60"/>
  <c r="R222" i="60"/>
  <c r="Q222" i="60"/>
  <c r="P222" i="60"/>
  <c r="O222" i="60"/>
  <c r="N222" i="60"/>
  <c r="M222" i="60"/>
  <c r="L222" i="60"/>
  <c r="R221" i="60"/>
  <c r="Q221" i="60"/>
  <c r="P221" i="60"/>
  <c r="O221" i="60"/>
  <c r="N221" i="60"/>
  <c r="M221" i="60"/>
  <c r="L221" i="60"/>
  <c r="R220" i="60"/>
  <c r="Q220" i="60"/>
  <c r="P220" i="60"/>
  <c r="O220" i="60"/>
  <c r="N220" i="60"/>
  <c r="M220" i="60"/>
  <c r="L220" i="60"/>
  <c r="R219" i="60"/>
  <c r="Q219" i="60"/>
  <c r="P219" i="60"/>
  <c r="O219" i="60"/>
  <c r="N219" i="60"/>
  <c r="M219" i="60"/>
  <c r="L219" i="60"/>
  <c r="R218" i="60"/>
  <c r="Q218" i="60"/>
  <c r="P218" i="60"/>
  <c r="O218" i="60"/>
  <c r="N218" i="60"/>
  <c r="M218" i="60"/>
  <c r="L218" i="60"/>
  <c r="R217" i="60"/>
  <c r="Q217" i="60"/>
  <c r="P217" i="60"/>
  <c r="O217" i="60"/>
  <c r="N217" i="60"/>
  <c r="M217" i="60"/>
  <c r="L217" i="60"/>
  <c r="R216" i="60"/>
  <c r="Q216" i="60"/>
  <c r="P216" i="60"/>
  <c r="O216" i="60"/>
  <c r="N216" i="60"/>
  <c r="M216" i="60"/>
  <c r="L216" i="60"/>
  <c r="R215" i="60"/>
  <c r="Q215" i="60"/>
  <c r="P215" i="60"/>
  <c r="O215" i="60"/>
  <c r="N215" i="60"/>
  <c r="M215" i="60"/>
  <c r="L215" i="60"/>
  <c r="R214" i="60"/>
  <c r="Q214" i="60"/>
  <c r="P214" i="60"/>
  <c r="O214" i="60"/>
  <c r="N214" i="60"/>
  <c r="M214" i="60"/>
  <c r="L214" i="60"/>
  <c r="R213" i="60"/>
  <c r="Q213" i="60"/>
  <c r="P213" i="60"/>
  <c r="O213" i="60"/>
  <c r="N213" i="60"/>
  <c r="M213" i="60"/>
  <c r="L213" i="60"/>
  <c r="R212" i="60"/>
  <c r="Q212" i="60"/>
  <c r="P212" i="60"/>
  <c r="O212" i="60"/>
  <c r="N212" i="60"/>
  <c r="M212" i="60"/>
  <c r="L212" i="60"/>
  <c r="R211" i="60"/>
  <c r="Q211" i="60"/>
  <c r="P211" i="60"/>
  <c r="O211" i="60"/>
  <c r="N211" i="60"/>
  <c r="M211" i="60"/>
  <c r="L211" i="60"/>
  <c r="R210" i="60"/>
  <c r="Q210" i="60"/>
  <c r="P210" i="60"/>
  <c r="O210" i="60"/>
  <c r="N210" i="60"/>
  <c r="M210" i="60"/>
  <c r="L210" i="60"/>
  <c r="R209" i="60"/>
  <c r="Q209" i="60"/>
  <c r="P209" i="60"/>
  <c r="O209" i="60"/>
  <c r="N209" i="60"/>
  <c r="M209" i="60"/>
  <c r="L209" i="60"/>
  <c r="R208" i="60"/>
  <c r="Q208" i="60"/>
  <c r="P208" i="60"/>
  <c r="O208" i="60"/>
  <c r="N208" i="60"/>
  <c r="M208" i="60"/>
  <c r="L208" i="60"/>
  <c r="R207" i="60"/>
  <c r="Q207" i="60"/>
  <c r="P207" i="60"/>
  <c r="O207" i="60"/>
  <c r="N207" i="60"/>
  <c r="M207" i="60"/>
  <c r="L207" i="60"/>
  <c r="R206" i="60"/>
  <c r="Q206" i="60"/>
  <c r="P206" i="60"/>
  <c r="O206" i="60"/>
  <c r="N206" i="60"/>
  <c r="M206" i="60"/>
  <c r="L206" i="60"/>
  <c r="R205" i="60"/>
  <c r="Q205" i="60"/>
  <c r="P205" i="60"/>
  <c r="O205" i="60"/>
  <c r="N205" i="60"/>
  <c r="M205" i="60"/>
  <c r="L205" i="60"/>
  <c r="R204" i="60"/>
  <c r="Q204" i="60"/>
  <c r="P204" i="60"/>
  <c r="O204" i="60"/>
  <c r="N204" i="60"/>
  <c r="M204" i="60"/>
  <c r="L204" i="60"/>
  <c r="R203" i="60"/>
  <c r="Q203" i="60"/>
  <c r="P203" i="60"/>
  <c r="O203" i="60"/>
  <c r="N203" i="60"/>
  <c r="M203" i="60"/>
  <c r="L203" i="60"/>
  <c r="R202" i="60"/>
  <c r="Q202" i="60"/>
  <c r="P202" i="60"/>
  <c r="O202" i="60"/>
  <c r="N202" i="60"/>
  <c r="M202" i="60"/>
  <c r="L202" i="60"/>
  <c r="R201" i="60"/>
  <c r="Q201" i="60"/>
  <c r="P201" i="60"/>
  <c r="O201" i="60"/>
  <c r="N201" i="60"/>
  <c r="M201" i="60"/>
  <c r="L201" i="60"/>
  <c r="R200" i="60"/>
  <c r="Q200" i="60"/>
  <c r="P200" i="60"/>
  <c r="O200" i="60"/>
  <c r="N200" i="60"/>
  <c r="M200" i="60"/>
  <c r="L200" i="60"/>
  <c r="R199" i="60"/>
  <c r="Q199" i="60"/>
  <c r="P199" i="60"/>
  <c r="O199" i="60"/>
  <c r="N199" i="60"/>
  <c r="M199" i="60"/>
  <c r="L199" i="60"/>
  <c r="R198" i="60"/>
  <c r="Q198" i="60"/>
  <c r="P198" i="60"/>
  <c r="O198" i="60"/>
  <c r="N198" i="60"/>
  <c r="M198" i="60"/>
  <c r="L198" i="60"/>
  <c r="R197" i="60"/>
  <c r="Q197" i="60"/>
  <c r="P197" i="60"/>
  <c r="O197" i="60"/>
  <c r="N197" i="60"/>
  <c r="M197" i="60"/>
  <c r="L197" i="60"/>
  <c r="R196" i="60"/>
  <c r="Q196" i="60"/>
  <c r="P196" i="60"/>
  <c r="O196" i="60"/>
  <c r="N196" i="60"/>
  <c r="M196" i="60"/>
  <c r="L196" i="60"/>
  <c r="R195" i="60"/>
  <c r="Q195" i="60"/>
  <c r="P195" i="60"/>
  <c r="O195" i="60"/>
  <c r="N195" i="60"/>
  <c r="M195" i="60"/>
  <c r="L195" i="60"/>
  <c r="R194" i="60"/>
  <c r="Q194" i="60"/>
  <c r="P194" i="60"/>
  <c r="O194" i="60"/>
  <c r="N194" i="60"/>
  <c r="M194" i="60"/>
  <c r="L194" i="60"/>
  <c r="R193" i="60"/>
  <c r="Q193" i="60"/>
  <c r="P193" i="60"/>
  <c r="O193" i="60"/>
  <c r="N193" i="60"/>
  <c r="M193" i="60"/>
  <c r="L193" i="60"/>
  <c r="R192" i="60"/>
  <c r="Q192" i="60"/>
  <c r="P192" i="60"/>
  <c r="O192" i="60"/>
  <c r="N192" i="60"/>
  <c r="M192" i="60"/>
  <c r="L192" i="60"/>
  <c r="R191" i="60"/>
  <c r="Q191" i="60"/>
  <c r="P191" i="60"/>
  <c r="O191" i="60"/>
  <c r="N191" i="60"/>
  <c r="M191" i="60"/>
  <c r="L191" i="60"/>
  <c r="R190" i="60"/>
  <c r="Q190" i="60"/>
  <c r="P190" i="60"/>
  <c r="O190" i="60"/>
  <c r="N190" i="60"/>
  <c r="M190" i="60"/>
  <c r="L190" i="60"/>
  <c r="R189" i="60"/>
  <c r="Q189" i="60"/>
  <c r="P189" i="60"/>
  <c r="O189" i="60"/>
  <c r="N189" i="60"/>
  <c r="M189" i="60"/>
  <c r="L189" i="60"/>
  <c r="R188" i="60"/>
  <c r="Q188" i="60"/>
  <c r="P188" i="60"/>
  <c r="O188" i="60"/>
  <c r="N188" i="60"/>
  <c r="M188" i="60"/>
  <c r="L188" i="60"/>
  <c r="R187" i="60"/>
  <c r="Q187" i="60"/>
  <c r="P187" i="60"/>
  <c r="O187" i="60"/>
  <c r="N187" i="60"/>
  <c r="M187" i="60"/>
  <c r="L187" i="60"/>
  <c r="R186" i="60"/>
  <c r="Q186" i="60"/>
  <c r="P186" i="60"/>
  <c r="O186" i="60"/>
  <c r="N186" i="60"/>
  <c r="M186" i="60"/>
  <c r="L186" i="60"/>
  <c r="R185" i="60"/>
  <c r="Q185" i="60"/>
  <c r="P185" i="60"/>
  <c r="O185" i="60"/>
  <c r="N185" i="60"/>
  <c r="M185" i="60"/>
  <c r="L185" i="60"/>
  <c r="R184" i="60"/>
  <c r="Q184" i="60"/>
  <c r="P184" i="60"/>
  <c r="O184" i="60"/>
  <c r="N184" i="60"/>
  <c r="M184" i="60"/>
  <c r="L184" i="60"/>
  <c r="R183" i="60"/>
  <c r="Q183" i="60"/>
  <c r="P183" i="60"/>
  <c r="O183" i="60"/>
  <c r="N183" i="60"/>
  <c r="M183" i="60"/>
  <c r="L183" i="60"/>
  <c r="R182" i="60"/>
  <c r="Q182" i="60"/>
  <c r="P182" i="60"/>
  <c r="O182" i="60"/>
  <c r="N182" i="60"/>
  <c r="M182" i="60"/>
  <c r="L182" i="60"/>
  <c r="R181" i="60"/>
  <c r="Q181" i="60"/>
  <c r="P181" i="60"/>
  <c r="O181" i="60"/>
  <c r="N181" i="60"/>
  <c r="M181" i="60"/>
  <c r="L181" i="60"/>
  <c r="R180" i="60"/>
  <c r="Q180" i="60"/>
  <c r="P180" i="60"/>
  <c r="O180" i="60"/>
  <c r="N180" i="60"/>
  <c r="M180" i="60"/>
  <c r="L180" i="60"/>
  <c r="R179" i="60"/>
  <c r="Q179" i="60"/>
  <c r="P179" i="60"/>
  <c r="O179" i="60"/>
  <c r="N179" i="60"/>
  <c r="M179" i="60"/>
  <c r="L179" i="60"/>
  <c r="R178" i="60"/>
  <c r="Q178" i="60"/>
  <c r="P178" i="60"/>
  <c r="O178" i="60"/>
  <c r="N178" i="60"/>
  <c r="M178" i="60"/>
  <c r="L178" i="60"/>
  <c r="R177" i="60"/>
  <c r="Q177" i="60"/>
  <c r="P177" i="60"/>
  <c r="O177" i="60"/>
  <c r="N177" i="60"/>
  <c r="M177" i="60"/>
  <c r="L177" i="60"/>
  <c r="R176" i="60"/>
  <c r="Q176" i="60"/>
  <c r="P176" i="60"/>
  <c r="O176" i="60"/>
  <c r="N176" i="60"/>
  <c r="M176" i="60"/>
  <c r="L176" i="60"/>
  <c r="R175" i="60"/>
  <c r="Q175" i="60"/>
  <c r="P175" i="60"/>
  <c r="O175" i="60"/>
  <c r="N175" i="60"/>
  <c r="M175" i="60"/>
  <c r="L175" i="60"/>
  <c r="R174" i="60"/>
  <c r="Q174" i="60"/>
  <c r="P174" i="60"/>
  <c r="O174" i="60"/>
  <c r="N174" i="60"/>
  <c r="M174" i="60"/>
  <c r="L174" i="60"/>
  <c r="R173" i="60"/>
  <c r="Q173" i="60"/>
  <c r="P173" i="60"/>
  <c r="O173" i="60"/>
  <c r="N173" i="60"/>
  <c r="M173" i="60"/>
  <c r="L173" i="60"/>
  <c r="R172" i="60"/>
  <c r="Q172" i="60"/>
  <c r="P172" i="60"/>
  <c r="O172" i="60"/>
  <c r="N172" i="60"/>
  <c r="M172" i="60"/>
  <c r="L172" i="60"/>
  <c r="R171" i="60"/>
  <c r="Q171" i="60"/>
  <c r="P171" i="60"/>
  <c r="O171" i="60"/>
  <c r="N171" i="60"/>
  <c r="M171" i="60"/>
  <c r="L171" i="60"/>
  <c r="R170" i="60"/>
  <c r="Q170" i="60"/>
  <c r="P170" i="60"/>
  <c r="O170" i="60"/>
  <c r="N170" i="60"/>
  <c r="M170" i="60"/>
  <c r="L170" i="60"/>
  <c r="R169" i="60"/>
  <c r="Q169" i="60"/>
  <c r="P169" i="60"/>
  <c r="O169" i="60"/>
  <c r="N169" i="60"/>
  <c r="M169" i="60"/>
  <c r="L169" i="60"/>
  <c r="R168" i="60"/>
  <c r="Q168" i="60"/>
  <c r="P168" i="60"/>
  <c r="O168" i="60"/>
  <c r="N168" i="60"/>
  <c r="M168" i="60"/>
  <c r="L168" i="60"/>
  <c r="R167" i="60"/>
  <c r="Q167" i="60"/>
  <c r="P167" i="60"/>
  <c r="O167" i="60"/>
  <c r="N167" i="60"/>
  <c r="M167" i="60"/>
  <c r="L167" i="60"/>
  <c r="R166" i="60"/>
  <c r="Q166" i="60"/>
  <c r="P166" i="60"/>
  <c r="O166" i="60"/>
  <c r="N166" i="60"/>
  <c r="M166" i="60"/>
  <c r="L166" i="60"/>
  <c r="R165" i="60"/>
  <c r="Q165" i="60"/>
  <c r="P165" i="60"/>
  <c r="O165" i="60"/>
  <c r="N165" i="60"/>
  <c r="M165" i="60"/>
  <c r="L165" i="60"/>
  <c r="R164" i="60"/>
  <c r="Q164" i="60"/>
  <c r="P164" i="60"/>
  <c r="O164" i="60"/>
  <c r="N164" i="60"/>
  <c r="M164" i="60"/>
  <c r="L164" i="60"/>
  <c r="R163" i="60"/>
  <c r="Q163" i="60"/>
  <c r="P163" i="60"/>
  <c r="O163" i="60"/>
  <c r="N163" i="60"/>
  <c r="M163" i="60"/>
  <c r="L163" i="60"/>
  <c r="R162" i="60"/>
  <c r="Q162" i="60"/>
  <c r="P162" i="60"/>
  <c r="O162" i="60"/>
  <c r="N162" i="60"/>
  <c r="M162" i="60"/>
  <c r="L162" i="60"/>
  <c r="R161" i="60"/>
  <c r="Q161" i="60"/>
  <c r="P161" i="60"/>
  <c r="O161" i="60"/>
  <c r="N161" i="60"/>
  <c r="M161" i="60"/>
  <c r="L161" i="60"/>
  <c r="R160" i="60"/>
  <c r="Q160" i="60"/>
  <c r="P160" i="60"/>
  <c r="O160" i="60"/>
  <c r="N160" i="60"/>
  <c r="M160" i="60"/>
  <c r="L160" i="60"/>
  <c r="R159" i="60"/>
  <c r="Q159" i="60"/>
  <c r="P159" i="60"/>
  <c r="O159" i="60"/>
  <c r="N159" i="60"/>
  <c r="M159" i="60"/>
  <c r="L159" i="60"/>
  <c r="R158" i="60"/>
  <c r="Q158" i="60"/>
  <c r="P158" i="60"/>
  <c r="O158" i="60"/>
  <c r="N158" i="60"/>
  <c r="M158" i="60"/>
  <c r="L158" i="60"/>
  <c r="R157" i="60"/>
  <c r="Q157" i="60"/>
  <c r="P157" i="60"/>
  <c r="O157" i="60"/>
  <c r="N157" i="60"/>
  <c r="M157" i="60"/>
  <c r="L157" i="60"/>
  <c r="R156" i="60"/>
  <c r="Q156" i="60"/>
  <c r="P156" i="60"/>
  <c r="O156" i="60"/>
  <c r="N156" i="60"/>
  <c r="M156" i="60"/>
  <c r="L156" i="60"/>
  <c r="R155" i="60"/>
  <c r="Q155" i="60"/>
  <c r="P155" i="60"/>
  <c r="O155" i="60"/>
  <c r="N155" i="60"/>
  <c r="M155" i="60"/>
  <c r="L155" i="60"/>
  <c r="R154" i="60"/>
  <c r="Q154" i="60"/>
  <c r="P154" i="60"/>
  <c r="O154" i="60"/>
  <c r="N154" i="60"/>
  <c r="M154" i="60"/>
  <c r="L154" i="60"/>
  <c r="R153" i="60"/>
  <c r="Q153" i="60"/>
  <c r="P153" i="60"/>
  <c r="O153" i="60"/>
  <c r="N153" i="60"/>
  <c r="M153" i="60"/>
  <c r="L153" i="60"/>
  <c r="R152" i="60"/>
  <c r="Q152" i="60"/>
  <c r="P152" i="60"/>
  <c r="O152" i="60"/>
  <c r="N152" i="60"/>
  <c r="M152" i="60"/>
  <c r="L152" i="60"/>
  <c r="R151" i="60"/>
  <c r="Q151" i="60"/>
  <c r="P151" i="60"/>
  <c r="O151" i="60"/>
  <c r="N151" i="60"/>
  <c r="M151" i="60"/>
  <c r="L151" i="60"/>
  <c r="R150" i="60"/>
  <c r="Q150" i="60"/>
  <c r="P150" i="60"/>
  <c r="O150" i="60"/>
  <c r="N150" i="60"/>
  <c r="M150" i="60"/>
  <c r="L150" i="60"/>
  <c r="R149" i="60"/>
  <c r="Q149" i="60"/>
  <c r="P149" i="60"/>
  <c r="O149" i="60"/>
  <c r="N149" i="60"/>
  <c r="M149" i="60"/>
  <c r="L149" i="60"/>
  <c r="R148" i="60"/>
  <c r="Q148" i="60"/>
  <c r="P148" i="60"/>
  <c r="O148" i="60"/>
  <c r="N148" i="60"/>
  <c r="M148" i="60"/>
  <c r="L148" i="60"/>
  <c r="R147" i="60"/>
  <c r="Q147" i="60"/>
  <c r="P147" i="60"/>
  <c r="O147" i="60"/>
  <c r="N147" i="60"/>
  <c r="M147" i="60"/>
  <c r="L147" i="60"/>
  <c r="R146" i="60"/>
  <c r="Q146" i="60"/>
  <c r="P146" i="60"/>
  <c r="O146" i="60"/>
  <c r="N146" i="60"/>
  <c r="M146" i="60"/>
  <c r="L146" i="60"/>
  <c r="R145" i="60"/>
  <c r="Q145" i="60"/>
  <c r="P145" i="60"/>
  <c r="O145" i="60"/>
  <c r="N145" i="60"/>
  <c r="M145" i="60"/>
  <c r="L145" i="60"/>
  <c r="R144" i="60"/>
  <c r="Q144" i="60"/>
  <c r="P144" i="60"/>
  <c r="O144" i="60"/>
  <c r="N144" i="60"/>
  <c r="M144" i="60"/>
  <c r="L144" i="60"/>
  <c r="R143" i="60"/>
  <c r="Q143" i="60"/>
  <c r="P143" i="60"/>
  <c r="O143" i="60"/>
  <c r="N143" i="60"/>
  <c r="M143" i="60"/>
  <c r="L143" i="60"/>
  <c r="R142" i="60"/>
  <c r="Q142" i="60"/>
  <c r="P142" i="60"/>
  <c r="O142" i="60"/>
  <c r="N142" i="60"/>
  <c r="M142" i="60"/>
  <c r="L142" i="60"/>
  <c r="R141" i="60"/>
  <c r="Q141" i="60"/>
  <c r="P141" i="60"/>
  <c r="O141" i="60"/>
  <c r="N141" i="60"/>
  <c r="M141" i="60"/>
  <c r="L141" i="60"/>
  <c r="R140" i="60"/>
  <c r="Q140" i="60"/>
  <c r="P140" i="60"/>
  <c r="O140" i="60"/>
  <c r="N140" i="60"/>
  <c r="M140" i="60"/>
  <c r="L140" i="60"/>
  <c r="R139" i="60"/>
  <c r="Q139" i="60"/>
  <c r="P139" i="60"/>
  <c r="O139" i="60"/>
  <c r="N139" i="60"/>
  <c r="M139" i="60"/>
  <c r="L139" i="60"/>
  <c r="R138" i="60"/>
  <c r="Q138" i="60"/>
  <c r="P138" i="60"/>
  <c r="O138" i="60"/>
  <c r="N138" i="60"/>
  <c r="M138" i="60"/>
  <c r="L138" i="60"/>
  <c r="R137" i="60"/>
  <c r="Q137" i="60"/>
  <c r="P137" i="60"/>
  <c r="O137" i="60"/>
  <c r="N137" i="60"/>
  <c r="M137" i="60"/>
  <c r="L137" i="60"/>
  <c r="R136" i="60"/>
  <c r="Q136" i="60"/>
  <c r="P136" i="60"/>
  <c r="O136" i="60"/>
  <c r="N136" i="60"/>
  <c r="M136" i="60"/>
  <c r="L136" i="60"/>
  <c r="R135" i="60"/>
  <c r="Q135" i="60"/>
  <c r="P135" i="60"/>
  <c r="O135" i="60"/>
  <c r="N135" i="60"/>
  <c r="M135" i="60"/>
  <c r="L135" i="60"/>
  <c r="R134" i="60"/>
  <c r="Q134" i="60"/>
  <c r="P134" i="60"/>
  <c r="O134" i="60"/>
  <c r="N134" i="60"/>
  <c r="M134" i="60"/>
  <c r="L134" i="60"/>
  <c r="R133" i="60"/>
  <c r="Q133" i="60"/>
  <c r="P133" i="60"/>
  <c r="O133" i="60"/>
  <c r="N133" i="60"/>
  <c r="M133" i="60"/>
  <c r="L133" i="60"/>
  <c r="R132" i="60"/>
  <c r="Q132" i="60"/>
  <c r="P132" i="60"/>
  <c r="O132" i="60"/>
  <c r="N132" i="60"/>
  <c r="M132" i="60"/>
  <c r="L132" i="60"/>
  <c r="R131" i="60"/>
  <c r="Q131" i="60"/>
  <c r="P131" i="60"/>
  <c r="O131" i="60"/>
  <c r="N131" i="60"/>
  <c r="M131" i="60"/>
  <c r="L131" i="60"/>
  <c r="R130" i="60"/>
  <c r="Q130" i="60"/>
  <c r="P130" i="60"/>
  <c r="O130" i="60"/>
  <c r="N130" i="60"/>
  <c r="M130" i="60"/>
  <c r="L130" i="60"/>
  <c r="R129" i="60"/>
  <c r="Q129" i="60"/>
  <c r="P129" i="60"/>
  <c r="O129" i="60"/>
  <c r="N129" i="60"/>
  <c r="M129" i="60"/>
  <c r="L129" i="60"/>
  <c r="R128" i="60"/>
  <c r="Q128" i="60"/>
  <c r="P128" i="60"/>
  <c r="O128" i="60"/>
  <c r="N128" i="60"/>
  <c r="M128" i="60"/>
  <c r="L128" i="60"/>
  <c r="R127" i="60"/>
  <c r="Q127" i="60"/>
  <c r="P127" i="60"/>
  <c r="O127" i="60"/>
  <c r="N127" i="60"/>
  <c r="M127" i="60"/>
  <c r="L127" i="60"/>
  <c r="R126" i="60"/>
  <c r="Q126" i="60"/>
  <c r="P126" i="60"/>
  <c r="O126" i="60"/>
  <c r="N126" i="60"/>
  <c r="M126" i="60"/>
  <c r="L126" i="60"/>
  <c r="R125" i="60"/>
  <c r="Q125" i="60"/>
  <c r="P125" i="60"/>
  <c r="O125" i="60"/>
  <c r="N125" i="60"/>
  <c r="M125" i="60"/>
  <c r="L125" i="60"/>
  <c r="Z124" i="60"/>
  <c r="Y124" i="60"/>
  <c r="X124" i="60"/>
  <c r="W124" i="60"/>
  <c r="V124" i="60"/>
  <c r="U124" i="60"/>
  <c r="T124" i="60"/>
  <c r="Z123" i="60"/>
  <c r="Y123" i="60"/>
  <c r="X123" i="60"/>
  <c r="W123" i="60"/>
  <c r="V123" i="60"/>
  <c r="U123" i="60"/>
  <c r="T123" i="60"/>
  <c r="Z122" i="60"/>
  <c r="Y122" i="60"/>
  <c r="X122" i="60"/>
  <c r="W122" i="60"/>
  <c r="V122" i="60"/>
  <c r="U122" i="60"/>
  <c r="T122" i="60"/>
  <c r="Z121" i="60"/>
  <c r="Y121" i="60"/>
  <c r="X121" i="60"/>
  <c r="W121" i="60"/>
  <c r="V121" i="60"/>
  <c r="U121" i="60"/>
  <c r="T121" i="60"/>
  <c r="Z120" i="60"/>
  <c r="Y120" i="60"/>
  <c r="X120" i="60"/>
  <c r="W120" i="60"/>
  <c r="V120" i="60"/>
  <c r="U120" i="60"/>
  <c r="T120" i="60"/>
  <c r="Z119" i="60"/>
  <c r="Y119" i="60"/>
  <c r="X119" i="60"/>
  <c r="W119" i="60"/>
  <c r="V119" i="60"/>
  <c r="U119" i="60"/>
  <c r="T119" i="60"/>
  <c r="Z118" i="60"/>
  <c r="Y118" i="60"/>
  <c r="X118" i="60"/>
  <c r="W118" i="60"/>
  <c r="V118" i="60"/>
  <c r="U118" i="60"/>
  <c r="T118" i="60"/>
  <c r="Z117" i="60"/>
  <c r="Y117" i="60"/>
  <c r="X117" i="60"/>
  <c r="W117" i="60"/>
  <c r="V117" i="60"/>
  <c r="U117" i="60"/>
  <c r="T117" i="60"/>
  <c r="Z116" i="60"/>
  <c r="Y116" i="60"/>
  <c r="X116" i="60"/>
  <c r="W116" i="60"/>
  <c r="V116" i="60"/>
  <c r="U116" i="60"/>
  <c r="T116" i="60"/>
  <c r="Z115" i="60"/>
  <c r="Y115" i="60"/>
  <c r="X115" i="60"/>
  <c r="W115" i="60"/>
  <c r="V115" i="60"/>
  <c r="U115" i="60"/>
  <c r="T115" i="60"/>
  <c r="Z114" i="60"/>
  <c r="Y114" i="60"/>
  <c r="X114" i="60"/>
  <c r="W114" i="60"/>
  <c r="V114" i="60"/>
  <c r="U114" i="60"/>
  <c r="T114" i="60"/>
  <c r="Z113" i="60"/>
  <c r="Y113" i="60"/>
  <c r="X113" i="60"/>
  <c r="W113" i="60"/>
  <c r="V113" i="60"/>
  <c r="U113" i="60"/>
  <c r="T113" i="60"/>
  <c r="Z112" i="60"/>
  <c r="Y112" i="60"/>
  <c r="X112" i="60"/>
  <c r="W112" i="60"/>
  <c r="V112" i="60"/>
  <c r="U112" i="60"/>
  <c r="T112" i="60"/>
  <c r="Z111" i="60"/>
  <c r="Y111" i="60"/>
  <c r="X111" i="60"/>
  <c r="W111" i="60"/>
  <c r="V111" i="60"/>
  <c r="U111" i="60"/>
  <c r="T111" i="60"/>
  <c r="Z110" i="60"/>
  <c r="Y110" i="60"/>
  <c r="X110" i="60"/>
  <c r="W110" i="60"/>
  <c r="V110" i="60"/>
  <c r="U110" i="60"/>
  <c r="T110" i="60"/>
  <c r="Z109" i="60"/>
  <c r="Y109" i="60"/>
  <c r="X109" i="60"/>
  <c r="W109" i="60"/>
  <c r="V109" i="60"/>
  <c r="U109" i="60"/>
  <c r="T109" i="60"/>
  <c r="Z108" i="60"/>
  <c r="Y108" i="60"/>
  <c r="X108" i="60"/>
  <c r="W108" i="60"/>
  <c r="V108" i="60"/>
  <c r="U108" i="60"/>
  <c r="T108" i="60"/>
  <c r="Z107" i="60"/>
  <c r="Y107" i="60"/>
  <c r="X107" i="60"/>
  <c r="W107" i="60"/>
  <c r="V107" i="60"/>
  <c r="U107" i="60"/>
  <c r="T107" i="60"/>
  <c r="Z106" i="60"/>
  <c r="Y106" i="60"/>
  <c r="X106" i="60"/>
  <c r="W106" i="60"/>
  <c r="V106" i="60"/>
  <c r="U106" i="60"/>
  <c r="T106" i="60"/>
  <c r="Z105" i="60"/>
  <c r="Y105" i="60"/>
  <c r="X105" i="60"/>
  <c r="W105" i="60"/>
  <c r="V105" i="60"/>
  <c r="U105" i="60"/>
  <c r="T105" i="60"/>
  <c r="Z104" i="60"/>
  <c r="Y104" i="60"/>
  <c r="X104" i="60"/>
  <c r="W104" i="60"/>
  <c r="V104" i="60"/>
  <c r="U104" i="60"/>
  <c r="T104" i="60"/>
  <c r="Z103" i="60"/>
  <c r="Y103" i="60"/>
  <c r="X103" i="60"/>
  <c r="W103" i="60"/>
  <c r="V103" i="60"/>
  <c r="U103" i="60"/>
  <c r="T103" i="60"/>
  <c r="Z102" i="60"/>
  <c r="Y102" i="60"/>
  <c r="X102" i="60"/>
  <c r="W102" i="60"/>
  <c r="V102" i="60"/>
  <c r="U102" i="60"/>
  <c r="T102" i="60"/>
  <c r="Z101" i="60"/>
  <c r="Y101" i="60"/>
  <c r="X101" i="60"/>
  <c r="W101" i="60"/>
  <c r="V101" i="60"/>
  <c r="U101" i="60"/>
  <c r="T101" i="60"/>
  <c r="Z100" i="60"/>
  <c r="Y100" i="60"/>
  <c r="X100" i="60"/>
  <c r="W100" i="60"/>
  <c r="V100" i="60"/>
  <c r="U100" i="60"/>
  <c r="T100" i="60"/>
  <c r="Z99" i="60"/>
  <c r="Y99" i="60"/>
  <c r="X99" i="60"/>
  <c r="W99" i="60"/>
  <c r="V99" i="60"/>
  <c r="U99" i="60"/>
  <c r="T99" i="60"/>
  <c r="Z98" i="60"/>
  <c r="Y98" i="60"/>
  <c r="X98" i="60"/>
  <c r="W98" i="60"/>
  <c r="V98" i="60"/>
  <c r="U98" i="60"/>
  <c r="T98" i="60"/>
  <c r="Z97" i="60"/>
  <c r="Y97" i="60"/>
  <c r="X97" i="60"/>
  <c r="W97" i="60"/>
  <c r="V97" i="60"/>
  <c r="U97" i="60"/>
  <c r="T97" i="60"/>
  <c r="Z96" i="60"/>
  <c r="Y96" i="60"/>
  <c r="X96" i="60"/>
  <c r="W96" i="60"/>
  <c r="V96" i="60"/>
  <c r="U96" i="60"/>
  <c r="T96" i="60"/>
  <c r="Z95" i="60"/>
  <c r="Y95" i="60"/>
  <c r="X95" i="60"/>
  <c r="W95" i="60"/>
  <c r="V95" i="60"/>
  <c r="U95" i="60"/>
  <c r="T95" i="60"/>
  <c r="Z94" i="60"/>
  <c r="Y94" i="60"/>
  <c r="X94" i="60"/>
  <c r="W94" i="60"/>
  <c r="V94" i="60"/>
  <c r="U94" i="60"/>
  <c r="T94" i="60"/>
  <c r="Z93" i="60"/>
  <c r="Y93" i="60"/>
  <c r="X93" i="60"/>
  <c r="W93" i="60"/>
  <c r="V93" i="60"/>
  <c r="U93" i="60"/>
  <c r="T93" i="60"/>
  <c r="Z92" i="60"/>
  <c r="Y92" i="60"/>
  <c r="X92" i="60"/>
  <c r="W92" i="60"/>
  <c r="V92" i="60"/>
  <c r="U92" i="60"/>
  <c r="T92" i="60"/>
  <c r="Z91" i="60"/>
  <c r="Y91" i="60"/>
  <c r="X91" i="60"/>
  <c r="W91" i="60"/>
  <c r="V91" i="60"/>
  <c r="U91" i="60"/>
  <c r="T91" i="60"/>
  <c r="Z90" i="60"/>
  <c r="Y90" i="60"/>
  <c r="X90" i="60"/>
  <c r="W90" i="60"/>
  <c r="V90" i="60"/>
  <c r="U90" i="60"/>
  <c r="T90" i="60"/>
  <c r="Z89" i="60"/>
  <c r="Y89" i="60"/>
  <c r="X89" i="60"/>
  <c r="W89" i="60"/>
  <c r="V89" i="60"/>
  <c r="U89" i="60"/>
  <c r="T89" i="60"/>
  <c r="Z88" i="60"/>
  <c r="Y88" i="60"/>
  <c r="X88" i="60"/>
  <c r="W88" i="60"/>
  <c r="V88" i="60"/>
  <c r="U88" i="60"/>
  <c r="T88" i="60"/>
  <c r="Z87" i="60"/>
  <c r="Y87" i="60"/>
  <c r="X87" i="60"/>
  <c r="W87" i="60"/>
  <c r="V87" i="60"/>
  <c r="U87" i="60"/>
  <c r="T87" i="60"/>
  <c r="Z86" i="60"/>
  <c r="Y86" i="60"/>
  <c r="X86" i="60"/>
  <c r="W86" i="60"/>
  <c r="V86" i="60"/>
  <c r="U86" i="60"/>
  <c r="T86" i="60"/>
  <c r="Z85" i="60"/>
  <c r="Y85" i="60"/>
  <c r="X85" i="60"/>
  <c r="W85" i="60"/>
  <c r="V85" i="60"/>
  <c r="U85" i="60"/>
  <c r="T85" i="60"/>
  <c r="Z84" i="60"/>
  <c r="Y84" i="60"/>
  <c r="X84" i="60"/>
  <c r="W84" i="60"/>
  <c r="V84" i="60"/>
  <c r="U84" i="60"/>
  <c r="T84" i="60"/>
  <c r="Z83" i="60"/>
  <c r="Y83" i="60"/>
  <c r="X83" i="60"/>
  <c r="W83" i="60"/>
  <c r="V83" i="60"/>
  <c r="U83" i="60"/>
  <c r="T83" i="60"/>
  <c r="Z82" i="60"/>
  <c r="Y82" i="60"/>
  <c r="X82" i="60"/>
  <c r="W82" i="60"/>
  <c r="V82" i="60"/>
  <c r="U82" i="60"/>
  <c r="T82" i="60"/>
  <c r="Z81" i="60"/>
  <c r="Y81" i="60"/>
  <c r="X81" i="60"/>
  <c r="W81" i="60"/>
  <c r="V81" i="60"/>
  <c r="U81" i="60"/>
  <c r="T81" i="60"/>
  <c r="Z80" i="60"/>
  <c r="Y80" i="60"/>
  <c r="X80" i="60"/>
  <c r="W80" i="60"/>
  <c r="V80" i="60"/>
  <c r="U80" i="60"/>
  <c r="T80" i="60"/>
  <c r="Z79" i="60"/>
  <c r="Y79" i="60"/>
  <c r="X79" i="60"/>
  <c r="W79" i="60"/>
  <c r="V79" i="60"/>
  <c r="U79" i="60"/>
  <c r="T79" i="60"/>
  <c r="Z78" i="60"/>
  <c r="Y78" i="60"/>
  <c r="X78" i="60"/>
  <c r="W78" i="60"/>
  <c r="V78" i="60"/>
  <c r="U78" i="60"/>
  <c r="T78" i="60"/>
  <c r="Z77" i="60"/>
  <c r="Y77" i="60"/>
  <c r="X77" i="60"/>
  <c r="W77" i="60"/>
  <c r="V77" i="60"/>
  <c r="U77" i="60"/>
  <c r="T77" i="60"/>
  <c r="Z76" i="60"/>
  <c r="Y76" i="60"/>
  <c r="X76" i="60"/>
  <c r="W76" i="60"/>
  <c r="V76" i="60"/>
  <c r="U76" i="60"/>
  <c r="T76" i="60"/>
  <c r="Z75" i="60"/>
  <c r="Y75" i="60"/>
  <c r="X75" i="60"/>
  <c r="W75" i="60"/>
  <c r="V75" i="60"/>
  <c r="U75" i="60"/>
  <c r="T75" i="60"/>
  <c r="Z74" i="60"/>
  <c r="Y74" i="60"/>
  <c r="X74" i="60"/>
  <c r="W74" i="60"/>
  <c r="V74" i="60"/>
  <c r="U74" i="60"/>
  <c r="T74" i="60"/>
  <c r="Z73" i="60"/>
  <c r="Y73" i="60"/>
  <c r="X73" i="60"/>
  <c r="W73" i="60"/>
  <c r="V73" i="60"/>
  <c r="U73" i="60"/>
  <c r="T73" i="60"/>
  <c r="Z72" i="60"/>
  <c r="Y72" i="60"/>
  <c r="X72" i="60"/>
  <c r="W72" i="60"/>
  <c r="V72" i="60"/>
  <c r="U72" i="60"/>
  <c r="T72" i="60"/>
  <c r="Z71" i="60"/>
  <c r="Y71" i="60"/>
  <c r="X71" i="60"/>
  <c r="W71" i="60"/>
  <c r="V71" i="60"/>
  <c r="U71" i="60"/>
  <c r="T71" i="60"/>
  <c r="Z70" i="60"/>
  <c r="Y70" i="60"/>
  <c r="X70" i="60"/>
  <c r="W70" i="60"/>
  <c r="V70" i="60"/>
  <c r="U70" i="60"/>
  <c r="T70" i="60"/>
  <c r="Z69" i="60"/>
  <c r="Y69" i="60"/>
  <c r="X69" i="60"/>
  <c r="W69" i="60"/>
  <c r="V69" i="60"/>
  <c r="U69" i="60"/>
  <c r="T69" i="60"/>
  <c r="Z68" i="60"/>
  <c r="Y68" i="60"/>
  <c r="X68" i="60"/>
  <c r="W68" i="60"/>
  <c r="V68" i="60"/>
  <c r="U68" i="60"/>
  <c r="T68" i="60"/>
  <c r="Z67" i="60"/>
  <c r="Y67" i="60"/>
  <c r="X67" i="60"/>
  <c r="W67" i="60"/>
  <c r="V67" i="60"/>
  <c r="U67" i="60"/>
  <c r="T67" i="60"/>
  <c r="Z66" i="60"/>
  <c r="Y66" i="60"/>
  <c r="X66" i="60"/>
  <c r="W66" i="60"/>
  <c r="V66" i="60"/>
  <c r="U66" i="60"/>
  <c r="T66" i="60"/>
  <c r="Z65" i="60"/>
  <c r="Y65" i="60"/>
  <c r="X65" i="60"/>
  <c r="W65" i="60"/>
  <c r="V65" i="60"/>
  <c r="U65" i="60"/>
  <c r="T65" i="60"/>
  <c r="Z64" i="60"/>
  <c r="Y64" i="60"/>
  <c r="X64" i="60"/>
  <c r="W64" i="60"/>
  <c r="V64" i="60"/>
  <c r="U64" i="60"/>
  <c r="T64" i="60"/>
  <c r="Z63" i="60"/>
  <c r="Y63" i="60"/>
  <c r="X63" i="60"/>
  <c r="W63" i="60"/>
  <c r="V63" i="60"/>
  <c r="U63" i="60"/>
  <c r="T63" i="60"/>
  <c r="Z62" i="60"/>
  <c r="Y62" i="60"/>
  <c r="X62" i="60"/>
  <c r="W62" i="60"/>
  <c r="V62" i="60"/>
  <c r="U62" i="60"/>
  <c r="T62" i="60"/>
  <c r="Z61" i="60"/>
  <c r="Y61" i="60"/>
  <c r="X61" i="60"/>
  <c r="W61" i="60"/>
  <c r="V61" i="60"/>
  <c r="U61" i="60"/>
  <c r="T61" i="60"/>
  <c r="Z60" i="60"/>
  <c r="Y60" i="60"/>
  <c r="X60" i="60"/>
  <c r="W60" i="60"/>
  <c r="V60" i="60"/>
  <c r="U60" i="60"/>
  <c r="T60" i="60"/>
  <c r="Z59" i="60"/>
  <c r="Y59" i="60"/>
  <c r="X59" i="60"/>
  <c r="W59" i="60"/>
  <c r="V59" i="60"/>
  <c r="U59" i="60"/>
  <c r="T59" i="60"/>
  <c r="Z58" i="60"/>
  <c r="Y58" i="60"/>
  <c r="X58" i="60"/>
  <c r="W58" i="60"/>
  <c r="V58" i="60"/>
  <c r="U58" i="60"/>
  <c r="T58" i="60"/>
  <c r="Z57" i="60"/>
  <c r="Y57" i="60"/>
  <c r="X57" i="60"/>
  <c r="W57" i="60"/>
  <c r="V57" i="60"/>
  <c r="U57" i="60"/>
  <c r="T57" i="60"/>
  <c r="Z56" i="60"/>
  <c r="Y56" i="60"/>
  <c r="X56" i="60"/>
  <c r="W56" i="60"/>
  <c r="V56" i="60"/>
  <c r="U56" i="60"/>
  <c r="T56" i="60"/>
  <c r="Z55" i="60"/>
  <c r="Y55" i="60"/>
  <c r="X55" i="60"/>
  <c r="W55" i="60"/>
  <c r="V55" i="60"/>
  <c r="U55" i="60"/>
  <c r="T55" i="60"/>
  <c r="Z54" i="60"/>
  <c r="Y54" i="60"/>
  <c r="X54" i="60"/>
  <c r="W54" i="60"/>
  <c r="V54" i="60"/>
  <c r="U54" i="60"/>
  <c r="T54" i="60"/>
  <c r="Z53" i="60"/>
  <c r="Y53" i="60"/>
  <c r="X53" i="60"/>
  <c r="W53" i="60"/>
  <c r="V53" i="60"/>
  <c r="U53" i="60"/>
  <c r="T53" i="60"/>
  <c r="Z52" i="60"/>
  <c r="Y52" i="60"/>
  <c r="X52" i="60"/>
  <c r="W52" i="60"/>
  <c r="V52" i="60"/>
  <c r="U52" i="60"/>
  <c r="T52" i="60"/>
  <c r="Z51" i="60"/>
  <c r="Y51" i="60"/>
  <c r="X51" i="60"/>
  <c r="W51" i="60"/>
  <c r="V51" i="60"/>
  <c r="U51" i="60"/>
  <c r="T51" i="60"/>
  <c r="Z50" i="60"/>
  <c r="Y50" i="60"/>
  <c r="X50" i="60"/>
  <c r="W50" i="60"/>
  <c r="V50" i="60"/>
  <c r="U50" i="60"/>
  <c r="T50" i="60"/>
  <c r="Z49" i="60"/>
  <c r="Y49" i="60"/>
  <c r="X49" i="60"/>
  <c r="W49" i="60"/>
  <c r="V49" i="60"/>
  <c r="U49" i="60"/>
  <c r="T49" i="60"/>
  <c r="Z48" i="60"/>
  <c r="Y48" i="60"/>
  <c r="X48" i="60"/>
  <c r="W48" i="60"/>
  <c r="V48" i="60"/>
  <c r="U48" i="60"/>
  <c r="T48" i="60"/>
  <c r="Z47" i="60"/>
  <c r="Y47" i="60"/>
  <c r="X47" i="60"/>
  <c r="W47" i="60"/>
  <c r="V47" i="60"/>
  <c r="U47" i="60"/>
  <c r="T47" i="60"/>
  <c r="Z46" i="60"/>
  <c r="Y46" i="60"/>
  <c r="X46" i="60"/>
  <c r="W46" i="60"/>
  <c r="V46" i="60"/>
  <c r="U46" i="60"/>
  <c r="T46" i="60"/>
  <c r="Z45" i="60"/>
  <c r="Y45" i="60"/>
  <c r="X45" i="60"/>
  <c r="W45" i="60"/>
  <c r="V45" i="60"/>
  <c r="U45" i="60"/>
  <c r="T45" i="60"/>
  <c r="Z44" i="60"/>
  <c r="Y44" i="60"/>
  <c r="X44" i="60"/>
  <c r="W44" i="60"/>
  <c r="V44" i="60"/>
  <c r="U44" i="60"/>
  <c r="T44" i="60"/>
  <c r="Z43" i="60"/>
  <c r="Y43" i="60"/>
  <c r="X43" i="60"/>
  <c r="W43" i="60"/>
  <c r="V43" i="60"/>
  <c r="U43" i="60"/>
  <c r="T43" i="60"/>
  <c r="Z42" i="60"/>
  <c r="Y42" i="60"/>
  <c r="X42" i="60"/>
  <c r="W42" i="60"/>
  <c r="V42" i="60"/>
  <c r="U42" i="60"/>
  <c r="T42" i="60"/>
  <c r="Z41" i="60"/>
  <c r="Y41" i="60"/>
  <c r="X41" i="60"/>
  <c r="W41" i="60"/>
  <c r="V41" i="60"/>
  <c r="U41" i="60"/>
  <c r="T41" i="60"/>
  <c r="Z40" i="60"/>
  <c r="Y40" i="60"/>
  <c r="X40" i="60"/>
  <c r="W40" i="60"/>
  <c r="V40" i="60"/>
  <c r="U40" i="60"/>
  <c r="T40" i="60"/>
  <c r="Z39" i="60"/>
  <c r="Y39" i="60"/>
  <c r="X39" i="60"/>
  <c r="W39" i="60"/>
  <c r="V39" i="60"/>
  <c r="U39" i="60"/>
  <c r="T39" i="60"/>
  <c r="Z38" i="60"/>
  <c r="Y38" i="60"/>
  <c r="X38" i="60"/>
  <c r="W38" i="60"/>
  <c r="V38" i="60"/>
  <c r="U38" i="60"/>
  <c r="T38" i="60"/>
  <c r="Z37" i="60"/>
  <c r="Y37" i="60"/>
  <c r="X37" i="60"/>
  <c r="W37" i="60"/>
  <c r="V37" i="60"/>
  <c r="U37" i="60"/>
  <c r="T37" i="60"/>
  <c r="Z36" i="60"/>
  <c r="Y36" i="60"/>
  <c r="X36" i="60"/>
  <c r="W36" i="60"/>
  <c r="V36" i="60"/>
  <c r="U36" i="60"/>
  <c r="T36" i="60"/>
  <c r="Z35" i="60"/>
  <c r="Y35" i="60"/>
  <c r="X35" i="60"/>
  <c r="W35" i="60"/>
  <c r="V35" i="60"/>
  <c r="U35" i="60"/>
  <c r="T35" i="60"/>
  <c r="Z34" i="60"/>
  <c r="Y34" i="60"/>
  <c r="X34" i="60"/>
  <c r="W34" i="60"/>
  <c r="V34" i="60"/>
  <c r="U34" i="60"/>
  <c r="T34" i="60"/>
  <c r="Z33" i="60"/>
  <c r="Y33" i="60"/>
  <c r="X33" i="60"/>
  <c r="W33" i="60"/>
  <c r="V33" i="60"/>
  <c r="U33" i="60"/>
  <c r="T33" i="60"/>
  <c r="Z32" i="60"/>
  <c r="Y32" i="60"/>
  <c r="X32" i="60"/>
  <c r="W32" i="60"/>
  <c r="V32" i="60"/>
  <c r="U32" i="60"/>
  <c r="T32" i="60"/>
  <c r="Z31" i="60"/>
  <c r="Y31" i="60"/>
  <c r="X31" i="60"/>
  <c r="W31" i="60"/>
  <c r="V31" i="60"/>
  <c r="U31" i="60"/>
  <c r="T31" i="60"/>
  <c r="Z30" i="60"/>
  <c r="Y30" i="60"/>
  <c r="X30" i="60"/>
  <c r="W30" i="60"/>
  <c r="V30" i="60"/>
  <c r="U30" i="60"/>
  <c r="T30" i="60"/>
  <c r="Z29" i="60"/>
  <c r="Y29" i="60"/>
  <c r="X29" i="60"/>
  <c r="W29" i="60"/>
  <c r="V29" i="60"/>
  <c r="U29" i="60"/>
  <c r="T29" i="60"/>
  <c r="Z28" i="60"/>
  <c r="Y28" i="60"/>
  <c r="X28" i="60"/>
  <c r="W28" i="60"/>
  <c r="V28" i="60"/>
  <c r="U28" i="60"/>
  <c r="T28" i="60"/>
  <c r="Z27" i="60"/>
  <c r="Y27" i="60"/>
  <c r="X27" i="60"/>
  <c r="W27" i="60"/>
  <c r="V27" i="60"/>
  <c r="U27" i="60"/>
  <c r="T27" i="60"/>
  <c r="Z26" i="60"/>
  <c r="Y26" i="60"/>
  <c r="X26" i="60"/>
  <c r="W26" i="60"/>
  <c r="V26" i="60"/>
  <c r="U26" i="60"/>
  <c r="T26" i="60"/>
  <c r="Z25" i="60"/>
  <c r="Y25" i="60"/>
  <c r="X25" i="60"/>
  <c r="W25" i="60"/>
  <c r="V25" i="60"/>
  <c r="U25" i="60"/>
  <c r="T25" i="60"/>
  <c r="Z24" i="60"/>
  <c r="Y24" i="60"/>
  <c r="X24" i="60"/>
  <c r="W24" i="60"/>
  <c r="V24" i="60"/>
  <c r="U24" i="60"/>
  <c r="T24" i="60"/>
  <c r="Z23" i="60"/>
  <c r="Y23" i="60"/>
  <c r="X23" i="60"/>
  <c r="W23" i="60"/>
  <c r="V23" i="60"/>
  <c r="U23" i="60"/>
  <c r="T23" i="60"/>
  <c r="Z22" i="60"/>
  <c r="Y22" i="60"/>
  <c r="X22" i="60"/>
  <c r="W22" i="60"/>
  <c r="V22" i="60"/>
  <c r="U22" i="60"/>
  <c r="T22" i="60"/>
  <c r="Z21" i="60"/>
  <c r="Y21" i="60"/>
  <c r="X21" i="60"/>
  <c r="W21" i="60"/>
  <c r="V21" i="60"/>
  <c r="U21" i="60"/>
  <c r="T21" i="60"/>
  <c r="Z20" i="60"/>
  <c r="Y20" i="60"/>
  <c r="X20" i="60"/>
  <c r="W20" i="60"/>
  <c r="V20" i="60"/>
  <c r="U20" i="60"/>
  <c r="T20" i="60"/>
  <c r="Z19" i="60"/>
  <c r="Y19" i="60"/>
  <c r="X19" i="60"/>
  <c r="W19" i="60"/>
  <c r="V19" i="60"/>
  <c r="U19" i="60"/>
  <c r="T19" i="60"/>
  <c r="Z18" i="60"/>
  <c r="Y18" i="60"/>
  <c r="X18" i="60"/>
  <c r="W18" i="60"/>
  <c r="V18" i="60"/>
  <c r="U18" i="60"/>
  <c r="T18" i="60"/>
  <c r="Z17" i="60"/>
  <c r="Y17" i="60"/>
  <c r="X17" i="60"/>
  <c r="W17" i="60"/>
  <c r="V17" i="60"/>
  <c r="U17" i="60"/>
  <c r="T17" i="60"/>
  <c r="Z16" i="60"/>
  <c r="Y16" i="60"/>
  <c r="X16" i="60"/>
  <c r="W16" i="60"/>
  <c r="V16" i="60"/>
  <c r="U16" i="60"/>
  <c r="T16" i="60"/>
  <c r="Z15" i="60"/>
  <c r="Y15" i="60"/>
  <c r="X15" i="60"/>
  <c r="W15" i="60"/>
  <c r="V15" i="60"/>
  <c r="U15" i="60"/>
  <c r="T15" i="60"/>
  <c r="Z14" i="60"/>
  <c r="Y14" i="60"/>
  <c r="X14" i="60"/>
  <c r="W14" i="60"/>
  <c r="V14" i="60"/>
  <c r="U14" i="60"/>
  <c r="T14" i="60"/>
  <c r="Z13" i="60"/>
  <c r="Y13" i="60"/>
  <c r="X13" i="60"/>
  <c r="W13" i="60"/>
  <c r="V13" i="60"/>
  <c r="U13" i="60"/>
  <c r="T13" i="60"/>
  <c r="Z12" i="60"/>
  <c r="Y12" i="60"/>
  <c r="X12" i="60"/>
  <c r="W12" i="60"/>
  <c r="V12" i="60"/>
  <c r="U12" i="60"/>
  <c r="T12" i="60"/>
  <c r="Z11" i="60"/>
  <c r="Y11" i="60"/>
  <c r="X11" i="60"/>
  <c r="W11" i="60"/>
  <c r="V11" i="60"/>
  <c r="U11" i="60"/>
  <c r="T11" i="60"/>
  <c r="Z10" i="60"/>
  <c r="Y10" i="60"/>
  <c r="X10" i="60"/>
  <c r="W10" i="60"/>
  <c r="V10" i="60"/>
  <c r="U10" i="60"/>
  <c r="T10" i="60"/>
  <c r="Z9" i="60"/>
  <c r="Y9" i="60"/>
  <c r="X9" i="60"/>
  <c r="W9" i="60"/>
  <c r="V9" i="60"/>
  <c r="U9" i="60"/>
  <c r="T9" i="60"/>
  <c r="Z8" i="60"/>
  <c r="Y8" i="60"/>
  <c r="X8" i="60"/>
  <c r="W8" i="60"/>
  <c r="V8" i="60"/>
  <c r="U8" i="60"/>
  <c r="T8" i="60"/>
  <c r="Z7" i="60"/>
  <c r="Y7" i="60"/>
  <c r="X7" i="60"/>
  <c r="W7" i="60"/>
  <c r="V7" i="60"/>
  <c r="U7" i="60"/>
  <c r="T7" i="60"/>
  <c r="Z6" i="60"/>
  <c r="Y6" i="60"/>
  <c r="X6" i="60"/>
  <c r="W6" i="60"/>
  <c r="V6" i="60"/>
  <c r="U6" i="60"/>
  <c r="T6" i="60"/>
  <c r="Z5" i="60"/>
  <c r="Y5" i="60"/>
  <c r="X5" i="60"/>
  <c r="W5" i="60"/>
  <c r="V5" i="60"/>
  <c r="U5" i="60"/>
  <c r="T5" i="60"/>
  <c r="Z4" i="60"/>
  <c r="Y4" i="60"/>
  <c r="X4" i="60"/>
  <c r="W4" i="60"/>
  <c r="V4" i="60"/>
  <c r="U4" i="60"/>
  <c r="T4" i="60"/>
  <c r="U80" i="59"/>
  <c r="V58" i="59"/>
  <c r="I29" i="59"/>
  <c r="H29" i="59"/>
  <c r="G29" i="59"/>
  <c r="F29" i="59"/>
  <c r="E29" i="59"/>
  <c r="D29" i="59"/>
  <c r="C29" i="59"/>
  <c r="I28" i="59"/>
  <c r="H28" i="59"/>
  <c r="G28" i="59"/>
  <c r="F28" i="59"/>
  <c r="E28" i="59"/>
  <c r="D28" i="59"/>
  <c r="C28" i="59"/>
  <c r="I27" i="59"/>
  <c r="Y54" i="59" s="1"/>
  <c r="H27" i="59"/>
  <c r="G27" i="59"/>
  <c r="F27" i="59"/>
  <c r="E27" i="59"/>
  <c r="D27" i="59"/>
  <c r="C27" i="59"/>
  <c r="I26" i="59"/>
  <c r="Y95" i="59" s="1"/>
  <c r="H26" i="59"/>
  <c r="G26" i="59"/>
  <c r="F26" i="59"/>
  <c r="E26" i="59"/>
  <c r="D26" i="59"/>
  <c r="C26" i="59"/>
  <c r="I25" i="59"/>
  <c r="V48" i="59" s="1"/>
  <c r="H25" i="59"/>
  <c r="G25" i="59"/>
  <c r="F25" i="59"/>
  <c r="E25" i="59"/>
  <c r="D25" i="59"/>
  <c r="C25" i="59"/>
  <c r="I24" i="59"/>
  <c r="H24" i="59"/>
  <c r="G24" i="59"/>
  <c r="F24" i="59"/>
  <c r="E24" i="59"/>
  <c r="D24" i="59"/>
  <c r="C24" i="59"/>
  <c r="I23" i="59"/>
  <c r="X89" i="59" s="1"/>
  <c r="H23" i="59"/>
  <c r="G23" i="59"/>
  <c r="F23" i="59"/>
  <c r="E23" i="59"/>
  <c r="D23" i="59"/>
  <c r="C23" i="59"/>
  <c r="I22" i="59"/>
  <c r="V25" i="59" s="1"/>
  <c r="H22" i="59"/>
  <c r="G22" i="59"/>
  <c r="F22" i="59"/>
  <c r="E22" i="59"/>
  <c r="D22" i="59"/>
  <c r="C22" i="59"/>
  <c r="I21" i="59"/>
  <c r="H21" i="59"/>
  <c r="G21" i="59"/>
  <c r="F21" i="59"/>
  <c r="E21" i="59"/>
  <c r="D21" i="59"/>
  <c r="C21" i="59"/>
  <c r="I20" i="59"/>
  <c r="V44" i="59" s="1"/>
  <c r="H20" i="59"/>
  <c r="G20" i="59"/>
  <c r="F20" i="59"/>
  <c r="E20" i="59"/>
  <c r="D20" i="59"/>
  <c r="C20" i="59"/>
  <c r="V19" i="59"/>
  <c r="I19" i="59"/>
  <c r="H19" i="59"/>
  <c r="G19" i="59"/>
  <c r="F19" i="59"/>
  <c r="E19" i="59"/>
  <c r="D19" i="59"/>
  <c r="C19" i="59"/>
  <c r="I18" i="59"/>
  <c r="Y39" i="59" s="1"/>
  <c r="H18" i="59"/>
  <c r="G18" i="59"/>
  <c r="F18" i="59"/>
  <c r="E18" i="59"/>
  <c r="D18" i="59"/>
  <c r="C18" i="59"/>
  <c r="I17" i="59"/>
  <c r="H17" i="59"/>
  <c r="G17" i="59"/>
  <c r="F17" i="59"/>
  <c r="E17" i="59"/>
  <c r="D17" i="59"/>
  <c r="C17" i="59"/>
  <c r="I16" i="59"/>
  <c r="H16" i="59"/>
  <c r="G16" i="59"/>
  <c r="F16" i="59"/>
  <c r="E16" i="59"/>
  <c r="D16" i="59"/>
  <c r="C16" i="59"/>
  <c r="I15" i="59"/>
  <c r="X124" i="59" s="1"/>
  <c r="H15" i="59"/>
  <c r="G15" i="59"/>
  <c r="F15" i="59"/>
  <c r="E15" i="59"/>
  <c r="D15" i="59"/>
  <c r="C15" i="59"/>
  <c r="I14" i="59"/>
  <c r="Z5" i="59" s="1"/>
  <c r="H14" i="59"/>
  <c r="G14" i="59"/>
  <c r="F14" i="59"/>
  <c r="E14" i="59"/>
  <c r="D14" i="59"/>
  <c r="C14" i="59"/>
  <c r="I13" i="59"/>
  <c r="AA124" i="59" s="1"/>
  <c r="H13" i="59"/>
  <c r="G13" i="59"/>
  <c r="F13" i="59"/>
  <c r="E13" i="59"/>
  <c r="D13" i="59"/>
  <c r="C13" i="59"/>
  <c r="I12" i="59"/>
  <c r="H12" i="59"/>
  <c r="G12" i="59"/>
  <c r="F12" i="59"/>
  <c r="E12" i="59"/>
  <c r="D12" i="59"/>
  <c r="C12" i="59"/>
  <c r="I11" i="59"/>
  <c r="H11" i="59"/>
  <c r="G11" i="59"/>
  <c r="F11" i="59"/>
  <c r="E11" i="59"/>
  <c r="D11" i="59"/>
  <c r="C11" i="59"/>
  <c r="I10" i="59"/>
  <c r="H10" i="59"/>
  <c r="G10" i="59"/>
  <c r="F10" i="59"/>
  <c r="E10" i="59"/>
  <c r="D10" i="59"/>
  <c r="C10" i="59"/>
  <c r="I9" i="59"/>
  <c r="AA4" i="59" s="1"/>
  <c r="H9" i="59"/>
  <c r="G9" i="59"/>
  <c r="F9" i="59"/>
  <c r="E9" i="59"/>
  <c r="D9" i="59"/>
  <c r="C9" i="59"/>
  <c r="I8" i="59"/>
  <c r="AA23" i="59" s="1"/>
  <c r="H8" i="59"/>
  <c r="G8" i="59"/>
  <c r="F8" i="59"/>
  <c r="E8" i="59"/>
  <c r="D8" i="59"/>
  <c r="C8" i="59"/>
  <c r="I7" i="59"/>
  <c r="W55" i="59" s="1"/>
  <c r="H7" i="59"/>
  <c r="G7" i="59"/>
  <c r="F7" i="59"/>
  <c r="E7" i="59"/>
  <c r="D7" i="59"/>
  <c r="C7" i="59"/>
  <c r="I6" i="59"/>
  <c r="H6" i="59"/>
  <c r="G6" i="59"/>
  <c r="F6" i="59"/>
  <c r="E6" i="59"/>
  <c r="D6" i="59"/>
  <c r="C6" i="59"/>
  <c r="I5" i="59"/>
  <c r="H5" i="59"/>
  <c r="G5" i="59"/>
  <c r="F5" i="59"/>
  <c r="E5" i="59"/>
  <c r="D5" i="59"/>
  <c r="C5" i="59"/>
  <c r="I4" i="59"/>
  <c r="H4" i="59"/>
  <c r="G4" i="59"/>
  <c r="F4" i="59"/>
  <c r="E4" i="59"/>
  <c r="D4" i="59"/>
  <c r="C4" i="59"/>
  <c r="G9" i="58"/>
  <c r="E9" i="58"/>
  <c r="G7" i="58"/>
  <c r="G5" i="58"/>
  <c r="H220" i="64"/>
  <c r="H219" i="64"/>
  <c r="H218" i="64"/>
  <c r="H217" i="64"/>
  <c r="H216" i="64"/>
  <c r="H215" i="64"/>
  <c r="H214" i="64"/>
  <c r="H213" i="64"/>
  <c r="H212" i="64"/>
  <c r="H211" i="64"/>
  <c r="H210" i="64"/>
  <c r="H209" i="64"/>
  <c r="H208" i="64"/>
  <c r="H207" i="64"/>
  <c r="H206" i="64"/>
  <c r="H205" i="64"/>
  <c r="H204" i="64"/>
  <c r="H203" i="64"/>
  <c r="H202" i="64"/>
  <c r="H201" i="64"/>
  <c r="H200" i="64"/>
  <c r="H199" i="64"/>
  <c r="H198" i="64"/>
  <c r="H197" i="64"/>
  <c r="H196" i="64"/>
  <c r="H195" i="64"/>
  <c r="H194" i="64"/>
  <c r="H193" i="64"/>
  <c r="H192" i="64"/>
  <c r="H191" i="64"/>
  <c r="H190" i="64"/>
  <c r="H189" i="64"/>
  <c r="H188" i="64"/>
  <c r="H187" i="64"/>
  <c r="H186" i="64"/>
  <c r="H185" i="64"/>
  <c r="H184" i="64"/>
  <c r="H183" i="64"/>
  <c r="H182" i="64"/>
  <c r="H181" i="64"/>
  <c r="H180" i="64"/>
  <c r="H179" i="64"/>
  <c r="H178" i="64"/>
  <c r="H177" i="64"/>
  <c r="H176" i="64"/>
  <c r="H175" i="64"/>
  <c r="H174" i="64"/>
  <c r="H173" i="64"/>
  <c r="H172" i="64"/>
  <c r="H171" i="64"/>
  <c r="H170" i="64"/>
  <c r="H169" i="64"/>
  <c r="H168" i="64"/>
  <c r="H167" i="64"/>
  <c r="H166" i="64"/>
  <c r="H165" i="64"/>
  <c r="H164" i="64"/>
  <c r="H163" i="64"/>
  <c r="H162" i="64"/>
  <c r="H161" i="64"/>
  <c r="H160" i="64"/>
  <c r="H159" i="64"/>
  <c r="G159" i="64"/>
  <c r="H158" i="64"/>
  <c r="H157" i="64"/>
  <c r="C157" i="64" a="1"/>
  <c r="C157" i="64" s="1"/>
  <c r="E157" i="64" s="1" a="1"/>
  <c r="E157" i="64" s="1"/>
  <c r="J157" i="64" s="1" a="1"/>
  <c r="J157" i="64" s="1"/>
  <c r="K157" i="64" s="1" a="1"/>
  <c r="K157" i="64" s="1"/>
  <c r="L157" i="64" s="1" a="1"/>
  <c r="L157" i="64" s="1"/>
  <c r="H150" i="64"/>
  <c r="H149" i="64"/>
  <c r="H148" i="64"/>
  <c r="H147" i="64"/>
  <c r="H146" i="64"/>
  <c r="H145" i="64"/>
  <c r="H144" i="64"/>
  <c r="H143" i="64"/>
  <c r="H142" i="64"/>
  <c r="H141" i="64"/>
  <c r="H140" i="64"/>
  <c r="H139" i="64"/>
  <c r="H138" i="64"/>
  <c r="H137" i="64"/>
  <c r="H136" i="64"/>
  <c r="H135" i="64"/>
  <c r="H134" i="64"/>
  <c r="H133" i="64"/>
  <c r="H132" i="64"/>
  <c r="H131" i="64"/>
  <c r="H130" i="64"/>
  <c r="H129" i="64"/>
  <c r="H128" i="64"/>
  <c r="H127" i="64"/>
  <c r="H126" i="64"/>
  <c r="H125" i="64"/>
  <c r="H124" i="64"/>
  <c r="H123" i="64"/>
  <c r="H122" i="64"/>
  <c r="H121" i="64"/>
  <c r="H120" i="64"/>
  <c r="H119" i="64"/>
  <c r="H118" i="64"/>
  <c r="H117" i="64"/>
  <c r="H116" i="64"/>
  <c r="H115" i="64"/>
  <c r="H114" i="64"/>
  <c r="H113" i="64"/>
  <c r="H112" i="64"/>
  <c r="H111" i="64"/>
  <c r="H110" i="64"/>
  <c r="H109" i="64"/>
  <c r="H108" i="64"/>
  <c r="H107" i="64"/>
  <c r="H106" i="64"/>
  <c r="H105" i="64"/>
  <c r="H104" i="64"/>
  <c r="H103" i="64"/>
  <c r="H102" i="64"/>
  <c r="H101" i="64"/>
  <c r="H100" i="64"/>
  <c r="H99" i="64"/>
  <c r="H98" i="64"/>
  <c r="H97" i="64"/>
  <c r="H96" i="64"/>
  <c r="H95" i="64"/>
  <c r="H94" i="64"/>
  <c r="H93" i="64"/>
  <c r="H92" i="64"/>
  <c r="H91" i="64"/>
  <c r="H90" i="64"/>
  <c r="H89" i="64"/>
  <c r="G89" i="64"/>
  <c r="H88" i="64"/>
  <c r="H87" i="64"/>
  <c r="F87" i="64" a="1"/>
  <c r="F87" i="64" s="1"/>
  <c r="E87" i="64" a="1"/>
  <c r="E87" i="64" s="1"/>
  <c r="J87" i="64" s="1" a="1"/>
  <c r="J87" i="64" s="1"/>
  <c r="K87" i="64" s="1" a="1"/>
  <c r="K87" i="64" s="1"/>
  <c r="L87" i="64" s="1" a="1"/>
  <c r="L87" i="64" s="1"/>
  <c r="F4" i="42" s="1" a="1"/>
  <c r="F4" i="42" s="1"/>
  <c r="B85" i="64"/>
  <c r="M80" i="64"/>
  <c r="C79" i="64"/>
  <c r="H78" i="64"/>
  <c r="H77" i="64"/>
  <c r="H76" i="64"/>
  <c r="H75" i="64"/>
  <c r="H74" i="64"/>
  <c r="H73" i="64"/>
  <c r="H72" i="64"/>
  <c r="H71" i="64"/>
  <c r="H70" i="64"/>
  <c r="H69" i="64"/>
  <c r="H68" i="64"/>
  <c r="H67" i="64"/>
  <c r="H66" i="64"/>
  <c r="H65" i="64"/>
  <c r="H64" i="64"/>
  <c r="H63" i="64"/>
  <c r="H62" i="64"/>
  <c r="H61" i="64"/>
  <c r="H60" i="64"/>
  <c r="H59" i="64"/>
  <c r="H58" i="64"/>
  <c r="H57" i="64"/>
  <c r="H56" i="64"/>
  <c r="H55" i="64"/>
  <c r="H54" i="64"/>
  <c r="H53" i="64"/>
  <c r="H52" i="64"/>
  <c r="H51" i="64"/>
  <c r="H50" i="64"/>
  <c r="H49" i="64"/>
  <c r="H48" i="64"/>
  <c r="H47" i="64"/>
  <c r="H46" i="64"/>
  <c r="H45" i="64"/>
  <c r="H44" i="64"/>
  <c r="H43" i="64"/>
  <c r="H42" i="64"/>
  <c r="H41" i="64"/>
  <c r="H40" i="64"/>
  <c r="H39" i="64"/>
  <c r="H38" i="64"/>
  <c r="H37" i="64"/>
  <c r="H36" i="64"/>
  <c r="H35" i="64"/>
  <c r="H34" i="64"/>
  <c r="H33" i="64"/>
  <c r="H32" i="64"/>
  <c r="H31" i="64"/>
  <c r="H30" i="64"/>
  <c r="H29" i="64"/>
  <c r="H28" i="64"/>
  <c r="H27" i="64"/>
  <c r="H26" i="64"/>
  <c r="H25" i="64"/>
  <c r="H24" i="64"/>
  <c r="H23" i="64"/>
  <c r="H22" i="64"/>
  <c r="H21" i="64"/>
  <c r="H20" i="64"/>
  <c r="H19" i="64"/>
  <c r="H18" i="64"/>
  <c r="H17" i="64"/>
  <c r="G17" i="64"/>
  <c r="H16" i="64"/>
  <c r="J15" i="64" a="1"/>
  <c r="J15" i="64" s="1"/>
  <c r="K15" i="64" s="1" a="1"/>
  <c r="K15" i="64" s="1"/>
  <c r="H15" i="64"/>
  <c r="E15" i="64"/>
  <c r="E15" i="64" a="1"/>
  <c r="G8" i="64"/>
  <c r="F8" i="64"/>
  <c r="F15" i="64" a="1"/>
  <c r="B40" i="4"/>
  <c r="C21" i="4"/>
  <c r="A21" i="4"/>
  <c r="C17" i="4"/>
  <c r="A17" i="4"/>
  <c r="A11" i="4"/>
  <c r="A11" i="4" a="1"/>
  <c r="B7" i="4"/>
  <c r="AA66" i="59" l="1"/>
  <c r="Y73" i="59"/>
  <c r="V6" i="59"/>
  <c r="U57" i="59"/>
  <c r="Y6" i="59"/>
  <c r="Z95" i="59"/>
  <c r="X4" i="59"/>
  <c r="W6" i="59"/>
  <c r="Y4" i="59"/>
  <c r="X18" i="59"/>
  <c r="X30" i="59"/>
  <c r="U5" i="59"/>
  <c r="AA7" i="59"/>
  <c r="W7" i="59"/>
  <c r="Z47" i="59"/>
  <c r="X114" i="59"/>
  <c r="V12" i="59"/>
  <c r="W34" i="59"/>
  <c r="X41" i="59"/>
  <c r="Y41" i="59"/>
  <c r="X5" i="59"/>
  <c r="Z6" i="59"/>
  <c r="X19" i="59"/>
  <c r="Z41" i="59"/>
  <c r="X72" i="59"/>
  <c r="AA100" i="59"/>
  <c r="W4" i="59"/>
  <c r="Y5" i="59"/>
  <c r="Y19" i="59"/>
  <c r="U73" i="59"/>
  <c r="V82" i="59"/>
  <c r="U82" i="59"/>
  <c r="W56" i="59"/>
  <c r="AA86" i="59"/>
  <c r="U112" i="59"/>
  <c r="W52" i="59"/>
  <c r="Y111" i="59"/>
  <c r="Z56" i="59"/>
  <c r="G28" i="60"/>
  <c r="E20" i="60"/>
  <c r="C13" i="60"/>
  <c r="G27" i="60"/>
  <c r="D20" i="60"/>
  <c r="E24" i="60"/>
  <c r="F15" i="60"/>
  <c r="E15" i="60"/>
  <c r="D26" i="60"/>
  <c r="C26" i="60"/>
  <c r="B26" i="60"/>
  <c r="H17" i="60"/>
  <c r="G17" i="60"/>
  <c r="G7" i="60"/>
  <c r="H8" i="60"/>
  <c r="E10" i="60"/>
  <c r="B23" i="60"/>
  <c r="C17" i="60"/>
  <c r="H24" i="60"/>
  <c r="F27" i="60"/>
  <c r="C23" i="60"/>
  <c r="G24" i="60"/>
  <c r="H7" i="60"/>
  <c r="B16" i="60"/>
  <c r="H27" i="60"/>
  <c r="C6" i="60"/>
  <c r="D16" i="60"/>
  <c r="F23" i="60"/>
  <c r="G13" i="60"/>
  <c r="C29" i="60"/>
  <c r="F6" i="60"/>
  <c r="D9" i="60"/>
  <c r="B12" i="60"/>
  <c r="H13" i="60"/>
  <c r="F16" i="60"/>
  <c r="D19" i="60"/>
  <c r="B22" i="60"/>
  <c r="H23" i="60"/>
  <c r="F26" i="60"/>
  <c r="D29" i="60"/>
  <c r="G6" i="60"/>
  <c r="E9" i="60"/>
  <c r="C12" i="60"/>
  <c r="G16" i="60"/>
  <c r="E19" i="60"/>
  <c r="C22" i="60"/>
  <c r="G26" i="60"/>
  <c r="E29" i="60"/>
  <c r="B5" i="60"/>
  <c r="H6" i="60"/>
  <c r="F9" i="60"/>
  <c r="D12" i="60"/>
  <c r="B15" i="60"/>
  <c r="H16" i="60"/>
  <c r="F19" i="60"/>
  <c r="D22" i="60"/>
  <c r="B25" i="60"/>
  <c r="H26" i="60"/>
  <c r="F29" i="60"/>
  <c r="C5" i="60"/>
  <c r="G9" i="60"/>
  <c r="E12" i="60"/>
  <c r="C15" i="60"/>
  <c r="G19" i="60"/>
  <c r="E22" i="60"/>
  <c r="C25" i="60"/>
  <c r="G29" i="60"/>
  <c r="D5" i="60"/>
  <c r="B8" i="60"/>
  <c r="H9" i="60"/>
  <c r="F12" i="60"/>
  <c r="D15" i="60"/>
  <c r="B18" i="60"/>
  <c r="H19" i="60"/>
  <c r="F22" i="60"/>
  <c r="D25" i="60"/>
  <c r="B28" i="60"/>
  <c r="H29" i="60"/>
  <c r="F10" i="60"/>
  <c r="D23" i="60"/>
  <c r="C16" i="60"/>
  <c r="E23" i="60"/>
  <c r="B9" i="60"/>
  <c r="B19" i="60"/>
  <c r="B29" i="60"/>
  <c r="E16" i="60"/>
  <c r="G23" i="60"/>
  <c r="C8" i="60"/>
  <c r="G12" i="60"/>
  <c r="E25" i="60"/>
  <c r="B11" i="60"/>
  <c r="D18" i="60"/>
  <c r="F25" i="60"/>
  <c r="G5" i="60"/>
  <c r="E18" i="60"/>
  <c r="G25" i="60"/>
  <c r="F8" i="60"/>
  <c r="H15" i="60"/>
  <c r="B24" i="60"/>
  <c r="C14" i="60"/>
  <c r="C24" i="60"/>
  <c r="D4" i="60"/>
  <c r="F11" i="60"/>
  <c r="B17" i="60"/>
  <c r="H28" i="60"/>
  <c r="E4" i="60"/>
  <c r="G11" i="60"/>
  <c r="C27" i="60"/>
  <c r="F4" i="60"/>
  <c r="D7" i="60"/>
  <c r="B10" i="60"/>
  <c r="H11" i="60"/>
  <c r="F14" i="60"/>
  <c r="D17" i="60"/>
  <c r="B20" i="60"/>
  <c r="H21" i="60"/>
  <c r="F24" i="60"/>
  <c r="D27" i="60"/>
  <c r="D13" i="60"/>
  <c r="F20" i="60"/>
  <c r="G10" i="60"/>
  <c r="D6" i="60"/>
  <c r="F13" i="60"/>
  <c r="E6" i="60"/>
  <c r="C19" i="60"/>
  <c r="E5" i="60"/>
  <c r="C18" i="60"/>
  <c r="G22" i="60"/>
  <c r="F5" i="60"/>
  <c r="H12" i="60"/>
  <c r="B21" i="60"/>
  <c r="D28" i="60"/>
  <c r="E8" i="60"/>
  <c r="G15" i="60"/>
  <c r="C21" i="60"/>
  <c r="H5" i="60"/>
  <c r="B14" i="60"/>
  <c r="D21" i="60"/>
  <c r="H25" i="60"/>
  <c r="C4" i="60"/>
  <c r="E11" i="60"/>
  <c r="E21" i="60"/>
  <c r="B7" i="60"/>
  <c r="D14" i="60"/>
  <c r="H18" i="60"/>
  <c r="D24" i="60"/>
  <c r="C7" i="60"/>
  <c r="E14" i="60"/>
  <c r="G21" i="60"/>
  <c r="G4" i="60"/>
  <c r="E7" i="60"/>
  <c r="C10" i="60"/>
  <c r="G14" i="60"/>
  <c r="E17" i="60"/>
  <c r="C20" i="60"/>
  <c r="E27" i="60"/>
  <c r="B6" i="60"/>
  <c r="E13" i="60"/>
  <c r="G20" i="60"/>
  <c r="H10" i="60"/>
  <c r="H20" i="60"/>
  <c r="C9" i="60"/>
  <c r="E26" i="60"/>
  <c r="C28" i="60"/>
  <c r="D8" i="60"/>
  <c r="H22" i="60"/>
  <c r="C11" i="60"/>
  <c r="E28" i="60"/>
  <c r="B4" i="60"/>
  <c r="D11" i="60"/>
  <c r="F18" i="60"/>
  <c r="F28" i="60"/>
  <c r="G8" i="60"/>
  <c r="G18" i="60"/>
  <c r="F21" i="60"/>
  <c r="B27" i="60"/>
  <c r="H4" i="60"/>
  <c r="F7" i="60"/>
  <c r="D10" i="60"/>
  <c r="B13" i="60"/>
  <c r="H14" i="60"/>
  <c r="F17" i="60"/>
  <c r="AA98" i="59"/>
  <c r="Y42" i="59"/>
  <c r="U27" i="59"/>
  <c r="Y55" i="59"/>
  <c r="Z66" i="59"/>
  <c r="W94" i="59"/>
  <c r="U68" i="59"/>
  <c r="V61" i="59"/>
  <c r="U22" i="59"/>
  <c r="U26" i="59"/>
  <c r="Y61" i="59"/>
  <c r="U88" i="59"/>
  <c r="Y22" i="59"/>
  <c r="Y26" i="59"/>
  <c r="Z48" i="59"/>
  <c r="U75" i="59"/>
  <c r="W104" i="59"/>
  <c r="W117" i="59"/>
  <c r="W68" i="59"/>
  <c r="W114" i="59"/>
  <c r="Y47" i="59"/>
  <c r="U21" i="59"/>
  <c r="X34" i="59"/>
  <c r="AA48" i="59"/>
  <c r="Y75" i="59"/>
  <c r="AA104" i="59"/>
  <c r="Y117" i="59"/>
  <c r="U11" i="59"/>
  <c r="U100" i="59"/>
  <c r="U62" i="59"/>
  <c r="Z117" i="59"/>
  <c r="AA18" i="59"/>
  <c r="V68" i="59"/>
  <c r="Z21" i="59"/>
  <c r="U35" i="59"/>
  <c r="X62" i="59"/>
  <c r="Y23" i="59"/>
  <c r="U87" i="59"/>
  <c r="W21" i="59"/>
  <c r="V20" i="59"/>
  <c r="AA21" i="59"/>
  <c r="Y36" i="59"/>
  <c r="AA62" i="59"/>
  <c r="U79" i="59"/>
  <c r="Z118" i="59"/>
  <c r="W20" i="59"/>
  <c r="Z36" i="59"/>
  <c r="X51" i="59"/>
  <c r="Y79" i="59"/>
  <c r="X106" i="59"/>
  <c r="W10" i="59"/>
  <c r="U19" i="59"/>
  <c r="Y20" i="59"/>
  <c r="V94" i="59"/>
  <c r="X120" i="59"/>
  <c r="W23" i="59"/>
  <c r="AA28" i="59"/>
  <c r="AA33" i="59"/>
  <c r="X55" i="59"/>
  <c r="V72" i="59"/>
  <c r="Y92" i="59"/>
  <c r="W98" i="59"/>
  <c r="V104" i="59"/>
  <c r="W110" i="59"/>
  <c r="W18" i="59"/>
  <c r="U20" i="59"/>
  <c r="U30" i="59"/>
  <c r="W62" i="59"/>
  <c r="W75" i="59"/>
  <c r="Y106" i="59"/>
  <c r="AA20" i="59"/>
  <c r="Y51" i="59"/>
  <c r="U69" i="59"/>
  <c r="W76" i="59"/>
  <c r="W82" i="59"/>
  <c r="Y114" i="59"/>
  <c r="Y121" i="59"/>
  <c r="W44" i="59"/>
  <c r="U58" i="59"/>
  <c r="X69" i="59"/>
  <c r="X76" i="59"/>
  <c r="Y82" i="59"/>
  <c r="V97" i="59"/>
  <c r="V102" i="59"/>
  <c r="U25" i="59"/>
  <c r="Z37" i="59"/>
  <c r="X44" i="59"/>
  <c r="U63" i="59"/>
  <c r="Y76" i="59"/>
  <c r="W97" i="59"/>
  <c r="V103" i="59"/>
  <c r="Y107" i="59"/>
  <c r="W25" i="59"/>
  <c r="AA31" i="59"/>
  <c r="Y44" i="59"/>
  <c r="Z52" i="59"/>
  <c r="W58" i="59"/>
  <c r="U91" i="59"/>
  <c r="Y97" i="59"/>
  <c r="Y103" i="59"/>
  <c r="X108" i="59"/>
  <c r="U14" i="59"/>
  <c r="W15" i="59"/>
  <c r="AA44" i="59"/>
  <c r="AA52" i="59"/>
  <c r="AA58" i="59"/>
  <c r="U71" i="59"/>
  <c r="U77" i="59"/>
  <c r="Y91" i="59"/>
  <c r="Z103" i="59"/>
  <c r="AA108" i="59"/>
  <c r="W115" i="59"/>
  <c r="AA122" i="59"/>
  <c r="Y9" i="59"/>
  <c r="W11" i="59"/>
  <c r="X14" i="59"/>
  <c r="X15" i="59"/>
  <c r="X32" i="59"/>
  <c r="V65" i="59"/>
  <c r="AA71" i="59"/>
  <c r="U78" i="59"/>
  <c r="AA91" i="59"/>
  <c r="AA103" i="59"/>
  <c r="X115" i="59"/>
  <c r="U9" i="59"/>
  <c r="V10" i="59"/>
  <c r="V11" i="59"/>
  <c r="Y10" i="59"/>
  <c r="X11" i="59"/>
  <c r="Y15" i="59"/>
  <c r="U24" i="59"/>
  <c r="V29" i="59"/>
  <c r="Y32" i="59"/>
  <c r="W38" i="59"/>
  <c r="U45" i="59"/>
  <c r="W65" i="59"/>
  <c r="W78" i="59"/>
  <c r="Y84" i="59"/>
  <c r="AA116" i="59"/>
  <c r="Y8" i="59"/>
  <c r="Y11" i="59"/>
  <c r="U12" i="59"/>
  <c r="U13" i="59"/>
  <c r="W24" i="59"/>
  <c r="Y29" i="59"/>
  <c r="Y33" i="59"/>
  <c r="W45" i="59"/>
  <c r="W59" i="59"/>
  <c r="X65" i="59"/>
  <c r="Z84" i="59"/>
  <c r="U92" i="59"/>
  <c r="U110" i="59"/>
  <c r="U123" i="59"/>
  <c r="U4" i="59"/>
  <c r="U6" i="59"/>
  <c r="AA11" i="59"/>
  <c r="Z33" i="59"/>
  <c r="W39" i="59"/>
  <c r="Z45" i="59"/>
  <c r="Y65" i="59"/>
  <c r="U72" i="59"/>
  <c r="X92" i="59"/>
  <c r="U98" i="59"/>
  <c r="V110" i="59"/>
  <c r="V123" i="59"/>
  <c r="X56" i="59"/>
  <c r="Y49" i="59"/>
  <c r="AA68" i="59"/>
  <c r="AA5" i="59"/>
  <c r="V8" i="59"/>
  <c r="U31" i="59"/>
  <c r="U42" i="59"/>
  <c r="X45" i="59"/>
  <c r="Z49" i="59"/>
  <c r="U53" i="59"/>
  <c r="AA56" i="59"/>
  <c r="Y59" i="59"/>
  <c r="U83" i="59"/>
  <c r="U95" i="59"/>
  <c r="X101" i="59"/>
  <c r="AA111" i="59"/>
  <c r="X68" i="59"/>
  <c r="X25" i="59"/>
  <c r="W28" i="59"/>
  <c r="V87" i="59"/>
  <c r="AA25" i="59"/>
  <c r="Z26" i="59"/>
  <c r="AA27" i="59"/>
  <c r="X28" i="59"/>
  <c r="X8" i="59"/>
  <c r="W9" i="59"/>
  <c r="AA26" i="59"/>
  <c r="Y28" i="59"/>
  <c r="U29" i="59"/>
  <c r="X31" i="59"/>
  <c r="V42" i="59"/>
  <c r="Y45" i="59"/>
  <c r="AA49" i="59"/>
  <c r="Z53" i="59"/>
  <c r="Y66" i="59"/>
  <c r="W95" i="59"/>
  <c r="V98" i="59"/>
  <c r="AA101" i="59"/>
  <c r="X104" i="59"/>
  <c r="W107" i="59"/>
  <c r="X118" i="59"/>
  <c r="AA118" i="59"/>
  <c r="AA6" i="59"/>
  <c r="W46" i="59"/>
  <c r="Y115" i="59"/>
  <c r="Z10" i="59"/>
  <c r="W35" i="59"/>
  <c r="X46" i="59"/>
  <c r="V50" i="59"/>
  <c r="V54" i="59"/>
  <c r="V63" i="59"/>
  <c r="V77" i="59"/>
  <c r="V88" i="59"/>
  <c r="W102" i="59"/>
  <c r="Y112" i="59"/>
  <c r="Z32" i="59"/>
  <c r="Y35" i="59"/>
  <c r="Y46" i="59"/>
  <c r="W50" i="59"/>
  <c r="W54" i="59"/>
  <c r="V57" i="59"/>
  <c r="U60" i="59"/>
  <c r="W77" i="59"/>
  <c r="W96" i="59"/>
  <c r="U99" i="59"/>
  <c r="X102" i="59"/>
  <c r="Z112" i="59"/>
  <c r="AA32" i="59"/>
  <c r="U40" i="59"/>
  <c r="U43" i="59"/>
  <c r="Z46" i="59"/>
  <c r="X50" i="59"/>
  <c r="X54" i="59"/>
  <c r="W57" i="59"/>
  <c r="V60" i="59"/>
  <c r="U67" i="59"/>
  <c r="V70" i="59"/>
  <c r="U81" i="59"/>
  <c r="U93" i="59"/>
  <c r="Y96" i="59"/>
  <c r="V99" i="59"/>
  <c r="Y102" i="59"/>
  <c r="U105" i="59"/>
  <c r="U119" i="59"/>
  <c r="Y12" i="59"/>
  <c r="V13" i="59"/>
  <c r="W14" i="59"/>
  <c r="V40" i="59"/>
  <c r="Y43" i="59"/>
  <c r="AA46" i="59"/>
  <c r="Z57" i="59"/>
  <c r="W60" i="59"/>
  <c r="V67" i="59"/>
  <c r="W70" i="59"/>
  <c r="Y74" i="59"/>
  <c r="X81" i="59"/>
  <c r="V93" i="59"/>
  <c r="Z96" i="59"/>
  <c r="W99" i="59"/>
  <c r="AA102" i="59"/>
  <c r="V105" i="59"/>
  <c r="U109" i="59"/>
  <c r="Y119" i="59"/>
  <c r="W13" i="59"/>
  <c r="U17" i="59"/>
  <c r="W40" i="59"/>
  <c r="Z43" i="59"/>
  <c r="AA60" i="59"/>
  <c r="W64" i="59"/>
  <c r="W67" i="59"/>
  <c r="X70" i="59"/>
  <c r="AA81" i="59"/>
  <c r="Y85" i="59"/>
  <c r="U89" i="59"/>
  <c r="Y93" i="59"/>
  <c r="AA96" i="59"/>
  <c r="AA99" i="59"/>
  <c r="Z105" i="59"/>
  <c r="W109" i="59"/>
  <c r="Z119" i="59"/>
  <c r="V124" i="59"/>
  <c r="Y13" i="59"/>
  <c r="Y14" i="59"/>
  <c r="U15" i="59"/>
  <c r="U16" i="59"/>
  <c r="X17" i="59"/>
  <c r="W36" i="59"/>
  <c r="AA40" i="59"/>
  <c r="U47" i="59"/>
  <c r="V55" i="59"/>
  <c r="Y64" i="59"/>
  <c r="X67" i="59"/>
  <c r="AA70" i="59"/>
  <c r="W89" i="59"/>
  <c r="X109" i="59"/>
  <c r="Y113" i="59"/>
  <c r="Y116" i="59"/>
  <c r="W124" i="59"/>
  <c r="V15" i="59"/>
  <c r="Y16" i="59"/>
  <c r="Z17" i="59"/>
  <c r="X36" i="59"/>
  <c r="V47" i="59"/>
  <c r="U51" i="59"/>
  <c r="AA64" i="59"/>
  <c r="U103" i="59"/>
  <c r="Y109" i="59"/>
  <c r="Z116" i="59"/>
  <c r="U74" i="59"/>
  <c r="AA35" i="59"/>
  <c r="AA36" i="59"/>
  <c r="Z97" i="59"/>
  <c r="W87" i="59"/>
  <c r="V18" i="59"/>
  <c r="X77" i="59"/>
  <c r="Z98" i="59"/>
  <c r="AA112" i="59"/>
  <c r="W47" i="59"/>
  <c r="Y83" i="59"/>
  <c r="W71" i="59"/>
  <c r="Y71" i="59"/>
  <c r="X71" i="59"/>
  <c r="X103" i="59"/>
  <c r="W51" i="59"/>
  <c r="V74" i="59"/>
  <c r="V28" i="59"/>
  <c r="X39" i="59"/>
  <c r="U50" i="59"/>
  <c r="V107" i="59"/>
  <c r="Z44" i="59"/>
  <c r="X60" i="59"/>
  <c r="V71" i="59"/>
  <c r="X20" i="59"/>
  <c r="Y31" i="59"/>
  <c r="Z39" i="59"/>
  <c r="V53" i="59"/>
  <c r="Y63" i="59"/>
  <c r="U97" i="59"/>
  <c r="Z102" i="59"/>
  <c r="X107" i="59"/>
  <c r="Z113" i="59"/>
  <c r="AA29" i="59"/>
  <c r="AA9" i="59"/>
  <c r="AA87" i="59"/>
  <c r="AA37" i="59"/>
  <c r="AA85" i="59"/>
  <c r="W106" i="59"/>
  <c r="W32" i="59"/>
  <c r="V32" i="59"/>
  <c r="AA30" i="59"/>
  <c r="X95" i="59"/>
  <c r="AA8" i="59"/>
  <c r="Z85" i="59"/>
  <c r="X122" i="59"/>
  <c r="AA51" i="59"/>
  <c r="V120" i="59"/>
  <c r="V118" i="59"/>
  <c r="Z75" i="59"/>
  <c r="X97" i="59"/>
  <c r="Y27" i="59"/>
  <c r="X75" i="59"/>
  <c r="V33" i="59"/>
  <c r="X9" i="59"/>
  <c r="Z86" i="59"/>
  <c r="V119" i="59"/>
  <c r="AA39" i="59"/>
  <c r="AA113" i="59"/>
  <c r="U7" i="59"/>
  <c r="W42" i="59"/>
  <c r="V81" i="59"/>
  <c r="V49" i="59"/>
  <c r="Y34" i="59"/>
  <c r="AA50" i="59"/>
  <c r="AA53" i="59"/>
  <c r="Z58" i="59"/>
  <c r="W66" i="59"/>
  <c r="X74" i="59"/>
  <c r="V92" i="59"/>
  <c r="U108" i="59"/>
  <c r="AA24" i="59"/>
  <c r="W123" i="59"/>
  <c r="AA47" i="59"/>
  <c r="W81" i="59"/>
  <c r="U54" i="59"/>
  <c r="W41" i="59"/>
  <c r="Z28" i="59"/>
  <c r="AA114" i="59"/>
  <c r="Y52" i="59"/>
  <c r="X29" i="59"/>
  <c r="AA119" i="59"/>
  <c r="U59" i="59"/>
  <c r="AA22" i="59"/>
  <c r="AA78" i="59"/>
  <c r="Y53" i="59"/>
  <c r="AA41" i="59"/>
  <c r="Y24" i="59"/>
  <c r="AA120" i="59"/>
  <c r="Z122" i="59"/>
  <c r="W118" i="59"/>
  <c r="V34" i="59"/>
  <c r="U118" i="59"/>
  <c r="AA93" i="59"/>
  <c r="V14" i="59"/>
  <c r="U41" i="59"/>
  <c r="V35" i="59"/>
  <c r="U113" i="59"/>
  <c r="AA92" i="59"/>
  <c r="Y25" i="59"/>
  <c r="W119" i="59"/>
  <c r="Z76" i="59"/>
  <c r="Y72" i="59"/>
  <c r="X13" i="59"/>
  <c r="Z34" i="59"/>
  <c r="X37" i="59"/>
  <c r="Z42" i="59"/>
  <c r="U48" i="59"/>
  <c r="Y56" i="59"/>
  <c r="U61" i="59"/>
  <c r="X66" i="59"/>
  <c r="W80" i="59"/>
  <c r="W86" i="59"/>
  <c r="W92" i="59"/>
  <c r="W105" i="59"/>
  <c r="V108" i="59"/>
  <c r="Z7" i="59"/>
  <c r="U8" i="59"/>
  <c r="X22" i="59"/>
  <c r="AA34" i="59"/>
  <c r="Y37" i="59"/>
  <c r="AA42" i="59"/>
  <c r="V45" i="59"/>
  <c r="X86" i="59"/>
  <c r="W108" i="59"/>
  <c r="X23" i="59"/>
  <c r="X48" i="59"/>
  <c r="V100" i="59"/>
  <c r="Z111" i="59"/>
  <c r="V59" i="59"/>
  <c r="W84" i="59"/>
  <c r="Y77" i="59"/>
  <c r="X80" i="59"/>
  <c r="X64" i="59"/>
  <c r="X40" i="59"/>
  <c r="V51" i="59"/>
  <c r="W72" i="59"/>
  <c r="Z120" i="59"/>
  <c r="Z60" i="59"/>
  <c r="Z40" i="59"/>
  <c r="U86" i="59"/>
  <c r="Y80" i="59"/>
  <c r="U56" i="59"/>
  <c r="Z14" i="59"/>
  <c r="W31" i="59"/>
  <c r="V21" i="59"/>
  <c r="V111" i="59"/>
  <c r="V64" i="59"/>
  <c r="X94" i="59"/>
  <c r="X52" i="59"/>
  <c r="AA12" i="59"/>
  <c r="W122" i="59"/>
  <c r="Z115" i="59"/>
  <c r="V112" i="59"/>
  <c r="W90" i="59"/>
  <c r="V80" i="59"/>
  <c r="U33" i="59"/>
  <c r="U32" i="59"/>
  <c r="Z101" i="59"/>
  <c r="Y124" i="59"/>
  <c r="Z91" i="59"/>
  <c r="Y81" i="59"/>
  <c r="X99" i="59"/>
  <c r="U85" i="59"/>
  <c r="V79" i="59"/>
  <c r="AA121" i="59"/>
  <c r="AA16" i="59"/>
  <c r="AA123" i="59"/>
  <c r="X119" i="59"/>
  <c r="V39" i="59"/>
  <c r="Z16" i="59"/>
  <c r="U115" i="59"/>
  <c r="U39" i="59"/>
  <c r="Y123" i="59"/>
  <c r="X98" i="59"/>
  <c r="Z8" i="59"/>
  <c r="U38" i="59"/>
  <c r="X113" i="59"/>
  <c r="X33" i="59"/>
  <c r="Z30" i="59"/>
  <c r="W22" i="59"/>
  <c r="W113" i="59"/>
  <c r="Z19" i="59"/>
  <c r="W111" i="59"/>
  <c r="AA75" i="59"/>
  <c r="AA45" i="59"/>
  <c r="Z23" i="59"/>
  <c r="Z13" i="59"/>
  <c r="AA109" i="59"/>
  <c r="Z62" i="59"/>
  <c r="X47" i="59"/>
  <c r="W79" i="59"/>
  <c r="Z72" i="59"/>
  <c r="V69" i="59"/>
  <c r="X57" i="59"/>
  <c r="Z35" i="59"/>
  <c r="AA110" i="59"/>
  <c r="U107" i="59"/>
  <c r="Z63" i="59"/>
  <c r="X58" i="59"/>
  <c r="V38" i="59"/>
  <c r="Z31" i="59"/>
  <c r="X105" i="59"/>
  <c r="Y18" i="59"/>
  <c r="Z79" i="59"/>
  <c r="AA61" i="59"/>
  <c r="V83" i="59"/>
  <c r="Z69" i="59"/>
  <c r="Z55" i="59"/>
  <c r="Y101" i="59"/>
  <c r="V91" i="59"/>
  <c r="V73" i="59"/>
  <c r="Y122" i="59"/>
  <c r="Z27" i="59"/>
  <c r="AA10" i="59"/>
  <c r="X7" i="59"/>
  <c r="U120" i="59"/>
  <c r="Z22" i="59"/>
  <c r="V7" i="59"/>
  <c r="V95" i="59"/>
  <c r="X111" i="59"/>
  <c r="Z12" i="59"/>
  <c r="AA94" i="59"/>
  <c r="AA90" i="59"/>
  <c r="AA76" i="59"/>
  <c r="AA74" i="59"/>
  <c r="X12" i="59"/>
  <c r="U121" i="59"/>
  <c r="W88" i="59"/>
  <c r="X82" i="59"/>
  <c r="X78" i="59"/>
  <c r="X24" i="59"/>
  <c r="W49" i="59"/>
  <c r="Z54" i="59"/>
  <c r="Z59" i="59"/>
  <c r="V62" i="59"/>
  <c r="V78" i="59"/>
  <c r="V5" i="59"/>
  <c r="Y17" i="59"/>
  <c r="W30" i="59"/>
  <c r="X35" i="59"/>
  <c r="X38" i="59"/>
  <c r="X49" i="59"/>
  <c r="AA54" i="59"/>
  <c r="U90" i="59"/>
  <c r="V101" i="59"/>
  <c r="Z106" i="59"/>
  <c r="W112" i="59"/>
  <c r="W5" i="59"/>
  <c r="AA15" i="59"/>
  <c r="Z38" i="59"/>
  <c r="AA43" i="59"/>
  <c r="U52" i="59"/>
  <c r="Z87" i="59"/>
  <c r="AA106" i="59"/>
  <c r="X112" i="59"/>
  <c r="Z110" i="59"/>
  <c r="Z90" i="59"/>
  <c r="X73" i="59"/>
  <c r="Z70" i="59"/>
  <c r="X53" i="59"/>
  <c r="V36" i="59"/>
  <c r="AA107" i="59"/>
  <c r="W93" i="59"/>
  <c r="W73" i="59"/>
  <c r="U66" i="59"/>
  <c r="Z29" i="59"/>
  <c r="U114" i="59"/>
  <c r="W101" i="59"/>
  <c r="U94" i="59"/>
  <c r="X121" i="59"/>
  <c r="Z104" i="59"/>
  <c r="Z114" i="59"/>
  <c r="Z77" i="59"/>
  <c r="V37" i="59"/>
  <c r="U10" i="59"/>
  <c r="U70" i="59"/>
  <c r="U65" i="59"/>
  <c r="Z11" i="59"/>
  <c r="W100" i="59"/>
  <c r="V90" i="59"/>
  <c r="Z124" i="59"/>
  <c r="V114" i="59"/>
  <c r="V23" i="59"/>
  <c r="Z73" i="59"/>
  <c r="Z65" i="59"/>
  <c r="Z61" i="59"/>
  <c r="AA59" i="59"/>
  <c r="Y69" i="59"/>
  <c r="Z89" i="59"/>
  <c r="Z83" i="59"/>
  <c r="Z93" i="59"/>
  <c r="Z71" i="59"/>
  <c r="AA13" i="59"/>
  <c r="U122" i="59"/>
  <c r="X91" i="59"/>
  <c r="V89" i="59"/>
  <c r="V85" i="59"/>
  <c r="Z107" i="59"/>
  <c r="X117" i="59"/>
  <c r="V113" i="59"/>
  <c r="V109" i="59"/>
  <c r="X21" i="59"/>
  <c r="V115" i="59"/>
  <c r="Z88" i="59"/>
  <c r="Z82" i="59"/>
  <c r="Z20" i="59"/>
  <c r="Z123" i="59"/>
  <c r="Z92" i="59"/>
  <c r="Z78" i="59"/>
  <c r="Z94" i="59"/>
  <c r="X90" i="59"/>
  <c r="Y86" i="59"/>
  <c r="Z74" i="59"/>
  <c r="V4" i="59"/>
  <c r="X61" i="59"/>
  <c r="W8" i="59"/>
  <c r="Z108" i="59"/>
  <c r="V24" i="59"/>
  <c r="X59" i="59"/>
  <c r="Z64" i="59"/>
  <c r="Z9" i="59"/>
  <c r="V30" i="59"/>
  <c r="Z51" i="59"/>
  <c r="V84" i="59"/>
  <c r="Z15" i="59"/>
  <c r="X10" i="59"/>
  <c r="AA17" i="59"/>
  <c r="W33" i="59"/>
  <c r="V31" i="59"/>
  <c r="Y7" i="59"/>
  <c r="X6" i="59"/>
  <c r="W121" i="59"/>
  <c r="AA38" i="59"/>
  <c r="V41" i="59"/>
  <c r="V52" i="59"/>
  <c r="U55" i="59"/>
  <c r="X96" i="59"/>
  <c r="V9" i="59"/>
  <c r="AA80" i="59"/>
  <c r="X88" i="59"/>
  <c r="AA84" i="59"/>
  <c r="Z121" i="59"/>
  <c r="Z25" i="59"/>
  <c r="W103" i="59"/>
  <c r="U37" i="59"/>
  <c r="AA88" i="59"/>
  <c r="V96" i="59"/>
  <c r="X93" i="59"/>
  <c r="Z80" i="59"/>
  <c r="Z50" i="59"/>
  <c r="AA117" i="59"/>
  <c r="U106" i="59"/>
  <c r="W83" i="59"/>
  <c r="Y50" i="59"/>
  <c r="Z24" i="59"/>
  <c r="AA115" i="59"/>
  <c r="AA65" i="59"/>
  <c r="V16" i="59"/>
  <c r="X84" i="59"/>
  <c r="W69" i="59"/>
  <c r="X42" i="59"/>
  <c r="X26" i="59"/>
  <c r="X16" i="59"/>
  <c r="V121" i="59"/>
  <c r="AA82" i="59"/>
  <c r="V117" i="59"/>
  <c r="V75" i="59"/>
  <c r="U18" i="59"/>
  <c r="X110" i="59"/>
  <c r="AA63" i="59"/>
  <c r="Z4" i="59"/>
  <c r="X85" i="59"/>
  <c r="X63" i="59"/>
  <c r="V46" i="59"/>
  <c r="Y110" i="59"/>
  <c r="W53" i="59"/>
  <c r="W43" i="59"/>
  <c r="V22" i="59"/>
  <c r="AA95" i="59"/>
  <c r="Y88" i="59"/>
  <c r="W61" i="59"/>
  <c r="AA55" i="59"/>
  <c r="Y48" i="59"/>
  <c r="U44" i="59"/>
  <c r="X116" i="59"/>
  <c r="X79" i="59"/>
  <c r="U49" i="59"/>
  <c r="Y104" i="59"/>
  <c r="Y99" i="59"/>
  <c r="W19" i="59"/>
  <c r="Y21" i="59"/>
  <c r="V122" i="59"/>
  <c r="U117" i="59"/>
  <c r="U23" i="59"/>
  <c r="AA67" i="59"/>
  <c r="Y68" i="59"/>
  <c r="Z67" i="59"/>
  <c r="Y67" i="59"/>
  <c r="Z68" i="59"/>
  <c r="W48" i="59"/>
  <c r="AA79" i="59"/>
  <c r="Z81" i="59"/>
  <c r="X87" i="59"/>
  <c r="X27" i="59"/>
  <c r="AA69" i="59"/>
  <c r="AA83" i="59"/>
  <c r="Y87" i="59"/>
  <c r="AA89" i="59"/>
  <c r="W120" i="59"/>
  <c r="V76" i="59"/>
  <c r="V56" i="59"/>
  <c r="X43" i="59"/>
  <c r="AA14" i="59"/>
  <c r="W12" i="59"/>
  <c r="Y120" i="59"/>
  <c r="AA57" i="59"/>
  <c r="AA105" i="59"/>
  <c r="Y58" i="59"/>
  <c r="Y38" i="59"/>
  <c r="X123" i="59"/>
  <c r="V106" i="59"/>
  <c r="W27" i="59"/>
  <c r="W17" i="59"/>
  <c r="U116" i="59"/>
  <c r="Y100" i="59"/>
  <c r="U96" i="59"/>
  <c r="Y90" i="59"/>
  <c r="U76" i="59"/>
  <c r="Y60" i="59"/>
  <c r="U46" i="59"/>
  <c r="Y40" i="59"/>
  <c r="U124" i="59"/>
  <c r="Y118" i="59"/>
  <c r="Y108" i="59"/>
  <c r="Y98" i="59"/>
  <c r="W91" i="59"/>
  <c r="U64" i="59"/>
  <c r="U34" i="59"/>
  <c r="Z18" i="59"/>
  <c r="X83" i="59"/>
  <c r="U28" i="59"/>
  <c r="V43" i="59"/>
  <c r="AA73" i="59"/>
  <c r="W85" i="59"/>
  <c r="X100" i="59"/>
  <c r="U102" i="59"/>
  <c r="Y105" i="59"/>
  <c r="W16" i="59"/>
  <c r="W26" i="59"/>
  <c r="W29" i="59"/>
  <c r="Y62" i="59"/>
  <c r="Z109" i="59"/>
  <c r="U111" i="59"/>
  <c r="W116" i="59"/>
  <c r="V116" i="59"/>
  <c r="Z100" i="59"/>
  <c r="V86" i="59"/>
  <c r="V66" i="59"/>
  <c r="AA19" i="59"/>
  <c r="AA97" i="59"/>
  <c r="AA77" i="59"/>
  <c r="Y70" i="59"/>
  <c r="W63" i="59"/>
  <c r="U36" i="59"/>
  <c r="Y30" i="59"/>
  <c r="V27" i="59"/>
  <c r="U104" i="59"/>
  <c r="U84" i="59"/>
  <c r="Y78" i="59"/>
  <c r="V26" i="59"/>
  <c r="V17" i="59"/>
  <c r="W37" i="59"/>
  <c r="Y57" i="59"/>
  <c r="AA72" i="59"/>
  <c r="W74" i="59"/>
  <c r="Y89" i="59"/>
  <c r="Y94" i="59"/>
  <c r="Z99" i="59"/>
  <c r="U101" i="59"/>
  <c r="N80" i="66"/>
  <c r="F15" i="66"/>
  <c r="N87" i="66" a="1"/>
  <c r="N87" i="66" s="1"/>
  <c r="L15" i="66" a="1"/>
  <c r="L15" i="66" s="1"/>
  <c r="F157" i="64" a="1"/>
  <c r="F157" i="64" s="1"/>
  <c r="J7" i="64" a="1"/>
  <c r="J7" i="64" s="1"/>
  <c r="M87" i="64" a="1"/>
  <c r="M87" i="64" s="1"/>
  <c r="N87" i="64" s="1" a="1"/>
  <c r="N87" i="64" s="1"/>
  <c r="M157" i="64" a="1"/>
  <c r="M157" i="64" s="1"/>
  <c r="J8" i="64" a="1"/>
  <c r="J8" i="64" s="1"/>
  <c r="K79" i="64"/>
  <c r="F15" i="64"/>
  <c r="N80" i="64"/>
  <c r="C8" i="64" s="1"/>
  <c r="M15" i="66" l="1" a="1"/>
  <c r="I7" i="66" a="1"/>
  <c r="I7" i="66" s="1"/>
  <c r="N157" i="64" a="1"/>
  <c r="N157" i="64" s="1"/>
  <c r="D8" i="64" s="1"/>
  <c r="H8" i="64" s="1"/>
  <c r="S157" i="64" a="1"/>
  <c r="S157" i="64" s="1"/>
  <c r="P157" i="64" a="1"/>
  <c r="P157" i="64" s="1"/>
  <c r="S87" i="64" a="1"/>
  <c r="S87" i="64" s="1"/>
  <c r="P87" i="64" a="1"/>
  <c r="P87" i="64" s="1"/>
  <c r="L15" i="64" a="1"/>
  <c r="L15" i="64" s="1"/>
  <c r="M15" i="66" l="1"/>
  <c r="F7" i="66"/>
  <c r="E8" i="64"/>
  <c r="I7" i="64" a="1"/>
  <c r="I7" i="64" s="1"/>
  <c r="M15" i="64" a="1"/>
  <c r="G7" i="66" l="1"/>
  <c r="D7" i="66"/>
  <c r="N15" i="66" a="1"/>
  <c r="N15" i="66" s="1"/>
  <c r="C7" i="66" s="1"/>
  <c r="E7" i="66" s="1"/>
  <c r="M15" i="64"/>
  <c r="F7" i="64"/>
  <c r="H7" i="66" l="1"/>
  <c r="G7" i="64"/>
  <c r="D7" i="64"/>
  <c r="S15" i="64" a="1"/>
  <c r="S15" i="64" s="1"/>
  <c r="P15" i="64" a="1"/>
  <c r="P15" i="64" s="1"/>
  <c r="N15" i="64" a="1"/>
  <c r="N15" i="64" s="1"/>
  <c r="C7" i="64" s="1"/>
  <c r="H7" i="64" l="1"/>
  <c r="E7" i="6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<sst xmlns="http://schemas.openxmlformats.org/spreadsheetml/2006/main" count="13774" uniqueCount="278">
  <si>
    <t>Reel #</t>
    <phoneticPr fontId="23" type="noConversion"/>
  </si>
  <si>
    <t>Visible Window Size</t>
    <phoneticPr fontId="23" type="noConversion"/>
  </si>
  <si>
    <t>Symbol</t>
    <phoneticPr fontId="23" type="noConversion"/>
  </si>
  <si>
    <t>ID</t>
  </si>
  <si>
    <t>Description</t>
  </si>
  <si>
    <t>R1</t>
    <phoneticPr fontId="23" type="noConversion"/>
  </si>
  <si>
    <t>R2</t>
    <phoneticPr fontId="23" type="noConversion"/>
  </si>
  <si>
    <t>R3</t>
    <phoneticPr fontId="23" type="noConversion"/>
  </si>
  <si>
    <t>R4</t>
    <phoneticPr fontId="23" type="noConversion"/>
  </si>
  <si>
    <t>R5</t>
    <phoneticPr fontId="23" type="noConversion"/>
  </si>
  <si>
    <t>ID</t>
    <phoneticPr fontId="23" type="noConversion"/>
  </si>
  <si>
    <t>Line #</t>
    <phoneticPr fontId="23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</si>
  <si>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</si>
  <si>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</si>
  <si>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</si>
  <si>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</si>
  <si>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</si>
  <si>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</si>
  <si>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</si>
  <si>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</si>
  <si>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</si>
  <si>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</si>
  <si>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</si>
  <si>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</si>
  <si>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</si>
  <si>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</si>
  <si>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</si>
  <si>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</si>
  <si>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</si>
  <si>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</si>
  <si>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3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</si>
  <si>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</si>
  <si>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</si>
  <si>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</si>
  <si>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</si>
  <si>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</si>
  <si>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</si>
  <si>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</si>
  <si>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</si>
  <si>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</si>
  <si>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</si>
  <si>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</si>
  <si>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</si>
  <si>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</si>
  <si>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</si>
  <si>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</si>
  <si>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</si>
  <si>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3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</si>
  <si>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</si>
  <si>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</si>
  <si>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</si>
  <si>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</si>
  <si>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</si>
  <si>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3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</si>
  <si>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</si>
  <si>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</si>
  <si>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</si>
  <si>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8" type="noConversion"/>
  </si>
  <si>
    <t>Upper</t>
    <phoneticPr fontId="28" type="noConversion"/>
  </si>
  <si>
    <t>Simulator RTP</t>
    <phoneticPr fontId="28" type="noConversion"/>
  </si>
  <si>
    <t>Range</t>
    <phoneticPr fontId="28" type="noConversion"/>
  </si>
  <si>
    <t>Threshold</t>
  </si>
  <si>
    <t>Hit Rate</t>
    <phoneticPr fontId="28" type="noConversion"/>
  </si>
  <si>
    <t>Free Game</t>
    <phoneticPr fontId="28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</si>
  <si>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</si>
  <si>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</si>
  <si>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</si>
  <si>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</si>
  <si>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</si>
  <si>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</si>
  <si>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</si>
  <si>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</si>
  <si>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</si>
  <si>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</si>
  <si>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</si>
  <si>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</si>
  <si>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</si>
  <si>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</si>
  <si>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</si>
  <si>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</si>
  <si>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</si>
  <si>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</si>
  <si>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</si>
  <si>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</si>
  <si>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</si>
  <si>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</si>
  <si>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</si>
  <si>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</si>
  <si>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8" type="noConversion"/>
  </si>
  <si>
    <t>M6</t>
  </si>
  <si>
    <t>M6</t>
    <phoneticPr fontId="20" type="noConversion"/>
  </si>
  <si>
    <t>Buy Feature</t>
    <phoneticPr fontId="20" type="noConversion"/>
  </si>
  <si>
    <t>Initial 2</t>
    <phoneticPr fontId="20" type="noConversion"/>
  </si>
  <si>
    <t>MY Weight</t>
  </si>
  <si>
    <t>MY1</t>
    <phoneticPr fontId="20" type="noConversion"/>
  </si>
  <si>
    <t>M6</t>
    <phoneticPr fontId="23" type="noConversion"/>
  </si>
  <si>
    <t>A</t>
    <phoneticPr fontId="23" type="noConversion"/>
  </si>
  <si>
    <t>BaseGame</t>
    <phoneticPr fontId="20" type="noConversion"/>
  </si>
  <si>
    <t>權重</t>
    <phoneticPr fontId="20" type="noConversion"/>
  </si>
  <si>
    <t>FreeGame</t>
    <phoneticPr fontId="20" type="noConversion"/>
  </si>
  <si>
    <t>Initial 1</t>
  </si>
  <si>
    <t>MY</t>
    <phoneticPr fontId="20" type="noConversion"/>
  </si>
  <si>
    <t>Post Scatter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</si>
  <si>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phoneticPr fontId="23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</si>
  <si>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</si>
  <si>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</si>
  <si>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</si>
  <si>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t>Retrigger</t>
    <phoneticPr fontId="20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</si>
  <si>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</si>
  <si>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</si>
  <si>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Initial 3</t>
  </si>
  <si>
    <t>BG Reel Height</t>
    <phoneticPr fontId="20" type="noConversion"/>
  </si>
  <si>
    <t>Hit Rate</t>
  </si>
  <si>
    <t>Model:</t>
  </si>
  <si>
    <t>Base Bet</t>
    <phoneticPr fontId="23" type="noConversion"/>
  </si>
  <si>
    <t>Multiway</t>
    <phoneticPr fontId="23" type="noConversion"/>
  </si>
  <si>
    <t>Coin in</t>
    <phoneticPr fontId="23" type="noConversion"/>
  </si>
  <si>
    <t>Price(x)</t>
    <phoneticPr fontId="23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</si>
  <si>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</si>
  <si>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</si>
  <si>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3" type="noConversion"/>
  </si>
  <si>
    <t xml:space="preserve">Pay Back </t>
    <phoneticPr fontId="23" type="noConversion"/>
  </si>
  <si>
    <t>Hit%</t>
    <phoneticPr fontId="23" type="noConversion"/>
  </si>
  <si>
    <t>Pulls/Hit</t>
    <phoneticPr fontId="23" type="noConversion"/>
  </si>
  <si>
    <t>Description</t>
    <phoneticPr fontId="23" type="noConversion"/>
  </si>
  <si>
    <t>Free Game</t>
    <phoneticPr fontId="23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</si>
  <si>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</si>
  <si>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3" type="noConversion"/>
  </si>
  <si>
    <t>H028192A</t>
    <phoneticPr fontId="23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</si>
  <si>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</si>
  <si>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</si>
  <si>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</si>
  <si>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8" type="noConversion"/>
  </si>
  <si>
    <t>Weight_NB_FG</t>
    <phoneticPr fontId="28" type="noConversion"/>
  </si>
  <si>
    <t>Weight_BF_FG</t>
    <phoneticPr fontId="28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</si>
  <si>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</si>
  <si>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</si>
  <si>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</si>
  <si>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</si>
  <si>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</si>
  <si>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</si>
  <si>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</si>
  <si>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</si>
  <si>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</si>
  <si>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</si>
  <si>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</si>
  <si>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</si>
  <si>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</si>
  <si>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</si>
  <si>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</si>
  <si>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</si>
  <si>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</si>
  <si>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</si>
  <si>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</si>
  <si>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</si>
  <si>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</si>
  <si>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</si>
  <si>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</si>
  <si>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</si>
  <si>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</si>
  <si>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</si>
  <si>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</si>
  <si>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</si>
  <si>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</si>
  <si>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</si>
  <si>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</si>
  <si>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</si>
  <si>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</si>
  <si>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</si>
  <si>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</si>
  <si>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</si>
  <si>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</si>
  <si>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</si>
  <si>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</si>
  <si>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</si>
  <si>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</si>
  <si>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</si>
  <si>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</si>
  <si>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</si>
  <si>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</si>
  <si>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</si>
  <si>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</si>
  <si>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</si>
  <si>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</si>
  <si>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</si>
  <si>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</si>
  <si>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</si>
  <si>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</si>
  <si>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</si>
  <si>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</si>
  <si>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</si>
  <si>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</si>
  <si>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</si>
  <si>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</si>
  <si>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</si>
  <si>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</si>
  <si>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</si>
  <si>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</si>
  <si>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</si>
  <si>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</si>
  <si>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</si>
  <si>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</si>
  <si>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</si>
  <si>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</si>
  <si>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</si>
  <si>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</si>
  <si>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</si>
  <si>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</si>
  <si>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</si>
  <si>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</si>
  <si>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</si>
  <si>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</si>
  <si>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</si>
  <si>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</si>
  <si>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</si>
  <si>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</si>
  <si>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</si>
  <si>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</si>
  <si>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</si>
  <si>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</si>
  <si>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</si>
  <si>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</si>
  <si>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</si>
  <si>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8" type="noConversion"/>
  </si>
  <si>
    <t>Fix Rate</t>
    <phoneticPr fontId="28" type="noConversion"/>
  </si>
  <si>
    <t>Final Rate</t>
    <phoneticPr fontId="28" type="noConversion"/>
  </si>
  <si>
    <t>Weight</t>
    <phoneticPr fontId="28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</si>
  <si>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</si>
  <si>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</si>
  <si>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</si>
  <si>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1.0.0.4</t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</si>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</sst>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4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name val="新細明體"/>
      <family val="1"/>
      <charset val="136"/>
      <scheme val="minor"/>
    </font>
    <font>
      <sz val="12"/>
      <color theme="1"/>
      <name val="新細明體"/>
      <family val="3"/>
      <charset val="136"/>
    </font>
    <font>
      <sz val="11"/>
      <color rgb="FF0A0A0A"/>
      <name val="Segoe UI"/>
      <family val="2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7A1E3"/>
        <bgColor indexed="64"/>
      </patternFill>
    </fill>
    <fill>
      <patternFill patternType="solid">
        <fgColor rgb="FFDCF0C6"/>
        <bgColor indexed="64"/>
      </patternFill>
    </fill>
    <fill>
      <patternFill patternType="solid">
        <fgColor rgb="FFB9E1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242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25" fillId="0" borderId="0" xfId="0" applyFont="1" applyAlignment="1">
      <alignment vertical="center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4" borderId="11" xfId="0" applyFont="1" applyFill="1" applyBorder="1" applyAlignment="1">
      <alignment horizontal="center" vertical="center"/>
    </xf>
    <xf numFmtId="0" fontId="27" fillId="0" borderId="10" xfId="0" applyFont="1" applyBorder="1" applyAlignment="1">
      <alignment horizontal="center"/>
    </xf>
    <xf numFmtId="0" fontId="27" fillId="0" borderId="11" xfId="0" applyFont="1" applyBorder="1" applyAlignment="1">
      <alignment horizontal="center"/>
    </xf>
    <xf numFmtId="0" fontId="19" fillId="35" borderId="11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19" fillId="37" borderId="11" xfId="0" applyFont="1" applyFill="1" applyBorder="1" applyAlignment="1">
      <alignment horizontal="center" vertical="center"/>
    </xf>
    <xf numFmtId="0" fontId="19" fillId="38" borderId="11" xfId="0" applyFont="1" applyFill="1" applyBorder="1" applyAlignment="1">
      <alignment horizontal="center" vertical="center"/>
    </xf>
    <xf numFmtId="0" fontId="19" fillId="39" borderId="11" xfId="0" applyFont="1" applyFill="1" applyBorder="1" applyAlignment="1">
      <alignment horizontal="center" vertical="top" wrapText="1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7" fillId="0" borderId="11" xfId="0" applyFont="1" applyBorder="1" applyAlignment="1">
      <alignment horizontal="center" vertical="center"/>
    </xf>
    <xf numFmtId="0" fontId="27" fillId="44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7" fillId="0" borderId="11" xfId="0" applyFont="1" applyFill="1" applyBorder="1" applyAlignment="1">
      <alignment horizontal="center"/>
    </xf>
    <xf numFmtId="0" fontId="27" fillId="34" borderId="11" xfId="0" applyFont="1" applyFill="1" applyBorder="1" applyAlignment="1">
      <alignment horizontal="center" vertical="center"/>
    </xf>
    <xf numFmtId="0" fontId="27" fillId="0" borderId="0" xfId="26597" applyFont="1"/>
    <xf numFmtId="0" fontId="27" fillId="0" borderId="0" xfId="0" applyFont="1" applyFill="1"/>
    <xf numFmtId="0" fontId="27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horizontal="right" vertical="center"/>
    </xf>
    <xf numFmtId="0" fontId="19" fillId="45" borderId="11" xfId="0" applyFont="1" applyFill="1" applyBorder="1"/>
    <xf numFmtId="0" fontId="19" fillId="0" borderId="11" xfId="0" applyFont="1" applyBorder="1"/>
    <xf numFmtId="0" fontId="19" fillId="0" borderId="13" xfId="0" applyFont="1" applyFill="1" applyBorder="1" applyAlignment="1">
      <alignment vertical="center"/>
    </xf>
    <xf numFmtId="0" fontId="2" fillId="40" borderId="17" xfId="26499" applyFill="1" applyBorder="1"/>
    <xf numFmtId="0" fontId="22" fillId="0" borderId="22" xfId="26499" applyFont="1" applyBorder="1" applyAlignment="1">
      <alignment horizontal="center" vertical="top" wrapText="1"/>
    </xf>
    <xf numFmtId="0" fontId="22" fillId="0" borderId="17" xfId="26499" applyFont="1" applyBorder="1" applyAlignment="1">
      <alignment horizontal="center" vertical="center" wrapText="1"/>
    </xf>
    <xf numFmtId="0" fontId="27" fillId="41" borderId="18" xfId="61100" applyFont="1" applyFill="1" applyBorder="1" applyAlignment="1">
      <alignment horizontal="center" vertical="center"/>
    </xf>
    <xf numFmtId="0" fontId="27" fillId="41" borderId="21" xfId="61100" applyFont="1" applyFill="1" applyBorder="1" applyAlignment="1">
      <alignment horizontal="center" vertical="center"/>
    </xf>
    <xf numFmtId="0" fontId="27" fillId="0" borderId="19" xfId="6110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46" borderId="19" xfId="0" applyFill="1" applyBorder="1" applyAlignment="1">
      <alignment horizontal="center" vertical="center"/>
    </xf>
    <xf numFmtId="0" fontId="0" fillId="42" borderId="27" xfId="0" applyFill="1" applyBorder="1" applyAlignment="1">
      <alignment horizontal="center" vertical="center"/>
    </xf>
    <xf numFmtId="0" fontId="0" fillId="42" borderId="29" xfId="0" applyFill="1" applyBorder="1" applyAlignment="1">
      <alignment horizontal="center" vertical="center"/>
    </xf>
    <xf numFmtId="0" fontId="0" fillId="47" borderId="24" xfId="0" applyFill="1" applyBorder="1" applyAlignment="1">
      <alignment horizontal="center" vertical="center"/>
    </xf>
    <xf numFmtId="0" fontId="0" fillId="47" borderId="26" xfId="0" applyFill="1" applyBorder="1" applyAlignment="1">
      <alignment horizontal="center" vertical="center"/>
    </xf>
    <xf numFmtId="0" fontId="0" fillId="47" borderId="28" xfId="0" applyFill="1" applyBorder="1" applyAlignment="1">
      <alignment horizontal="center" vertical="center"/>
    </xf>
    <xf numFmtId="0" fontId="33" fillId="48" borderId="24" xfId="0" applyFont="1" applyFill="1" applyBorder="1" applyAlignment="1">
      <alignment horizontal="center" vertical="center"/>
    </xf>
    <xf numFmtId="0" fontId="33" fillId="48" borderId="26" xfId="0" applyFont="1" applyFill="1" applyBorder="1" applyAlignment="1">
      <alignment horizontal="center" vertical="center"/>
    </xf>
    <xf numFmtId="0" fontId="33" fillId="48" borderId="28" xfId="0" applyFont="1" applyFill="1" applyBorder="1" applyAlignment="1">
      <alignment horizontal="center" vertical="center"/>
    </xf>
    <xf numFmtId="0" fontId="0" fillId="49" borderId="20" xfId="0" applyFill="1" applyBorder="1" applyAlignment="1">
      <alignment horizontal="center" vertical="center"/>
    </xf>
    <xf numFmtId="0" fontId="0" fillId="46" borderId="17" xfId="0" applyFill="1" applyBorder="1" applyAlignment="1">
      <alignment horizontal="center" vertical="center"/>
    </xf>
    <xf numFmtId="0" fontId="0" fillId="49" borderId="27" xfId="0" applyFill="1" applyBorder="1" applyAlignment="1">
      <alignment horizontal="center" vertical="center"/>
    </xf>
    <xf numFmtId="0" fontId="0" fillId="49" borderId="29" xfId="0" applyFill="1" applyBorder="1" applyAlignment="1">
      <alignment horizontal="center" vertical="center"/>
    </xf>
    <xf numFmtId="0" fontId="19" fillId="49" borderId="29" xfId="0" applyFont="1" applyFill="1" applyBorder="1" applyAlignment="1">
      <alignment horizontal="center" vertical="center"/>
    </xf>
    <xf numFmtId="0" fontId="19" fillId="49" borderId="30" xfId="0" applyFont="1" applyFill="1" applyBorder="1" applyAlignment="1">
      <alignment horizontal="center" vertical="center"/>
    </xf>
    <xf numFmtId="0" fontId="19" fillId="42" borderId="29" xfId="0" applyFont="1" applyFill="1" applyBorder="1" applyAlignment="1">
      <alignment horizontal="center" vertical="center"/>
    </xf>
    <xf numFmtId="0" fontId="19" fillId="42" borderId="30" xfId="0" applyFont="1" applyFill="1" applyBorder="1" applyAlignment="1">
      <alignment horizontal="center" vertical="center"/>
    </xf>
    <xf numFmtId="0" fontId="19" fillId="41" borderId="21" xfId="0" applyFont="1" applyFill="1" applyBorder="1" applyAlignment="1">
      <alignment horizontal="center" vertical="center"/>
    </xf>
    <xf numFmtId="0" fontId="19" fillId="41" borderId="23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0" fillId="0" borderId="0" xfId="0" applyFill="1"/>
    <xf numFmtId="10" fontId="35" fillId="0" borderId="0" xfId="0" applyNumberFormat="1" applyFont="1" applyFill="1" applyAlignment="1">
      <alignment horizontal="left" vertical="top" wrapText="1"/>
    </xf>
    <xf numFmtId="0" fontId="33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3" fillId="48" borderId="20" xfId="0" applyFont="1" applyFill="1" applyBorder="1" applyAlignment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42" borderId="21" xfId="0" applyFill="1" applyBorder="1" applyAlignment="1">
      <alignment horizontal="center" vertical="center"/>
    </xf>
    <xf numFmtId="0" fontId="0" fillId="42" borderId="23" xfId="0" applyFill="1" applyBorder="1" applyAlignment="1">
      <alignment horizontal="center" vertical="center"/>
    </xf>
    <xf numFmtId="0" fontId="33" fillId="48" borderId="17" xfId="0" applyFont="1" applyFill="1" applyBorder="1" applyAlignment="1">
      <alignment horizontal="center" vertical="center"/>
    </xf>
    <xf numFmtId="0" fontId="33" fillId="48" borderId="22" xfId="0" applyFont="1" applyFill="1" applyBorder="1" applyAlignment="1">
      <alignment horizontal="center" vertical="center"/>
    </xf>
    <xf numFmtId="0" fontId="33" fillId="48" borderId="25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43" borderId="0" xfId="58215" applyFont="1" applyFill="1" applyAlignment="1">
      <alignment horizontal="center" vertical="center"/>
    </xf>
    <xf numFmtId="0" fontId="19" fillId="43" borderId="10" xfId="0" applyFont="1" applyFill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4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51" borderId="11" xfId="0" applyFont="1" applyFill="1" applyBorder="1"/>
    <xf numFmtId="180" fontId="27" fillId="51" borderId="11" xfId="61099" applyNumberFormat="1" applyFont="1" applyFill="1" applyBorder="1" applyAlignment="1"/>
    <xf numFmtId="0" fontId="27" fillId="34" borderId="14" xfId="0" applyFont="1" applyFill="1" applyBorder="1" applyAlignment="1">
      <alignment horizontal="center" vertical="center"/>
    </xf>
    <xf numFmtId="0" fontId="27" fillId="43" borderId="10" xfId="0" applyFont="1" applyFill="1" applyBorder="1"/>
    <xf numFmtId="0" fontId="37" fillId="0" borderId="0" xfId="0" applyFont="1"/>
    <xf numFmtId="0" fontId="27" fillId="43" borderId="11" xfId="0" applyFont="1" applyFill="1" applyBorder="1"/>
    <xf numFmtId="0" fontId="27" fillId="0" borderId="0" xfId="0" applyFont="1" applyAlignment="1">
      <alignment horizontal="center"/>
    </xf>
    <xf numFmtId="0" fontId="19" fillId="43" borderId="10" xfId="0" applyFont="1" applyFill="1" applyBorder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180" fontId="27" fillId="0" borderId="0" xfId="61099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10" fontId="27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7" fillId="0" borderId="0" xfId="1" applyNumberFormat="1" applyFont="1" applyAlignment="1"/>
    <xf numFmtId="181" fontId="37" fillId="0" borderId="0" xfId="1" applyNumberFormat="1" applyFont="1" applyAlignment="1"/>
    <xf numFmtId="181" fontId="37" fillId="0" borderId="0" xfId="0" applyNumberFormat="1" applyFont="1"/>
    <xf numFmtId="0" fontId="39" fillId="0" borderId="0" xfId="0" applyFont="1"/>
    <xf numFmtId="1" fontId="27" fillId="0" borderId="0" xfId="1" applyNumberFormat="1" applyFont="1" applyAlignment="1">
      <alignment vertical="center"/>
    </xf>
    <xf numFmtId="0" fontId="27" fillId="34" borderId="11" xfId="0" applyFont="1" applyFill="1" applyBorder="1" applyAlignment="1">
      <alignment vertical="center"/>
    </xf>
    <xf numFmtId="10" fontId="37" fillId="0" borderId="0" xfId="1" applyNumberFormat="1" applyFont="1" applyAlignment="1">
      <alignment horizontal="center" vertical="center"/>
    </xf>
    <xf numFmtId="0" fontId="37" fillId="0" borderId="0" xfId="0" applyFont="1" applyAlignment="1">
      <alignment horizontal="center"/>
    </xf>
    <xf numFmtId="10" fontId="37" fillId="0" borderId="0" xfId="1" applyNumberFormat="1" applyFont="1" applyAlignment="1"/>
    <xf numFmtId="0" fontId="27" fillId="0" borderId="11" xfId="0" applyFont="1" applyBorder="1" applyAlignment="1">
      <alignment vertical="center"/>
    </xf>
    <xf numFmtId="182" fontId="27" fillId="42" borderId="11" xfId="1" applyNumberFormat="1" applyFont="1" applyFill="1" applyBorder="1" applyAlignment="1">
      <alignment vertical="center"/>
    </xf>
    <xf numFmtId="182" fontId="27" fillId="50" borderId="11" xfId="1" applyNumberFormat="1" applyFont="1" applyFill="1" applyBorder="1" applyAlignment="1">
      <alignment vertical="center"/>
    </xf>
    <xf numFmtId="10" fontId="27" fillId="42" borderId="11" xfId="1" applyNumberFormat="1" applyFont="1" applyFill="1" applyBorder="1" applyAlignment="1"/>
    <xf numFmtId="1" fontId="27" fillId="42" borderId="11" xfId="1" applyNumberFormat="1" applyFont="1" applyFill="1" applyBorder="1" applyAlignment="1"/>
    <xf numFmtId="2" fontId="27" fillId="42" borderId="11" xfId="1" applyNumberFormat="1" applyFont="1" applyFill="1" applyBorder="1" applyAlignment="1"/>
    <xf numFmtId="179" fontId="37" fillId="0" borderId="0" xfId="1" applyNumberFormat="1" applyFont="1" applyAlignment="1">
      <alignment vertical="center"/>
    </xf>
    <xf numFmtId="10" fontId="27" fillId="42" borderId="11" xfId="1" quotePrefix="1" applyNumberFormat="1" applyFont="1" applyFill="1" applyBorder="1" applyAlignment="1">
      <alignment vertical="center"/>
    </xf>
    <xf numFmtId="179" fontId="37" fillId="0" borderId="0" xfId="0" applyNumberFormat="1" applyFont="1"/>
    <xf numFmtId="10" fontId="27" fillId="0" borderId="0" xfId="0" applyNumberFormat="1" applyFont="1"/>
    <xf numFmtId="182" fontId="19" fillId="0" borderId="0" xfId="0" applyNumberFormat="1" applyFont="1" applyAlignment="1">
      <alignment vertical="center"/>
    </xf>
    <xf numFmtId="10" fontId="27" fillId="0" borderId="0" xfId="0" applyNumberFormat="1" applyFont="1" applyAlignment="1">
      <alignment vertical="center"/>
    </xf>
    <xf numFmtId="0" fontId="19" fillId="44" borderId="0" xfId="0" applyFont="1" applyFill="1" applyAlignment="1">
      <alignment vertical="center"/>
    </xf>
    <xf numFmtId="0" fontId="37" fillId="44" borderId="0" xfId="0" applyFont="1" applyFill="1"/>
    <xf numFmtId="0" fontId="27" fillId="44" borderId="0" xfId="0" applyFont="1" applyFill="1" applyAlignment="1">
      <alignment horizontal="center" vertical="center"/>
    </xf>
    <xf numFmtId="10" fontId="27" fillId="44" borderId="0" xfId="0" applyNumberFormat="1" applyFont="1" applyFill="1" applyAlignment="1">
      <alignment vertical="center"/>
    </xf>
    <xf numFmtId="0" fontId="27" fillId="44" borderId="0" xfId="0" applyFont="1" applyFill="1" applyAlignment="1">
      <alignment vertical="center"/>
    </xf>
    <xf numFmtId="0" fontId="27" fillId="0" borderId="0" xfId="0" applyFont="1" applyAlignment="1">
      <alignment horizontal="left" vertical="center"/>
    </xf>
    <xf numFmtId="180" fontId="27" fillId="43" borderId="0" xfId="61099" applyNumberFormat="1" applyFont="1" applyFill="1" applyAlignment="1">
      <alignment vertical="center"/>
    </xf>
    <xf numFmtId="0" fontId="37" fillId="0" borderId="0" xfId="0" applyFont="1" applyAlignment="1">
      <alignment vertical="center"/>
    </xf>
    <xf numFmtId="0" fontId="27" fillId="0" borderId="10" xfId="0" applyFont="1" applyBorder="1" applyAlignment="1">
      <alignment vertical="center"/>
    </xf>
    <xf numFmtId="180" fontId="19" fillId="43" borderId="10" xfId="61099" applyNumberFormat="1" applyFont="1" applyFill="1" applyBorder="1" applyAlignment="1">
      <alignment vertical="center"/>
    </xf>
    <xf numFmtId="10" fontId="27" fillId="0" borderId="10" xfId="1" applyNumberFormat="1" applyFont="1" applyFill="1" applyBorder="1">
      <alignment vertical="center"/>
    </xf>
    <xf numFmtId="10" fontId="27" fillId="0" borderId="11" xfId="1" applyNumberFormat="1" applyFont="1" applyFill="1" applyBorder="1">
      <alignment vertical="center"/>
    </xf>
    <xf numFmtId="176" fontId="27" fillId="0" borderId="10" xfId="1" applyNumberFormat="1" applyFont="1" applyFill="1" applyBorder="1">
      <alignment vertical="center"/>
    </xf>
    <xf numFmtId="176" fontId="27" fillId="0" borderId="11" xfId="1" applyNumberFormat="1" applyFont="1" applyFill="1" applyBorder="1">
      <alignment vertical="center"/>
    </xf>
    <xf numFmtId="178" fontId="27" fillId="43" borderId="11" xfId="0" applyNumberFormat="1" applyFont="1" applyFill="1" applyBorder="1" applyAlignment="1">
      <alignment vertical="center"/>
    </xf>
    <xf numFmtId="179" fontId="19" fillId="42" borderId="11" xfId="61099" applyNumberFormat="1" applyFont="1" applyFill="1" applyBorder="1">
      <alignment vertical="center"/>
    </xf>
    <xf numFmtId="179" fontId="27" fillId="42" borderId="11" xfId="61099" applyNumberFormat="1" applyFont="1" applyFill="1" applyBorder="1">
      <alignment vertical="center"/>
    </xf>
    <xf numFmtId="10" fontId="27" fillId="0" borderId="11" xfId="1" applyNumberFormat="1" applyFont="1" applyBorder="1">
      <alignment vertical="center"/>
    </xf>
    <xf numFmtId="178" fontId="37" fillId="0" borderId="0" xfId="0" applyNumberFormat="1" applyFont="1"/>
    <xf numFmtId="10" fontId="27" fillId="0" borderId="11" xfId="1" applyNumberFormat="1" applyFont="1" applyBorder="1" applyAlignment="1"/>
    <xf numFmtId="180" fontId="19" fillId="43" borderId="11" xfId="61099" applyNumberFormat="1" applyFont="1" applyFill="1" applyBorder="1" applyAlignment="1">
      <alignment vertical="center"/>
    </xf>
    <xf numFmtId="2" fontId="37" fillId="0" borderId="0" xfId="0" applyNumberFormat="1" applyFont="1"/>
    <xf numFmtId="178" fontId="37" fillId="0" borderId="0" xfId="1" applyNumberFormat="1" applyFont="1" applyAlignment="1"/>
    <xf numFmtId="0" fontId="27" fillId="50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7" fillId="43" borderId="11" xfId="1" applyNumberFormat="1" applyFont="1" applyFill="1" applyBorder="1">
      <alignment vertical="center"/>
    </xf>
    <xf numFmtId="179" fontId="27" fillId="0" borderId="11" xfId="61099" applyNumberFormat="1" applyFont="1" applyFill="1" applyBorder="1">
      <alignment vertical="center"/>
    </xf>
    <xf numFmtId="10" fontId="27" fillId="0" borderId="0" xfId="1" applyNumberFormat="1" applyFont="1">
      <alignment vertical="center"/>
    </xf>
    <xf numFmtId="43" fontId="27" fillId="0" borderId="0" xfId="0" applyNumberFormat="1" applyFont="1"/>
    <xf numFmtId="180" fontId="37" fillId="0" borderId="0" xfId="61099" applyNumberFormat="1" applyFont="1" applyFill="1" applyBorder="1" applyAlignment="1">
      <alignment vertical="center"/>
    </xf>
    <xf numFmtId="180" fontId="37" fillId="0" borderId="10" xfId="61099" applyNumberFormat="1" applyFont="1" applyFill="1" applyBorder="1" applyAlignment="1">
      <alignment vertical="center"/>
    </xf>
    <xf numFmtId="0" fontId="19" fillId="52" borderId="0" xfId="0" applyFont="1" applyFill="1" applyAlignment="1">
      <alignment vertical="center"/>
    </xf>
    <xf numFmtId="0" fontId="37" fillId="52" borderId="0" xfId="0" applyFont="1" applyFill="1"/>
    <xf numFmtId="0" fontId="27" fillId="52" borderId="0" xfId="0" applyFont="1" applyFill="1" applyAlignment="1">
      <alignment horizontal="center" vertical="center"/>
    </xf>
    <xf numFmtId="10" fontId="27" fillId="52" borderId="0" xfId="0" applyNumberFormat="1" applyFont="1" applyFill="1" applyAlignment="1">
      <alignment vertical="center"/>
    </xf>
    <xf numFmtId="0" fontId="27" fillId="52" borderId="0" xfId="0" applyFont="1" applyFill="1" applyAlignment="1">
      <alignment vertical="center"/>
    </xf>
    <xf numFmtId="0" fontId="27" fillId="52" borderId="0" xfId="0" applyFont="1" applyFill="1"/>
    <xf numFmtId="10" fontId="19" fillId="0" borderId="11" xfId="1" applyNumberFormat="1" applyFont="1" applyFill="1" applyBorder="1">
      <alignment vertical="center"/>
    </xf>
    <xf numFmtId="0" fontId="27" fillId="0" borderId="11" xfId="1" applyNumberFormat="1" applyFont="1" applyFill="1" applyBorder="1">
      <alignment vertical="center"/>
    </xf>
    <xf numFmtId="183" fontId="27" fillId="0" borderId="0" xfId="1" applyNumberFormat="1" applyFont="1" applyAlignment="1"/>
    <xf numFmtId="178" fontId="19" fillId="43" borderId="11" xfId="0" applyNumberFormat="1" applyFont="1" applyFill="1" applyBorder="1" applyAlignment="1">
      <alignment vertical="center"/>
    </xf>
    <xf numFmtId="0" fontId="19" fillId="53" borderId="0" xfId="0" applyFont="1" applyFill="1" applyAlignment="1">
      <alignment vertical="center"/>
    </xf>
    <xf numFmtId="0" fontId="37" fillId="53" borderId="0" xfId="0" applyFont="1" applyFill="1"/>
    <xf numFmtId="0" fontId="27" fillId="53" borderId="0" xfId="0" applyFont="1" applyFill="1" applyAlignment="1">
      <alignment horizontal="center" vertical="center"/>
    </xf>
    <xf numFmtId="10" fontId="27" fillId="53" borderId="0" xfId="0" applyNumberFormat="1" applyFont="1" applyFill="1" applyAlignment="1">
      <alignment vertical="center"/>
    </xf>
    <xf numFmtId="0" fontId="27" fillId="53" borderId="0" xfId="0" applyFont="1" applyFill="1" applyAlignment="1">
      <alignment vertical="center"/>
    </xf>
    <xf numFmtId="0" fontId="27" fillId="53" borderId="0" xfId="0" applyFont="1" applyFill="1"/>
    <xf numFmtId="180" fontId="37" fillId="0" borderId="11" xfId="61099" applyNumberFormat="1" applyFont="1" applyFill="1" applyBorder="1" applyAlignment="1">
      <alignment vertical="center"/>
    </xf>
    <xf numFmtId="0" fontId="27" fillId="40" borderId="11" xfId="0" applyFont="1" applyFill="1" applyBorder="1" applyAlignment="1">
      <alignment horizontal="center" vertical="center"/>
    </xf>
    <xf numFmtId="180" fontId="19" fillId="0" borderId="0" xfId="0" applyNumberFormat="1" applyFont="1" applyAlignment="1">
      <alignment vertical="center"/>
    </xf>
    <xf numFmtId="0" fontId="27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54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54" borderId="11" xfId="0" applyFont="1" applyFill="1" applyBorder="1" applyAlignment="1">
      <alignment horizontal="center" vertical="center" wrapText="1"/>
    </xf>
    <xf numFmtId="0" fontId="19" fillId="54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7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7" fillId="42" borderId="11" xfId="61100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27" fillId="42" borderId="10" xfId="61100" applyFont="1" applyFill="1" applyBorder="1" applyAlignment="1">
      <alignment horizontal="center" vertical="center"/>
    </xf>
    <xf numFmtId="0" fontId="27" fillId="34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7" fillId="34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7" fillId="54" borderId="11" xfId="0" applyFont="1" applyFill="1" applyBorder="1" applyAlignment="1">
      <alignment horizontal="center"/>
    </xf>
    <xf numFmtId="0" fontId="19" fillId="54" borderId="11" xfId="0" quotePrefix="1" applyFont="1" applyFill="1" applyBorder="1" applyAlignment="1">
      <alignment horizontal="center" vertical="center"/>
    </xf>
    <xf numFmtId="0" fontId="19" fillId="54" borderId="10" xfId="0" quotePrefix="1" applyFont="1" applyFill="1" applyBorder="1" applyAlignment="1">
      <alignment horizontal="center" vertical="center"/>
    </xf>
    <xf numFmtId="0" fontId="40" fillId="0" borderId="0" xfId="0" applyFont="1" applyAlignment="1">
      <alignment vertical="center"/>
    </xf>
    <xf numFmtId="0" fontId="19" fillId="0" borderId="0" xfId="2" applyFont="1" applyAlignment="1">
      <alignment horizontal="left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6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43" borderId="16" xfId="0" applyNumberFormat="1" applyFont="1" applyFill="1" applyBorder="1" applyAlignment="1">
      <alignment horizontal="center" vertical="center" wrapText="1"/>
    </xf>
    <xf numFmtId="176" fontId="19" fillId="43" borderId="10" xfId="0" applyNumberFormat="1" applyFont="1" applyFill="1" applyBorder="1" applyAlignment="1">
      <alignment horizontal="center" vertical="center" wrapText="1"/>
    </xf>
    <xf numFmtId="176" fontId="19" fillId="0" borderId="16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6" fillId="52" borderId="0" xfId="0" applyFont="1" applyFill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36" fillId="53" borderId="0" xfId="0" applyFont="1" applyFill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80" fontId="27" fillId="43" borderId="16" xfId="61099" applyNumberFormat="1" applyFont="1" applyFill="1" applyBorder="1" applyAlignment="1">
      <alignment horizontal="center" vertical="center"/>
    </xf>
    <xf numFmtId="180" fontId="27" fillId="43" borderId="10" xfId="61099" applyNumberFormat="1" applyFont="1" applyFill="1" applyBorder="1" applyAlignment="1">
      <alignment horizontal="center" vertical="center"/>
    </xf>
    <xf numFmtId="0" fontId="27" fillId="51" borderId="16" xfId="0" applyFont="1" applyFill="1" applyBorder="1" applyAlignment="1">
      <alignment horizontal="center"/>
    </xf>
    <xf numFmtId="0" fontId="27" fillId="51" borderId="10" xfId="0" applyFont="1" applyFill="1" applyBorder="1" applyAlignment="1">
      <alignment horizontal="center"/>
    </xf>
    <xf numFmtId="0" fontId="19" fillId="0" borderId="16" xfId="0" quotePrefix="1" applyFont="1" applyBorder="1" applyAlignment="1">
      <alignment horizontal="center" vertical="center"/>
    </xf>
    <xf numFmtId="180" fontId="37" fillId="0" borderId="16" xfId="61099" applyNumberFormat="1" applyFont="1" applyFill="1" applyBorder="1" applyAlignment="1">
      <alignment horizontal="center" vertical="center"/>
    </xf>
    <xf numFmtId="180" fontId="37" fillId="0" borderId="10" xfId="61099" applyNumberFormat="1" applyFont="1" applyFill="1" applyBorder="1" applyAlignment="1">
      <alignment horizontal="center" vertical="center"/>
    </xf>
    <xf numFmtId="0" fontId="25" fillId="0" borderId="13" xfId="26499" applyFont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6">
    <dxf>
      <fill>
        <patternFill>
          <bgColor rgb="FFFF0000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workbookViewId="0">
      <selection activeCell="I31" sqref="I31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>
      <c r="A2" s="8" t="s">
        <v>113</v>
      </c>
      <c r="B2" s="98" t="s">
        <v>128</v>
      </c>
    </row>
    <row r="3" spans="1:10">
      <c r="A3" s="8" t="s">
        <v>47</v>
      </c>
      <c r="B3" s="98" t="s">
        <v>230</v>
      </c>
      <c r="C3" s="9"/>
    </row>
    <row r="4" spans="1:10">
      <c r="A4" s="8"/>
      <c r="B4" s="220"/>
      <c r="C4" s="220"/>
    </row>
    <row r="5" spans="1:10">
      <c r="A5" s="8"/>
      <c r="B5" s="97"/>
      <c r="C5" s="97"/>
    </row>
    <row r="6" spans="1:10">
      <c r="A6" s="20" t="s">
        <v>114</v>
      </c>
      <c r="B6" s="20" t="s">
        <v>115</v>
      </c>
      <c r="C6" s="28"/>
      <c r="D6" s="28"/>
      <c r="E6" s="37"/>
      <c r="F6" s="37"/>
      <c r="G6" s="36"/>
      <c r="H6" s="36"/>
      <c r="I6" s="36"/>
      <c r="J6" s="37"/>
    </row>
    <row r="7" spans="1:10">
      <c r="A7" s="99">
        <v>100</v>
      </c>
      <c r="B7" s="99">
        <f>PRODUCT(B26:G26)</f>
        <v>32400</v>
      </c>
      <c r="C7" s="28"/>
      <c r="D7" s="28"/>
      <c r="E7" s="28"/>
      <c r="F7" s="28"/>
      <c r="H7" s="4"/>
      <c r="I7" s="31"/>
      <c r="J7" s="7"/>
    </row>
    <row r="8" spans="1:10">
      <c r="A8" s="28"/>
      <c r="B8" s="28"/>
      <c r="C8" s="28"/>
      <c r="D8" s="28"/>
      <c r="E8" s="28"/>
      <c r="F8" s="28"/>
      <c r="H8" s="4"/>
      <c r="I8" s="31"/>
      <c r="J8" s="7"/>
    </row>
    <row r="9" spans="1:10">
      <c r="A9" s="28"/>
      <c r="B9" s="28"/>
      <c r="C9" s="28"/>
      <c r="D9" s="28"/>
      <c r="E9" s="28"/>
      <c r="F9" s="28"/>
      <c r="H9" s="4"/>
      <c r="I9" s="31"/>
      <c r="J9" s="7"/>
    </row>
    <row r="10" spans="1:10">
      <c r="A10" s="20" t="s">
        <v>116</v>
      </c>
      <c r="B10" s="20" t="s">
        <v>117</v>
      </c>
      <c r="C10" s="100" t="s">
        <v>118</v>
      </c>
      <c r="D10" s="100" t="s">
        <v>119</v>
      </c>
      <c r="E10" s="28"/>
      <c r="F10" s="28"/>
      <c r="H10" s="4"/>
      <c r="I10" s="31"/>
      <c r="J10" s="7"/>
    </row>
    <row r="11" spans="1:10">
      <c r="A11" s="101" cm="1">
        <f t="array" ref="A11:A12">B11:B12*A7</f>
        <v>100</v>
      </c>
      <c r="B11" s="99">
        <v>1</v>
      </c>
      <c r="C11" s="102"/>
      <c r="D11" s="102" t="s">
        <v>55</v>
      </c>
      <c r="E11" s="28"/>
      <c r="F11" s="28"/>
      <c r="H11" s="4"/>
      <c r="I11" s="31"/>
      <c r="J11" s="7"/>
    </row>
    <row r="12" spans="1:10">
      <c r="A12" s="101">
        <v>7500</v>
      </c>
      <c r="B12" s="99">
        <v>75</v>
      </c>
      <c r="C12" s="102"/>
      <c r="D12" s="102" t="s">
        <v>91</v>
      </c>
      <c r="E12" s="28"/>
      <c r="F12" s="28"/>
      <c r="H12" s="4"/>
      <c r="I12" s="31"/>
      <c r="J12" s="7"/>
    </row>
    <row r="13" spans="1:10">
      <c r="A13" s="28"/>
      <c r="B13" s="28"/>
      <c r="C13" s="28"/>
      <c r="D13" s="28"/>
      <c r="E13" s="28"/>
      <c r="F13" s="28"/>
      <c r="H13" s="4"/>
      <c r="I13" s="31"/>
      <c r="J13" s="7"/>
    </row>
    <row r="14" spans="1:10">
      <c r="A14" s="28"/>
      <c r="B14" s="28"/>
      <c r="C14" s="28"/>
      <c r="D14" s="28"/>
      <c r="E14" s="28"/>
      <c r="F14" s="28"/>
      <c r="H14" s="4"/>
      <c r="I14" s="31"/>
      <c r="J14" s="7"/>
    </row>
    <row r="15" spans="1:10">
      <c r="A15" s="11" t="s">
        <v>120</v>
      </c>
      <c r="B15" s="103"/>
      <c r="C15" s="104"/>
      <c r="D15" s="105"/>
      <c r="E15" s="106"/>
      <c r="F15" s="28"/>
      <c r="H15" s="4"/>
      <c r="I15" s="31"/>
      <c r="J15" s="7"/>
    </row>
    <row r="16" spans="1:10">
      <c r="A16" s="100" t="s">
        <v>119</v>
      </c>
      <c r="B16" s="20" t="s">
        <v>121</v>
      </c>
      <c r="C16" s="20" t="s">
        <v>122</v>
      </c>
      <c r="D16" s="20" t="s">
        <v>123</v>
      </c>
      <c r="E16" s="20" t="s">
        <v>124</v>
      </c>
      <c r="F16" s="28"/>
      <c r="H16" s="4"/>
      <c r="I16" s="31"/>
      <c r="J16" s="7"/>
    </row>
    <row r="17" spans="1:10">
      <c r="A17" s="221" t="str">
        <f>D10</f>
        <v>Bet Type</v>
      </c>
      <c r="B17" s="107"/>
      <c r="C17" s="222" t="e">
        <f>1/D17</f>
        <v>#DIV/0!</v>
      </c>
      <c r="D17" s="224"/>
      <c r="E17" s="12" t="s">
        <v>50</v>
      </c>
      <c r="F17" s="28"/>
      <c r="H17" s="4"/>
      <c r="I17" s="31"/>
      <c r="J17" s="7"/>
    </row>
    <row r="18" spans="1:10">
      <c r="A18" s="221"/>
      <c r="B18" s="107"/>
      <c r="C18" s="223"/>
      <c r="D18" s="225"/>
      <c r="E18" s="12" t="s">
        <v>125</v>
      </c>
      <c r="F18" s="28"/>
      <c r="H18" s="4"/>
      <c r="I18" s="31"/>
      <c r="J18" s="7"/>
    </row>
    <row r="19" spans="1:10">
      <c r="A19" s="108"/>
      <c r="B19" s="109"/>
      <c r="C19" s="104"/>
      <c r="D19" s="105"/>
      <c r="E19" s="4"/>
      <c r="F19" s="28"/>
      <c r="H19" s="4"/>
      <c r="I19" s="31"/>
      <c r="J19" s="7"/>
    </row>
    <row r="20" spans="1:10">
      <c r="A20" s="100" t="s">
        <v>119</v>
      </c>
      <c r="B20" s="20" t="s">
        <v>121</v>
      </c>
      <c r="C20" s="20" t="s">
        <v>122</v>
      </c>
      <c r="D20" s="20" t="s">
        <v>123</v>
      </c>
      <c r="E20" s="20" t="s">
        <v>124</v>
      </c>
      <c r="F20" s="28"/>
      <c r="H20" s="4"/>
      <c r="I20" s="31"/>
      <c r="J20" s="7"/>
    </row>
    <row r="21" spans="1:10">
      <c r="A21" s="221" t="str">
        <f>D12</f>
        <v>Buy Feature</v>
      </c>
      <c r="B21" s="107"/>
      <c r="C21" s="222">
        <f>1/D21</f>
        <v>1</v>
      </c>
      <c r="D21" s="226">
        <v>1</v>
      </c>
      <c r="E21" s="12" t="s">
        <v>50</v>
      </c>
      <c r="F21" s="28"/>
      <c r="H21" s="4"/>
      <c r="I21" s="31"/>
      <c r="J21" s="7"/>
    </row>
    <row r="22" spans="1:10">
      <c r="A22" s="221"/>
      <c r="B22" s="107"/>
      <c r="C22" s="223"/>
      <c r="D22" s="227"/>
      <c r="E22" s="12" t="s">
        <v>125</v>
      </c>
      <c r="F22" s="28"/>
      <c r="H22" s="4"/>
      <c r="I22" s="31"/>
      <c r="J22" s="7"/>
    </row>
    <row r="23" spans="1:10">
      <c r="F23" s="28"/>
      <c r="H23" s="4"/>
      <c r="I23" s="31"/>
      <c r="J23" s="7"/>
    </row>
    <row r="24" spans="1:10">
      <c r="F24" s="28"/>
      <c r="H24" s="4"/>
      <c r="I24" s="31"/>
      <c r="J24" s="7"/>
    </row>
    <row r="25" spans="1:10">
      <c r="A25" s="20" t="s">
        <v>0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20">
        <v>6</v>
      </c>
    </row>
    <row r="26" spans="1:10" ht="31.2">
      <c r="A26" s="29" t="s">
        <v>1</v>
      </c>
      <c r="B26" s="30">
        <v>5</v>
      </c>
      <c r="C26" s="30">
        <v>6</v>
      </c>
      <c r="D26" s="30">
        <v>6</v>
      </c>
      <c r="E26" s="30">
        <v>6</v>
      </c>
      <c r="F26" s="30">
        <v>6</v>
      </c>
      <c r="G26" s="30">
        <v>5</v>
      </c>
    </row>
    <row r="29" spans="1:10">
      <c r="A29" s="1" t="s">
        <v>53</v>
      </c>
    </row>
    <row r="30" spans="1:10">
      <c r="A30" s="20" t="s">
        <v>49</v>
      </c>
      <c r="B30" s="20" t="s">
        <v>54</v>
      </c>
    </row>
    <row r="31" spans="1:10">
      <c r="A31" s="30">
        <v>4</v>
      </c>
      <c r="B31" s="118">
        <v>8</v>
      </c>
    </row>
    <row r="32" spans="1:10">
      <c r="A32" s="5">
        <v>5</v>
      </c>
      <c r="B32" s="119">
        <v>10</v>
      </c>
    </row>
    <row r="33" spans="1:8">
      <c r="A33" s="5">
        <v>6</v>
      </c>
      <c r="B33" s="119">
        <v>12</v>
      </c>
    </row>
    <row r="34" spans="1:8">
      <c r="A34" s="30">
        <v>7</v>
      </c>
      <c r="B34" s="118">
        <v>14</v>
      </c>
    </row>
    <row r="35" spans="1:8">
      <c r="A35" s="5">
        <v>8</v>
      </c>
      <c r="B35" s="119">
        <v>16</v>
      </c>
    </row>
    <row r="36" spans="1:8">
      <c r="A36" s="5" t="s">
        <v>71</v>
      </c>
      <c r="B36" s="119" t="s">
        <v>71</v>
      </c>
    </row>
    <row r="37" spans="1:8">
      <c r="A37" s="201" t="s">
        <v>126</v>
      </c>
      <c r="B37" s="110"/>
    </row>
    <row r="40" spans="1:8">
      <c r="A40" s="1" t="s">
        <v>127</v>
      </c>
      <c r="B40" s="1" t="str">
        <f>"All wins show for "&amp;A7&amp;" credit bet."</f>
        <v>All wins show for 100 credit bet.</v>
      </c>
    </row>
    <row r="41" spans="1:8">
      <c r="A41" s="20" t="s">
        <v>52</v>
      </c>
      <c r="B41" s="20" t="s">
        <v>4</v>
      </c>
      <c r="C41" s="20">
        <v>3</v>
      </c>
      <c r="D41" s="20">
        <v>4</v>
      </c>
      <c r="E41" s="20">
        <v>5</v>
      </c>
      <c r="F41" s="20">
        <v>6</v>
      </c>
      <c r="G41" s="20" t="s">
        <v>46</v>
      </c>
      <c r="H41" s="13"/>
    </row>
    <row r="42" spans="1:8">
      <c r="A42" s="30" t="s">
        <v>31</v>
      </c>
      <c r="B42" s="30" t="s">
        <v>48</v>
      </c>
      <c r="C42" s="32">
        <v>0</v>
      </c>
      <c r="D42" s="32">
        <v>0</v>
      </c>
      <c r="E42" s="32">
        <v>0</v>
      </c>
      <c r="F42" s="32">
        <v>0</v>
      </c>
      <c r="G42" s="32">
        <v>0</v>
      </c>
      <c r="H42" s="13"/>
    </row>
    <row r="43" spans="1:8">
      <c r="A43" s="5" t="s">
        <v>36</v>
      </c>
      <c r="B43" s="5" t="s">
        <v>51</v>
      </c>
      <c r="C43" s="33">
        <v>0</v>
      </c>
      <c r="D43" s="33">
        <v>0</v>
      </c>
      <c r="E43" s="33">
        <v>0</v>
      </c>
      <c r="F43" s="34">
        <v>0</v>
      </c>
      <c r="G43" s="34">
        <v>1</v>
      </c>
      <c r="H43" s="13"/>
    </row>
    <row r="44" spans="1:8">
      <c r="A44" s="200" t="s">
        <v>32</v>
      </c>
      <c r="B44" s="200" t="s">
        <v>32</v>
      </c>
      <c r="C44" s="216">
        <v>150</v>
      </c>
      <c r="D44" s="216">
        <v>200</v>
      </c>
      <c r="E44" s="216">
        <v>250</v>
      </c>
      <c r="F44" s="216">
        <v>400</v>
      </c>
      <c r="G44" s="217">
        <v>2</v>
      </c>
      <c r="H44" s="13"/>
    </row>
    <row r="45" spans="1:8">
      <c r="A45" s="200" t="s">
        <v>33</v>
      </c>
      <c r="B45" s="200" t="s">
        <v>33</v>
      </c>
      <c r="C45" s="216">
        <v>100</v>
      </c>
      <c r="D45" s="216">
        <v>125</v>
      </c>
      <c r="E45" s="216">
        <v>150</v>
      </c>
      <c r="F45" s="216">
        <v>250</v>
      </c>
      <c r="G45" s="200">
        <v>3</v>
      </c>
      <c r="H45" s="13"/>
    </row>
    <row r="46" spans="1:8">
      <c r="A46" s="200" t="s">
        <v>34</v>
      </c>
      <c r="B46" s="200" t="s">
        <v>34</v>
      </c>
      <c r="C46" s="216">
        <v>50</v>
      </c>
      <c r="D46" s="216">
        <v>125</v>
      </c>
      <c r="E46" s="216">
        <v>150</v>
      </c>
      <c r="F46" s="216">
        <v>200</v>
      </c>
      <c r="G46" s="200">
        <v>4</v>
      </c>
      <c r="H46" s="13"/>
    </row>
    <row r="47" spans="1:8">
      <c r="A47" s="200" t="s">
        <v>35</v>
      </c>
      <c r="B47" s="200" t="s">
        <v>35</v>
      </c>
      <c r="C47" s="216">
        <v>40</v>
      </c>
      <c r="D47" s="216">
        <v>75</v>
      </c>
      <c r="E47" s="216">
        <v>100</v>
      </c>
      <c r="F47" s="216">
        <v>150</v>
      </c>
      <c r="G47" s="200">
        <v>5</v>
      </c>
      <c r="H47" s="13"/>
    </row>
    <row r="48" spans="1:8">
      <c r="A48" s="200" t="s">
        <v>65</v>
      </c>
      <c r="B48" s="200" t="s">
        <v>65</v>
      </c>
      <c r="C48" s="216">
        <v>30</v>
      </c>
      <c r="D48" s="216">
        <v>50</v>
      </c>
      <c r="E48" s="216">
        <v>60</v>
      </c>
      <c r="F48" s="216">
        <v>75</v>
      </c>
      <c r="G48" s="200">
        <v>6</v>
      </c>
      <c r="H48" s="13"/>
    </row>
    <row r="49" spans="1:9">
      <c r="A49" s="200" t="s">
        <v>90</v>
      </c>
      <c r="B49" s="200" t="s">
        <v>90</v>
      </c>
      <c r="C49" s="216">
        <v>30</v>
      </c>
      <c r="D49" s="216">
        <v>50</v>
      </c>
      <c r="E49" s="216">
        <v>60</v>
      </c>
      <c r="F49" s="216">
        <v>75</v>
      </c>
      <c r="G49" s="200">
        <v>7</v>
      </c>
      <c r="H49" s="13"/>
    </row>
    <row r="50" spans="1:9">
      <c r="A50" s="5" t="s">
        <v>25</v>
      </c>
      <c r="B50" s="5" t="s">
        <v>25</v>
      </c>
      <c r="C50" s="22">
        <v>20</v>
      </c>
      <c r="D50" s="22">
        <v>30</v>
      </c>
      <c r="E50" s="22">
        <v>40</v>
      </c>
      <c r="F50" s="22">
        <v>50</v>
      </c>
      <c r="G50" s="33">
        <v>8</v>
      </c>
      <c r="H50" s="13"/>
    </row>
    <row r="51" spans="1:9">
      <c r="A51" s="5" t="s">
        <v>37</v>
      </c>
      <c r="B51" s="5" t="s">
        <v>37</v>
      </c>
      <c r="C51" s="22">
        <v>20</v>
      </c>
      <c r="D51" s="22">
        <v>30</v>
      </c>
      <c r="E51" s="22">
        <v>40</v>
      </c>
      <c r="F51" s="22">
        <v>50</v>
      </c>
      <c r="G51" s="33">
        <v>9</v>
      </c>
      <c r="H51" s="13"/>
    </row>
    <row r="52" spans="1:9">
      <c r="A52" s="5" t="s">
        <v>38</v>
      </c>
      <c r="B52" s="5" t="s">
        <v>38</v>
      </c>
      <c r="C52" s="22">
        <v>5</v>
      </c>
      <c r="D52" s="22">
        <v>10</v>
      </c>
      <c r="E52" s="22">
        <v>15</v>
      </c>
      <c r="F52" s="22">
        <v>20</v>
      </c>
      <c r="G52" s="33">
        <v>10</v>
      </c>
      <c r="H52" s="13"/>
    </row>
    <row r="53" spans="1:9">
      <c r="A53" s="5" t="s">
        <v>39</v>
      </c>
      <c r="B53" s="5" t="s">
        <v>39</v>
      </c>
      <c r="C53" s="22">
        <v>5</v>
      </c>
      <c r="D53" s="22">
        <v>10</v>
      </c>
      <c r="E53" s="22">
        <v>15</v>
      </c>
      <c r="F53" s="22">
        <v>20</v>
      </c>
      <c r="G53" s="33">
        <v>11</v>
      </c>
      <c r="H53" s="13"/>
    </row>
    <row r="54" spans="1:9">
      <c r="A54" s="5" t="s">
        <v>40</v>
      </c>
      <c r="B54" s="5" t="s">
        <v>40</v>
      </c>
      <c r="C54" s="22">
        <v>5</v>
      </c>
      <c r="D54" s="22">
        <v>10</v>
      </c>
      <c r="E54" s="22">
        <v>15</v>
      </c>
      <c r="F54" s="22">
        <v>20</v>
      </c>
      <c r="G54" s="33">
        <v>12</v>
      </c>
    </row>
    <row r="55" spans="1:9">
      <c r="A55" s="200" t="s">
        <v>235</v>
      </c>
      <c r="B55" s="200" t="s">
        <v>256</v>
      </c>
      <c r="C55" s="216">
        <v>150</v>
      </c>
      <c r="D55" s="216">
        <v>200</v>
      </c>
      <c r="E55" s="216">
        <v>250</v>
      </c>
      <c r="F55" s="216">
        <v>400</v>
      </c>
      <c r="G55" s="217">
        <v>13</v>
      </c>
    </row>
    <row r="56" spans="1:9">
      <c r="A56" s="200" t="s">
        <v>237</v>
      </c>
      <c r="B56" s="200" t="s">
        <v>257</v>
      </c>
      <c r="C56" s="216">
        <v>100</v>
      </c>
      <c r="D56" s="216">
        <v>125</v>
      </c>
      <c r="E56" s="216">
        <v>150</v>
      </c>
      <c r="F56" s="216">
        <v>250</v>
      </c>
      <c r="G56" s="200">
        <v>14</v>
      </c>
    </row>
    <row r="57" spans="1:9">
      <c r="A57" s="200" t="s">
        <v>239</v>
      </c>
      <c r="B57" s="200" t="s">
        <v>258</v>
      </c>
      <c r="C57" s="216">
        <v>50</v>
      </c>
      <c r="D57" s="216">
        <v>125</v>
      </c>
      <c r="E57" s="216">
        <v>150</v>
      </c>
      <c r="F57" s="216">
        <v>200</v>
      </c>
      <c r="G57" s="200">
        <v>15</v>
      </c>
    </row>
    <row r="58" spans="1:9">
      <c r="A58" s="200" t="s">
        <v>241</v>
      </c>
      <c r="B58" s="200" t="s">
        <v>259</v>
      </c>
      <c r="C58" s="216">
        <v>40</v>
      </c>
      <c r="D58" s="216">
        <v>75</v>
      </c>
      <c r="E58" s="216">
        <v>100</v>
      </c>
      <c r="F58" s="216">
        <v>150</v>
      </c>
      <c r="G58" s="200">
        <v>16</v>
      </c>
    </row>
    <row r="59" spans="1:9">
      <c r="A59" s="200" t="s">
        <v>243</v>
      </c>
      <c r="B59" s="200" t="s">
        <v>260</v>
      </c>
      <c r="C59" s="216">
        <v>30</v>
      </c>
      <c r="D59" s="216">
        <v>50</v>
      </c>
      <c r="E59" s="216">
        <v>60</v>
      </c>
      <c r="F59" s="216">
        <v>75</v>
      </c>
      <c r="G59" s="200">
        <v>17</v>
      </c>
    </row>
    <row r="60" spans="1:9">
      <c r="A60" s="200" t="s">
        <v>245</v>
      </c>
      <c r="B60" s="200" t="s">
        <v>233</v>
      </c>
      <c r="C60" s="216">
        <v>30</v>
      </c>
      <c r="D60" s="216">
        <v>50</v>
      </c>
      <c r="E60" s="216">
        <v>60</v>
      </c>
      <c r="F60" s="216">
        <v>75</v>
      </c>
      <c r="G60" s="200">
        <v>18</v>
      </c>
    </row>
    <row r="61" spans="1:9">
      <c r="A61" s="5" t="s">
        <v>247</v>
      </c>
      <c r="B61" s="5" t="s">
        <v>261</v>
      </c>
      <c r="C61" s="22">
        <v>20</v>
      </c>
      <c r="D61" s="22">
        <v>30</v>
      </c>
      <c r="E61" s="22">
        <v>40</v>
      </c>
      <c r="F61" s="22">
        <v>50</v>
      </c>
      <c r="G61" s="33">
        <v>19</v>
      </c>
      <c r="H61" s="13"/>
      <c r="I61" s="13"/>
    </row>
    <row r="62" spans="1:9">
      <c r="A62" s="5" t="s">
        <v>249</v>
      </c>
      <c r="B62" s="5" t="s">
        <v>262</v>
      </c>
      <c r="C62" s="22">
        <v>20</v>
      </c>
      <c r="D62" s="22">
        <v>30</v>
      </c>
      <c r="E62" s="22">
        <v>40</v>
      </c>
      <c r="F62" s="22">
        <v>50</v>
      </c>
      <c r="G62" s="33">
        <v>20</v>
      </c>
      <c r="H62" s="13"/>
      <c r="I62" s="13"/>
    </row>
    <row r="63" spans="1:9">
      <c r="A63" s="5" t="s">
        <v>251</v>
      </c>
      <c r="B63" s="5" t="s">
        <v>263</v>
      </c>
      <c r="C63" s="22">
        <v>5</v>
      </c>
      <c r="D63" s="22">
        <v>10</v>
      </c>
      <c r="E63" s="22">
        <v>15</v>
      </c>
      <c r="F63" s="22">
        <v>20</v>
      </c>
      <c r="G63" s="33">
        <v>21</v>
      </c>
      <c r="H63" s="13"/>
      <c r="I63" s="13"/>
    </row>
    <row r="64" spans="1:9">
      <c r="A64" s="5" t="s">
        <v>253</v>
      </c>
      <c r="B64" s="5" t="s">
        <v>264</v>
      </c>
      <c r="C64" s="22">
        <v>5</v>
      </c>
      <c r="D64" s="22">
        <v>10</v>
      </c>
      <c r="E64" s="22">
        <v>15</v>
      </c>
      <c r="F64" s="22">
        <v>20</v>
      </c>
      <c r="G64" s="33">
        <v>22</v>
      </c>
      <c r="H64" s="13"/>
      <c r="I64" s="13"/>
    </row>
    <row r="65" spans="1:9">
      <c r="A65" s="5" t="s">
        <v>255</v>
      </c>
      <c r="B65" s="5" t="s">
        <v>265</v>
      </c>
      <c r="C65" s="22">
        <v>5</v>
      </c>
      <c r="D65" s="22">
        <v>10</v>
      </c>
      <c r="E65" s="22">
        <v>15</v>
      </c>
      <c r="F65" s="22">
        <v>20</v>
      </c>
      <c r="G65" s="33">
        <v>23</v>
      </c>
      <c r="H65" s="13"/>
      <c r="I65" s="13"/>
    </row>
    <row r="66" spans="1:9">
      <c r="A66" s="203" t="s">
        <v>69</v>
      </c>
      <c r="B66" s="200" t="s">
        <v>266</v>
      </c>
      <c r="C66" s="218">
        <v>0</v>
      </c>
      <c r="D66" s="218">
        <v>0</v>
      </c>
      <c r="E66" s="218">
        <v>0</v>
      </c>
      <c r="F66" s="218">
        <v>0</v>
      </c>
      <c r="G66" s="200">
        <v>24</v>
      </c>
      <c r="H66" s="13"/>
      <c r="I66" s="13"/>
    </row>
    <row r="67" spans="1:9">
      <c r="A67" s="203" t="s">
        <v>269</v>
      </c>
      <c r="B67" s="200" t="s">
        <v>267</v>
      </c>
      <c r="C67" s="218">
        <v>0</v>
      </c>
      <c r="D67" s="218">
        <v>0</v>
      </c>
      <c r="E67" s="218">
        <v>0</v>
      </c>
      <c r="F67" s="218">
        <v>0</v>
      </c>
      <c r="G67" s="200">
        <v>25</v>
      </c>
      <c r="H67" s="13"/>
      <c r="I67" s="13"/>
    </row>
    <row r="68" spans="1:9">
      <c r="A68" s="13"/>
      <c r="B68" s="13"/>
      <c r="C68" s="13"/>
      <c r="D68" s="13"/>
      <c r="E68" s="13"/>
      <c r="F68" s="13"/>
      <c r="G68" s="13"/>
      <c r="H68" s="13"/>
      <c r="I68" s="13"/>
    </row>
    <row r="69" spans="1:9">
      <c r="A69" s="13"/>
      <c r="B69" s="13"/>
      <c r="C69" s="13"/>
      <c r="D69" s="13"/>
      <c r="E69" s="13"/>
      <c r="F69" s="13"/>
      <c r="G69" s="13"/>
      <c r="H69" s="13"/>
      <c r="I69" s="13"/>
    </row>
    <row r="70" spans="1:9">
      <c r="A70" s="13"/>
      <c r="B70" s="13"/>
      <c r="C70" s="13"/>
      <c r="D70" s="13"/>
      <c r="E70" s="13"/>
      <c r="F70" s="13"/>
      <c r="G70" s="13"/>
      <c r="H70" s="13"/>
      <c r="I70" s="13"/>
    </row>
    <row r="71" spans="1:9">
      <c r="A71" s="13"/>
      <c r="B71" s="13"/>
      <c r="C71" s="13"/>
      <c r="D71" s="13"/>
      <c r="E71" s="13"/>
      <c r="F71" s="13"/>
      <c r="G71" s="13"/>
      <c r="H71" s="13"/>
      <c r="I71" s="13"/>
    </row>
    <row r="72" spans="1:9">
      <c r="A72" s="13"/>
      <c r="B72" s="13"/>
      <c r="C72" s="13"/>
      <c r="D72" s="13"/>
      <c r="E72" s="13"/>
      <c r="F72" s="13"/>
      <c r="G72" s="13"/>
      <c r="H72" s="13"/>
      <c r="I72" s="13"/>
    </row>
    <row r="73" spans="1:9">
      <c r="A73" s="13"/>
      <c r="B73" s="13"/>
      <c r="C73" s="13"/>
      <c r="D73" s="13"/>
      <c r="E73" s="13"/>
      <c r="F73" s="13"/>
      <c r="G73" s="13"/>
      <c r="H73" s="13"/>
      <c r="I73" s="13"/>
    </row>
    <row r="74" spans="1:9">
      <c r="A74" s="13"/>
      <c r="B74" s="13"/>
      <c r="C74" s="13"/>
      <c r="D74" s="13"/>
      <c r="E74" s="13"/>
      <c r="F74" s="13"/>
      <c r="G74" s="13"/>
      <c r="H74" s="13"/>
      <c r="I74" s="13"/>
    </row>
    <row r="75" spans="1:9">
      <c r="A75" s="13"/>
      <c r="B75" s="13"/>
      <c r="C75" s="13"/>
      <c r="D75" s="13"/>
      <c r="E75" s="13"/>
      <c r="F75" s="13"/>
      <c r="G75" s="13"/>
      <c r="H75" s="13"/>
      <c r="I75" s="13"/>
    </row>
    <row r="76" spans="1:9">
      <c r="A76" s="13"/>
      <c r="B76" s="13"/>
      <c r="C76" s="13"/>
      <c r="D76" s="13"/>
      <c r="E76" s="13"/>
      <c r="F76" s="13"/>
      <c r="G76" s="13"/>
      <c r="H76" s="13"/>
      <c r="I76" s="13"/>
    </row>
    <row r="77" spans="1:9">
      <c r="A77" s="13"/>
      <c r="B77" s="13"/>
      <c r="C77" s="13"/>
      <c r="D77" s="13"/>
      <c r="E77" s="13"/>
      <c r="F77" s="13"/>
      <c r="G77" s="13"/>
      <c r="H77" s="13"/>
      <c r="I77" s="13"/>
    </row>
    <row r="78" spans="1:9">
      <c r="A78" s="13"/>
      <c r="B78" s="13"/>
      <c r="C78" s="13"/>
      <c r="D78" s="13"/>
      <c r="E78" s="13"/>
      <c r="F78" s="13"/>
      <c r="G78" s="13"/>
      <c r="H78" s="13"/>
      <c r="I78" s="13"/>
    </row>
    <row r="79" spans="1:9">
      <c r="A79" s="13"/>
      <c r="B79" s="13"/>
      <c r="C79" s="13"/>
      <c r="D79" s="13"/>
      <c r="E79" s="13"/>
      <c r="F79" s="13"/>
      <c r="G79" s="13"/>
      <c r="H79" s="13"/>
      <c r="I79" s="13"/>
    </row>
    <row r="80" spans="1:9">
      <c r="A80" s="13"/>
      <c r="B80" s="13"/>
      <c r="C80" s="13"/>
      <c r="D80" s="13"/>
      <c r="E80" s="13"/>
      <c r="F80" s="13"/>
      <c r="G80" s="13"/>
      <c r="H80" s="13"/>
      <c r="I80" s="13"/>
    </row>
    <row r="81" spans="1:9">
      <c r="A81" s="13"/>
      <c r="B81" s="13"/>
      <c r="C81" s="13"/>
      <c r="D81" s="13"/>
      <c r="E81" s="13"/>
      <c r="F81" s="13"/>
      <c r="G81" s="13"/>
      <c r="H81" s="13"/>
      <c r="I81" s="13"/>
    </row>
    <row r="82" spans="1:9">
      <c r="A82" s="13"/>
      <c r="B82" s="13"/>
      <c r="C82" s="13"/>
      <c r="D82" s="13"/>
      <c r="E82" s="13"/>
      <c r="F82" s="13"/>
      <c r="G82" s="13"/>
      <c r="H82" s="13"/>
      <c r="I82" s="13"/>
    </row>
    <row r="83" spans="1:9">
      <c r="B83" s="2"/>
      <c r="C83" s="2"/>
      <c r="D83" s="2"/>
    </row>
  </sheetData>
  <mergeCells count="7">
    <mergeCell ref="B4:C4"/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22"/>
  <sheetViews>
    <sheetView tabSelected="1" workbookViewId="0">
      <selection activeCell="G33" sqref="G33"/>
    </sheetView>
  </sheetViews>
  <sheetFormatPr defaultColWidth="6.77734375" defaultRowHeight="15.6"/>
  <cols>
    <col min="1" max="2" width="6.77734375" style="13"/>
    <col min="3" max="3" width="9.88671875" style="13" bestFit="1" customWidth="1"/>
    <col min="4" max="5" width="6.77734375" style="13"/>
    <col min="6" max="6" width="9.44140625" style="13" bestFit="1" customWidth="1"/>
    <col min="7" max="16384" width="6.77734375" style="13"/>
  </cols>
  <sheetData>
    <row r="1" spans="2:7" ht="16.2" customHeight="1"/>
    <row r="2" spans="2:7" ht="16.2" customHeight="1">
      <c r="B2" s="14" t="s">
        <v>103</v>
      </c>
      <c r="C2" s="64"/>
      <c r="D2" s="64"/>
      <c r="E2" s="64"/>
      <c r="F2" s="64"/>
      <c r="G2" s="64"/>
    </row>
    <row r="3" spans="2:7" s="50" customFormat="1" ht="16.8" thickBot="1">
      <c r="B3" s="14"/>
      <c r="C3" s="64"/>
      <c r="D3" s="64"/>
      <c r="E3" s="64"/>
      <c r="F3" s="64"/>
      <c r="G3" s="64"/>
    </row>
    <row r="4" spans="2:7" s="51" customFormat="1" ht="16.8" thickBot="1">
      <c r="B4" s="14"/>
      <c r="C4" s="68" t="s">
        <v>97</v>
      </c>
      <c r="D4" s="65" t="s">
        <v>98</v>
      </c>
      <c r="E4" s="64"/>
      <c r="F4" s="89" t="s">
        <v>99</v>
      </c>
      <c r="G4" s="75" t="s">
        <v>98</v>
      </c>
    </row>
    <row r="5" spans="2:7" s="51" customFormat="1" ht="16.2">
      <c r="B5" s="14"/>
      <c r="C5" s="69" t="s">
        <v>100</v>
      </c>
      <c r="D5" s="66">
        <v>1500</v>
      </c>
      <c r="E5" s="64"/>
      <c r="F5" s="93" t="s">
        <v>100</v>
      </c>
      <c r="G5" s="90">
        <v>800</v>
      </c>
    </row>
    <row r="6" spans="2:7" s="51" customFormat="1" ht="16.2">
      <c r="B6" s="14"/>
      <c r="C6" s="70" t="s">
        <v>92</v>
      </c>
      <c r="D6" s="67">
        <v>1200</v>
      </c>
      <c r="E6" s="64"/>
      <c r="F6" s="94" t="s">
        <v>92</v>
      </c>
      <c r="G6" s="91">
        <v>300</v>
      </c>
    </row>
    <row r="7" spans="2:7" ht="16.8" thickBot="1">
      <c r="F7" s="95" t="s">
        <v>110</v>
      </c>
      <c r="G7" s="92">
        <v>400</v>
      </c>
    </row>
    <row r="8" spans="2:7" ht="16.2">
      <c r="F8" s="87"/>
      <c r="G8" s="88"/>
    </row>
    <row r="9" spans="2:7" ht="16.2">
      <c r="B9" s="13" t="s">
        <v>104</v>
      </c>
    </row>
    <row r="11" spans="2:7">
      <c r="B11" s="13" t="s">
        <v>270</v>
      </c>
    </row>
    <row r="13" spans="2:7" ht="16.2">
      <c r="B13" s="13" t="s">
        <v>106</v>
      </c>
    </row>
    <row r="15" spans="2:7" ht="16.2">
      <c r="B15" s="13" t="s">
        <v>108</v>
      </c>
    </row>
    <row r="16" spans="2:7" ht="16.2" thickBot="1"/>
    <row r="17" spans="2:4" ht="16.8" thickBot="1">
      <c r="C17" s="71" t="s">
        <v>107</v>
      </c>
      <c r="D17" s="65" t="s">
        <v>98</v>
      </c>
    </row>
    <row r="18" spans="2:4" ht="16.2">
      <c r="C18" s="72" t="s">
        <v>100</v>
      </c>
      <c r="D18" s="66">
        <v>400</v>
      </c>
    </row>
    <row r="19" spans="2:4" ht="16.2">
      <c r="C19" s="73" t="s">
        <v>92</v>
      </c>
      <c r="D19" s="67">
        <v>0</v>
      </c>
    </row>
    <row r="20" spans="2:4" ht="16.2">
      <c r="C20" s="73" t="s">
        <v>110</v>
      </c>
      <c r="D20" s="67">
        <v>800</v>
      </c>
    </row>
    <row r="22" spans="2:4" ht="16.2">
      <c r="B22" s="13" t="s">
        <v>109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dimension ref="A1"/>
  <sheetViews>
    <sheetView workbookViewId="0"/>
  </sheetViews>
  <sheetFormatPr defaultRowHeight="16.2"/>
  <sheetData/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/>
  <cols>
    <col min="1" max="1" width="8.88671875" style="13"/>
    <col min="2" max="2" width="27.109375" style="35" bestFit="1" customWidth="1"/>
    <col min="3" max="7" width="19.44140625" style="35" bestFit="1" customWidth="1"/>
  </cols>
  <sheetData>
    <row r="2" spans="2:7">
      <c r="B2" s="35" t="s">
        <v>25</v>
      </c>
      <c r="C2" s="35" t="s">
        <v>129</v>
      </c>
      <c r="D2" s="35" t="s">
        <v>129</v>
      </c>
      <c r="E2" s="35" t="s">
        <v>130</v>
      </c>
      <c r="F2" s="35" t="s">
        <v>130</v>
      </c>
      <c r="G2" s="35" t="s">
        <v>130</v>
      </c>
    </row>
    <row r="3" spans="2:7">
      <c r="B3" s="20" t="s">
        <v>131</v>
      </c>
      <c r="C3" s="20" t="s">
        <v>132</v>
      </c>
      <c r="D3" s="20" t="s">
        <v>133</v>
      </c>
      <c r="E3" s="20" t="s">
        <v>132</v>
      </c>
      <c r="F3" s="20" t="s">
        <v>133</v>
      </c>
      <c r="G3" s="20" t="s">
        <v>134</v>
      </c>
    </row>
    <row r="4" spans="2:7">
      <c r="B4" s="38" t="s">
        <v>135</v>
      </c>
      <c r="C4" s="111" cm="1">
        <f t="array" ref="C4:C68">_xlfn.ANCHORARRAY(Multiplier_Weight_Newbie!L15)</f>
        <v>691253713</v>
      </c>
      <c r="D4" s="111" cm="1">
        <f t="array" ref="D4:D67">_xlfn.ANCHORARRAY(Multiplier_Weight_Newbie!L87)</f>
        <v>0</v>
      </c>
      <c r="E4" s="53" cm="1">
        <f t="array" ref="E4:E68">_xlfn.ANCHORARRAY(Multiplier_Weight_Oldhand!L15)</f>
        <v>706833174</v>
      </c>
      <c r="F4" s="53" cm="1">
        <f t="array" ref="F4:F67">_xlfn.ANCHORARRAY(Multiplier_Weight_Oldhand!L87)</f>
        <v>0</v>
      </c>
      <c r="G4" s="53" cm="1">
        <f t="array" ref="G4:G67">_xlfn.ANCHORARRAY(Multiplier_Weight_Oldhand!L157)</f>
        <v>0</v>
      </c>
    </row>
    <row r="5" spans="2:7">
      <c r="B5" s="38" t="s">
        <v>136</v>
      </c>
      <c r="C5" s="111">
        <v>183427816</v>
      </c>
      <c r="D5" s="111">
        <v>0</v>
      </c>
      <c r="E5" s="53">
        <v>197850114</v>
      </c>
      <c r="F5" s="53">
        <v>0</v>
      </c>
      <c r="G5" s="53">
        <v>0</v>
      </c>
    </row>
    <row r="6" spans="2:7">
      <c r="B6" s="38" t="s">
        <v>137</v>
      </c>
      <c r="C6" s="111">
        <v>45729236</v>
      </c>
      <c r="D6" s="111">
        <v>0</v>
      </c>
      <c r="E6" s="53">
        <v>36993576</v>
      </c>
      <c r="F6" s="53">
        <v>0</v>
      </c>
      <c r="G6" s="53">
        <v>0</v>
      </c>
    </row>
    <row r="7" spans="2:7">
      <c r="B7" s="38" t="s">
        <v>138</v>
      </c>
      <c r="C7" s="111">
        <v>18697578</v>
      </c>
      <c r="D7" s="111">
        <v>0</v>
      </c>
      <c r="E7" s="53">
        <v>12449200</v>
      </c>
      <c r="F7" s="53">
        <v>0</v>
      </c>
      <c r="G7" s="53">
        <v>0</v>
      </c>
    </row>
    <row r="8" spans="2:7">
      <c r="B8" s="38" t="s">
        <v>139</v>
      </c>
      <c r="C8" s="111">
        <v>13283710</v>
      </c>
      <c r="D8" s="111">
        <v>0</v>
      </c>
      <c r="E8" s="53">
        <v>7164081</v>
      </c>
      <c r="F8" s="53">
        <v>0</v>
      </c>
      <c r="G8" s="53">
        <v>0</v>
      </c>
    </row>
    <row r="9" spans="2:7">
      <c r="B9" s="38" t="s">
        <v>140</v>
      </c>
      <c r="C9" s="111">
        <v>9169344</v>
      </c>
      <c r="D9" s="111">
        <v>0</v>
      </c>
      <c r="E9" s="53">
        <v>4945149</v>
      </c>
      <c r="F9" s="53">
        <v>0</v>
      </c>
      <c r="G9" s="53">
        <v>0</v>
      </c>
    </row>
    <row r="10" spans="2:7">
      <c r="B10" s="38" t="s">
        <v>141</v>
      </c>
      <c r="C10" s="111">
        <v>6408899</v>
      </c>
      <c r="D10" s="111">
        <v>0</v>
      </c>
      <c r="E10" s="53">
        <v>3456404</v>
      </c>
      <c r="F10" s="53">
        <v>0</v>
      </c>
      <c r="G10" s="53">
        <v>0</v>
      </c>
    </row>
    <row r="11" spans="2:7">
      <c r="B11" s="38" t="s">
        <v>142</v>
      </c>
      <c r="C11" s="111">
        <v>6852265</v>
      </c>
      <c r="D11" s="111">
        <v>0</v>
      </c>
      <c r="E11" s="53">
        <v>2463678</v>
      </c>
      <c r="F11" s="53">
        <v>0</v>
      </c>
      <c r="G11" s="53">
        <v>0</v>
      </c>
    </row>
    <row r="12" spans="2:7">
      <c r="B12" s="38" t="s">
        <v>143</v>
      </c>
      <c r="C12" s="111">
        <v>2551314</v>
      </c>
      <c r="D12" s="111">
        <v>0</v>
      </c>
      <c r="E12" s="53">
        <v>1289960</v>
      </c>
      <c r="F12" s="53">
        <v>0</v>
      </c>
      <c r="G12" s="53">
        <v>0</v>
      </c>
    </row>
    <row r="13" spans="2:7">
      <c r="B13" s="38" t="s">
        <v>144</v>
      </c>
      <c r="C13" s="111">
        <v>2102920</v>
      </c>
      <c r="D13" s="111">
        <v>0</v>
      </c>
      <c r="E13" s="53">
        <v>1046892</v>
      </c>
      <c r="F13" s="53">
        <v>0</v>
      </c>
      <c r="G13" s="53">
        <v>0</v>
      </c>
    </row>
    <row r="14" spans="2:7">
      <c r="B14" s="38" t="s">
        <v>145</v>
      </c>
      <c r="C14" s="111">
        <v>1719045</v>
      </c>
      <c r="D14" s="111">
        <v>0</v>
      </c>
      <c r="E14" s="53">
        <v>855788</v>
      </c>
      <c r="F14" s="53">
        <v>0</v>
      </c>
      <c r="G14" s="53">
        <v>0</v>
      </c>
    </row>
    <row r="15" spans="2:7">
      <c r="B15" s="38" t="s">
        <v>146</v>
      </c>
      <c r="C15" s="111">
        <v>1547168</v>
      </c>
      <c r="D15" s="111">
        <v>0</v>
      </c>
      <c r="E15" s="53">
        <v>2086021</v>
      </c>
      <c r="F15" s="53">
        <v>0</v>
      </c>
      <c r="G15" s="53">
        <v>0</v>
      </c>
    </row>
    <row r="16" spans="2:7">
      <c r="B16" s="38" t="s">
        <v>147</v>
      </c>
      <c r="C16" s="111">
        <v>2989200</v>
      </c>
      <c r="D16" s="111">
        <v>0</v>
      </c>
      <c r="E16" s="53">
        <v>3761602</v>
      </c>
      <c r="F16" s="53">
        <v>0</v>
      </c>
      <c r="G16" s="53">
        <v>93302689</v>
      </c>
    </row>
    <row r="17" spans="2:7">
      <c r="B17" s="38" t="s">
        <v>148</v>
      </c>
      <c r="C17" s="111">
        <v>0</v>
      </c>
      <c r="D17" s="111">
        <v>0</v>
      </c>
      <c r="E17" s="53">
        <v>952124</v>
      </c>
      <c r="F17" s="53">
        <v>0</v>
      </c>
      <c r="G17" s="53">
        <v>86051759</v>
      </c>
    </row>
    <row r="18" spans="2:7">
      <c r="B18" s="38" t="s">
        <v>149</v>
      </c>
      <c r="C18" s="111">
        <v>0</v>
      </c>
      <c r="D18" s="111">
        <v>0</v>
      </c>
      <c r="E18" s="53">
        <v>857237</v>
      </c>
      <c r="F18" s="53">
        <v>0</v>
      </c>
      <c r="G18" s="53">
        <v>79492687</v>
      </c>
    </row>
    <row r="19" spans="2:7">
      <c r="B19" s="38" t="s">
        <v>150</v>
      </c>
      <c r="C19" s="111">
        <v>0</v>
      </c>
      <c r="D19" s="111">
        <v>0</v>
      </c>
      <c r="E19" s="53">
        <v>1966528</v>
      </c>
      <c r="F19" s="53">
        <v>0</v>
      </c>
      <c r="G19" s="53">
        <v>73767608</v>
      </c>
    </row>
    <row r="20" spans="2:7">
      <c r="B20" s="38" t="s">
        <v>151</v>
      </c>
      <c r="C20" s="111">
        <v>0</v>
      </c>
      <c r="D20" s="111">
        <v>0</v>
      </c>
      <c r="E20" s="53">
        <v>664824</v>
      </c>
      <c r="F20" s="53">
        <v>0</v>
      </c>
      <c r="G20" s="53">
        <v>68036259</v>
      </c>
    </row>
    <row r="21" spans="2:7">
      <c r="B21" s="38" t="s">
        <v>152</v>
      </c>
      <c r="C21" s="111">
        <v>0</v>
      </c>
      <c r="D21" s="111">
        <v>191675100</v>
      </c>
      <c r="E21" s="53">
        <v>0</v>
      </c>
      <c r="F21" s="53">
        <v>191675100</v>
      </c>
      <c r="G21" s="53">
        <v>77729388</v>
      </c>
    </row>
    <row r="22" spans="2:7">
      <c r="B22" s="38" t="s">
        <v>153</v>
      </c>
      <c r="C22" s="111">
        <v>0</v>
      </c>
      <c r="D22" s="111">
        <v>177860539</v>
      </c>
      <c r="E22" s="53">
        <v>0</v>
      </c>
      <c r="F22" s="53">
        <v>177860539</v>
      </c>
      <c r="G22" s="53">
        <v>72127213</v>
      </c>
    </row>
    <row r="23" spans="2:7">
      <c r="B23" s="38" t="s">
        <v>154</v>
      </c>
      <c r="C23" s="111">
        <v>0</v>
      </c>
      <c r="D23" s="111">
        <v>162015699</v>
      </c>
      <c r="E23" s="53">
        <v>0</v>
      </c>
      <c r="F23" s="53">
        <v>162015699</v>
      </c>
      <c r="G23" s="53">
        <v>87602275</v>
      </c>
    </row>
    <row r="24" spans="2:7">
      <c r="B24" s="38" t="s">
        <v>155</v>
      </c>
      <c r="C24" s="111">
        <v>0</v>
      </c>
      <c r="D24" s="111">
        <v>134034744</v>
      </c>
      <c r="E24" s="53">
        <v>0</v>
      </c>
      <c r="F24" s="53">
        <v>134034744</v>
      </c>
      <c r="G24" s="53">
        <v>69884588</v>
      </c>
    </row>
    <row r="25" spans="2:7">
      <c r="B25" s="38" t="s">
        <v>156</v>
      </c>
      <c r="C25" s="111">
        <v>0</v>
      </c>
      <c r="D25" s="111">
        <v>103036152</v>
      </c>
      <c r="E25" s="53">
        <v>0</v>
      </c>
      <c r="F25" s="53">
        <v>103036152</v>
      </c>
      <c r="G25" s="53">
        <v>55711893</v>
      </c>
    </row>
    <row r="26" spans="2:7">
      <c r="B26" s="38" t="s">
        <v>157</v>
      </c>
      <c r="C26" s="111">
        <v>0</v>
      </c>
      <c r="D26" s="111">
        <v>92606730</v>
      </c>
      <c r="E26" s="53">
        <v>0</v>
      </c>
      <c r="F26" s="53">
        <v>92606730</v>
      </c>
      <c r="G26" s="53">
        <v>25036340</v>
      </c>
    </row>
    <row r="27" spans="2:7">
      <c r="B27" s="38" t="s">
        <v>158</v>
      </c>
      <c r="C27" s="111">
        <v>0</v>
      </c>
      <c r="D27" s="111">
        <v>64591468</v>
      </c>
      <c r="E27" s="53">
        <v>0</v>
      </c>
      <c r="F27" s="53">
        <v>64591468</v>
      </c>
      <c r="G27" s="53">
        <v>22532104</v>
      </c>
    </row>
    <row r="28" spans="2:7">
      <c r="B28" s="38" t="s">
        <v>159</v>
      </c>
      <c r="C28" s="111">
        <v>0</v>
      </c>
      <c r="D28" s="111">
        <v>45886114</v>
      </c>
      <c r="E28" s="53">
        <v>0</v>
      </c>
      <c r="F28" s="53">
        <v>45886114</v>
      </c>
      <c r="G28" s="53">
        <v>39174839</v>
      </c>
    </row>
    <row r="29" spans="2:7">
      <c r="B29" s="38" t="s">
        <v>160</v>
      </c>
      <c r="C29" s="111">
        <v>0</v>
      </c>
      <c r="D29" s="111">
        <v>28293449</v>
      </c>
      <c r="E29" s="53">
        <v>0</v>
      </c>
      <c r="F29" s="53">
        <v>28293449</v>
      </c>
      <c r="G29" s="53">
        <v>32782148</v>
      </c>
    </row>
    <row r="30" spans="2:7">
      <c r="B30" s="38" t="s">
        <v>161</v>
      </c>
      <c r="C30" s="111">
        <v>0</v>
      </c>
      <c r="D30" s="111">
        <v>0</v>
      </c>
      <c r="E30" s="53">
        <v>0</v>
      </c>
      <c r="F30" s="53">
        <v>0</v>
      </c>
      <c r="G30" s="53">
        <v>34727964</v>
      </c>
    </row>
    <row r="31" spans="2:7">
      <c r="B31" s="38" t="s">
        <v>162</v>
      </c>
      <c r="C31" s="111">
        <v>0</v>
      </c>
      <c r="D31" s="111">
        <v>0</v>
      </c>
      <c r="E31" s="53">
        <v>0</v>
      </c>
      <c r="F31" s="53">
        <v>0</v>
      </c>
      <c r="G31" s="53">
        <v>18459343</v>
      </c>
    </row>
    <row r="32" spans="2:7">
      <c r="B32" s="38" t="s">
        <v>163</v>
      </c>
      <c r="C32" s="111">
        <v>0</v>
      </c>
      <c r="D32" s="111">
        <v>0</v>
      </c>
      <c r="E32" s="53">
        <v>0</v>
      </c>
      <c r="F32" s="53">
        <v>0</v>
      </c>
      <c r="G32" s="53">
        <v>15513521</v>
      </c>
    </row>
    <row r="33" spans="2:7">
      <c r="B33" s="38" t="s">
        <v>164</v>
      </c>
      <c r="C33" s="111">
        <v>0</v>
      </c>
      <c r="D33" s="111">
        <v>0</v>
      </c>
      <c r="E33" s="53">
        <v>0</v>
      </c>
      <c r="F33" s="53">
        <v>0</v>
      </c>
      <c r="G33" s="53">
        <v>25815109</v>
      </c>
    </row>
    <row r="34" spans="2:7">
      <c r="B34" s="38" t="s">
        <v>165</v>
      </c>
      <c r="C34" s="111">
        <v>0</v>
      </c>
      <c r="D34" s="111">
        <v>0</v>
      </c>
      <c r="E34" s="53">
        <v>0</v>
      </c>
      <c r="F34" s="53">
        <v>0</v>
      </c>
      <c r="G34" s="53">
        <v>3430193</v>
      </c>
    </row>
    <row r="35" spans="2:7">
      <c r="B35" s="38" t="s">
        <v>166</v>
      </c>
      <c r="C35" s="111">
        <v>0</v>
      </c>
      <c r="D35" s="111">
        <v>0</v>
      </c>
      <c r="E35" s="53">
        <v>0</v>
      </c>
      <c r="F35" s="53">
        <v>0</v>
      </c>
      <c r="G35" s="53">
        <v>8226739</v>
      </c>
    </row>
    <row r="36" spans="2:7">
      <c r="B36" s="38" t="s">
        <v>167</v>
      </c>
      <c r="C36" s="111">
        <v>0</v>
      </c>
      <c r="D36" s="111">
        <v>0</v>
      </c>
      <c r="E36" s="53">
        <v>0</v>
      </c>
      <c r="F36" s="53">
        <v>0</v>
      </c>
      <c r="G36" s="53">
        <v>1812327</v>
      </c>
    </row>
    <row r="37" spans="2:7">
      <c r="B37" s="38" t="s">
        <v>168</v>
      </c>
      <c r="C37" s="111">
        <v>0</v>
      </c>
      <c r="D37" s="111">
        <v>0</v>
      </c>
      <c r="E37" s="53">
        <v>0</v>
      </c>
      <c r="F37" s="53">
        <v>0</v>
      </c>
      <c r="G37" s="53">
        <v>1448095</v>
      </c>
    </row>
    <row r="38" spans="2:7">
      <c r="B38" s="38" t="s">
        <v>169</v>
      </c>
      <c r="C38" s="111">
        <v>0</v>
      </c>
      <c r="D38" s="111">
        <v>0</v>
      </c>
      <c r="E38" s="53">
        <v>0</v>
      </c>
      <c r="F38" s="53">
        <v>0</v>
      </c>
      <c r="G38" s="53">
        <v>1172088</v>
      </c>
    </row>
    <row r="39" spans="2:7">
      <c r="B39" s="38" t="s">
        <v>170</v>
      </c>
      <c r="C39" s="111">
        <v>0</v>
      </c>
      <c r="D39" s="111">
        <v>0</v>
      </c>
      <c r="E39" s="53">
        <v>0</v>
      </c>
      <c r="F39" s="53">
        <v>0</v>
      </c>
      <c r="G39" s="53">
        <v>2942803</v>
      </c>
    </row>
    <row r="40" spans="2:7">
      <c r="B40" s="38" t="s">
        <v>171</v>
      </c>
      <c r="C40" s="111">
        <v>0</v>
      </c>
      <c r="D40" s="111">
        <v>0</v>
      </c>
      <c r="E40" s="53">
        <v>0</v>
      </c>
      <c r="F40" s="53">
        <v>0</v>
      </c>
      <c r="G40" s="53">
        <v>540525</v>
      </c>
    </row>
    <row r="41" spans="2:7">
      <c r="B41" s="38" t="s">
        <v>172</v>
      </c>
      <c r="C41" s="111">
        <v>0</v>
      </c>
      <c r="D41" s="111">
        <v>0</v>
      </c>
      <c r="E41" s="53">
        <v>0</v>
      </c>
      <c r="F41" s="53">
        <v>0</v>
      </c>
      <c r="G41" s="53">
        <v>450096</v>
      </c>
    </row>
    <row r="42" spans="2:7">
      <c r="B42" s="38" t="s">
        <v>173</v>
      </c>
      <c r="C42" s="111">
        <v>0</v>
      </c>
      <c r="D42" s="111">
        <v>0</v>
      </c>
      <c r="E42" s="53">
        <v>0</v>
      </c>
      <c r="F42" s="53">
        <v>0</v>
      </c>
      <c r="G42" s="53">
        <v>409421</v>
      </c>
    </row>
    <row r="43" spans="2:7">
      <c r="B43" s="38" t="s">
        <v>174</v>
      </c>
      <c r="C43" s="111">
        <v>0</v>
      </c>
      <c r="D43" s="111">
        <v>0</v>
      </c>
      <c r="E43" s="53">
        <v>0</v>
      </c>
      <c r="F43" s="53">
        <v>0</v>
      </c>
      <c r="G43" s="53">
        <v>350101</v>
      </c>
    </row>
    <row r="44" spans="2:7">
      <c r="B44" s="38" t="s">
        <v>175</v>
      </c>
      <c r="C44" s="111">
        <v>0</v>
      </c>
      <c r="D44" s="111">
        <v>0</v>
      </c>
      <c r="E44" s="53">
        <v>0</v>
      </c>
      <c r="F44" s="53">
        <v>0</v>
      </c>
      <c r="G44" s="53">
        <v>293239</v>
      </c>
    </row>
    <row r="45" spans="2:7">
      <c r="B45" s="38" t="s">
        <v>176</v>
      </c>
      <c r="C45" s="111">
        <v>0</v>
      </c>
      <c r="D45" s="111">
        <v>0</v>
      </c>
      <c r="E45" s="53">
        <v>0</v>
      </c>
      <c r="F45" s="53">
        <v>0</v>
      </c>
      <c r="G45" s="53">
        <v>279878</v>
      </c>
    </row>
    <row r="46" spans="2:7">
      <c r="B46" s="38" t="s">
        <v>177</v>
      </c>
      <c r="C46" s="111">
        <v>0</v>
      </c>
      <c r="D46" s="111">
        <v>0</v>
      </c>
      <c r="E46" s="53">
        <v>0</v>
      </c>
      <c r="F46" s="53">
        <v>0</v>
      </c>
      <c r="G46" s="53">
        <v>250051</v>
      </c>
    </row>
    <row r="47" spans="2:7">
      <c r="B47" s="38" t="s">
        <v>178</v>
      </c>
      <c r="C47" s="111">
        <v>0</v>
      </c>
      <c r="D47" s="111">
        <v>0</v>
      </c>
      <c r="E47" s="53">
        <v>0</v>
      </c>
      <c r="F47" s="53">
        <v>0</v>
      </c>
      <c r="G47" s="53">
        <v>236120</v>
      </c>
    </row>
    <row r="48" spans="2:7">
      <c r="B48" s="38" t="s">
        <v>179</v>
      </c>
      <c r="C48" s="111">
        <v>0</v>
      </c>
      <c r="D48" s="111">
        <v>0</v>
      </c>
      <c r="E48" s="53">
        <v>0</v>
      </c>
      <c r="F48" s="53">
        <v>0</v>
      </c>
      <c r="G48" s="53">
        <v>218117</v>
      </c>
    </row>
    <row r="49" spans="2:7">
      <c r="B49" s="38" t="s">
        <v>180</v>
      </c>
      <c r="C49" s="111">
        <v>0</v>
      </c>
      <c r="D49" s="111">
        <v>0</v>
      </c>
      <c r="E49" s="53">
        <v>0</v>
      </c>
      <c r="F49" s="53">
        <v>0</v>
      </c>
      <c r="G49" s="53">
        <v>189920</v>
      </c>
    </row>
    <row r="50" spans="2:7">
      <c r="B50" s="38" t="s">
        <v>181</v>
      </c>
      <c r="C50" s="111">
        <v>0</v>
      </c>
      <c r="D50" s="111">
        <v>0</v>
      </c>
      <c r="E50" s="53">
        <v>0</v>
      </c>
      <c r="F50" s="53">
        <v>0</v>
      </c>
      <c r="G50" s="53">
        <v>2544</v>
      </c>
    </row>
    <row r="51" spans="2:7">
      <c r="B51" s="38" t="s">
        <v>182</v>
      </c>
      <c r="C51" s="111">
        <v>0</v>
      </c>
      <c r="D51" s="111">
        <v>0</v>
      </c>
      <c r="E51" s="53">
        <v>0</v>
      </c>
      <c r="F51" s="53">
        <v>0</v>
      </c>
      <c r="G51" s="53">
        <v>0</v>
      </c>
    </row>
    <row r="52" spans="2:7">
      <c r="B52" s="38" t="s">
        <v>183</v>
      </c>
      <c r="C52" s="111">
        <v>0</v>
      </c>
      <c r="D52" s="111">
        <v>0</v>
      </c>
      <c r="E52" s="53">
        <v>0</v>
      </c>
      <c r="F52" s="53">
        <v>0</v>
      </c>
      <c r="G52" s="53">
        <v>0</v>
      </c>
    </row>
    <row r="53" spans="2:7">
      <c r="B53" s="38" t="s">
        <v>184</v>
      </c>
      <c r="C53" s="111">
        <v>0</v>
      </c>
      <c r="D53" s="111">
        <v>0</v>
      </c>
      <c r="E53" s="53">
        <v>0</v>
      </c>
      <c r="F53" s="53">
        <v>0</v>
      </c>
      <c r="G53" s="53">
        <v>0</v>
      </c>
    </row>
    <row r="54" spans="2:7">
      <c r="B54" s="38" t="s">
        <v>185</v>
      </c>
      <c r="C54" s="111">
        <v>0</v>
      </c>
      <c r="D54" s="111">
        <v>0</v>
      </c>
      <c r="E54" s="53">
        <v>0</v>
      </c>
      <c r="F54" s="53">
        <v>0</v>
      </c>
      <c r="G54" s="53">
        <v>0</v>
      </c>
    </row>
    <row r="55" spans="2:7">
      <c r="B55" s="38" t="s">
        <v>186</v>
      </c>
      <c r="C55" s="111">
        <v>0</v>
      </c>
      <c r="D55" s="111">
        <v>0</v>
      </c>
      <c r="E55" s="53">
        <v>0</v>
      </c>
      <c r="F55" s="53">
        <v>0</v>
      </c>
      <c r="G55" s="53">
        <v>0</v>
      </c>
    </row>
    <row r="56" spans="2:7">
      <c r="B56" s="38" t="s">
        <v>187</v>
      </c>
      <c r="C56" s="111">
        <v>0</v>
      </c>
      <c r="D56" s="111">
        <v>0</v>
      </c>
      <c r="E56" s="53">
        <v>0</v>
      </c>
      <c r="F56" s="53">
        <v>0</v>
      </c>
      <c r="G56" s="53">
        <v>0</v>
      </c>
    </row>
    <row r="57" spans="2:7">
      <c r="B57" s="38" t="s">
        <v>188</v>
      </c>
      <c r="C57" s="111">
        <v>0</v>
      </c>
      <c r="D57" s="111">
        <v>0</v>
      </c>
      <c r="E57" s="53">
        <v>0</v>
      </c>
      <c r="F57" s="53">
        <v>0</v>
      </c>
      <c r="G57" s="53">
        <v>0</v>
      </c>
    </row>
    <row r="58" spans="2:7">
      <c r="B58" s="38" t="s">
        <v>189</v>
      </c>
      <c r="C58" s="111">
        <v>0</v>
      </c>
      <c r="D58" s="111">
        <v>0</v>
      </c>
      <c r="E58" s="53">
        <v>0</v>
      </c>
      <c r="F58" s="53">
        <v>0</v>
      </c>
      <c r="G58" s="53">
        <v>0</v>
      </c>
    </row>
    <row r="59" spans="2:7">
      <c r="B59" s="38" t="s">
        <v>190</v>
      </c>
      <c r="C59" s="111">
        <v>0</v>
      </c>
      <c r="D59" s="111">
        <v>0</v>
      </c>
      <c r="E59" s="53">
        <v>0</v>
      </c>
      <c r="F59" s="53">
        <v>0</v>
      </c>
      <c r="G59" s="53">
        <v>0</v>
      </c>
    </row>
    <row r="60" spans="2:7">
      <c r="B60" s="38" t="s">
        <v>191</v>
      </c>
      <c r="C60" s="111">
        <v>0</v>
      </c>
      <c r="D60" s="111">
        <v>0</v>
      </c>
      <c r="E60" s="53">
        <v>0</v>
      </c>
      <c r="F60" s="53">
        <v>0</v>
      </c>
      <c r="G60" s="53">
        <v>0</v>
      </c>
    </row>
    <row r="61" spans="2:7">
      <c r="B61" s="38" t="s">
        <v>192</v>
      </c>
      <c r="C61" s="111">
        <v>0</v>
      </c>
      <c r="D61" s="111">
        <v>0</v>
      </c>
      <c r="E61" s="53">
        <v>0</v>
      </c>
      <c r="F61" s="53">
        <v>0</v>
      </c>
      <c r="G61" s="53">
        <v>0</v>
      </c>
    </row>
    <row r="62" spans="2:7">
      <c r="B62" s="38" t="s">
        <v>193</v>
      </c>
      <c r="C62" s="111">
        <v>0</v>
      </c>
      <c r="D62" s="111">
        <v>0</v>
      </c>
      <c r="E62" s="53">
        <v>0</v>
      </c>
      <c r="F62" s="53">
        <v>0</v>
      </c>
      <c r="G62" s="53">
        <v>0</v>
      </c>
    </row>
    <row r="63" spans="2:7">
      <c r="B63" s="38" t="s">
        <v>194</v>
      </c>
      <c r="C63" s="111">
        <v>0</v>
      </c>
      <c r="D63" s="111">
        <v>0</v>
      </c>
      <c r="E63" s="53">
        <v>0</v>
      </c>
      <c r="F63" s="53">
        <v>0</v>
      </c>
      <c r="G63" s="53">
        <v>0</v>
      </c>
    </row>
    <row r="64" spans="2:7">
      <c r="B64" s="38" t="s">
        <v>195</v>
      </c>
      <c r="C64" s="111">
        <v>0</v>
      </c>
      <c r="D64" s="111">
        <v>0</v>
      </c>
      <c r="E64" s="53">
        <v>0</v>
      </c>
      <c r="F64" s="53">
        <v>0</v>
      </c>
      <c r="G64" s="53">
        <v>0</v>
      </c>
    </row>
    <row r="65" spans="2:7">
      <c r="B65" s="38" t="s">
        <v>196</v>
      </c>
      <c r="C65" s="111">
        <v>0</v>
      </c>
      <c r="D65" s="111">
        <v>0</v>
      </c>
      <c r="E65" s="53">
        <v>0</v>
      </c>
      <c r="F65" s="53">
        <v>0</v>
      </c>
      <c r="G65" s="53">
        <v>0</v>
      </c>
    </row>
    <row r="66" spans="2:7">
      <c r="B66" s="38" t="s">
        <v>197</v>
      </c>
      <c r="C66" s="111">
        <v>0</v>
      </c>
      <c r="D66" s="111">
        <v>0</v>
      </c>
      <c r="E66" s="53">
        <v>0</v>
      </c>
      <c r="F66" s="53">
        <v>0</v>
      </c>
      <c r="G66" s="53">
        <v>0</v>
      </c>
    </row>
    <row r="67" spans="2:7">
      <c r="B67" s="38" t="s">
        <v>198</v>
      </c>
      <c r="C67" s="111">
        <v>0</v>
      </c>
      <c r="D67" s="111">
        <v>0</v>
      </c>
      <c r="E67" s="53">
        <v>0</v>
      </c>
      <c r="F67" s="53">
        <v>0</v>
      </c>
      <c r="G67" s="53">
        <v>0</v>
      </c>
    </row>
    <row r="68" spans="2:7">
      <c r="B68" s="38" t="s">
        <v>199</v>
      </c>
      <c r="C68" s="111">
        <v>6853371</v>
      </c>
      <c r="D68" s="54"/>
      <c r="E68" s="53">
        <v>6396479</v>
      </c>
      <c r="F68" s="54"/>
      <c r="G68" s="5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dimension ref="A1:N150"/>
  <sheetViews>
    <sheetView workbookViewId="0"/>
  </sheetViews>
  <sheetFormatPr defaultRowHeight="15.6"/>
  <cols>
    <col min="1" max="1" width="19.77734375" style="13" bestFit="1" customWidth="1"/>
    <col min="2" max="2" width="22.88671875" style="13" bestFit="1" customWidth="1"/>
    <col min="3" max="3" width="21" style="13" bestFit="1" customWidth="1"/>
    <col min="4" max="4" width="25.5546875" style="13" bestFit="1" customWidth="1"/>
    <col min="5" max="5" width="16.21875" style="13" bestFit="1" customWidth="1"/>
    <col min="6" max="6" width="16.77734375" style="13" bestFit="1" customWidth="1"/>
    <col min="7" max="7" width="15.5546875" style="115" bestFit="1" customWidth="1"/>
    <col min="8" max="8" width="25.5546875" style="13" bestFit="1" customWidth="1"/>
    <col min="9" max="9" width="14" style="13" customWidth="1"/>
    <col min="10" max="10" width="12.44140625" style="13" customWidth="1"/>
    <col min="11" max="11" width="15.5546875" style="13" customWidth="1"/>
    <col min="12" max="12" width="15.33203125" style="13" bestFit="1" customWidth="1"/>
    <col min="13" max="13" width="12.44140625" style="13" bestFit="1" customWidth="1"/>
    <col min="14" max="14" width="19.77734375" style="13" bestFit="1" customWidth="1"/>
    <col min="15" max="16384" width="8.88671875" style="13"/>
  </cols>
  <sheetData>
    <row r="1" spans="1:14">
      <c r="A1" s="14"/>
      <c r="B1" s="14"/>
      <c r="C1" s="1"/>
      <c r="F1" s="1"/>
      <c r="H1" s="15"/>
      <c r="I1" s="14"/>
      <c r="J1" s="14"/>
      <c r="K1" s="14"/>
      <c r="L1" s="14"/>
      <c r="M1" s="14"/>
      <c r="N1" s="14"/>
    </row>
    <row r="2" spans="1:14">
      <c r="A2" s="14" t="s">
        <v>61</v>
      </c>
      <c r="B2" s="120">
        <v>1000000000</v>
      </c>
      <c r="C2" s="1"/>
      <c r="F2" s="121"/>
      <c r="G2" s="121"/>
      <c r="K2" s="14"/>
      <c r="L2" s="14"/>
      <c r="M2" s="14"/>
      <c r="N2" s="14"/>
    </row>
    <row r="3" spans="1:14">
      <c r="A3" s="14" t="s">
        <v>210</v>
      </c>
      <c r="B3" s="120">
        <f>Overview!A7</f>
        <v>100</v>
      </c>
      <c r="C3" s="1"/>
      <c r="F3" s="121"/>
      <c r="G3" s="122"/>
    </row>
    <row r="4" spans="1:14">
      <c r="F4" s="121"/>
      <c r="G4" s="121"/>
      <c r="I4" s="1"/>
      <c r="L4" s="123"/>
      <c r="M4" s="124"/>
      <c r="N4" s="125"/>
    </row>
    <row r="5" spans="1:14">
      <c r="A5" s="14"/>
      <c r="B5" s="14"/>
      <c r="C5" s="1" t="s">
        <v>211</v>
      </c>
      <c r="I5" s="121"/>
      <c r="K5" s="127"/>
      <c r="L5" s="128"/>
      <c r="M5" s="124"/>
      <c r="N5" s="125"/>
    </row>
    <row r="6" spans="1:14">
      <c r="A6" s="129"/>
      <c r="B6" s="48" t="s">
        <v>212</v>
      </c>
      <c r="C6" s="48" t="s">
        <v>50</v>
      </c>
      <c r="D6" s="48" t="s">
        <v>213</v>
      </c>
      <c r="E6" s="48" t="s">
        <v>214</v>
      </c>
      <c r="F6" s="48" t="s">
        <v>112</v>
      </c>
      <c r="G6" s="48" t="s">
        <v>215</v>
      </c>
      <c r="H6" s="48" t="s">
        <v>216</v>
      </c>
      <c r="I6" s="130" t="s">
        <v>206</v>
      </c>
      <c r="J6" s="131" t="s">
        <v>207</v>
      </c>
      <c r="L6" s="122"/>
      <c r="M6" s="122"/>
      <c r="N6" s="132"/>
    </row>
    <row r="7" spans="1:14">
      <c r="A7" s="133" t="s">
        <v>55</v>
      </c>
      <c r="B7" s="133" cm="1">
        <f t="array" ref="B7">Overview!B11:B11</f>
        <v>1</v>
      </c>
      <c r="C7" s="134">
        <f>SUM(N15:N79)</f>
        <v>0.48883559255484144</v>
      </c>
      <c r="D7" s="134">
        <f>SUM(_xlfn.ANCHORARRAY(N87))*F7</f>
        <v>0.44628160213686763</v>
      </c>
      <c r="E7" s="135">
        <f>SUM(C7:D7)</f>
        <v>0.93511719469170906</v>
      </c>
      <c r="F7" s="136">
        <f>M79</f>
        <v>6.904564346889428E-3</v>
      </c>
      <c r="G7" s="137">
        <f>1/F7</f>
        <v>144.83173010770903</v>
      </c>
      <c r="H7" s="138">
        <f>D7*G7</f>
        <v>64.63573655272279</v>
      </c>
      <c r="I7" s="139" cm="1">
        <f t="array" ref="I7">LOOKUP(2,1/(L15:L78&lt;&gt;0),B15:B78)</f>
        <v>20</v>
      </c>
      <c r="J7" s="139" cm="1">
        <f t="array" ref="J7">LOOKUP(2,1/(_xlfn.ANCHORARRAY(L87)&lt;&gt;0),B15:B78)</f>
        <v>140</v>
      </c>
      <c r="L7" s="121"/>
      <c r="M7" s="122"/>
      <c r="N7" s="132"/>
    </row>
    <row r="8" spans="1:14">
      <c r="A8" s="195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21"/>
      <c r="M8" s="122"/>
      <c r="N8" s="132"/>
    </row>
    <row r="9" spans="1:14">
      <c r="A9" s="14"/>
      <c r="B9" s="14"/>
      <c r="C9" s="1"/>
      <c r="D9" s="143"/>
      <c r="E9" s="14"/>
      <c r="F9" s="1"/>
      <c r="H9" s="15"/>
      <c r="I9" s="14"/>
      <c r="J9" s="14"/>
      <c r="K9" s="14"/>
      <c r="L9" s="144"/>
      <c r="M9" s="121"/>
      <c r="N9" s="121"/>
    </row>
    <row r="10" spans="1:14">
      <c r="A10" s="14"/>
      <c r="B10" s="14"/>
      <c r="C10" s="1"/>
      <c r="D10" s="1"/>
      <c r="E10" s="143"/>
      <c r="F10" s="1"/>
      <c r="H10" s="15"/>
      <c r="I10" s="14"/>
      <c r="J10" s="14"/>
      <c r="K10" s="14"/>
      <c r="L10" s="144"/>
      <c r="M10" s="121"/>
      <c r="N10" s="121"/>
    </row>
    <row r="11" spans="1:14" s="39" customFormat="1">
      <c r="A11" s="228" t="s">
        <v>50</v>
      </c>
      <c r="B11" s="228"/>
      <c r="C11" s="228"/>
      <c r="D11" s="228"/>
      <c r="E11" s="145"/>
      <c r="F11" s="145"/>
      <c r="G11" s="146"/>
      <c r="H11" s="147"/>
      <c r="I11" s="148"/>
      <c r="J11" s="149"/>
      <c r="K11" s="149"/>
      <c r="L11" s="149"/>
      <c r="M11" s="149"/>
      <c r="N11" s="149"/>
    </row>
    <row r="12" spans="1:14">
      <c r="A12" s="14"/>
      <c r="B12" s="14"/>
      <c r="C12" s="1"/>
      <c r="D12" s="1"/>
      <c r="E12" s="1"/>
      <c r="F12" s="1"/>
      <c r="H12" s="15"/>
      <c r="I12" s="14"/>
      <c r="J12" s="14"/>
      <c r="K12" s="14"/>
      <c r="L12" s="14"/>
      <c r="M12" s="14"/>
      <c r="N12" s="14"/>
    </row>
    <row r="13" spans="1:14">
      <c r="A13" s="150" t="s">
        <v>217</v>
      </c>
      <c r="B13" s="151">
        <v>1000000000</v>
      </c>
      <c r="C13" s="152"/>
      <c r="D13" s="1"/>
      <c r="E13" s="1"/>
      <c r="F13" s="1"/>
      <c r="H13" s="150" t="s">
        <v>218</v>
      </c>
      <c r="I13" s="14"/>
      <c r="J13" s="14"/>
      <c r="K13" s="14"/>
      <c r="L13" s="14"/>
      <c r="M13" s="14"/>
      <c r="N13" s="14"/>
    </row>
    <row r="14" spans="1:14">
      <c r="A14" s="20" t="s">
        <v>57</v>
      </c>
      <c r="B14" s="20" t="s">
        <v>58</v>
      </c>
      <c r="C14" s="20" t="s">
        <v>219</v>
      </c>
      <c r="D14" s="20" t="s">
        <v>220</v>
      </c>
      <c r="E14" s="20" t="s">
        <v>221</v>
      </c>
      <c r="F14" s="20" t="s">
        <v>222</v>
      </c>
      <c r="H14" s="20" t="s">
        <v>60</v>
      </c>
      <c r="I14" s="20" t="s">
        <v>223</v>
      </c>
      <c r="J14" s="20" t="s">
        <v>224</v>
      </c>
      <c r="K14" s="20" t="s">
        <v>225</v>
      </c>
      <c r="L14" s="20" t="s">
        <v>226</v>
      </c>
      <c r="M14" s="20" t="s">
        <v>62</v>
      </c>
      <c r="N14" s="20" t="s">
        <v>59</v>
      </c>
    </row>
    <row r="15" spans="1:14">
      <c r="A15" s="153">
        <v>-1</v>
      </c>
      <c r="B15" s="153">
        <v>0</v>
      </c>
      <c r="C15" s="154">
        <v>65390071</v>
      </c>
      <c r="D15" s="154">
        <v>0</v>
      </c>
      <c r="E15" s="155" cm="1">
        <f t="array" ref="E15:E78">_xlfn.LET(_xlpm.x, C15:C78, _xlpm.x/SUM(_xlpm.x))</f>
        <v>0.66407190760638146</v>
      </c>
      <c r="F15" s="157" cm="1">
        <f t="array" ref="F15:F80">_xlfn.LET(_xlpm.x, D15:D80/C15:C80/B3, IF(ISERR(_xlpm.x), 0, _xlpm.x))</f>
        <v>0</v>
      </c>
      <c r="G15" s="115">
        <v>9.9999999999999995E-7</v>
      </c>
      <c r="H15" s="38" t="str">
        <f>"("&amp;$A15&amp;", "&amp;$B15&amp;"]"</f>
        <v>(-1, 0]</v>
      </c>
      <c r="I15" s="159">
        <v>0.5</v>
      </c>
      <c r="J15" s="156" cm="1">
        <f t="array" ref="J15:J79">E15:E79*I15:I79</f>
        <v>0.33203595380319073</v>
      </c>
      <c r="K15" s="156" cm="1">
        <f t="array" ref="K15:K78">J15:J78/SUM(_xlfn.ANCHORARRAY(J15))</f>
        <v>0.69125371304489969</v>
      </c>
      <c r="L15" s="160" cm="1">
        <f t="array" ref="L15:L79">INT(K15:K79*$B$2)</f>
        <v>691253713</v>
      </c>
      <c r="M15" s="156" cm="1">
        <f t="array" ref="M15:M79">_xlfn.LET(_xlpm.x, L15:L79, _xlpm.x/SUM(_xlpm.x))</f>
        <v>0.69641724363597668</v>
      </c>
      <c r="N15" s="156" cm="1">
        <f t="array" ref="N15:N79">M15:M79*F15:F79</f>
        <v>0</v>
      </c>
    </row>
    <row r="16" spans="1:14">
      <c r="A16" s="133">
        <v>0</v>
      </c>
      <c r="B16" s="133">
        <v>1</v>
      </c>
      <c r="C16" s="165">
        <v>17351600</v>
      </c>
      <c r="D16" s="165">
        <v>712785570</v>
      </c>
      <c r="E16" s="156">
        <v>0.17621498089553822</v>
      </c>
      <c r="F16" s="158">
        <v>0.41078953525899631</v>
      </c>
      <c r="G16" s="115">
        <v>0</v>
      </c>
      <c r="H16" s="38" t="str">
        <f t="shared" ref="H16:H78" si="0">"("&amp;$A16&amp;", "&amp;$B16&amp;"]"</f>
        <v>(0, 1]</v>
      </c>
      <c r="I16" s="159">
        <v>0.5</v>
      </c>
      <c r="J16" s="156">
        <v>8.810749044776911E-2</v>
      </c>
      <c r="K16" s="156">
        <v>0.1834278162394086</v>
      </c>
      <c r="L16" s="160">
        <v>183427816</v>
      </c>
      <c r="M16" s="156">
        <v>0.18479798606866521</v>
      </c>
      <c r="N16" s="156">
        <v>7.5913078813945462E-2</v>
      </c>
    </row>
    <row r="17" spans="1:14">
      <c r="A17" s="133">
        <v>1</v>
      </c>
      <c r="B17" s="133">
        <v>2</v>
      </c>
      <c r="C17" s="165">
        <v>5407273</v>
      </c>
      <c r="D17" s="165">
        <v>802609240</v>
      </c>
      <c r="E17" s="156">
        <v>5.4913812466398468E-2</v>
      </c>
      <c r="F17" s="158">
        <v>1.4843142560029796</v>
      </c>
      <c r="G17" s="166">
        <f>1+G16*G15</f>
        <v>1</v>
      </c>
      <c r="H17" s="38" t="str">
        <f t="shared" si="0"/>
        <v>(1, 2]</v>
      </c>
      <c r="I17" s="159">
        <v>0.4</v>
      </c>
      <c r="J17" s="156">
        <v>2.196552498655939E-2</v>
      </c>
      <c r="K17" s="156">
        <v>4.5729236644473856E-2</v>
      </c>
      <c r="L17" s="160">
        <v>45729236</v>
      </c>
      <c r="M17" s="156">
        <v>4.6070824488575406E-2</v>
      </c>
      <c r="N17" s="156">
        <v>6.8383581574203656E-2</v>
      </c>
    </row>
    <row r="18" spans="1:14">
      <c r="A18" s="133">
        <v>2</v>
      </c>
      <c r="B18" s="133">
        <v>3</v>
      </c>
      <c r="C18" s="165">
        <v>2729510</v>
      </c>
      <c r="D18" s="165">
        <v>691016145</v>
      </c>
      <c r="E18" s="156">
        <v>2.7719665765934008E-2</v>
      </c>
      <c r="F18" s="158">
        <v>2.5316490688804949</v>
      </c>
      <c r="G18" s="166"/>
      <c r="H18" s="38" t="str">
        <f t="shared" si="0"/>
        <v>(2, 3]</v>
      </c>
      <c r="I18" s="159">
        <v>0.32400000000000001</v>
      </c>
      <c r="J18" s="156">
        <v>8.9811717081626184E-3</v>
      </c>
      <c r="K18" s="156">
        <v>1.8697578438873132E-2</v>
      </c>
      <c r="L18" s="160">
        <v>18697578</v>
      </c>
      <c r="M18" s="156">
        <v>1.8837245266888972E-2</v>
      </c>
      <c r="N18" s="156">
        <v>4.7689294440192972E-2</v>
      </c>
    </row>
    <row r="19" spans="1:14">
      <c r="A19" s="133">
        <v>3</v>
      </c>
      <c r="B19" s="133">
        <v>4</v>
      </c>
      <c r="C19" s="165">
        <v>1570738</v>
      </c>
      <c r="D19" s="165">
        <v>556155520</v>
      </c>
      <c r="E19" s="156">
        <v>1.5951702820598442E-2</v>
      </c>
      <c r="F19" s="158">
        <v>3.5407274796942585</v>
      </c>
      <c r="G19" s="167"/>
      <c r="H19" s="38" t="str">
        <f t="shared" si="0"/>
        <v>(3, 4]</v>
      </c>
      <c r="I19" s="159">
        <v>0.4</v>
      </c>
      <c r="J19" s="156">
        <v>6.3806811282393766E-3</v>
      </c>
      <c r="K19" s="156">
        <v>1.3283710607633011E-2</v>
      </c>
      <c r="L19" s="160">
        <v>13283710</v>
      </c>
      <c r="M19" s="156">
        <v>1.3382936727111164E-2</v>
      </c>
      <c r="N19" s="156">
        <v>4.7385331828692041E-2</v>
      </c>
    </row>
    <row r="20" spans="1:14">
      <c r="A20" s="133">
        <v>4</v>
      </c>
      <c r="B20" s="133">
        <v>5</v>
      </c>
      <c r="C20" s="165">
        <v>1084233</v>
      </c>
      <c r="D20" s="165">
        <v>494968815</v>
      </c>
      <c r="E20" s="156">
        <v>1.1010978663714706E-2</v>
      </c>
      <c r="F20" s="158">
        <v>4.565151724767647</v>
      </c>
      <c r="G20" s="167"/>
      <c r="H20" s="38" t="str">
        <f t="shared" si="0"/>
        <v>(4, 5]</v>
      </c>
      <c r="I20" s="159">
        <v>0.4</v>
      </c>
      <c r="J20" s="156">
        <v>4.4043914654858822E-3</v>
      </c>
      <c r="K20" s="156">
        <v>9.1693442211532167E-3</v>
      </c>
      <c r="L20" s="160">
        <v>9169344</v>
      </c>
      <c r="M20" s="156">
        <v>9.2378372142358119E-3</v>
      </c>
      <c r="N20" s="156">
        <v>4.2172128491691371E-2</v>
      </c>
    </row>
    <row r="21" spans="1:14">
      <c r="A21" s="133">
        <v>5</v>
      </c>
      <c r="B21" s="133">
        <v>6</v>
      </c>
      <c r="C21" s="165">
        <v>757823</v>
      </c>
      <c r="D21" s="165">
        <v>422988420</v>
      </c>
      <c r="E21" s="156">
        <v>7.6961067260194723E-3</v>
      </c>
      <c r="F21" s="158">
        <v>5.5816255246937612</v>
      </c>
      <c r="G21" s="167">
        <v>1.79</v>
      </c>
      <c r="H21" s="38" t="str">
        <f t="shared" si="0"/>
        <v>(5, 6]</v>
      </c>
      <c r="I21" s="159">
        <v>0.4</v>
      </c>
      <c r="J21" s="156">
        <v>3.0784426904077889E-3</v>
      </c>
      <c r="K21" s="156">
        <v>6.4088991441018624E-3</v>
      </c>
      <c r="L21" s="160">
        <v>6408899</v>
      </c>
      <c r="M21" s="156">
        <v>6.456772227596508E-3</v>
      </c>
      <c r="N21" s="156">
        <v>3.6039284672686467E-2</v>
      </c>
    </row>
    <row r="22" spans="1:14">
      <c r="A22" s="133">
        <v>6</v>
      </c>
      <c r="B22" s="133">
        <v>7</v>
      </c>
      <c r="C22" s="165">
        <v>540166</v>
      </c>
      <c r="D22" s="165">
        <v>351987175</v>
      </c>
      <c r="E22" s="156">
        <v>5.4856809383814348E-3</v>
      </c>
      <c r="F22" s="158">
        <v>6.5162778664336516</v>
      </c>
      <c r="G22" s="167">
        <v>1.24</v>
      </c>
      <c r="H22" s="38" t="str">
        <f t="shared" si="0"/>
        <v>(6, 7]</v>
      </c>
      <c r="I22" s="159">
        <v>0.6</v>
      </c>
      <c r="J22" s="156">
        <v>3.291408563028861E-3</v>
      </c>
      <c r="K22" s="156">
        <v>6.8522651365944161E-3</v>
      </c>
      <c r="L22" s="160">
        <v>6852265</v>
      </c>
      <c r="M22" s="156">
        <v>6.9034500852847873E-3</v>
      </c>
      <c r="N22" s="156">
        <v>4.4984798992770761E-2</v>
      </c>
    </row>
    <row r="23" spans="1:14">
      <c r="A23" s="133">
        <v>7</v>
      </c>
      <c r="B23" s="133">
        <v>8</v>
      </c>
      <c r="C23" s="165">
        <v>471377</v>
      </c>
      <c r="D23" s="165">
        <v>355806505</v>
      </c>
      <c r="E23" s="156">
        <v>4.7870910492171402E-3</v>
      </c>
      <c r="F23" s="158">
        <v>7.5482364434412377</v>
      </c>
      <c r="G23" s="167">
        <v>1.02</v>
      </c>
      <c r="H23" s="38" t="str">
        <f t="shared" si="0"/>
        <v>(7, 8]</v>
      </c>
      <c r="I23" s="159">
        <v>0.25600000000000001</v>
      </c>
      <c r="J23" s="156">
        <v>1.225495308599588E-3</v>
      </c>
      <c r="K23" s="156">
        <v>2.5513146172438084E-3</v>
      </c>
      <c r="L23" s="160">
        <v>2551314</v>
      </c>
      <c r="M23" s="156">
        <v>2.5703718187910524E-3</v>
      </c>
      <c r="N23" s="156">
        <v>1.9401774235792958E-2</v>
      </c>
    </row>
    <row r="24" spans="1:14">
      <c r="A24" s="133">
        <v>8</v>
      </c>
      <c r="B24" s="133">
        <v>9</v>
      </c>
      <c r="C24" s="165">
        <v>382555</v>
      </c>
      <c r="D24" s="165">
        <v>329270680</v>
      </c>
      <c r="E24" s="156">
        <v>3.8850550967341703E-3</v>
      </c>
      <c r="F24" s="158">
        <v>8.60714616198978</v>
      </c>
      <c r="G24" s="167">
        <v>1.26</v>
      </c>
      <c r="H24" s="38" t="str">
        <f t="shared" si="0"/>
        <v>(8, 9]</v>
      </c>
      <c r="I24" s="159">
        <v>0.26</v>
      </c>
      <c r="J24" s="156">
        <v>1.0101143251508844E-3</v>
      </c>
      <c r="K24" s="156">
        <v>2.1029206923605212E-3</v>
      </c>
      <c r="L24" s="160">
        <v>2102920</v>
      </c>
      <c r="M24" s="156">
        <v>2.11862840292182E-3</v>
      </c>
      <c r="N24" s="156">
        <v>1.8235344326891081E-2</v>
      </c>
    </row>
    <row r="25" spans="1:14">
      <c r="A25" s="133">
        <v>9</v>
      </c>
      <c r="B25" s="133">
        <v>10</v>
      </c>
      <c r="C25" s="165">
        <v>312722</v>
      </c>
      <c r="D25" s="165">
        <v>299181170</v>
      </c>
      <c r="E25" s="156">
        <v>3.1758628170090657E-3</v>
      </c>
      <c r="F25" s="158">
        <v>9.5670010424594363</v>
      </c>
      <c r="G25" s="167">
        <v>1.21</v>
      </c>
      <c r="H25" s="38" t="str">
        <f t="shared" si="0"/>
        <v>(9, 10]</v>
      </c>
      <c r="I25" s="159">
        <v>0.26</v>
      </c>
      <c r="J25" s="156">
        <v>8.2572433242235712E-4</v>
      </c>
      <c r="K25" s="156">
        <v>1.7190457966994729E-3</v>
      </c>
      <c r="L25" s="160">
        <v>1719045</v>
      </c>
      <c r="M25" s="156">
        <v>1.7318859314195214E-3</v>
      </c>
      <c r="N25" s="156">
        <v>1.6568954511311393E-2</v>
      </c>
    </row>
    <row r="26" spans="1:14">
      <c r="A26" s="133">
        <v>10</v>
      </c>
      <c r="B26" s="133">
        <v>15</v>
      </c>
      <c r="C26" s="165">
        <v>914728</v>
      </c>
      <c r="D26" s="165">
        <v>1123098055</v>
      </c>
      <c r="E26" s="156">
        <v>9.2895627518277211E-3</v>
      </c>
      <c r="F26" s="158">
        <v>12.277945520416997</v>
      </c>
      <c r="G26" s="167">
        <v>0.48</v>
      </c>
      <c r="H26" s="38" t="str">
        <f t="shared" si="0"/>
        <v>(10, 15]</v>
      </c>
      <c r="I26" s="159">
        <v>0.08</v>
      </c>
      <c r="J26" s="156">
        <v>7.4316502014621765E-4</v>
      </c>
      <c r="K26" s="156">
        <v>1.5471685330970444E-3</v>
      </c>
      <c r="L26" s="160">
        <v>1547168</v>
      </c>
      <c r="M26" s="156">
        <v>1.5587250436972146E-3</v>
      </c>
      <c r="N26" s="156">
        <v>1.9137941167824003E-2</v>
      </c>
    </row>
    <row r="27" spans="1:14">
      <c r="A27" s="133">
        <v>15</v>
      </c>
      <c r="B27" s="133">
        <v>20</v>
      </c>
      <c r="C27" s="165">
        <v>471279</v>
      </c>
      <c r="D27" s="165">
        <v>819221540</v>
      </c>
      <c r="E27" s="156">
        <v>4.7860958056587495E-3</v>
      </c>
      <c r="F27" s="158">
        <v>17.382941739394287</v>
      </c>
      <c r="G27" s="167">
        <v>1.1299999999999999</v>
      </c>
      <c r="H27" s="168" t="str">
        <f t="shared" si="0"/>
        <v>(15, 20]</v>
      </c>
      <c r="I27" s="159">
        <v>0.3</v>
      </c>
      <c r="J27" s="156">
        <v>1.4358287416976249E-3</v>
      </c>
      <c r="K27" s="156">
        <v>2.9892002285492603E-3</v>
      </c>
      <c r="L27" s="160">
        <v>2989200</v>
      </c>
      <c r="M27" s="156">
        <v>3.0115287419463909E-3</v>
      </c>
      <c r="N27" s="156">
        <v>5.2349228667765486E-2</v>
      </c>
    </row>
    <row r="28" spans="1:14">
      <c r="A28" s="133">
        <v>20</v>
      </c>
      <c r="B28" s="133">
        <v>25</v>
      </c>
      <c r="C28" s="165">
        <v>278340</v>
      </c>
      <c r="D28" s="165">
        <v>623999005</v>
      </c>
      <c r="E28" s="156">
        <v>2.8266948167583457E-3</v>
      </c>
      <c r="F28" s="158">
        <v>22.418588955953151</v>
      </c>
      <c r="G28" s="167">
        <v>0.54</v>
      </c>
      <c r="H28" s="38" t="str">
        <f t="shared" si="0"/>
        <v>(20, 25]</v>
      </c>
      <c r="I28" s="159">
        <v>0</v>
      </c>
      <c r="J28" s="156">
        <v>0</v>
      </c>
      <c r="K28" s="156">
        <v>0</v>
      </c>
      <c r="L28" s="160">
        <v>0</v>
      </c>
      <c r="M28" s="156">
        <v>0</v>
      </c>
      <c r="N28" s="156">
        <v>0</v>
      </c>
    </row>
    <row r="29" spans="1:14">
      <c r="A29" s="133">
        <v>25</v>
      </c>
      <c r="B29" s="133">
        <v>30</v>
      </c>
      <c r="C29" s="165">
        <v>187951</v>
      </c>
      <c r="D29" s="165">
        <v>515280570</v>
      </c>
      <c r="E29" s="156">
        <v>1.9087451228876476E-3</v>
      </c>
      <c r="F29" s="158">
        <v>27.415686535320376</v>
      </c>
      <c r="G29" s="167">
        <v>0.2</v>
      </c>
      <c r="H29" s="38" t="str">
        <f t="shared" si="0"/>
        <v>(25, 30]</v>
      </c>
      <c r="I29" s="159">
        <v>0</v>
      </c>
      <c r="J29" s="156">
        <v>0</v>
      </c>
      <c r="K29" s="156">
        <v>0</v>
      </c>
      <c r="L29" s="160">
        <v>0</v>
      </c>
      <c r="M29" s="156">
        <v>0</v>
      </c>
      <c r="N29" s="156">
        <v>0</v>
      </c>
    </row>
    <row r="30" spans="1:14">
      <c r="A30" s="133">
        <v>30</v>
      </c>
      <c r="B30" s="133">
        <v>35</v>
      </c>
      <c r="C30" s="165">
        <v>123190</v>
      </c>
      <c r="D30" s="165">
        <v>399019550</v>
      </c>
      <c r="E30" s="156">
        <v>1.2510617750824912E-3</v>
      </c>
      <c r="F30" s="158">
        <v>32.390579592499392</v>
      </c>
      <c r="G30" s="167">
        <v>0.22</v>
      </c>
      <c r="H30" s="38" t="str">
        <f t="shared" si="0"/>
        <v>(30, 35]</v>
      </c>
      <c r="I30" s="159">
        <v>0</v>
      </c>
      <c r="J30" s="156">
        <v>0</v>
      </c>
      <c r="K30" s="156">
        <v>0</v>
      </c>
      <c r="L30" s="160">
        <v>0</v>
      </c>
      <c r="M30" s="156">
        <v>0</v>
      </c>
      <c r="N30" s="156">
        <v>0</v>
      </c>
    </row>
    <row r="31" spans="1:14">
      <c r="A31" s="133">
        <v>35</v>
      </c>
      <c r="B31" s="133">
        <v>40</v>
      </c>
      <c r="C31" s="165">
        <v>97176</v>
      </c>
      <c r="D31" s="165">
        <v>363839415</v>
      </c>
      <c r="E31" s="156">
        <v>9.8687538806247399E-4</v>
      </c>
      <c r="F31" s="158">
        <v>37.441283341565821</v>
      </c>
      <c r="G31" s="167">
        <v>0.33</v>
      </c>
      <c r="H31" s="168" t="str">
        <f t="shared" si="0"/>
        <v>(35, 40]</v>
      </c>
      <c r="I31" s="159">
        <v>0</v>
      </c>
      <c r="J31" s="156">
        <v>0</v>
      </c>
      <c r="K31" s="156">
        <v>0</v>
      </c>
      <c r="L31" s="160">
        <v>0</v>
      </c>
      <c r="M31" s="156">
        <v>0</v>
      </c>
      <c r="N31" s="156">
        <v>0</v>
      </c>
    </row>
    <row r="32" spans="1:14">
      <c r="A32" s="133">
        <v>40</v>
      </c>
      <c r="B32" s="133">
        <v>45</v>
      </c>
      <c r="C32" s="165">
        <v>69470</v>
      </c>
      <c r="D32" s="165">
        <v>294779905</v>
      </c>
      <c r="E32" s="156">
        <v>7.0550581634045513E-4</v>
      </c>
      <c r="F32" s="158">
        <v>42.432691089679004</v>
      </c>
      <c r="G32" s="167">
        <v>0.16</v>
      </c>
      <c r="H32" s="38" t="str">
        <f t="shared" si="0"/>
        <v>(40, 45]</v>
      </c>
      <c r="I32" s="159">
        <v>0</v>
      </c>
      <c r="J32" s="156">
        <v>0</v>
      </c>
      <c r="K32" s="156">
        <v>0</v>
      </c>
      <c r="L32" s="160">
        <v>0</v>
      </c>
      <c r="M32" s="156">
        <v>0</v>
      </c>
      <c r="N32" s="156">
        <v>0</v>
      </c>
    </row>
    <row r="33" spans="1:14">
      <c r="A33" s="133">
        <v>45</v>
      </c>
      <c r="B33" s="133">
        <v>50</v>
      </c>
      <c r="C33" s="165">
        <v>53505</v>
      </c>
      <c r="D33" s="165">
        <v>254189610</v>
      </c>
      <c r="E33" s="156">
        <v>5.4337251624148627E-4</v>
      </c>
      <c r="F33" s="158">
        <v>47.507636669470138</v>
      </c>
      <c r="G33" s="167">
        <v>0.2</v>
      </c>
      <c r="H33" s="38" t="str">
        <f t="shared" si="0"/>
        <v>(45, 50]</v>
      </c>
      <c r="I33" s="159">
        <v>0</v>
      </c>
      <c r="J33" s="156">
        <v>0</v>
      </c>
      <c r="K33" s="156">
        <v>0</v>
      </c>
      <c r="L33" s="160">
        <v>0</v>
      </c>
      <c r="M33" s="156">
        <v>0</v>
      </c>
      <c r="N33" s="156">
        <v>0</v>
      </c>
    </row>
    <row r="34" spans="1:14">
      <c r="A34" s="133">
        <v>50</v>
      </c>
      <c r="B34" s="133">
        <v>60</v>
      </c>
      <c r="C34" s="165">
        <v>77241</v>
      </c>
      <c r="D34" s="165">
        <v>422768085</v>
      </c>
      <c r="E34" s="156">
        <v>7.8442456830218931E-4</v>
      </c>
      <c r="F34" s="158">
        <v>54.733636928574207</v>
      </c>
      <c r="G34" s="167">
        <v>0.2</v>
      </c>
      <c r="H34" s="168" t="str">
        <f t="shared" si="0"/>
        <v>(50, 60]</v>
      </c>
      <c r="I34" s="159">
        <v>0</v>
      </c>
      <c r="J34" s="156">
        <v>0</v>
      </c>
      <c r="K34" s="156">
        <v>0</v>
      </c>
      <c r="L34" s="160">
        <v>0</v>
      </c>
      <c r="M34" s="156">
        <v>0</v>
      </c>
      <c r="N34" s="156">
        <v>0</v>
      </c>
    </row>
    <row r="35" spans="1:14">
      <c r="A35" s="133">
        <v>60</v>
      </c>
      <c r="B35" s="133">
        <v>70</v>
      </c>
      <c r="C35" s="165">
        <v>48985</v>
      </c>
      <c r="D35" s="165">
        <v>316803035</v>
      </c>
      <c r="E35" s="156">
        <v>4.9746944599736854E-4</v>
      </c>
      <c r="F35" s="158">
        <v>64.673478615902837</v>
      </c>
      <c r="G35" s="167">
        <v>0.11</v>
      </c>
      <c r="H35" s="38" t="str">
        <f t="shared" si="0"/>
        <v>(60, 70]</v>
      </c>
      <c r="I35" s="159">
        <v>0</v>
      </c>
      <c r="J35" s="156">
        <v>0</v>
      </c>
      <c r="K35" s="156">
        <v>0</v>
      </c>
      <c r="L35" s="160">
        <v>0</v>
      </c>
      <c r="M35" s="156">
        <v>0</v>
      </c>
      <c r="N35" s="156">
        <v>0</v>
      </c>
    </row>
    <row r="36" spans="1:14">
      <c r="A36" s="133">
        <v>70</v>
      </c>
      <c r="B36" s="133">
        <v>80</v>
      </c>
      <c r="C36" s="165">
        <v>35139</v>
      </c>
      <c r="D36" s="165">
        <v>262724345</v>
      </c>
      <c r="E36" s="156">
        <v>3.5685574896195842E-4</v>
      </c>
      <c r="F36" s="158">
        <v>74.767166111727704</v>
      </c>
      <c r="G36" s="167">
        <v>0.12</v>
      </c>
      <c r="H36" s="38" t="str">
        <f t="shared" si="0"/>
        <v>(70, 80]</v>
      </c>
      <c r="I36" s="159">
        <v>0</v>
      </c>
      <c r="J36" s="156">
        <v>0</v>
      </c>
      <c r="K36" s="156">
        <v>0</v>
      </c>
      <c r="L36" s="160">
        <v>0</v>
      </c>
      <c r="M36" s="156">
        <v>0</v>
      </c>
      <c r="N36" s="156">
        <v>0</v>
      </c>
    </row>
    <row r="37" spans="1:14">
      <c r="A37" s="133">
        <v>80</v>
      </c>
      <c r="B37" s="133">
        <v>90</v>
      </c>
      <c r="C37" s="165">
        <v>24609</v>
      </c>
      <c r="D37" s="165">
        <v>208575005</v>
      </c>
      <c r="E37" s="156">
        <v>2.4991784416758685E-4</v>
      </c>
      <c r="F37" s="158">
        <v>84.755579259620461</v>
      </c>
      <c r="G37" s="167">
        <v>0</v>
      </c>
      <c r="H37" s="38" t="str">
        <f t="shared" si="0"/>
        <v>(80, 90]</v>
      </c>
      <c r="I37" s="159">
        <v>0</v>
      </c>
      <c r="J37" s="156">
        <v>0</v>
      </c>
      <c r="K37" s="156">
        <v>0</v>
      </c>
      <c r="L37" s="160">
        <v>0</v>
      </c>
      <c r="M37" s="156">
        <v>0</v>
      </c>
      <c r="N37" s="156">
        <v>0</v>
      </c>
    </row>
    <row r="38" spans="1:14">
      <c r="A38" s="133">
        <v>90</v>
      </c>
      <c r="B38" s="133">
        <v>100</v>
      </c>
      <c r="C38" s="165">
        <v>17770</v>
      </c>
      <c r="D38" s="165">
        <v>168473080</v>
      </c>
      <c r="E38" s="156">
        <v>1.8046406155707338E-4</v>
      </c>
      <c r="F38" s="158">
        <v>94.807585818795729</v>
      </c>
      <c r="G38" s="167">
        <v>0</v>
      </c>
      <c r="H38" s="38" t="str">
        <f t="shared" si="0"/>
        <v>(90, 100]</v>
      </c>
      <c r="I38" s="159">
        <v>0</v>
      </c>
      <c r="J38" s="156">
        <v>0</v>
      </c>
      <c r="K38" s="156">
        <v>0</v>
      </c>
      <c r="L38" s="160">
        <v>0</v>
      </c>
      <c r="M38" s="156">
        <v>0</v>
      </c>
      <c r="N38" s="156">
        <v>0</v>
      </c>
    </row>
    <row r="39" spans="1:14">
      <c r="A39" s="133">
        <v>100</v>
      </c>
      <c r="B39" s="133">
        <v>120</v>
      </c>
      <c r="C39" s="165">
        <v>24292</v>
      </c>
      <c r="D39" s="165">
        <v>265655390</v>
      </c>
      <c r="E39" s="156">
        <v>2.4669853592259011E-4</v>
      </c>
      <c r="F39" s="158">
        <v>109.35920879301828</v>
      </c>
      <c r="G39" s="167">
        <v>0.08</v>
      </c>
      <c r="H39" s="38" t="str">
        <f t="shared" si="0"/>
        <v>(100, 120]</v>
      </c>
      <c r="I39" s="159">
        <v>0</v>
      </c>
      <c r="J39" s="156">
        <v>0</v>
      </c>
      <c r="K39" s="156">
        <v>0</v>
      </c>
      <c r="L39" s="160">
        <v>0</v>
      </c>
      <c r="M39" s="156">
        <v>0</v>
      </c>
      <c r="N39" s="156">
        <v>0</v>
      </c>
    </row>
    <row r="40" spans="1:14">
      <c r="A40" s="133">
        <v>120</v>
      </c>
      <c r="B40" s="133">
        <v>140</v>
      </c>
      <c r="C40" s="165">
        <v>13953</v>
      </c>
      <c r="D40" s="165">
        <v>180188385</v>
      </c>
      <c r="E40" s="156">
        <v>1.4170034051242796E-4</v>
      </c>
      <c r="F40" s="158">
        <v>129.13952913351969</v>
      </c>
      <c r="G40" s="167">
        <v>0</v>
      </c>
      <c r="H40" s="38" t="str">
        <f t="shared" si="0"/>
        <v>(120, 140]</v>
      </c>
      <c r="I40" s="159">
        <v>0</v>
      </c>
      <c r="J40" s="156">
        <v>0</v>
      </c>
      <c r="K40" s="156">
        <v>0</v>
      </c>
      <c r="L40" s="160">
        <v>0</v>
      </c>
      <c r="M40" s="156">
        <v>0</v>
      </c>
      <c r="N40" s="156">
        <v>0</v>
      </c>
    </row>
    <row r="41" spans="1:14">
      <c r="A41" s="133">
        <v>140</v>
      </c>
      <c r="B41" s="133">
        <v>160</v>
      </c>
      <c r="C41" s="165">
        <v>9263</v>
      </c>
      <c r="D41" s="165">
        <v>138471420</v>
      </c>
      <c r="E41" s="156">
        <v>9.4070827360898744E-5</v>
      </c>
      <c r="F41" s="158">
        <v>149.48874014897982</v>
      </c>
      <c r="G41" s="167">
        <v>0</v>
      </c>
      <c r="H41" s="38" t="str">
        <f t="shared" si="0"/>
        <v>(140, 160]</v>
      </c>
      <c r="I41" s="159">
        <v>0</v>
      </c>
      <c r="J41" s="156">
        <v>0</v>
      </c>
      <c r="K41" s="156">
        <v>0</v>
      </c>
      <c r="L41" s="160">
        <v>0</v>
      </c>
      <c r="M41" s="156">
        <v>0</v>
      </c>
      <c r="N41" s="156">
        <v>0</v>
      </c>
    </row>
    <row r="42" spans="1:14">
      <c r="A42" s="133">
        <v>160</v>
      </c>
      <c r="B42" s="133">
        <v>180</v>
      </c>
      <c r="C42" s="165">
        <v>6214</v>
      </c>
      <c r="D42" s="165">
        <v>105222530</v>
      </c>
      <c r="E42" s="156">
        <v>6.3106566039147657E-5</v>
      </c>
      <c r="F42" s="158">
        <v>169.33139684583199</v>
      </c>
      <c r="G42" s="167">
        <v>0</v>
      </c>
      <c r="H42" s="38" t="str">
        <f t="shared" si="0"/>
        <v>(160, 180]</v>
      </c>
      <c r="I42" s="159">
        <v>0</v>
      </c>
      <c r="J42" s="156">
        <v>0</v>
      </c>
      <c r="K42" s="156">
        <v>0</v>
      </c>
      <c r="L42" s="160">
        <v>0</v>
      </c>
      <c r="M42" s="156">
        <v>0</v>
      </c>
      <c r="N42" s="156">
        <v>0</v>
      </c>
    </row>
    <row r="43" spans="1:14">
      <c r="A43" s="133">
        <v>180</v>
      </c>
      <c r="B43" s="133">
        <v>200</v>
      </c>
      <c r="C43" s="165">
        <v>4040</v>
      </c>
      <c r="D43" s="165">
        <v>76464055</v>
      </c>
      <c r="E43" s="156">
        <v>4.1028407917308744E-5</v>
      </c>
      <c r="F43" s="158">
        <v>189.26746287128714</v>
      </c>
      <c r="G43" s="167">
        <v>0</v>
      </c>
      <c r="H43" s="38" t="str">
        <f t="shared" si="0"/>
        <v>(180, 200]</v>
      </c>
      <c r="I43" s="159">
        <v>0</v>
      </c>
      <c r="J43" s="156">
        <v>0</v>
      </c>
      <c r="K43" s="156">
        <v>0</v>
      </c>
      <c r="L43" s="160">
        <v>0</v>
      </c>
      <c r="M43" s="156">
        <v>0</v>
      </c>
      <c r="N43" s="156">
        <v>0</v>
      </c>
    </row>
    <row r="44" spans="1:14">
      <c r="A44" s="133">
        <v>200</v>
      </c>
      <c r="B44" s="133">
        <v>250</v>
      </c>
      <c r="C44" s="165">
        <v>6008</v>
      </c>
      <c r="D44" s="165">
        <v>133587440</v>
      </c>
      <c r="E44" s="156">
        <v>6.1014523457225484E-5</v>
      </c>
      <c r="F44" s="158">
        <v>222.3492676431425</v>
      </c>
      <c r="G44" s="167">
        <v>0</v>
      </c>
      <c r="H44" s="38" t="str">
        <f t="shared" si="0"/>
        <v>(200, 250]</v>
      </c>
      <c r="I44" s="159">
        <v>0</v>
      </c>
      <c r="J44" s="156">
        <v>0</v>
      </c>
      <c r="K44" s="156">
        <v>0</v>
      </c>
      <c r="L44" s="160">
        <v>0</v>
      </c>
      <c r="M44" s="156">
        <v>0</v>
      </c>
      <c r="N44" s="156">
        <v>0</v>
      </c>
    </row>
    <row r="45" spans="1:14">
      <c r="A45" s="133">
        <v>250</v>
      </c>
      <c r="B45" s="133">
        <v>300</v>
      </c>
      <c r="C45" s="165">
        <v>2761</v>
      </c>
      <c r="D45" s="165">
        <v>75293200</v>
      </c>
      <c r="E45" s="156">
        <v>2.8039463925665706E-5</v>
      </c>
      <c r="F45" s="158">
        <v>272.70264396957623</v>
      </c>
      <c r="G45" s="167">
        <v>0</v>
      </c>
      <c r="H45" s="38" t="str">
        <f t="shared" si="0"/>
        <v>(250, 300]</v>
      </c>
      <c r="I45" s="159">
        <v>0</v>
      </c>
      <c r="J45" s="156">
        <v>0</v>
      </c>
      <c r="K45" s="156">
        <v>0</v>
      </c>
      <c r="L45" s="160">
        <v>0</v>
      </c>
      <c r="M45" s="156">
        <v>0</v>
      </c>
      <c r="N45" s="156">
        <v>0</v>
      </c>
    </row>
    <row r="46" spans="1:14">
      <c r="A46" s="133">
        <v>300</v>
      </c>
      <c r="B46" s="133">
        <v>350</v>
      </c>
      <c r="C46" s="165">
        <v>1611</v>
      </c>
      <c r="D46" s="165">
        <v>52047630</v>
      </c>
      <c r="E46" s="156">
        <v>1.6360585434352572E-5</v>
      </c>
      <c r="F46" s="158">
        <v>323.07653631284916</v>
      </c>
      <c r="G46" s="167">
        <v>0</v>
      </c>
      <c r="H46" s="38" t="str">
        <f t="shared" si="0"/>
        <v>(300, 350]</v>
      </c>
      <c r="I46" s="159">
        <v>0</v>
      </c>
      <c r="J46" s="156">
        <v>0</v>
      </c>
      <c r="K46" s="156">
        <v>0</v>
      </c>
      <c r="L46" s="160">
        <v>0</v>
      </c>
      <c r="M46" s="156">
        <v>0</v>
      </c>
      <c r="N46" s="156">
        <v>0</v>
      </c>
    </row>
    <row r="47" spans="1:14">
      <c r="A47" s="133">
        <v>350</v>
      </c>
      <c r="B47" s="133">
        <v>400</v>
      </c>
      <c r="C47" s="165">
        <v>926</v>
      </c>
      <c r="D47" s="165">
        <v>34527000</v>
      </c>
      <c r="E47" s="156">
        <v>9.4040360721356181E-6</v>
      </c>
      <c r="F47" s="158">
        <v>372.86177105831536</v>
      </c>
      <c r="G47" s="167">
        <v>0</v>
      </c>
      <c r="H47" s="38" t="str">
        <f t="shared" si="0"/>
        <v>(350, 400]</v>
      </c>
      <c r="I47" s="159">
        <v>0</v>
      </c>
      <c r="J47" s="156">
        <v>0</v>
      </c>
      <c r="K47" s="156">
        <v>0</v>
      </c>
      <c r="L47" s="160">
        <v>0</v>
      </c>
      <c r="M47" s="156">
        <v>0</v>
      </c>
      <c r="N47" s="156">
        <v>0</v>
      </c>
    </row>
    <row r="48" spans="1:14">
      <c r="A48" s="133">
        <v>400</v>
      </c>
      <c r="B48" s="133">
        <v>450</v>
      </c>
      <c r="C48" s="165">
        <v>528</v>
      </c>
      <c r="D48" s="165">
        <v>22405850</v>
      </c>
      <c r="E48" s="156">
        <v>5.3621285594898559E-6</v>
      </c>
      <c r="F48" s="158">
        <v>424.35321969696969</v>
      </c>
      <c r="G48" s="167">
        <v>0</v>
      </c>
      <c r="H48" s="38" t="str">
        <f t="shared" si="0"/>
        <v>(400, 450]</v>
      </c>
      <c r="I48" s="159">
        <v>0</v>
      </c>
      <c r="J48" s="156">
        <v>0</v>
      </c>
      <c r="K48" s="156">
        <v>0</v>
      </c>
      <c r="L48" s="160">
        <v>0</v>
      </c>
      <c r="M48" s="156">
        <v>0</v>
      </c>
      <c r="N48" s="156">
        <v>0</v>
      </c>
    </row>
    <row r="49" spans="1:14">
      <c r="A49" s="133">
        <v>450</v>
      </c>
      <c r="B49" s="133">
        <v>500</v>
      </c>
      <c r="C49" s="165">
        <v>384</v>
      </c>
      <c r="D49" s="165">
        <v>18154475</v>
      </c>
      <c r="E49" s="156">
        <v>3.8997298614471681E-6</v>
      </c>
      <c r="F49" s="158">
        <v>472.77278645833337</v>
      </c>
      <c r="G49" s="167">
        <v>0</v>
      </c>
      <c r="H49" s="38" t="str">
        <f t="shared" si="0"/>
        <v>(450, 500]</v>
      </c>
      <c r="I49" s="159">
        <v>0</v>
      </c>
      <c r="J49" s="156">
        <v>0</v>
      </c>
      <c r="K49" s="156">
        <v>0</v>
      </c>
      <c r="L49" s="160">
        <v>0</v>
      </c>
      <c r="M49" s="156">
        <v>0</v>
      </c>
      <c r="N49" s="156">
        <v>0</v>
      </c>
    </row>
    <row r="50" spans="1:14">
      <c r="A50" s="133">
        <v>500</v>
      </c>
      <c r="B50" s="133">
        <v>550</v>
      </c>
      <c r="C50" s="165">
        <v>244</v>
      </c>
      <c r="D50" s="165">
        <v>12745255</v>
      </c>
      <c r="E50" s="156">
        <v>2.4779533494612212E-6</v>
      </c>
      <c r="F50" s="158">
        <v>522.3465163934427</v>
      </c>
      <c r="G50" s="167">
        <v>0</v>
      </c>
      <c r="H50" s="38" t="str">
        <f t="shared" si="0"/>
        <v>(500, 550]</v>
      </c>
      <c r="I50" s="159">
        <v>0</v>
      </c>
      <c r="J50" s="156">
        <v>0</v>
      </c>
      <c r="K50" s="156">
        <v>0</v>
      </c>
      <c r="L50" s="160">
        <v>0</v>
      </c>
      <c r="M50" s="156">
        <v>0</v>
      </c>
      <c r="N50" s="156">
        <v>0</v>
      </c>
    </row>
    <row r="51" spans="1:14">
      <c r="A51" s="133">
        <v>550</v>
      </c>
      <c r="B51" s="133">
        <v>600</v>
      </c>
      <c r="C51" s="165">
        <v>166</v>
      </c>
      <c r="D51" s="165">
        <v>9552945</v>
      </c>
      <c r="E51" s="156">
        <v>1.6858207213547653E-6</v>
      </c>
      <c r="F51" s="158">
        <v>575.47861445783133</v>
      </c>
      <c r="G51" s="167">
        <v>0</v>
      </c>
      <c r="H51" s="38" t="str">
        <f t="shared" si="0"/>
        <v>(550, 600]</v>
      </c>
      <c r="I51" s="159">
        <v>0</v>
      </c>
      <c r="J51" s="156">
        <v>0</v>
      </c>
      <c r="K51" s="156">
        <v>0</v>
      </c>
      <c r="L51" s="160">
        <v>0</v>
      </c>
      <c r="M51" s="156">
        <v>0</v>
      </c>
      <c r="N51" s="156">
        <v>0</v>
      </c>
    </row>
    <row r="52" spans="1:14">
      <c r="A52" s="133">
        <v>600</v>
      </c>
      <c r="B52" s="133">
        <v>650</v>
      </c>
      <c r="C52" s="165">
        <v>100</v>
      </c>
      <c r="D52" s="165">
        <v>6212275</v>
      </c>
      <c r="E52" s="156">
        <v>1.0155546514185334E-6</v>
      </c>
      <c r="F52" s="158">
        <v>621.22749999999996</v>
      </c>
      <c r="G52" s="167">
        <v>0</v>
      </c>
      <c r="H52" s="38" t="str">
        <f t="shared" si="0"/>
        <v>(600, 650]</v>
      </c>
      <c r="I52" s="159">
        <v>0</v>
      </c>
      <c r="J52" s="156">
        <v>0</v>
      </c>
      <c r="K52" s="156">
        <v>0</v>
      </c>
      <c r="L52" s="160">
        <v>0</v>
      </c>
      <c r="M52" s="156">
        <v>0</v>
      </c>
      <c r="N52" s="156">
        <v>0</v>
      </c>
    </row>
    <row r="53" spans="1:14">
      <c r="A53" s="133">
        <v>650</v>
      </c>
      <c r="B53" s="133">
        <v>700</v>
      </c>
      <c r="C53" s="165">
        <v>120</v>
      </c>
      <c r="D53" s="165">
        <v>8078565</v>
      </c>
      <c r="E53" s="156">
        <v>1.2186655817022399E-6</v>
      </c>
      <c r="F53" s="158">
        <v>673.21375</v>
      </c>
      <c r="G53" s="167">
        <v>0</v>
      </c>
      <c r="H53" s="38" t="str">
        <f t="shared" si="0"/>
        <v>(650, 700]</v>
      </c>
      <c r="I53" s="159">
        <v>0</v>
      </c>
      <c r="J53" s="156">
        <v>0</v>
      </c>
      <c r="K53" s="156">
        <v>0</v>
      </c>
      <c r="L53" s="160">
        <v>0</v>
      </c>
      <c r="M53" s="156">
        <v>0</v>
      </c>
      <c r="N53" s="156">
        <v>0</v>
      </c>
    </row>
    <row r="54" spans="1:14">
      <c r="A54" s="133">
        <v>700</v>
      </c>
      <c r="B54" s="133">
        <v>750</v>
      </c>
      <c r="C54" s="165">
        <v>59</v>
      </c>
      <c r="D54" s="165">
        <v>4269135</v>
      </c>
      <c r="E54" s="156">
        <v>5.9917724433693462E-7</v>
      </c>
      <c r="F54" s="158">
        <v>723.58220338983051</v>
      </c>
      <c r="G54" s="167">
        <v>0</v>
      </c>
      <c r="H54" s="38" t="str">
        <f t="shared" si="0"/>
        <v>(700, 750]</v>
      </c>
      <c r="I54" s="159">
        <v>0</v>
      </c>
      <c r="J54" s="156">
        <v>0</v>
      </c>
      <c r="K54" s="156">
        <v>0</v>
      </c>
      <c r="L54" s="160">
        <v>0</v>
      </c>
      <c r="M54" s="156">
        <v>0</v>
      </c>
      <c r="N54" s="156">
        <v>0</v>
      </c>
    </row>
    <row r="55" spans="1:14">
      <c r="A55" s="133">
        <v>750</v>
      </c>
      <c r="B55" s="133">
        <v>800</v>
      </c>
      <c r="C55" s="165">
        <v>44</v>
      </c>
      <c r="D55" s="165">
        <v>3410965</v>
      </c>
      <c r="E55" s="156">
        <v>4.4684404662415466E-7</v>
      </c>
      <c r="F55" s="158">
        <v>775.21931818181827</v>
      </c>
      <c r="G55" s="167">
        <v>0</v>
      </c>
      <c r="H55" s="38" t="str">
        <f t="shared" si="0"/>
        <v>(750, 800]</v>
      </c>
      <c r="I55" s="159">
        <v>0</v>
      </c>
      <c r="J55" s="156">
        <v>0</v>
      </c>
      <c r="K55" s="156">
        <v>0</v>
      </c>
      <c r="L55" s="160">
        <v>0</v>
      </c>
      <c r="M55" s="156">
        <v>0</v>
      </c>
      <c r="N55" s="156">
        <v>0</v>
      </c>
    </row>
    <row r="56" spans="1:14">
      <c r="A56" s="133">
        <v>800</v>
      </c>
      <c r="B56" s="133">
        <v>850</v>
      </c>
      <c r="C56" s="165">
        <v>28</v>
      </c>
      <c r="D56" s="165">
        <v>2303400</v>
      </c>
      <c r="E56" s="156">
        <v>2.8435530239718936E-7</v>
      </c>
      <c r="F56" s="158">
        <v>822.64285714285711</v>
      </c>
      <c r="G56" s="167">
        <v>0</v>
      </c>
      <c r="H56" s="38" t="str">
        <f t="shared" si="0"/>
        <v>(800, 850]</v>
      </c>
      <c r="I56" s="159">
        <v>0</v>
      </c>
      <c r="J56" s="156">
        <v>0</v>
      </c>
      <c r="K56" s="156">
        <v>0</v>
      </c>
      <c r="L56" s="160">
        <v>0</v>
      </c>
      <c r="M56" s="156">
        <v>0</v>
      </c>
      <c r="N56" s="156">
        <v>0</v>
      </c>
    </row>
    <row r="57" spans="1:14">
      <c r="A57" s="133">
        <v>850</v>
      </c>
      <c r="B57" s="133">
        <v>900</v>
      </c>
      <c r="C57" s="165">
        <v>32</v>
      </c>
      <c r="D57" s="165">
        <v>2809020</v>
      </c>
      <c r="E57" s="156">
        <v>3.2497748845393066E-7</v>
      </c>
      <c r="F57" s="158">
        <v>877.81875000000002</v>
      </c>
      <c r="G57" s="167">
        <v>0</v>
      </c>
      <c r="H57" s="38" t="str">
        <f t="shared" si="0"/>
        <v>(850, 900]</v>
      </c>
      <c r="I57" s="159">
        <v>0</v>
      </c>
      <c r="J57" s="156">
        <v>0</v>
      </c>
      <c r="K57" s="156">
        <v>0</v>
      </c>
      <c r="L57" s="161">
        <v>0</v>
      </c>
      <c r="M57" s="156">
        <v>0</v>
      </c>
      <c r="N57" s="156">
        <v>0</v>
      </c>
    </row>
    <row r="58" spans="1:14">
      <c r="A58" s="133">
        <v>900</v>
      </c>
      <c r="B58" s="133">
        <v>950</v>
      </c>
      <c r="C58" s="165">
        <v>28</v>
      </c>
      <c r="D58" s="165">
        <v>2575920</v>
      </c>
      <c r="E58" s="156">
        <v>2.8435530239718936E-7</v>
      </c>
      <c r="F58" s="158">
        <v>919.97142857142853</v>
      </c>
      <c r="G58" s="167">
        <v>0</v>
      </c>
      <c r="H58" s="38" t="str">
        <f t="shared" si="0"/>
        <v>(900, 950]</v>
      </c>
      <c r="I58" s="159">
        <v>0</v>
      </c>
      <c r="J58" s="156">
        <v>0</v>
      </c>
      <c r="K58" s="156">
        <v>0</v>
      </c>
      <c r="L58" s="161">
        <v>0</v>
      </c>
      <c r="M58" s="156">
        <v>0</v>
      </c>
      <c r="N58" s="156">
        <v>0</v>
      </c>
    </row>
    <row r="59" spans="1:14">
      <c r="A59" s="133">
        <v>950</v>
      </c>
      <c r="B59" s="133">
        <v>1000</v>
      </c>
      <c r="C59" s="165">
        <v>16</v>
      </c>
      <c r="D59" s="165">
        <v>1568845</v>
      </c>
      <c r="E59" s="156">
        <v>1.6248874422696533E-7</v>
      </c>
      <c r="F59" s="158">
        <v>980.52812500000005</v>
      </c>
      <c r="G59" s="167">
        <v>0</v>
      </c>
      <c r="H59" s="38" t="str">
        <f t="shared" si="0"/>
        <v>(950, 1000]</v>
      </c>
      <c r="I59" s="159">
        <v>0</v>
      </c>
      <c r="J59" s="156">
        <v>0</v>
      </c>
      <c r="K59" s="156">
        <v>0</v>
      </c>
      <c r="L59" s="161">
        <v>0</v>
      </c>
      <c r="M59" s="156">
        <v>0</v>
      </c>
      <c r="N59" s="156">
        <v>0</v>
      </c>
    </row>
    <row r="60" spans="1:14">
      <c r="A60" s="133">
        <v>1000</v>
      </c>
      <c r="B60" s="133">
        <v>2000</v>
      </c>
      <c r="C60" s="165">
        <v>85</v>
      </c>
      <c r="D60" s="165">
        <v>10865110</v>
      </c>
      <c r="E60" s="156">
        <v>8.632214537057533E-7</v>
      </c>
      <c r="F60" s="158">
        <v>1278.2482352941176</v>
      </c>
      <c r="G60" s="167">
        <v>0</v>
      </c>
      <c r="H60" s="38" t="str">
        <f t="shared" si="0"/>
        <v>(1000, 2000]</v>
      </c>
      <c r="I60" s="159">
        <v>0</v>
      </c>
      <c r="J60" s="156">
        <v>0</v>
      </c>
      <c r="K60" s="156">
        <v>0</v>
      </c>
      <c r="L60" s="161">
        <v>0</v>
      </c>
      <c r="M60" s="156">
        <v>0</v>
      </c>
      <c r="N60" s="156">
        <v>0</v>
      </c>
    </row>
    <row r="61" spans="1:14">
      <c r="A61" s="133">
        <v>2000</v>
      </c>
      <c r="B61" s="133">
        <v>3000</v>
      </c>
      <c r="C61" s="165">
        <v>5</v>
      </c>
      <c r="D61" s="165">
        <v>1186280</v>
      </c>
      <c r="E61" s="156">
        <v>5.077773257092667E-8</v>
      </c>
      <c r="F61" s="158">
        <v>2372.56</v>
      </c>
      <c r="G61" s="167">
        <v>0</v>
      </c>
      <c r="H61" s="38" t="str">
        <f t="shared" si="0"/>
        <v>(2000, 3000]</v>
      </c>
      <c r="I61" s="159">
        <v>0</v>
      </c>
      <c r="J61" s="156">
        <v>0</v>
      </c>
      <c r="K61" s="156">
        <v>0</v>
      </c>
      <c r="L61" s="161">
        <v>0</v>
      </c>
      <c r="M61" s="156">
        <v>0</v>
      </c>
      <c r="N61" s="156">
        <v>0</v>
      </c>
    </row>
    <row r="62" spans="1:14">
      <c r="A62" s="133">
        <v>3000</v>
      </c>
      <c r="B62" s="133">
        <v>4000</v>
      </c>
      <c r="C62" s="165">
        <v>1</v>
      </c>
      <c r="D62" s="165">
        <v>326410</v>
      </c>
      <c r="E62" s="156">
        <v>1.0155546514185333E-8</v>
      </c>
      <c r="F62" s="158">
        <v>3264.1</v>
      </c>
      <c r="G62" s="167">
        <v>0</v>
      </c>
      <c r="H62" s="38" t="str">
        <f t="shared" si="0"/>
        <v>(3000, 4000]</v>
      </c>
      <c r="I62" s="159">
        <v>0</v>
      </c>
      <c r="J62" s="156">
        <v>0</v>
      </c>
      <c r="K62" s="156">
        <v>0</v>
      </c>
      <c r="L62" s="161">
        <v>0</v>
      </c>
      <c r="M62" s="156">
        <v>0</v>
      </c>
      <c r="N62" s="156">
        <v>0</v>
      </c>
    </row>
    <row r="63" spans="1:14">
      <c r="A63" s="133">
        <v>4000</v>
      </c>
      <c r="B63" s="133">
        <v>5000</v>
      </c>
      <c r="C63" s="165">
        <v>0</v>
      </c>
      <c r="D63" s="165">
        <v>0</v>
      </c>
      <c r="E63" s="156">
        <v>0</v>
      </c>
      <c r="F63" s="158">
        <v>0</v>
      </c>
      <c r="G63" s="167">
        <v>0</v>
      </c>
      <c r="H63" s="38" t="str">
        <f t="shared" si="0"/>
        <v>(4000, 5000]</v>
      </c>
      <c r="I63" s="159">
        <v>0</v>
      </c>
      <c r="J63" s="156">
        <v>0</v>
      </c>
      <c r="K63" s="156">
        <v>0</v>
      </c>
      <c r="L63" s="161">
        <v>0</v>
      </c>
      <c r="M63" s="156">
        <v>0</v>
      </c>
      <c r="N63" s="156">
        <v>0</v>
      </c>
    </row>
    <row r="64" spans="1:14">
      <c r="A64" s="133">
        <v>5000</v>
      </c>
      <c r="B64" s="133">
        <v>6000</v>
      </c>
      <c r="C64" s="165">
        <v>0</v>
      </c>
      <c r="D64" s="165">
        <v>0</v>
      </c>
      <c r="E64" s="156">
        <v>0</v>
      </c>
      <c r="F64" s="158">
        <v>0</v>
      </c>
      <c r="G64" s="167">
        <v>0</v>
      </c>
      <c r="H64" s="38" t="str">
        <f t="shared" si="0"/>
        <v>(5000, 6000]</v>
      </c>
      <c r="I64" s="159">
        <v>0</v>
      </c>
      <c r="J64" s="156">
        <v>0</v>
      </c>
      <c r="K64" s="156">
        <v>0</v>
      </c>
      <c r="L64" s="161">
        <v>0</v>
      </c>
      <c r="M64" s="156">
        <v>0</v>
      </c>
      <c r="N64" s="156">
        <v>0</v>
      </c>
    </row>
    <row r="65" spans="1:14">
      <c r="A65" s="133">
        <v>6000</v>
      </c>
      <c r="B65" s="133">
        <v>7000</v>
      </c>
      <c r="C65" s="165">
        <v>0</v>
      </c>
      <c r="D65" s="165">
        <v>0</v>
      </c>
      <c r="E65" s="156">
        <v>0</v>
      </c>
      <c r="F65" s="158">
        <v>0</v>
      </c>
      <c r="G65" s="167">
        <v>0</v>
      </c>
      <c r="H65" s="38" t="str">
        <f t="shared" si="0"/>
        <v>(6000, 7000]</v>
      </c>
      <c r="I65" s="159">
        <v>0</v>
      </c>
      <c r="J65" s="156">
        <v>0</v>
      </c>
      <c r="K65" s="156">
        <v>0</v>
      </c>
      <c r="L65" s="161">
        <v>0</v>
      </c>
      <c r="M65" s="156">
        <v>0</v>
      </c>
      <c r="N65" s="156">
        <v>0</v>
      </c>
    </row>
    <row r="66" spans="1:14">
      <c r="A66" s="133">
        <v>7000</v>
      </c>
      <c r="B66" s="133">
        <v>8000</v>
      </c>
      <c r="C66" s="165">
        <v>0</v>
      </c>
      <c r="D66" s="165">
        <v>0</v>
      </c>
      <c r="E66" s="156">
        <v>0</v>
      </c>
      <c r="F66" s="158">
        <v>0</v>
      </c>
      <c r="G66" s="167">
        <v>0</v>
      </c>
      <c r="H66" s="38" t="str">
        <f t="shared" si="0"/>
        <v>(7000, 8000]</v>
      </c>
      <c r="I66" s="159">
        <v>0</v>
      </c>
      <c r="J66" s="156">
        <v>0</v>
      </c>
      <c r="K66" s="156">
        <v>0</v>
      </c>
      <c r="L66" s="161">
        <v>0</v>
      </c>
      <c r="M66" s="156">
        <v>0</v>
      </c>
      <c r="N66" s="156">
        <v>0</v>
      </c>
    </row>
    <row r="67" spans="1:14">
      <c r="A67" s="133">
        <v>8000</v>
      </c>
      <c r="B67" s="133">
        <v>9000</v>
      </c>
      <c r="C67" s="165">
        <v>0</v>
      </c>
      <c r="D67" s="165">
        <v>0</v>
      </c>
      <c r="E67" s="156">
        <v>0</v>
      </c>
      <c r="F67" s="158">
        <v>0</v>
      </c>
      <c r="G67" s="167">
        <v>0</v>
      </c>
      <c r="H67" s="38" t="str">
        <f t="shared" si="0"/>
        <v>(8000, 9000]</v>
      </c>
      <c r="I67" s="159">
        <v>0</v>
      </c>
      <c r="J67" s="156">
        <v>0</v>
      </c>
      <c r="K67" s="156">
        <v>0</v>
      </c>
      <c r="L67" s="161">
        <v>0</v>
      </c>
      <c r="M67" s="156">
        <v>0</v>
      </c>
      <c r="N67" s="156">
        <v>0</v>
      </c>
    </row>
    <row r="68" spans="1:14">
      <c r="A68" s="133">
        <v>9000</v>
      </c>
      <c r="B68" s="133">
        <v>10000</v>
      </c>
      <c r="C68" s="165">
        <v>0</v>
      </c>
      <c r="D68" s="165">
        <v>0</v>
      </c>
      <c r="E68" s="156">
        <v>0</v>
      </c>
      <c r="F68" s="158">
        <v>0</v>
      </c>
      <c r="G68" s="167">
        <v>0</v>
      </c>
      <c r="H68" s="38" t="str">
        <f t="shared" si="0"/>
        <v>(9000, 10000]</v>
      </c>
      <c r="I68" s="159">
        <v>0</v>
      </c>
      <c r="J68" s="156">
        <v>0</v>
      </c>
      <c r="K68" s="156">
        <v>0</v>
      </c>
      <c r="L68" s="161">
        <v>0</v>
      </c>
      <c r="M68" s="156">
        <v>0</v>
      </c>
      <c r="N68" s="156">
        <v>0</v>
      </c>
    </row>
    <row r="69" spans="1:14">
      <c r="A69" s="133">
        <v>10000</v>
      </c>
      <c r="B69" s="133">
        <v>20000</v>
      </c>
      <c r="C69" s="165">
        <v>0</v>
      </c>
      <c r="D69" s="165">
        <v>0</v>
      </c>
      <c r="E69" s="156">
        <v>0</v>
      </c>
      <c r="F69" s="158">
        <v>0</v>
      </c>
      <c r="G69" s="167">
        <v>0</v>
      </c>
      <c r="H69" s="38" t="str">
        <f t="shared" si="0"/>
        <v>(10000, 20000]</v>
      </c>
      <c r="I69" s="159">
        <v>0</v>
      </c>
      <c r="J69" s="156">
        <v>0</v>
      </c>
      <c r="K69" s="156">
        <v>0</v>
      </c>
      <c r="L69" s="161">
        <v>0</v>
      </c>
      <c r="M69" s="156">
        <v>0</v>
      </c>
      <c r="N69" s="156">
        <v>0</v>
      </c>
    </row>
    <row r="70" spans="1:14">
      <c r="A70" s="133">
        <v>20000</v>
      </c>
      <c r="B70" s="133">
        <v>30000</v>
      </c>
      <c r="C70" s="165">
        <v>0</v>
      </c>
      <c r="D70" s="165">
        <v>0</v>
      </c>
      <c r="E70" s="156">
        <v>0</v>
      </c>
      <c r="F70" s="158">
        <v>0</v>
      </c>
      <c r="G70" s="167">
        <v>0</v>
      </c>
      <c r="H70" s="38" t="str">
        <f t="shared" si="0"/>
        <v>(20000, 30000]</v>
      </c>
      <c r="I70" s="159">
        <v>0</v>
      </c>
      <c r="J70" s="156">
        <v>0</v>
      </c>
      <c r="K70" s="156">
        <v>0</v>
      </c>
      <c r="L70" s="161">
        <v>0</v>
      </c>
      <c r="M70" s="156">
        <v>0</v>
      </c>
      <c r="N70" s="156">
        <v>0</v>
      </c>
    </row>
    <row r="71" spans="1:14">
      <c r="A71" s="133">
        <v>30000</v>
      </c>
      <c r="B71" s="133">
        <v>40000</v>
      </c>
      <c r="C71" s="165">
        <v>0</v>
      </c>
      <c r="D71" s="165">
        <v>0</v>
      </c>
      <c r="E71" s="156">
        <v>0</v>
      </c>
      <c r="F71" s="158">
        <v>0</v>
      </c>
      <c r="G71" s="167">
        <v>0</v>
      </c>
      <c r="H71" s="38" t="str">
        <f t="shared" si="0"/>
        <v>(30000, 40000]</v>
      </c>
      <c r="I71" s="159">
        <v>0</v>
      </c>
      <c r="J71" s="156">
        <v>0</v>
      </c>
      <c r="K71" s="156">
        <v>0</v>
      </c>
      <c r="L71" s="161">
        <v>0</v>
      </c>
      <c r="M71" s="156">
        <v>0</v>
      </c>
      <c r="N71" s="156">
        <v>0</v>
      </c>
    </row>
    <row r="72" spans="1:14">
      <c r="A72" s="133">
        <v>40000</v>
      </c>
      <c r="B72" s="133">
        <v>50000</v>
      </c>
      <c r="C72" s="165">
        <v>0</v>
      </c>
      <c r="D72" s="165">
        <v>0</v>
      </c>
      <c r="E72" s="156">
        <v>0</v>
      </c>
      <c r="F72" s="158">
        <v>0</v>
      </c>
      <c r="G72" s="167">
        <v>0</v>
      </c>
      <c r="H72" s="38" t="str">
        <f t="shared" si="0"/>
        <v>(40000, 50000]</v>
      </c>
      <c r="I72" s="159">
        <v>0</v>
      </c>
      <c r="J72" s="156">
        <v>0</v>
      </c>
      <c r="K72" s="156">
        <v>0</v>
      </c>
      <c r="L72" s="161">
        <v>0</v>
      </c>
      <c r="M72" s="156">
        <v>0</v>
      </c>
      <c r="N72" s="156">
        <v>0</v>
      </c>
    </row>
    <row r="73" spans="1:14">
      <c r="A73" s="133">
        <v>50000</v>
      </c>
      <c r="B73" s="133">
        <v>60000</v>
      </c>
      <c r="C73" s="165">
        <v>0</v>
      </c>
      <c r="D73" s="165">
        <v>0</v>
      </c>
      <c r="E73" s="156">
        <v>0</v>
      </c>
      <c r="F73" s="158">
        <v>0</v>
      </c>
      <c r="G73" s="167">
        <v>0</v>
      </c>
      <c r="H73" s="38" t="str">
        <f t="shared" si="0"/>
        <v>(50000, 60000]</v>
      </c>
      <c r="I73" s="159">
        <v>0</v>
      </c>
      <c r="J73" s="156">
        <v>0</v>
      </c>
      <c r="K73" s="156">
        <v>0</v>
      </c>
      <c r="L73" s="161">
        <v>0</v>
      </c>
      <c r="M73" s="156">
        <v>0</v>
      </c>
      <c r="N73" s="156">
        <v>0</v>
      </c>
    </row>
    <row r="74" spans="1:14">
      <c r="A74" s="133">
        <v>60000</v>
      </c>
      <c r="B74" s="133">
        <v>70000</v>
      </c>
      <c r="C74" s="165">
        <v>0</v>
      </c>
      <c r="D74" s="165">
        <v>0</v>
      </c>
      <c r="E74" s="156">
        <v>0</v>
      </c>
      <c r="F74" s="158">
        <v>0</v>
      </c>
      <c r="G74" s="167">
        <v>0</v>
      </c>
      <c r="H74" s="38" t="str">
        <f t="shared" si="0"/>
        <v>(60000, 70000]</v>
      </c>
      <c r="I74" s="159">
        <v>0</v>
      </c>
      <c r="J74" s="156">
        <v>0</v>
      </c>
      <c r="K74" s="156">
        <v>0</v>
      </c>
      <c r="L74" s="161">
        <v>0</v>
      </c>
      <c r="M74" s="156">
        <v>0</v>
      </c>
      <c r="N74" s="156">
        <v>0</v>
      </c>
    </row>
    <row r="75" spans="1:14">
      <c r="A75" s="133">
        <v>70000</v>
      </c>
      <c r="B75" s="133">
        <v>80000</v>
      </c>
      <c r="C75" s="165">
        <v>0</v>
      </c>
      <c r="D75" s="165">
        <v>0</v>
      </c>
      <c r="E75" s="156">
        <v>0</v>
      </c>
      <c r="F75" s="158">
        <v>0</v>
      </c>
      <c r="G75" s="167">
        <v>0</v>
      </c>
      <c r="H75" s="38" t="str">
        <f t="shared" si="0"/>
        <v>(70000, 80000]</v>
      </c>
      <c r="I75" s="159">
        <v>0</v>
      </c>
      <c r="J75" s="156">
        <v>0</v>
      </c>
      <c r="K75" s="156">
        <v>0</v>
      </c>
      <c r="L75" s="161">
        <v>0</v>
      </c>
      <c r="M75" s="156">
        <v>0</v>
      </c>
      <c r="N75" s="156">
        <v>0</v>
      </c>
    </row>
    <row r="76" spans="1:14">
      <c r="A76" s="133">
        <v>80000</v>
      </c>
      <c r="B76" s="133">
        <v>90000</v>
      </c>
      <c r="C76" s="165">
        <v>0</v>
      </c>
      <c r="D76" s="165">
        <v>0</v>
      </c>
      <c r="E76" s="156">
        <v>0</v>
      </c>
      <c r="F76" s="158">
        <v>0</v>
      </c>
      <c r="G76" s="167">
        <v>0</v>
      </c>
      <c r="H76" s="38" t="str">
        <f t="shared" si="0"/>
        <v>(80000, 90000]</v>
      </c>
      <c r="I76" s="159">
        <v>0</v>
      </c>
      <c r="J76" s="156">
        <v>0</v>
      </c>
      <c r="K76" s="156">
        <v>0</v>
      </c>
      <c r="L76" s="161">
        <v>0</v>
      </c>
      <c r="M76" s="156">
        <v>0</v>
      </c>
      <c r="N76" s="156">
        <v>0</v>
      </c>
    </row>
    <row r="77" spans="1:14">
      <c r="A77" s="133">
        <v>90000</v>
      </c>
      <c r="B77" s="133">
        <v>100000</v>
      </c>
      <c r="C77" s="165">
        <v>0</v>
      </c>
      <c r="D77" s="165">
        <v>0</v>
      </c>
      <c r="E77" s="156">
        <v>0</v>
      </c>
      <c r="F77" s="158">
        <v>0</v>
      </c>
      <c r="G77" s="167">
        <v>0</v>
      </c>
      <c r="H77" s="38" t="str">
        <f t="shared" si="0"/>
        <v>(90000, 100000]</v>
      </c>
      <c r="I77" s="159">
        <v>0</v>
      </c>
      <c r="J77" s="156">
        <v>0</v>
      </c>
      <c r="K77" s="156">
        <v>0</v>
      </c>
      <c r="L77" s="161">
        <v>0</v>
      </c>
      <c r="M77" s="156">
        <v>0</v>
      </c>
      <c r="N77" s="156">
        <v>0</v>
      </c>
    </row>
    <row r="78" spans="1:14">
      <c r="A78" s="133">
        <v>100000</v>
      </c>
      <c r="B78" s="133">
        <v>9999999</v>
      </c>
      <c r="C78" s="165">
        <v>0</v>
      </c>
      <c r="D78" s="165">
        <v>0</v>
      </c>
      <c r="E78" s="156">
        <v>0</v>
      </c>
      <c r="F78" s="158">
        <v>0</v>
      </c>
      <c r="G78" s="167">
        <v>0</v>
      </c>
      <c r="H78" s="38" t="str">
        <f t="shared" si="0"/>
        <v>(100000, 9999999]</v>
      </c>
      <c r="I78" s="159">
        <v>0</v>
      </c>
      <c r="J78" s="156">
        <v>0</v>
      </c>
      <c r="K78" s="156">
        <v>0</v>
      </c>
      <c r="L78" s="161">
        <v>0</v>
      </c>
      <c r="M78" s="156">
        <v>0</v>
      </c>
      <c r="N78" s="156">
        <v>0</v>
      </c>
    </row>
    <row r="79" spans="1:14">
      <c r="A79" s="229" t="s">
        <v>63</v>
      </c>
      <c r="B79" s="230"/>
      <c r="C79" s="169">
        <f>E79*B13</f>
        <v>22844570</v>
      </c>
      <c r="D79" s="165">
        <v>190196215</v>
      </c>
      <c r="E79" s="170">
        <v>2.2844570000000002E-2</v>
      </c>
      <c r="F79" s="158">
        <v>8.3256640418270078E-2</v>
      </c>
      <c r="G79" s="167"/>
      <c r="H79" s="38" t="s">
        <v>63</v>
      </c>
      <c r="I79" s="159">
        <v>0.3</v>
      </c>
      <c r="J79" s="156">
        <v>6.8533710000000005E-3</v>
      </c>
      <c r="K79" s="156">
        <f>J79</f>
        <v>6.8533710000000005E-3</v>
      </c>
      <c r="L79" s="161">
        <v>6853371</v>
      </c>
      <c r="M79" s="162">
        <v>6.904564346889428E-3</v>
      </c>
      <c r="N79" s="156">
        <v>5.7485083107378088E-4</v>
      </c>
    </row>
    <row r="80" spans="1:14">
      <c r="A80" s="229" t="s">
        <v>88</v>
      </c>
      <c r="B80" s="230"/>
      <c r="C80" s="169">
        <v>10000000</v>
      </c>
      <c r="D80" s="165"/>
      <c r="E80" s="156">
        <v>1</v>
      </c>
      <c r="F80" s="158">
        <v>0</v>
      </c>
      <c r="G80" s="167"/>
      <c r="H80" s="38" t="s">
        <v>88</v>
      </c>
      <c r="I80" s="133"/>
      <c r="J80" s="156"/>
      <c r="K80" s="156"/>
      <c r="L80" s="171"/>
      <c r="M80" s="162">
        <f>E80</f>
        <v>1</v>
      </c>
      <c r="N80" s="156" t="e">
        <f>F80/#REF!</f>
        <v>#REF!</v>
      </c>
    </row>
    <row r="81" spans="1:14">
      <c r="A81" s="172"/>
      <c r="B81" s="14"/>
      <c r="C81" s="1"/>
      <c r="D81" s="194"/>
      <c r="E81" s="1"/>
      <c r="F81" s="1"/>
      <c r="H81" s="15"/>
      <c r="I81" s="14"/>
      <c r="J81" s="14"/>
      <c r="K81" s="14">
        <f>1/K79</f>
        <v>145.9135949301446</v>
      </c>
      <c r="L81" s="120"/>
      <c r="M81" s="14"/>
      <c r="N81" s="14"/>
    </row>
    <row r="82" spans="1:14">
      <c r="A82" s="14"/>
      <c r="D82" s="173"/>
      <c r="E82" s="1"/>
      <c r="F82" s="1"/>
      <c r="H82" s="15"/>
      <c r="I82" s="14"/>
      <c r="J82" s="14"/>
      <c r="K82" s="14"/>
      <c r="L82" s="14"/>
      <c r="M82" s="14"/>
      <c r="N82" s="14"/>
    </row>
    <row r="83" spans="1:14" s="181" customFormat="1">
      <c r="A83" s="228" t="s">
        <v>213</v>
      </c>
      <c r="B83" s="228"/>
      <c r="C83" s="228"/>
      <c r="D83" s="228"/>
      <c r="E83" s="176"/>
      <c r="F83" s="176"/>
      <c r="G83" s="177"/>
      <c r="H83" s="178"/>
      <c r="I83" s="179"/>
      <c r="J83" s="180"/>
      <c r="K83" s="180"/>
      <c r="L83" s="180"/>
      <c r="M83" s="180"/>
      <c r="N83" s="180"/>
    </row>
    <row r="84" spans="1:14">
      <c r="A84" s="14"/>
      <c r="B84" s="14"/>
      <c r="C84" s="1"/>
      <c r="D84" s="1"/>
      <c r="E84" s="1"/>
      <c r="F84" s="1"/>
      <c r="H84" s="15"/>
      <c r="I84" s="14"/>
      <c r="J84" s="14"/>
      <c r="K84" s="14"/>
      <c r="L84" s="14"/>
      <c r="M84" s="14"/>
      <c r="N84" s="14"/>
    </row>
    <row r="85" spans="1:14">
      <c r="A85" s="150" t="s">
        <v>217</v>
      </c>
      <c r="B85" s="174">
        <f>B13</f>
        <v>1000000000</v>
      </c>
      <c r="C85" s="1"/>
      <c r="D85" s="1"/>
      <c r="E85" s="1"/>
      <c r="F85" s="1"/>
      <c r="H85" s="150" t="s">
        <v>218</v>
      </c>
      <c r="I85" s="14"/>
      <c r="J85" s="14"/>
      <c r="K85" s="14"/>
      <c r="M85" s="14"/>
      <c r="N85" s="14"/>
    </row>
    <row r="86" spans="1:14">
      <c r="A86" s="20" t="s">
        <v>57</v>
      </c>
      <c r="B86" s="20" t="s">
        <v>58</v>
      </c>
      <c r="C86" s="20" t="s">
        <v>219</v>
      </c>
      <c r="D86" s="20" t="s">
        <v>220</v>
      </c>
      <c r="E86" s="20" t="s">
        <v>221</v>
      </c>
      <c r="F86" s="20" t="s">
        <v>222</v>
      </c>
      <c r="H86" s="20" t="s">
        <v>60</v>
      </c>
      <c r="I86" s="20" t="s">
        <v>223</v>
      </c>
      <c r="J86" s="20" t="s">
        <v>224</v>
      </c>
      <c r="K86" s="20" t="s">
        <v>225</v>
      </c>
      <c r="L86" s="20" t="s">
        <v>226</v>
      </c>
      <c r="M86" s="20" t="s">
        <v>62</v>
      </c>
      <c r="N86" s="20" t="s">
        <v>59</v>
      </c>
    </row>
    <row r="87" spans="1:14">
      <c r="A87" s="153">
        <v>-1</v>
      </c>
      <c r="B87" s="153">
        <v>0</v>
      </c>
      <c r="C87" s="154">
        <v>6070</v>
      </c>
      <c r="D87" s="154">
        <v>0</v>
      </c>
      <c r="E87" s="156" cm="1">
        <f t="array" ref="E87:E150">_xlfn.LET(_xlpm.x, C87:C150, _xlpm.x/SUM(_xlpm.x))</f>
        <v>2.664165481983526E-3</v>
      </c>
      <c r="F87" s="157" cm="1">
        <f t="array" ref="F87:F150">_xlfn.LET(_xlpm.x, D87:D150/C87:C150/B3, IF(ISERR(_xlpm.x), 0, _xlpm.x))</f>
        <v>0</v>
      </c>
      <c r="G87" s="115">
        <v>1.0000000000000001E-5</v>
      </c>
      <c r="H87" s="38" t="str">
        <f>"("&amp;$A87&amp;", "&amp;$B87&amp;"]"</f>
        <v>(-1, 0]</v>
      </c>
      <c r="I87" s="159">
        <v>0</v>
      </c>
      <c r="J87" s="156" cm="1">
        <f t="array" ref="J87:J150">_xlfn.ANCHORARRAY(E87)*I87:I150</f>
        <v>0</v>
      </c>
      <c r="K87" s="156" cm="1">
        <f t="array" ref="K87:K150">J87:J150/SUM(_xlfn.ANCHORARRAY(J87))</f>
        <v>0</v>
      </c>
      <c r="L87" s="160" cm="1">
        <f t="array" ref="L87:L150">INT(_xlfn.ANCHORARRAY(K87)*$B$2)</f>
        <v>0</v>
      </c>
      <c r="M87" s="156" cm="1">
        <f t="array" ref="M87:M150">_xlfn.LET(_xlpm.x, L87:L150, _xlpm.x/SUM(_xlpm.x))</f>
        <v>0</v>
      </c>
      <c r="N87" s="183" cm="1">
        <f t="array" ref="N87:N150">M87:M150*_xlfn.ANCHORARRAY(F87)</f>
        <v>0</v>
      </c>
    </row>
    <row r="88" spans="1:14">
      <c r="A88" s="133">
        <v>0</v>
      </c>
      <c r="B88" s="133">
        <v>1</v>
      </c>
      <c r="C88" s="165">
        <v>13289</v>
      </c>
      <c r="D88" s="165">
        <v>1090600</v>
      </c>
      <c r="E88" s="156">
        <v>5.8326351054496014E-3</v>
      </c>
      <c r="F88" s="158">
        <v>0.82067875686658143</v>
      </c>
      <c r="G88" s="115">
        <v>0</v>
      </c>
      <c r="H88" s="38" t="str">
        <f t="shared" ref="H88:H150" si="1">"("&amp;$A88&amp;", "&amp;$B88&amp;"]"</f>
        <v>(0, 1]</v>
      </c>
      <c r="I88" s="159">
        <v>0</v>
      </c>
      <c r="J88" s="156">
        <v>0</v>
      </c>
      <c r="K88" s="156">
        <v>0</v>
      </c>
      <c r="L88" s="160">
        <v>0</v>
      </c>
      <c r="M88" s="156">
        <v>0</v>
      </c>
      <c r="N88" s="156">
        <v>0</v>
      </c>
    </row>
    <row r="89" spans="1:14">
      <c r="A89" s="133">
        <v>1</v>
      </c>
      <c r="B89" s="133">
        <v>2</v>
      </c>
      <c r="C89" s="165">
        <v>20810</v>
      </c>
      <c r="D89" s="165">
        <v>3233730</v>
      </c>
      <c r="E89" s="156">
        <v>9.1336546425168329E-3</v>
      </c>
      <c r="F89" s="158">
        <v>1.5539308024987986</v>
      </c>
      <c r="G89" s="166">
        <f>1+G88*G87</f>
        <v>1</v>
      </c>
      <c r="H89" s="38" t="str">
        <f t="shared" si="1"/>
        <v>(1, 2]</v>
      </c>
      <c r="I89" s="159">
        <v>0</v>
      </c>
      <c r="J89" s="156">
        <v>0</v>
      </c>
      <c r="K89" s="156">
        <v>0</v>
      </c>
      <c r="L89" s="160">
        <v>0</v>
      </c>
      <c r="M89" s="156">
        <v>0</v>
      </c>
      <c r="N89" s="156">
        <v>0</v>
      </c>
    </row>
    <row r="90" spans="1:14">
      <c r="A90" s="133">
        <v>2</v>
      </c>
      <c r="B90" s="133">
        <v>3</v>
      </c>
      <c r="C90" s="165">
        <v>21254</v>
      </c>
      <c r="D90" s="165">
        <v>5431450</v>
      </c>
      <c r="E90" s="156">
        <v>9.3285293499304547E-3</v>
      </c>
      <c r="F90" s="158">
        <v>2.5554954361531945</v>
      </c>
      <c r="G90" s="163"/>
      <c r="H90" s="38" t="str">
        <f t="shared" si="1"/>
        <v>(2, 3]</v>
      </c>
      <c r="I90" s="159">
        <v>0</v>
      </c>
      <c r="J90" s="156">
        <v>0</v>
      </c>
      <c r="K90" s="156">
        <v>0</v>
      </c>
      <c r="L90" s="160">
        <v>0</v>
      </c>
      <c r="M90" s="156">
        <v>0</v>
      </c>
      <c r="N90" s="156">
        <v>0</v>
      </c>
    </row>
    <row r="91" spans="1:14">
      <c r="A91" s="133">
        <v>3</v>
      </c>
      <c r="B91" s="133">
        <v>4</v>
      </c>
      <c r="C91" s="165">
        <v>21645</v>
      </c>
      <c r="D91" s="165">
        <v>7695990</v>
      </c>
      <c r="E91" s="156">
        <v>9.5001419864140721E-3</v>
      </c>
      <c r="F91" s="158">
        <v>3.5555509355509356</v>
      </c>
      <c r="G91" s="163"/>
      <c r="H91" s="38" t="str">
        <f t="shared" si="1"/>
        <v>(3, 4]</v>
      </c>
      <c r="I91" s="159">
        <v>0</v>
      </c>
      <c r="J91" s="156">
        <v>0</v>
      </c>
      <c r="K91" s="156">
        <v>0</v>
      </c>
      <c r="L91" s="160">
        <v>0</v>
      </c>
      <c r="M91" s="156">
        <v>0</v>
      </c>
      <c r="N91" s="156">
        <v>0</v>
      </c>
    </row>
    <row r="92" spans="1:14">
      <c r="A92" s="133">
        <v>4</v>
      </c>
      <c r="B92" s="133">
        <v>5</v>
      </c>
      <c r="C92" s="165">
        <v>21438</v>
      </c>
      <c r="D92" s="165">
        <v>9764380</v>
      </c>
      <c r="E92" s="156">
        <v>9.4092882376874513E-3</v>
      </c>
      <c r="F92" s="158">
        <v>4.5547065957645305</v>
      </c>
      <c r="G92" s="163"/>
      <c r="H92" s="38" t="str">
        <f t="shared" si="1"/>
        <v>(4, 5]</v>
      </c>
      <c r="I92" s="159">
        <v>0</v>
      </c>
      <c r="J92" s="156">
        <v>0</v>
      </c>
      <c r="K92" s="156">
        <v>0</v>
      </c>
      <c r="L92" s="160">
        <v>0</v>
      </c>
      <c r="M92" s="156">
        <v>0</v>
      </c>
      <c r="N92" s="156">
        <v>0</v>
      </c>
    </row>
    <row r="93" spans="1:14">
      <c r="A93" s="133">
        <v>5</v>
      </c>
      <c r="B93" s="133">
        <v>6</v>
      </c>
      <c r="C93" s="165">
        <v>21633</v>
      </c>
      <c r="D93" s="165">
        <v>12019590</v>
      </c>
      <c r="E93" s="156">
        <v>9.4948751024299203E-3</v>
      </c>
      <c r="F93" s="158">
        <v>5.5561364581888775</v>
      </c>
      <c r="G93" s="163"/>
      <c r="H93" s="38" t="str">
        <f t="shared" si="1"/>
        <v>(5, 6]</v>
      </c>
      <c r="I93" s="159">
        <v>0</v>
      </c>
      <c r="J93" s="156">
        <v>0</v>
      </c>
      <c r="K93" s="156">
        <v>0</v>
      </c>
      <c r="L93" s="160">
        <v>0</v>
      </c>
      <c r="M93" s="156">
        <v>0</v>
      </c>
      <c r="N93" s="156">
        <v>0</v>
      </c>
    </row>
    <row r="94" spans="1:14">
      <c r="A94" s="133">
        <v>6</v>
      </c>
      <c r="B94" s="133">
        <v>7</v>
      </c>
      <c r="C94" s="165">
        <v>20646</v>
      </c>
      <c r="D94" s="165">
        <v>13512875</v>
      </c>
      <c r="E94" s="156">
        <v>9.0616738947334238E-3</v>
      </c>
      <c r="F94" s="158">
        <v>6.5450329361619684</v>
      </c>
      <c r="G94" s="163"/>
      <c r="H94" s="38" t="str">
        <f t="shared" si="1"/>
        <v>(6, 7]</v>
      </c>
      <c r="I94" s="159">
        <v>0</v>
      </c>
      <c r="J94" s="156">
        <v>0</v>
      </c>
      <c r="K94" s="156">
        <v>0</v>
      </c>
      <c r="L94" s="160">
        <v>0</v>
      </c>
      <c r="M94" s="156">
        <v>0</v>
      </c>
      <c r="N94" s="156">
        <v>0</v>
      </c>
    </row>
    <row r="95" spans="1:14">
      <c r="A95" s="133">
        <v>7</v>
      </c>
      <c r="B95" s="133">
        <v>8</v>
      </c>
      <c r="C95" s="165">
        <v>20886</v>
      </c>
      <c r="D95" s="165">
        <v>15764920</v>
      </c>
      <c r="E95" s="156">
        <v>9.1670115744164615E-3</v>
      </c>
      <c r="F95" s="158">
        <v>7.548080053624437</v>
      </c>
      <c r="G95" s="163"/>
      <c r="H95" s="38" t="str">
        <f t="shared" si="1"/>
        <v>(7, 8]</v>
      </c>
      <c r="I95" s="159">
        <v>0</v>
      </c>
      <c r="J95" s="156">
        <v>0</v>
      </c>
      <c r="K95" s="156">
        <v>0</v>
      </c>
      <c r="L95" s="160">
        <v>0</v>
      </c>
      <c r="M95" s="156">
        <v>0</v>
      </c>
      <c r="N95" s="156">
        <v>0</v>
      </c>
    </row>
    <row r="96" spans="1:14">
      <c r="A96" s="133">
        <v>8</v>
      </c>
      <c r="B96" s="133">
        <v>9</v>
      </c>
      <c r="C96" s="165">
        <v>20446</v>
      </c>
      <c r="D96" s="165">
        <v>17486945</v>
      </c>
      <c r="E96" s="156">
        <v>8.9738924949975575E-3</v>
      </c>
      <c r="F96" s="158">
        <v>8.5527462584368585</v>
      </c>
      <c r="G96" s="163"/>
      <c r="H96" s="38" t="str">
        <f t="shared" si="1"/>
        <v>(8, 9]</v>
      </c>
      <c r="I96" s="159">
        <v>0</v>
      </c>
      <c r="J96" s="156">
        <v>0</v>
      </c>
      <c r="K96" s="156">
        <v>0</v>
      </c>
      <c r="L96" s="160">
        <v>0</v>
      </c>
      <c r="M96" s="156">
        <v>0</v>
      </c>
      <c r="N96" s="156">
        <v>0</v>
      </c>
    </row>
    <row r="97" spans="1:14">
      <c r="A97" s="133">
        <v>9</v>
      </c>
      <c r="B97" s="133">
        <v>10</v>
      </c>
      <c r="C97" s="165">
        <v>19920</v>
      </c>
      <c r="D97" s="165">
        <v>19030345</v>
      </c>
      <c r="E97" s="156">
        <v>8.7430274136922302E-3</v>
      </c>
      <c r="F97" s="158">
        <v>9.5533860441767064</v>
      </c>
      <c r="G97" s="163"/>
      <c r="H97" s="38" t="str">
        <f t="shared" si="1"/>
        <v>(9, 10]</v>
      </c>
      <c r="I97" s="159">
        <v>0</v>
      </c>
      <c r="J97" s="156">
        <v>0</v>
      </c>
      <c r="K97" s="156">
        <v>0</v>
      </c>
      <c r="L97" s="160">
        <v>0</v>
      </c>
      <c r="M97" s="156">
        <v>0</v>
      </c>
      <c r="N97" s="156">
        <v>0</v>
      </c>
    </row>
    <row r="98" spans="1:14">
      <c r="A98" s="133">
        <v>10</v>
      </c>
      <c r="B98" s="133">
        <v>15</v>
      </c>
      <c r="C98" s="165">
        <v>95890</v>
      </c>
      <c r="D98" s="165">
        <v>120087185</v>
      </c>
      <c r="E98" s="156">
        <v>4.2086792103360846E-2</v>
      </c>
      <c r="F98" s="158">
        <v>12.523431536135156</v>
      </c>
      <c r="G98" s="163"/>
      <c r="H98" s="38" t="str">
        <f t="shared" si="1"/>
        <v>(10, 15]</v>
      </c>
      <c r="I98" s="159">
        <v>0</v>
      </c>
      <c r="J98" s="156">
        <v>0</v>
      </c>
      <c r="K98" s="156">
        <v>0</v>
      </c>
      <c r="L98" s="160">
        <v>0</v>
      </c>
      <c r="M98" s="156">
        <v>0</v>
      </c>
      <c r="N98" s="156">
        <v>0</v>
      </c>
    </row>
    <row r="99" spans="1:14">
      <c r="A99" s="133">
        <v>15</v>
      </c>
      <c r="B99" s="133">
        <v>20</v>
      </c>
      <c r="C99" s="165">
        <v>89276</v>
      </c>
      <c r="D99" s="165">
        <v>156417885</v>
      </c>
      <c r="E99" s="156">
        <v>3.9183861214095762E-2</v>
      </c>
      <c r="F99" s="158">
        <v>17.520709373179802</v>
      </c>
      <c r="G99" s="163"/>
      <c r="H99" s="168" t="str">
        <f t="shared" si="1"/>
        <v>(15, 20]</v>
      </c>
      <c r="I99" s="159">
        <v>0</v>
      </c>
      <c r="J99" s="156">
        <v>0</v>
      </c>
      <c r="K99" s="156">
        <v>0</v>
      </c>
      <c r="L99" s="160">
        <v>0</v>
      </c>
      <c r="M99" s="156">
        <v>0</v>
      </c>
      <c r="N99" s="156">
        <v>0</v>
      </c>
    </row>
    <row r="100" spans="1:14">
      <c r="A100" s="133">
        <v>20</v>
      </c>
      <c r="B100" s="133">
        <v>25</v>
      </c>
      <c r="C100" s="165">
        <v>82338</v>
      </c>
      <c r="D100" s="165">
        <v>185300895</v>
      </c>
      <c r="E100" s="156">
        <v>3.6138724457258575E-2</v>
      </c>
      <c r="F100" s="158">
        <v>22.504905997230924</v>
      </c>
      <c r="G100" s="163"/>
      <c r="H100" s="38" t="str">
        <f t="shared" si="1"/>
        <v>(20, 25]</v>
      </c>
      <c r="I100" s="159">
        <v>0</v>
      </c>
      <c r="J100" s="156">
        <v>0</v>
      </c>
      <c r="K100" s="156">
        <v>0</v>
      </c>
      <c r="L100" s="160">
        <v>0</v>
      </c>
      <c r="M100" s="156">
        <v>0</v>
      </c>
      <c r="N100" s="156">
        <v>0</v>
      </c>
    </row>
    <row r="101" spans="1:14">
      <c r="A101" s="133">
        <v>25</v>
      </c>
      <c r="B101" s="133">
        <v>30</v>
      </c>
      <c r="C101" s="165">
        <v>76062</v>
      </c>
      <c r="D101" s="165">
        <v>209282100</v>
      </c>
      <c r="E101" s="156">
        <v>3.3384144133547108E-2</v>
      </c>
      <c r="F101" s="158">
        <v>27.514672241066499</v>
      </c>
      <c r="G101" s="163"/>
      <c r="H101" s="38" t="str">
        <f t="shared" si="1"/>
        <v>(25, 30]</v>
      </c>
      <c r="I101" s="159">
        <v>0</v>
      </c>
      <c r="J101" s="156">
        <v>0</v>
      </c>
      <c r="K101" s="156">
        <v>0</v>
      </c>
      <c r="L101" s="160">
        <v>0</v>
      </c>
      <c r="M101" s="156">
        <v>0</v>
      </c>
      <c r="N101" s="156">
        <v>0</v>
      </c>
    </row>
    <row r="102" spans="1:14">
      <c r="A102" s="133">
        <v>30</v>
      </c>
      <c r="B102" s="133">
        <v>35</v>
      </c>
      <c r="C102" s="165">
        <v>70584</v>
      </c>
      <c r="D102" s="165">
        <v>229534305</v>
      </c>
      <c r="E102" s="156">
        <v>3.0979811594781748E-2</v>
      </c>
      <c r="F102" s="158">
        <v>32.519311033662021</v>
      </c>
      <c r="G102" s="163"/>
      <c r="H102" s="38" t="str">
        <f t="shared" si="1"/>
        <v>(30, 35]</v>
      </c>
      <c r="I102" s="159">
        <v>0</v>
      </c>
      <c r="J102" s="156">
        <v>0</v>
      </c>
      <c r="K102" s="156">
        <v>0</v>
      </c>
      <c r="L102" s="160">
        <v>0</v>
      </c>
      <c r="M102" s="156">
        <v>0</v>
      </c>
      <c r="N102" s="156">
        <v>0</v>
      </c>
    </row>
    <row r="103" spans="1:14">
      <c r="A103" s="133">
        <v>35</v>
      </c>
      <c r="B103" s="133">
        <v>40</v>
      </c>
      <c r="C103" s="165">
        <v>65100</v>
      </c>
      <c r="D103" s="165">
        <v>244284710</v>
      </c>
      <c r="E103" s="156">
        <v>2.8572845614024307E-2</v>
      </c>
      <c r="F103" s="158">
        <v>37.524533026113673</v>
      </c>
      <c r="G103" s="163"/>
      <c r="H103" s="168" t="str">
        <f t="shared" si="1"/>
        <v>(35, 40]</v>
      </c>
      <c r="I103" s="159">
        <v>0</v>
      </c>
      <c r="J103" s="156">
        <v>0</v>
      </c>
      <c r="K103" s="156">
        <v>0</v>
      </c>
      <c r="L103" s="160">
        <v>0</v>
      </c>
      <c r="M103" s="156">
        <v>0</v>
      </c>
      <c r="N103" s="156">
        <v>0</v>
      </c>
    </row>
    <row r="104" spans="1:14">
      <c r="A104" s="133">
        <v>40</v>
      </c>
      <c r="B104" s="133">
        <v>45</v>
      </c>
      <c r="C104" s="165">
        <v>61979</v>
      </c>
      <c r="D104" s="165">
        <v>263528360</v>
      </c>
      <c r="E104" s="156">
        <v>2.7203016871146121E-2</v>
      </c>
      <c r="F104" s="158">
        <v>42.518975782119753</v>
      </c>
      <c r="G104" s="163"/>
      <c r="H104" s="38" t="str">
        <f t="shared" si="1"/>
        <v>(40, 45]</v>
      </c>
      <c r="I104" s="159">
        <v>3</v>
      </c>
      <c r="J104" s="156">
        <v>8.1609050613438358E-2</v>
      </c>
      <c r="K104" s="156">
        <v>0.19167510082330699</v>
      </c>
      <c r="L104" s="160">
        <v>191675100</v>
      </c>
      <c r="M104" s="156">
        <v>0.1916751009583755</v>
      </c>
      <c r="N104" s="156">
        <v>8.1498289756845264</v>
      </c>
    </row>
    <row r="105" spans="1:14">
      <c r="A105" s="133">
        <v>45</v>
      </c>
      <c r="B105" s="133">
        <v>50</v>
      </c>
      <c r="C105" s="165">
        <v>57512</v>
      </c>
      <c r="D105" s="165">
        <v>273347815</v>
      </c>
      <c r="E105" s="156">
        <v>2.524241930804556E-2</v>
      </c>
      <c r="F105" s="158">
        <v>47.528831374321882</v>
      </c>
      <c r="G105" s="163"/>
      <c r="H105" s="38" t="str">
        <f t="shared" si="1"/>
        <v>(45, 50]</v>
      </c>
      <c r="I105" s="159">
        <v>3</v>
      </c>
      <c r="J105" s="156">
        <v>7.5727257924136676E-2</v>
      </c>
      <c r="K105" s="156">
        <v>0.17786053983688077</v>
      </c>
      <c r="L105" s="160">
        <v>177860539</v>
      </c>
      <c r="M105" s="156">
        <v>0.1778605398893027</v>
      </c>
      <c r="N105" s="156">
        <v>8.4535036085445192</v>
      </c>
    </row>
    <row r="106" spans="1:14">
      <c r="A106" s="133">
        <v>50</v>
      </c>
      <c r="B106" s="133">
        <v>60</v>
      </c>
      <c r="C106" s="165">
        <v>104777</v>
      </c>
      <c r="D106" s="165">
        <v>575637135</v>
      </c>
      <c r="E106" s="156">
        <v>4.5987358600624036E-2</v>
      </c>
      <c r="F106" s="158">
        <v>54.939264819569182</v>
      </c>
      <c r="G106" s="163">
        <v>2.12</v>
      </c>
      <c r="H106" s="168" t="str">
        <f t="shared" si="1"/>
        <v>(50, 60]</v>
      </c>
      <c r="I106" s="159">
        <v>1.5</v>
      </c>
      <c r="J106" s="156">
        <v>6.8981037900936057E-2</v>
      </c>
      <c r="K106" s="156">
        <v>0.16201569918007422</v>
      </c>
      <c r="L106" s="160">
        <v>162015699</v>
      </c>
      <c r="M106" s="156">
        <v>0.16201569981007849</v>
      </c>
      <c r="N106" s="156">
        <v>8.9010234367937269</v>
      </c>
    </row>
    <row r="107" spans="1:14">
      <c r="A107" s="133">
        <v>60</v>
      </c>
      <c r="B107" s="133">
        <v>70</v>
      </c>
      <c r="C107" s="165">
        <v>92873</v>
      </c>
      <c r="D107" s="165">
        <v>603037995</v>
      </c>
      <c r="E107" s="156">
        <v>4.076260968834531E-2</v>
      </c>
      <c r="F107" s="158">
        <v>64.931465011359592</v>
      </c>
      <c r="G107" s="163">
        <v>5.94</v>
      </c>
      <c r="H107" s="38" t="str">
        <f t="shared" si="1"/>
        <v>(60, 70]</v>
      </c>
      <c r="I107" s="159">
        <v>1.4</v>
      </c>
      <c r="J107" s="156">
        <v>5.7067653563683429E-2</v>
      </c>
      <c r="K107" s="156">
        <v>0.13403474453319236</v>
      </c>
      <c r="L107" s="160">
        <v>134034744</v>
      </c>
      <c r="M107" s="156">
        <v>0.13403474467017373</v>
      </c>
      <c r="N107" s="156">
        <v>8.7030723338579019</v>
      </c>
    </row>
    <row r="108" spans="1:14">
      <c r="A108" s="133">
        <v>70</v>
      </c>
      <c r="B108" s="133">
        <v>80</v>
      </c>
      <c r="C108" s="165">
        <v>83293</v>
      </c>
      <c r="D108" s="165">
        <v>624248335</v>
      </c>
      <c r="E108" s="156">
        <v>3.6557880640997339E-2</v>
      </c>
      <c r="F108" s="158">
        <v>74.946074099864333</v>
      </c>
      <c r="G108" s="163">
        <v>5.07</v>
      </c>
      <c r="H108" s="38" t="str">
        <f t="shared" si="1"/>
        <v>(70, 80]</v>
      </c>
      <c r="I108" s="159">
        <v>1.2</v>
      </c>
      <c r="J108" s="156">
        <v>4.3869456769196805E-2</v>
      </c>
      <c r="K108" s="156">
        <v>0.10303615207006057</v>
      </c>
      <c r="L108" s="160">
        <v>103036152</v>
      </c>
      <c r="M108" s="156">
        <v>0.10303615251518077</v>
      </c>
      <c r="N108" s="156">
        <v>7.7221551213676607</v>
      </c>
    </row>
    <row r="109" spans="1:14">
      <c r="A109" s="133">
        <v>80</v>
      </c>
      <c r="B109" s="133">
        <v>90</v>
      </c>
      <c r="C109" s="165">
        <v>74862</v>
      </c>
      <c r="D109" s="165">
        <v>635978325</v>
      </c>
      <c r="E109" s="156">
        <v>3.2857455735131914E-2</v>
      </c>
      <c r="F109" s="158">
        <v>84.953424300713309</v>
      </c>
      <c r="G109" s="163">
        <v>2.4900000000000002</v>
      </c>
      <c r="H109" s="38" t="str">
        <f t="shared" si="1"/>
        <v>(80, 90]</v>
      </c>
      <c r="I109" s="159">
        <v>1.2</v>
      </c>
      <c r="J109" s="156">
        <v>3.9428946882158297E-2</v>
      </c>
      <c r="K109" s="156">
        <v>9.2606730652862485E-2</v>
      </c>
      <c r="L109" s="160">
        <v>92606730</v>
      </c>
      <c r="M109" s="156">
        <v>9.2606730463033651E-2</v>
      </c>
      <c r="N109" s="156">
        <v>7.8672588661278908</v>
      </c>
    </row>
    <row r="110" spans="1:14">
      <c r="A110" s="133">
        <v>90</v>
      </c>
      <c r="B110" s="133">
        <v>100</v>
      </c>
      <c r="C110" s="165">
        <v>67374</v>
      </c>
      <c r="D110" s="165">
        <v>639750200</v>
      </c>
      <c r="E110" s="156">
        <v>2.95709201290211E-2</v>
      </c>
      <c r="F110" s="158">
        <v>94.955056846854873</v>
      </c>
      <c r="G110" s="163">
        <v>2.13</v>
      </c>
      <c r="H110" s="38" t="str">
        <f t="shared" si="1"/>
        <v>(90, 100]</v>
      </c>
      <c r="I110" s="185">
        <v>0.93</v>
      </c>
      <c r="J110" s="182">
        <v>2.7500955719989624E-2</v>
      </c>
      <c r="K110" s="182">
        <v>6.4591468969966301E-2</v>
      </c>
      <c r="L110" s="160">
        <v>64591468</v>
      </c>
      <c r="M110" s="182">
        <v>6.4591468322957341E-2</v>
      </c>
      <c r="N110" s="182">
        <v>6.1332865464282404</v>
      </c>
    </row>
    <row r="111" spans="1:14">
      <c r="A111" s="133">
        <v>100</v>
      </c>
      <c r="B111" s="133">
        <v>120</v>
      </c>
      <c r="C111" s="165">
        <v>117138</v>
      </c>
      <c r="D111" s="165">
        <v>1285241290</v>
      </c>
      <c r="E111" s="156">
        <v>5.1412688011299224E-2</v>
      </c>
      <c r="F111" s="158">
        <v>109.72026925506667</v>
      </c>
      <c r="G111" s="163">
        <v>1.6</v>
      </c>
      <c r="H111" s="38" t="str">
        <f t="shared" si="1"/>
        <v>(100, 120]</v>
      </c>
      <c r="I111" s="185">
        <v>0.38</v>
      </c>
      <c r="J111" s="182">
        <v>1.9536821444293705E-2</v>
      </c>
      <c r="K111" s="182">
        <v>4.5886114247790405E-2</v>
      </c>
      <c r="L111" s="160">
        <v>45886114</v>
      </c>
      <c r="M111" s="182">
        <v>4.588611422943057E-2</v>
      </c>
      <c r="N111" s="182">
        <v>5.034636808321868</v>
      </c>
    </row>
    <row r="112" spans="1:14">
      <c r="A112" s="133">
        <v>120</v>
      </c>
      <c r="B112" s="133">
        <v>140</v>
      </c>
      <c r="C112" s="165">
        <v>98023</v>
      </c>
      <c r="D112" s="165">
        <v>1271812335</v>
      </c>
      <c r="E112" s="156">
        <v>4.3022980731543849E-2</v>
      </c>
      <c r="F112" s="158">
        <v>129.7463182110321</v>
      </c>
      <c r="G112" s="163">
        <v>0.68</v>
      </c>
      <c r="H112" s="38" t="str">
        <f t="shared" si="1"/>
        <v>(120, 140]</v>
      </c>
      <c r="I112" s="185">
        <v>0.28000000000000003</v>
      </c>
      <c r="J112" s="182">
        <v>1.2046434604832278E-2</v>
      </c>
      <c r="K112" s="182">
        <v>2.8293449685865894E-2</v>
      </c>
      <c r="L112" s="160">
        <v>28293449</v>
      </c>
      <c r="M112" s="182">
        <v>2.8293449141467246E-2</v>
      </c>
      <c r="N112" s="182">
        <v>3.6709708555964622</v>
      </c>
    </row>
    <row r="113" spans="1:14">
      <c r="A113" s="133">
        <v>140</v>
      </c>
      <c r="B113" s="133">
        <v>160</v>
      </c>
      <c r="C113" s="165">
        <v>83073</v>
      </c>
      <c r="D113" s="165">
        <v>1244282160</v>
      </c>
      <c r="E113" s="156">
        <v>3.6461321101287886E-2</v>
      </c>
      <c r="F113" s="158">
        <v>149.7817774728251</v>
      </c>
      <c r="G113" s="163">
        <v>1.03</v>
      </c>
      <c r="H113" s="38" t="str">
        <f t="shared" si="1"/>
        <v>(140, 160]</v>
      </c>
      <c r="I113" s="185">
        <v>0</v>
      </c>
      <c r="J113" s="182">
        <v>0</v>
      </c>
      <c r="K113" s="182">
        <v>0</v>
      </c>
      <c r="L113" s="160">
        <v>0</v>
      </c>
      <c r="M113" s="182">
        <v>0</v>
      </c>
      <c r="N113" s="182">
        <v>0</v>
      </c>
    </row>
    <row r="114" spans="1:14">
      <c r="A114" s="133">
        <v>160</v>
      </c>
      <c r="B114" s="133">
        <v>180</v>
      </c>
      <c r="C114" s="165">
        <v>71278</v>
      </c>
      <c r="D114" s="165">
        <v>1210416050</v>
      </c>
      <c r="E114" s="156">
        <v>3.1284413051865204E-2</v>
      </c>
      <c r="F114" s="158">
        <v>169.81621959089759</v>
      </c>
      <c r="G114" s="163">
        <v>0.3</v>
      </c>
      <c r="H114" s="38" t="str">
        <f t="shared" si="1"/>
        <v>(160, 180]</v>
      </c>
      <c r="I114" s="185">
        <v>0</v>
      </c>
      <c r="J114" s="182">
        <v>0</v>
      </c>
      <c r="K114" s="182">
        <v>0</v>
      </c>
      <c r="L114" s="160">
        <v>0</v>
      </c>
      <c r="M114" s="182">
        <v>0</v>
      </c>
      <c r="N114" s="182">
        <v>0</v>
      </c>
    </row>
    <row r="115" spans="1:14">
      <c r="A115" s="133">
        <v>180</v>
      </c>
      <c r="B115" s="133">
        <v>200</v>
      </c>
      <c r="C115" s="165">
        <v>61850</v>
      </c>
      <c r="D115" s="165">
        <v>1174015420</v>
      </c>
      <c r="E115" s="156">
        <v>2.7146397868316487E-2</v>
      </c>
      <c r="F115" s="158">
        <v>189.81655941794662</v>
      </c>
      <c r="G115" s="163">
        <v>0.26</v>
      </c>
      <c r="H115" s="38" t="str">
        <f t="shared" si="1"/>
        <v>(180, 200]</v>
      </c>
      <c r="I115" s="185">
        <v>0</v>
      </c>
      <c r="J115" s="182">
        <v>0</v>
      </c>
      <c r="K115" s="182">
        <v>0</v>
      </c>
      <c r="L115" s="160">
        <v>0</v>
      </c>
      <c r="M115" s="182">
        <v>0</v>
      </c>
      <c r="N115" s="182">
        <v>0</v>
      </c>
    </row>
    <row r="116" spans="1:14">
      <c r="A116" s="133">
        <v>200</v>
      </c>
      <c r="B116" s="133">
        <v>250</v>
      </c>
      <c r="C116" s="165">
        <v>123505</v>
      </c>
      <c r="D116" s="165">
        <v>2763375860</v>
      </c>
      <c r="E116" s="156">
        <v>5.4207208871890511E-2</v>
      </c>
      <c r="F116" s="158">
        <v>223.7460718189547</v>
      </c>
      <c r="G116" s="163">
        <v>0.3</v>
      </c>
      <c r="H116" s="38" t="str">
        <f t="shared" si="1"/>
        <v>(200, 250]</v>
      </c>
      <c r="I116" s="185">
        <v>0</v>
      </c>
      <c r="J116" s="182">
        <v>0</v>
      </c>
      <c r="K116" s="182">
        <v>0</v>
      </c>
      <c r="L116" s="160">
        <v>0</v>
      </c>
      <c r="M116" s="182">
        <v>0</v>
      </c>
      <c r="N116" s="182">
        <v>0</v>
      </c>
    </row>
    <row r="117" spans="1:14">
      <c r="A117" s="133">
        <v>250</v>
      </c>
      <c r="B117" s="133">
        <v>300</v>
      </c>
      <c r="C117" s="165">
        <v>91171</v>
      </c>
      <c r="D117" s="165">
        <v>2497132705</v>
      </c>
      <c r="E117" s="156">
        <v>4.0015589976593088E-2</v>
      </c>
      <c r="F117" s="158">
        <v>273.89550460124383</v>
      </c>
      <c r="G117" s="163">
        <v>0.09</v>
      </c>
      <c r="H117" s="38" t="str">
        <f t="shared" si="1"/>
        <v>(250, 300]</v>
      </c>
      <c r="I117" s="185">
        <v>0</v>
      </c>
      <c r="J117" s="182">
        <v>0</v>
      </c>
      <c r="K117" s="182">
        <v>0</v>
      </c>
      <c r="L117" s="160">
        <v>0</v>
      </c>
      <c r="M117" s="182">
        <v>0</v>
      </c>
      <c r="N117" s="182">
        <v>0</v>
      </c>
    </row>
    <row r="118" spans="1:14">
      <c r="A118" s="133">
        <v>300</v>
      </c>
      <c r="B118" s="133">
        <v>350</v>
      </c>
      <c r="C118" s="165">
        <v>70283</v>
      </c>
      <c r="D118" s="165">
        <v>2277474765</v>
      </c>
      <c r="E118" s="156">
        <v>3.0847700588179268E-2</v>
      </c>
      <c r="F118" s="158">
        <v>324.04347637408762</v>
      </c>
      <c r="G118" s="163">
        <v>0.08</v>
      </c>
      <c r="H118" s="38" t="str">
        <f t="shared" si="1"/>
        <v>(300, 350]</v>
      </c>
      <c r="I118" s="185">
        <v>0</v>
      </c>
      <c r="J118" s="182">
        <v>0</v>
      </c>
      <c r="K118" s="182">
        <v>0</v>
      </c>
      <c r="L118" s="160">
        <v>0</v>
      </c>
      <c r="M118" s="182">
        <v>0</v>
      </c>
      <c r="N118" s="182">
        <v>0</v>
      </c>
    </row>
    <row r="119" spans="1:14">
      <c r="A119" s="133">
        <v>350</v>
      </c>
      <c r="B119" s="133">
        <v>400</v>
      </c>
      <c r="C119" s="165">
        <v>54191</v>
      </c>
      <c r="D119" s="165">
        <v>2026990150</v>
      </c>
      <c r="E119" s="156">
        <v>2.3784809165431509E-2</v>
      </c>
      <c r="F119" s="158">
        <v>374.04553339115353</v>
      </c>
      <c r="G119" s="163">
        <v>0.01</v>
      </c>
      <c r="H119" s="38" t="str">
        <f t="shared" si="1"/>
        <v>(350, 400]</v>
      </c>
      <c r="I119" s="185">
        <v>0</v>
      </c>
      <c r="J119" s="182">
        <v>0</v>
      </c>
      <c r="K119" s="182">
        <v>0</v>
      </c>
      <c r="L119" s="160">
        <v>0</v>
      </c>
      <c r="M119" s="182">
        <v>0</v>
      </c>
      <c r="N119" s="182">
        <v>0</v>
      </c>
    </row>
    <row r="120" spans="1:14">
      <c r="A120" s="133">
        <v>400</v>
      </c>
      <c r="B120" s="133">
        <v>450</v>
      </c>
      <c r="C120" s="165">
        <v>43300</v>
      </c>
      <c r="D120" s="165">
        <v>1836158150</v>
      </c>
      <c r="E120" s="156">
        <v>1.9004673042814939E-2</v>
      </c>
      <c r="F120" s="158">
        <v>424.05500000000001</v>
      </c>
      <c r="G120" s="163">
        <v>0.01</v>
      </c>
      <c r="H120" s="38" t="str">
        <f t="shared" si="1"/>
        <v>(400, 450]</v>
      </c>
      <c r="I120" s="185">
        <v>0</v>
      </c>
      <c r="J120" s="182">
        <v>0</v>
      </c>
      <c r="K120" s="182">
        <v>0</v>
      </c>
      <c r="L120" s="160">
        <v>0</v>
      </c>
      <c r="M120" s="182">
        <v>0</v>
      </c>
      <c r="N120" s="182">
        <v>0</v>
      </c>
    </row>
    <row r="121" spans="1:14">
      <c r="A121" s="133">
        <v>450</v>
      </c>
      <c r="B121" s="133">
        <v>500</v>
      </c>
      <c r="C121" s="165">
        <v>35047</v>
      </c>
      <c r="D121" s="165">
        <v>1661604835</v>
      </c>
      <c r="E121" s="156">
        <v>1.5382373582714439E-2</v>
      </c>
      <c r="F121" s="158">
        <v>474.10757982138267</v>
      </c>
      <c r="G121" s="163">
        <v>0.01</v>
      </c>
      <c r="H121" s="38" t="str">
        <f t="shared" si="1"/>
        <v>(450, 500]</v>
      </c>
      <c r="I121" s="185">
        <v>0</v>
      </c>
      <c r="J121" s="182">
        <v>0</v>
      </c>
      <c r="K121" s="182">
        <v>0</v>
      </c>
      <c r="L121" s="160">
        <v>0</v>
      </c>
      <c r="M121" s="182">
        <v>0</v>
      </c>
      <c r="N121" s="182">
        <v>0</v>
      </c>
    </row>
    <row r="122" spans="1:14">
      <c r="A122" s="133">
        <v>500</v>
      </c>
      <c r="B122" s="133">
        <v>550</v>
      </c>
      <c r="C122" s="165">
        <v>28158</v>
      </c>
      <c r="D122" s="165">
        <v>1476232245</v>
      </c>
      <c r="E122" s="156">
        <v>1.2358743268812542E-2</v>
      </c>
      <c r="F122" s="158">
        <v>524.26743554229699</v>
      </c>
      <c r="G122" s="163">
        <v>0.01</v>
      </c>
      <c r="H122" s="38" t="str">
        <f t="shared" si="1"/>
        <v>(500, 550]</v>
      </c>
      <c r="I122" s="185">
        <v>0</v>
      </c>
      <c r="J122" s="182">
        <v>0</v>
      </c>
      <c r="K122" s="182">
        <v>0</v>
      </c>
      <c r="L122" s="160">
        <v>0</v>
      </c>
      <c r="M122" s="182">
        <v>0</v>
      </c>
      <c r="N122" s="182">
        <v>0</v>
      </c>
    </row>
    <row r="123" spans="1:14">
      <c r="A123" s="133">
        <v>550</v>
      </c>
      <c r="B123" s="133">
        <v>600</v>
      </c>
      <c r="C123" s="165">
        <v>23509</v>
      </c>
      <c r="D123" s="165">
        <v>1350228635</v>
      </c>
      <c r="E123" s="156">
        <v>1.0318264631952342E-2</v>
      </c>
      <c r="F123" s="158">
        <v>574.34541452209794</v>
      </c>
      <c r="G123" s="163">
        <v>0.01</v>
      </c>
      <c r="H123" s="38" t="str">
        <f t="shared" si="1"/>
        <v>(550, 600]</v>
      </c>
      <c r="I123" s="159">
        <v>0</v>
      </c>
      <c r="J123" s="156">
        <v>0</v>
      </c>
      <c r="K123" s="156">
        <v>0</v>
      </c>
      <c r="L123" s="160">
        <v>0</v>
      </c>
      <c r="M123" s="156">
        <v>0</v>
      </c>
      <c r="N123" s="156">
        <v>0</v>
      </c>
    </row>
    <row r="124" spans="1:14">
      <c r="A124" s="133">
        <v>600</v>
      </c>
      <c r="B124" s="133">
        <v>650</v>
      </c>
      <c r="C124" s="165">
        <v>19576</v>
      </c>
      <c r="D124" s="165">
        <v>1222197930</v>
      </c>
      <c r="E124" s="156">
        <v>8.5920434061465406E-3</v>
      </c>
      <c r="F124" s="158">
        <v>624.33486411932984</v>
      </c>
      <c r="G124" s="163">
        <v>0.01</v>
      </c>
      <c r="H124" s="38" t="str">
        <f t="shared" si="1"/>
        <v>(600, 650]</v>
      </c>
      <c r="I124" s="159">
        <v>0</v>
      </c>
      <c r="J124" s="156">
        <v>0</v>
      </c>
      <c r="K124" s="156">
        <v>0</v>
      </c>
      <c r="L124" s="160">
        <v>0</v>
      </c>
      <c r="M124" s="156">
        <v>0</v>
      </c>
      <c r="N124" s="156">
        <v>0</v>
      </c>
    </row>
    <row r="125" spans="1:14">
      <c r="A125" s="133">
        <v>650</v>
      </c>
      <c r="B125" s="133">
        <v>700</v>
      </c>
      <c r="C125" s="165">
        <v>16323</v>
      </c>
      <c r="D125" s="165">
        <v>1100626695</v>
      </c>
      <c r="E125" s="156">
        <v>7.1642789394426847E-3</v>
      </c>
      <c r="F125" s="158">
        <v>674.27966366476755</v>
      </c>
      <c r="G125" s="163">
        <v>0.01</v>
      </c>
      <c r="H125" s="38" t="str">
        <f t="shared" si="1"/>
        <v>(650, 700]</v>
      </c>
      <c r="I125" s="159">
        <v>0</v>
      </c>
      <c r="J125" s="156">
        <v>0</v>
      </c>
      <c r="K125" s="156">
        <v>0</v>
      </c>
      <c r="L125" s="160">
        <v>0</v>
      </c>
      <c r="M125" s="156">
        <v>0</v>
      </c>
      <c r="N125" s="156">
        <v>0</v>
      </c>
    </row>
    <row r="126" spans="1:14">
      <c r="A126" s="133">
        <v>700</v>
      </c>
      <c r="B126" s="133">
        <v>750</v>
      </c>
      <c r="C126" s="165">
        <v>13958</v>
      </c>
      <c r="D126" s="165">
        <v>1010893865</v>
      </c>
      <c r="E126" s="156">
        <v>6.1262638875660717E-3</v>
      </c>
      <c r="F126" s="158">
        <v>724.23976572574873</v>
      </c>
      <c r="G126" s="163">
        <v>0.01</v>
      </c>
      <c r="H126" s="38" t="str">
        <f t="shared" si="1"/>
        <v>(700, 750]</v>
      </c>
      <c r="I126" s="159">
        <v>0</v>
      </c>
      <c r="J126" s="156">
        <v>0</v>
      </c>
      <c r="K126" s="156">
        <v>0</v>
      </c>
      <c r="L126" s="160">
        <v>0</v>
      </c>
      <c r="M126" s="156">
        <v>0</v>
      </c>
      <c r="N126" s="156">
        <v>0</v>
      </c>
    </row>
    <row r="127" spans="1:14">
      <c r="A127" s="133">
        <v>750</v>
      </c>
      <c r="B127" s="133">
        <v>800</v>
      </c>
      <c r="C127" s="165">
        <v>11691</v>
      </c>
      <c r="D127" s="165">
        <v>905166865</v>
      </c>
      <c r="E127" s="156">
        <v>5.1312617215600338E-3</v>
      </c>
      <c r="F127" s="158">
        <v>774.24246428876916</v>
      </c>
      <c r="G127" s="163">
        <v>0.01</v>
      </c>
      <c r="H127" s="38" t="str">
        <f t="shared" si="1"/>
        <v>(750, 800]</v>
      </c>
      <c r="I127" s="159">
        <v>0</v>
      </c>
      <c r="J127" s="156">
        <v>0</v>
      </c>
      <c r="K127" s="156">
        <v>0</v>
      </c>
      <c r="L127" s="160">
        <v>0</v>
      </c>
      <c r="M127" s="156">
        <v>0</v>
      </c>
      <c r="N127" s="156">
        <v>0</v>
      </c>
    </row>
    <row r="128" spans="1:14">
      <c r="A128" s="133">
        <v>800</v>
      </c>
      <c r="B128" s="133">
        <v>850</v>
      </c>
      <c r="C128" s="165">
        <v>10300</v>
      </c>
      <c r="D128" s="165">
        <v>849158805</v>
      </c>
      <c r="E128" s="156">
        <v>4.5207420863970869E-3</v>
      </c>
      <c r="F128" s="158">
        <v>824.42602427184465</v>
      </c>
      <c r="G128" s="163">
        <v>0.01</v>
      </c>
      <c r="H128" s="38" t="str">
        <f t="shared" si="1"/>
        <v>(800, 850]</v>
      </c>
      <c r="I128" s="159">
        <v>0</v>
      </c>
      <c r="J128" s="156">
        <v>0</v>
      </c>
      <c r="K128" s="156">
        <v>0</v>
      </c>
      <c r="L128" s="160">
        <v>0</v>
      </c>
      <c r="M128" s="156">
        <v>0</v>
      </c>
      <c r="N128" s="156">
        <v>0</v>
      </c>
    </row>
    <row r="129" spans="1:14">
      <c r="A129" s="133">
        <v>850</v>
      </c>
      <c r="B129" s="133">
        <v>900</v>
      </c>
      <c r="C129" s="165">
        <v>8545</v>
      </c>
      <c r="D129" s="165">
        <v>747239950</v>
      </c>
      <c r="E129" s="156">
        <v>3.7504603037148651E-3</v>
      </c>
      <c r="F129" s="158">
        <v>874.47624341720302</v>
      </c>
      <c r="G129" s="163">
        <v>0.01</v>
      </c>
      <c r="H129" s="38" t="str">
        <f t="shared" si="1"/>
        <v>(850, 900]</v>
      </c>
      <c r="I129" s="159">
        <v>0</v>
      </c>
      <c r="J129" s="156">
        <v>0</v>
      </c>
      <c r="K129" s="156">
        <v>0</v>
      </c>
      <c r="L129" s="161">
        <v>0</v>
      </c>
      <c r="M129" s="156">
        <v>0</v>
      </c>
      <c r="N129" s="156">
        <v>0</v>
      </c>
    </row>
    <row r="130" spans="1:14">
      <c r="A130" s="133">
        <v>900</v>
      </c>
      <c r="B130" s="133">
        <v>950</v>
      </c>
      <c r="C130" s="165">
        <v>7531</v>
      </c>
      <c r="D130" s="165">
        <v>696264460</v>
      </c>
      <c r="E130" s="156">
        <v>3.3054086070540257E-3</v>
      </c>
      <c r="F130" s="158">
        <v>924.53121763378033</v>
      </c>
      <c r="G130" s="163">
        <v>0.01</v>
      </c>
      <c r="H130" s="38" t="str">
        <f t="shared" si="1"/>
        <v>(900, 950]</v>
      </c>
      <c r="I130" s="159">
        <v>0</v>
      </c>
      <c r="J130" s="156">
        <v>0</v>
      </c>
      <c r="K130" s="156">
        <v>0</v>
      </c>
      <c r="L130" s="161">
        <v>0</v>
      </c>
      <c r="M130" s="156">
        <v>0</v>
      </c>
      <c r="N130" s="156">
        <v>0</v>
      </c>
    </row>
    <row r="131" spans="1:14">
      <c r="A131" s="133">
        <v>950</v>
      </c>
      <c r="B131" s="133">
        <v>1000</v>
      </c>
      <c r="C131" s="165">
        <v>6522</v>
      </c>
      <c r="D131" s="165">
        <v>635506350</v>
      </c>
      <c r="E131" s="156">
        <v>2.8625514453865827E-3</v>
      </c>
      <c r="F131" s="158">
        <v>974.4040938362466</v>
      </c>
      <c r="G131" s="163">
        <v>0.01</v>
      </c>
      <c r="H131" s="38" t="str">
        <f t="shared" si="1"/>
        <v>(950, 1000]</v>
      </c>
      <c r="I131" s="159">
        <v>0</v>
      </c>
      <c r="J131" s="156">
        <v>0</v>
      </c>
      <c r="K131" s="156">
        <v>0</v>
      </c>
      <c r="L131" s="161">
        <v>0</v>
      </c>
      <c r="M131" s="156">
        <v>0</v>
      </c>
      <c r="N131" s="156">
        <v>0</v>
      </c>
    </row>
    <row r="132" spans="1:14">
      <c r="A132" s="133">
        <v>1000</v>
      </c>
      <c r="B132" s="133">
        <v>2000</v>
      </c>
      <c r="C132" s="165">
        <v>45431</v>
      </c>
      <c r="D132" s="165">
        <v>6016529675</v>
      </c>
      <c r="E132" s="156">
        <v>1.993998385700059E-2</v>
      </c>
      <c r="F132" s="158">
        <v>1324.322527569281</v>
      </c>
      <c r="G132" s="163">
        <v>0.01</v>
      </c>
      <c r="H132" s="38" t="str">
        <f t="shared" si="1"/>
        <v>(1000, 2000]</v>
      </c>
      <c r="I132" s="159">
        <v>0</v>
      </c>
      <c r="J132" s="156">
        <v>0</v>
      </c>
      <c r="K132" s="156">
        <v>0</v>
      </c>
      <c r="L132" s="161">
        <v>0</v>
      </c>
      <c r="M132" s="156">
        <v>0</v>
      </c>
      <c r="N132" s="156">
        <v>0</v>
      </c>
    </row>
    <row r="133" spans="1:14">
      <c r="A133" s="133">
        <v>2000</v>
      </c>
      <c r="B133" s="133">
        <v>3000</v>
      </c>
      <c r="C133" s="165">
        <v>6086</v>
      </c>
      <c r="D133" s="165">
        <v>1439400455</v>
      </c>
      <c r="E133" s="156">
        <v>2.6711879939623952E-3</v>
      </c>
      <c r="F133" s="158">
        <v>2365.1009776536316</v>
      </c>
      <c r="G133" s="163">
        <v>0.01</v>
      </c>
      <c r="H133" s="38" t="str">
        <f t="shared" si="1"/>
        <v>(2000, 3000]</v>
      </c>
      <c r="I133" s="159">
        <v>0</v>
      </c>
      <c r="J133" s="156">
        <v>0</v>
      </c>
      <c r="K133" s="156">
        <v>0</v>
      </c>
      <c r="L133" s="161">
        <v>0</v>
      </c>
      <c r="M133" s="156">
        <v>0</v>
      </c>
      <c r="N133" s="156">
        <v>0</v>
      </c>
    </row>
    <row r="134" spans="1:14">
      <c r="A134" s="133">
        <v>3000</v>
      </c>
      <c r="B134" s="133">
        <v>4000</v>
      </c>
      <c r="C134" s="165">
        <v>1330</v>
      </c>
      <c r="D134" s="165">
        <v>451295940</v>
      </c>
      <c r="E134" s="156">
        <v>5.8374630824350733E-4</v>
      </c>
      <c r="F134" s="158">
        <v>3393.2025563909779</v>
      </c>
      <c r="G134" s="163">
        <v>0.01</v>
      </c>
      <c r="H134" s="38" t="str">
        <f t="shared" si="1"/>
        <v>(3000, 4000]</v>
      </c>
      <c r="I134" s="159">
        <v>0</v>
      </c>
      <c r="J134" s="156">
        <v>0</v>
      </c>
      <c r="K134" s="156">
        <v>0</v>
      </c>
      <c r="L134" s="161">
        <v>0</v>
      </c>
      <c r="M134" s="156">
        <v>0</v>
      </c>
      <c r="N134" s="156">
        <v>0</v>
      </c>
    </row>
    <row r="135" spans="1:14">
      <c r="A135" s="133">
        <v>4000</v>
      </c>
      <c r="B135" s="133">
        <v>5000</v>
      </c>
      <c r="C135" s="165">
        <v>361</v>
      </c>
      <c r="D135" s="165">
        <v>158982415</v>
      </c>
      <c r="E135" s="156">
        <v>1.5844542652323771E-4</v>
      </c>
      <c r="F135" s="158">
        <v>4403.9450138504153</v>
      </c>
      <c r="G135" s="163">
        <v>0.01</v>
      </c>
      <c r="H135" s="38" t="str">
        <f t="shared" si="1"/>
        <v>(4000, 5000]</v>
      </c>
      <c r="I135" s="159">
        <v>0</v>
      </c>
      <c r="J135" s="156">
        <v>0</v>
      </c>
      <c r="K135" s="156">
        <v>0</v>
      </c>
      <c r="L135" s="161">
        <v>0</v>
      </c>
      <c r="M135" s="156">
        <v>0</v>
      </c>
      <c r="N135" s="156">
        <v>0</v>
      </c>
    </row>
    <row r="136" spans="1:14">
      <c r="A136" s="133">
        <v>5000</v>
      </c>
      <c r="B136" s="133">
        <v>6000</v>
      </c>
      <c r="C136" s="165">
        <v>133</v>
      </c>
      <c r="D136" s="165">
        <v>72027630</v>
      </c>
      <c r="E136" s="156">
        <v>5.8374630824350737E-5</v>
      </c>
      <c r="F136" s="158">
        <v>5415.611278195488</v>
      </c>
      <c r="G136" s="163">
        <v>0.01</v>
      </c>
      <c r="H136" s="38" t="str">
        <f t="shared" si="1"/>
        <v>(5000, 6000]</v>
      </c>
      <c r="I136" s="159">
        <v>0</v>
      </c>
      <c r="J136" s="156">
        <v>0</v>
      </c>
      <c r="K136" s="156">
        <v>0</v>
      </c>
      <c r="L136" s="161">
        <v>0</v>
      </c>
      <c r="M136" s="156">
        <v>0</v>
      </c>
      <c r="N136" s="156">
        <v>0</v>
      </c>
    </row>
    <row r="137" spans="1:14">
      <c r="A137" s="133">
        <v>6000</v>
      </c>
      <c r="B137" s="133">
        <v>7000</v>
      </c>
      <c r="C137" s="165">
        <v>48</v>
      </c>
      <c r="D137" s="165">
        <v>30871890</v>
      </c>
      <c r="E137" s="156">
        <v>2.1067535936607783E-5</v>
      </c>
      <c r="F137" s="158">
        <v>6431.6437500000002</v>
      </c>
      <c r="G137" s="163">
        <v>0.01</v>
      </c>
      <c r="H137" s="38" t="str">
        <f t="shared" si="1"/>
        <v>(6000, 7000]</v>
      </c>
      <c r="I137" s="159">
        <v>0</v>
      </c>
      <c r="J137" s="156">
        <v>0</v>
      </c>
      <c r="K137" s="156">
        <v>0</v>
      </c>
      <c r="L137" s="161">
        <v>0</v>
      </c>
      <c r="M137" s="156">
        <v>0</v>
      </c>
      <c r="N137" s="156">
        <v>0</v>
      </c>
    </row>
    <row r="138" spans="1:14">
      <c r="A138" s="133">
        <v>7000</v>
      </c>
      <c r="B138" s="133">
        <v>8000</v>
      </c>
      <c r="C138" s="165">
        <v>27</v>
      </c>
      <c r="D138" s="165">
        <v>20035630</v>
      </c>
      <c r="E138" s="156">
        <v>1.1850488964341879E-5</v>
      </c>
      <c r="F138" s="158">
        <v>7420.6037037037031</v>
      </c>
      <c r="G138" s="163">
        <v>0.01</v>
      </c>
      <c r="H138" s="38" t="str">
        <f t="shared" si="1"/>
        <v>(7000, 8000]</v>
      </c>
      <c r="I138" s="159">
        <v>0</v>
      </c>
      <c r="J138" s="156">
        <v>0</v>
      </c>
      <c r="K138" s="156">
        <v>0</v>
      </c>
      <c r="L138" s="161">
        <v>0</v>
      </c>
      <c r="M138" s="156">
        <v>0</v>
      </c>
      <c r="N138" s="156">
        <v>0</v>
      </c>
    </row>
    <row r="139" spans="1:14">
      <c r="A139" s="133">
        <v>8000</v>
      </c>
      <c r="B139" s="133">
        <v>9000</v>
      </c>
      <c r="C139" s="165">
        <v>19</v>
      </c>
      <c r="D139" s="165">
        <v>15872480</v>
      </c>
      <c r="E139" s="156">
        <v>8.3392329749072486E-6</v>
      </c>
      <c r="F139" s="158">
        <v>8353.9368421052623</v>
      </c>
      <c r="G139" s="163">
        <v>0.01</v>
      </c>
      <c r="H139" s="38" t="str">
        <f t="shared" si="1"/>
        <v>(8000, 9000]</v>
      </c>
      <c r="I139" s="159">
        <v>0</v>
      </c>
      <c r="J139" s="156">
        <v>0</v>
      </c>
      <c r="K139" s="156">
        <v>0</v>
      </c>
      <c r="L139" s="161">
        <v>0</v>
      </c>
      <c r="M139" s="156">
        <v>0</v>
      </c>
      <c r="N139" s="156">
        <v>0</v>
      </c>
    </row>
    <row r="140" spans="1:14">
      <c r="A140" s="133">
        <v>9000</v>
      </c>
      <c r="B140" s="133">
        <v>10000</v>
      </c>
      <c r="C140" s="165">
        <v>11</v>
      </c>
      <c r="D140" s="165">
        <v>10382895</v>
      </c>
      <c r="E140" s="156">
        <v>4.8279769854726173E-6</v>
      </c>
      <c r="F140" s="158">
        <v>9438.9954545454548</v>
      </c>
      <c r="G140" s="163">
        <v>0.01</v>
      </c>
      <c r="H140" s="38" t="str">
        <f t="shared" si="1"/>
        <v>(9000, 10000]</v>
      </c>
      <c r="I140" s="159">
        <v>0</v>
      </c>
      <c r="J140" s="156">
        <v>0</v>
      </c>
      <c r="K140" s="156">
        <v>0</v>
      </c>
      <c r="L140" s="161">
        <v>0</v>
      </c>
      <c r="M140" s="156">
        <v>0</v>
      </c>
      <c r="N140" s="156">
        <v>0</v>
      </c>
    </row>
    <row r="141" spans="1:14">
      <c r="A141" s="133">
        <v>10000</v>
      </c>
      <c r="B141" s="133">
        <v>20000</v>
      </c>
      <c r="C141" s="165">
        <v>12</v>
      </c>
      <c r="D141" s="165">
        <v>14267885</v>
      </c>
      <c r="E141" s="156">
        <v>5.2668839841519457E-6</v>
      </c>
      <c r="F141" s="158">
        <v>11889.904166666667</v>
      </c>
      <c r="G141" s="163">
        <v>0.01</v>
      </c>
      <c r="H141" s="38" t="str">
        <f t="shared" si="1"/>
        <v>(10000, 20000]</v>
      </c>
      <c r="I141" s="159">
        <v>0</v>
      </c>
      <c r="J141" s="156">
        <v>0</v>
      </c>
      <c r="K141" s="156">
        <v>0</v>
      </c>
      <c r="L141" s="161">
        <v>0</v>
      </c>
      <c r="M141" s="156">
        <v>0</v>
      </c>
      <c r="N141" s="156">
        <v>0</v>
      </c>
    </row>
    <row r="142" spans="1:14">
      <c r="A142" s="133">
        <v>20000</v>
      </c>
      <c r="B142" s="133">
        <v>30000</v>
      </c>
      <c r="C142" s="165">
        <v>0</v>
      </c>
      <c r="D142" s="165">
        <v>0</v>
      </c>
      <c r="E142" s="156">
        <v>0</v>
      </c>
      <c r="F142" s="158">
        <v>0</v>
      </c>
      <c r="G142" s="163">
        <v>0</v>
      </c>
      <c r="H142" s="38" t="str">
        <f t="shared" si="1"/>
        <v>(20000, 30000]</v>
      </c>
      <c r="I142" s="159">
        <v>0</v>
      </c>
      <c r="J142" s="156">
        <v>0</v>
      </c>
      <c r="K142" s="156">
        <v>0</v>
      </c>
      <c r="L142" s="161">
        <v>0</v>
      </c>
      <c r="M142" s="156">
        <v>0</v>
      </c>
      <c r="N142" s="156">
        <v>0</v>
      </c>
    </row>
    <row r="143" spans="1:14">
      <c r="A143" s="133">
        <v>30000</v>
      </c>
      <c r="B143" s="133">
        <v>40000</v>
      </c>
      <c r="C143" s="165">
        <v>0</v>
      </c>
      <c r="D143" s="165">
        <v>0</v>
      </c>
      <c r="E143" s="156">
        <v>0</v>
      </c>
      <c r="F143" s="158">
        <v>0</v>
      </c>
      <c r="G143" s="163">
        <v>0</v>
      </c>
      <c r="H143" s="38" t="str">
        <f t="shared" si="1"/>
        <v>(30000, 40000]</v>
      </c>
      <c r="I143" s="159">
        <v>0</v>
      </c>
      <c r="J143" s="156">
        <v>0</v>
      </c>
      <c r="K143" s="156">
        <v>0</v>
      </c>
      <c r="L143" s="161">
        <v>0</v>
      </c>
      <c r="M143" s="156">
        <v>0</v>
      </c>
      <c r="N143" s="156">
        <v>0</v>
      </c>
    </row>
    <row r="144" spans="1:14">
      <c r="A144" s="133">
        <v>40000</v>
      </c>
      <c r="B144" s="133">
        <v>50000</v>
      </c>
      <c r="C144" s="165">
        <v>0</v>
      </c>
      <c r="D144" s="165">
        <v>0</v>
      </c>
      <c r="E144" s="156">
        <v>0</v>
      </c>
      <c r="F144" s="158">
        <v>0</v>
      </c>
      <c r="G144" s="163">
        <v>0</v>
      </c>
      <c r="H144" s="38" t="str">
        <f t="shared" si="1"/>
        <v>(40000, 50000]</v>
      </c>
      <c r="I144" s="159">
        <v>0</v>
      </c>
      <c r="J144" s="156">
        <v>0</v>
      </c>
      <c r="K144" s="156">
        <v>0</v>
      </c>
      <c r="L144" s="161">
        <v>0</v>
      </c>
      <c r="M144" s="156">
        <v>0</v>
      </c>
      <c r="N144" s="156">
        <v>0</v>
      </c>
    </row>
    <row r="145" spans="1:14">
      <c r="A145" s="133">
        <v>50000</v>
      </c>
      <c r="B145" s="133">
        <v>60000</v>
      </c>
      <c r="C145" s="165">
        <v>0</v>
      </c>
      <c r="D145" s="165">
        <v>0</v>
      </c>
      <c r="E145" s="156">
        <v>0</v>
      </c>
      <c r="F145" s="158">
        <v>0</v>
      </c>
      <c r="G145" s="163">
        <v>0</v>
      </c>
      <c r="H145" s="38" t="str">
        <f t="shared" si="1"/>
        <v>(50000, 60000]</v>
      </c>
      <c r="I145" s="159">
        <v>0</v>
      </c>
      <c r="J145" s="156">
        <v>0</v>
      </c>
      <c r="K145" s="156">
        <v>0</v>
      </c>
      <c r="L145" s="161">
        <v>0</v>
      </c>
      <c r="M145" s="156">
        <v>0</v>
      </c>
      <c r="N145" s="156">
        <v>0</v>
      </c>
    </row>
    <row r="146" spans="1:14">
      <c r="A146" s="133">
        <v>60000</v>
      </c>
      <c r="B146" s="133">
        <v>70000</v>
      </c>
      <c r="C146" s="165">
        <v>0</v>
      </c>
      <c r="D146" s="165">
        <v>0</v>
      </c>
      <c r="E146" s="156">
        <v>0</v>
      </c>
      <c r="F146" s="158">
        <v>0</v>
      </c>
      <c r="G146" s="163">
        <v>0</v>
      </c>
      <c r="H146" s="38" t="str">
        <f t="shared" si="1"/>
        <v>(60000, 70000]</v>
      </c>
      <c r="I146" s="159">
        <v>0</v>
      </c>
      <c r="J146" s="156">
        <v>0</v>
      </c>
      <c r="K146" s="156">
        <v>0</v>
      </c>
      <c r="L146" s="161">
        <v>0</v>
      </c>
      <c r="M146" s="156">
        <v>0</v>
      </c>
      <c r="N146" s="156">
        <v>0</v>
      </c>
    </row>
    <row r="147" spans="1:14">
      <c r="A147" s="133">
        <v>70000</v>
      </c>
      <c r="B147" s="133">
        <v>80000</v>
      </c>
      <c r="C147" s="165">
        <v>0</v>
      </c>
      <c r="D147" s="165">
        <v>0</v>
      </c>
      <c r="E147" s="156">
        <v>0</v>
      </c>
      <c r="F147" s="158">
        <v>0</v>
      </c>
      <c r="G147" s="163">
        <v>0</v>
      </c>
      <c r="H147" s="38" t="str">
        <f t="shared" si="1"/>
        <v>(70000, 80000]</v>
      </c>
      <c r="I147" s="159">
        <v>0</v>
      </c>
      <c r="J147" s="156">
        <v>0</v>
      </c>
      <c r="K147" s="156">
        <v>0</v>
      </c>
      <c r="L147" s="161">
        <v>0</v>
      </c>
      <c r="M147" s="156">
        <v>0</v>
      </c>
      <c r="N147" s="156">
        <v>0</v>
      </c>
    </row>
    <row r="148" spans="1:14">
      <c r="A148" s="133">
        <v>80000</v>
      </c>
      <c r="B148" s="133">
        <v>90000</v>
      </c>
      <c r="C148" s="165">
        <v>0</v>
      </c>
      <c r="D148" s="165">
        <v>0</v>
      </c>
      <c r="E148" s="156">
        <v>0</v>
      </c>
      <c r="F148" s="158">
        <v>0</v>
      </c>
      <c r="G148" s="163">
        <v>0</v>
      </c>
      <c r="H148" s="38" t="str">
        <f t="shared" si="1"/>
        <v>(80000, 90000]</v>
      </c>
      <c r="I148" s="159">
        <v>0</v>
      </c>
      <c r="J148" s="156">
        <v>0</v>
      </c>
      <c r="K148" s="156">
        <v>0</v>
      </c>
      <c r="L148" s="161">
        <v>0</v>
      </c>
      <c r="M148" s="156">
        <v>0</v>
      </c>
      <c r="N148" s="156">
        <v>0</v>
      </c>
    </row>
    <row r="149" spans="1:14">
      <c r="A149" s="133">
        <v>90000</v>
      </c>
      <c r="B149" s="133">
        <v>100000</v>
      </c>
      <c r="C149" s="165">
        <v>0</v>
      </c>
      <c r="D149" s="165">
        <v>0</v>
      </c>
      <c r="E149" s="156">
        <v>0</v>
      </c>
      <c r="F149" s="158">
        <v>0</v>
      </c>
      <c r="G149" s="163">
        <v>0</v>
      </c>
      <c r="H149" s="38" t="str">
        <f t="shared" si="1"/>
        <v>(90000, 100000]</v>
      </c>
      <c r="I149" s="159">
        <v>0</v>
      </c>
      <c r="J149" s="156">
        <v>0</v>
      </c>
      <c r="K149" s="156">
        <v>0</v>
      </c>
      <c r="L149" s="161">
        <v>0</v>
      </c>
      <c r="M149" s="156">
        <v>0</v>
      </c>
      <c r="N149" s="156">
        <v>0</v>
      </c>
    </row>
    <row r="150" spans="1:14">
      <c r="A150" s="133">
        <v>100000</v>
      </c>
      <c r="B150" s="133">
        <v>9999999</v>
      </c>
      <c r="C150" s="165">
        <v>0</v>
      </c>
      <c r="D150" s="165">
        <v>0</v>
      </c>
      <c r="E150" s="156">
        <v>0</v>
      </c>
      <c r="F150" s="158">
        <v>0</v>
      </c>
      <c r="G150" s="163">
        <v>0</v>
      </c>
      <c r="H150" s="38" t="str">
        <f t="shared" si="1"/>
        <v>(100000, 9999999]</v>
      </c>
      <c r="I150" s="159">
        <v>0</v>
      </c>
      <c r="J150" s="156">
        <v>0</v>
      </c>
      <c r="K150" s="156">
        <v>0</v>
      </c>
      <c r="L150" s="161">
        <v>0</v>
      </c>
      <c r="M150" s="156">
        <v>0</v>
      </c>
      <c r="N150" s="156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5" priority="12" operator="lessThan">
      <formula>0.001</formula>
    </cfRule>
  </conditionalFormatting>
  <conditionalFormatting sqref="E87:E150">
    <cfRule type="cellIs" dxfId="124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dimension ref="A1:T220"/>
  <sheetViews>
    <sheetView workbookViewId="0"/>
  </sheetViews>
  <sheetFormatPr defaultRowHeight="15.6"/>
  <cols>
    <col min="1" max="1" width="19.77734375" style="13" bestFit="1" customWidth="1"/>
    <col min="2" max="2" width="22.88671875" style="13" bestFit="1" customWidth="1"/>
    <col min="3" max="3" width="21" style="13" bestFit="1" customWidth="1"/>
    <col min="4" max="4" width="25.5546875" style="13" bestFit="1" customWidth="1"/>
    <col min="5" max="5" width="16.21875" style="13" bestFit="1" customWidth="1"/>
    <col min="6" max="6" width="16.77734375" style="13" bestFit="1" customWidth="1"/>
    <col min="7" max="7" width="15.5546875" style="115" bestFit="1" customWidth="1"/>
    <col min="8" max="8" width="25.5546875" style="13" bestFit="1" customWidth="1"/>
    <col min="9" max="9" width="14" style="13" customWidth="1"/>
    <col min="10" max="10" width="12.44140625" style="13" customWidth="1"/>
    <col min="11" max="11" width="15.5546875" style="13" customWidth="1"/>
    <col min="12" max="12" width="15.33203125" style="13" bestFit="1" customWidth="1"/>
    <col min="13" max="13" width="12.44140625" style="13" bestFit="1" customWidth="1"/>
    <col min="14" max="14" width="19.77734375" style="13" bestFit="1" customWidth="1"/>
    <col min="15" max="15" width="12.21875" style="115" customWidth="1"/>
    <col min="16" max="18" width="15.21875" style="13" customWidth="1"/>
    <col min="19" max="19" width="24" style="13" bestFit="1" customWidth="1"/>
    <col min="20" max="16384" width="8.88671875" style="13"/>
  </cols>
  <sheetData>
    <row r="1" spans="1:19">
      <c r="A1" s="14"/>
      <c r="B1" s="14"/>
      <c r="C1" s="1"/>
      <c r="F1" s="1"/>
      <c r="H1" s="15"/>
      <c r="I1" s="14"/>
      <c r="J1" s="14"/>
      <c r="K1" s="14"/>
      <c r="L1" s="14"/>
      <c r="M1" s="14"/>
      <c r="N1" s="14"/>
    </row>
    <row r="2" spans="1:19">
      <c r="A2" s="14" t="s">
        <v>61</v>
      </c>
      <c r="B2" s="120">
        <v>1000000000</v>
      </c>
      <c r="C2" s="1"/>
      <c r="F2" s="121"/>
      <c r="G2" s="121"/>
      <c r="K2" s="14"/>
      <c r="L2" s="14"/>
      <c r="M2" s="14"/>
      <c r="N2" s="14"/>
    </row>
    <row r="3" spans="1:19">
      <c r="A3" s="14" t="s">
        <v>210</v>
      </c>
      <c r="B3" s="120">
        <f>Overview!A7</f>
        <v>100</v>
      </c>
      <c r="C3" s="1"/>
      <c r="F3" s="121"/>
      <c r="G3" s="122"/>
    </row>
    <row r="4" spans="1:19">
      <c r="F4" s="121"/>
      <c r="G4" s="121"/>
      <c r="I4" s="1"/>
      <c r="L4" s="123"/>
      <c r="M4" s="124"/>
      <c r="N4" s="125"/>
      <c r="O4" s="126"/>
    </row>
    <row r="5" spans="1:19">
      <c r="A5" s="14"/>
      <c r="B5" s="14"/>
      <c r="C5" s="1" t="s">
        <v>211</v>
      </c>
      <c r="I5" s="121"/>
      <c r="K5" s="127"/>
      <c r="L5" s="128"/>
      <c r="M5" s="124"/>
      <c r="N5" s="125"/>
      <c r="O5" s="126"/>
    </row>
    <row r="6" spans="1:19">
      <c r="A6" s="129"/>
      <c r="B6" s="48" t="s">
        <v>212</v>
      </c>
      <c r="C6" s="48" t="s">
        <v>50</v>
      </c>
      <c r="D6" s="48" t="s">
        <v>213</v>
      </c>
      <c r="E6" s="48" t="s">
        <v>214</v>
      </c>
      <c r="F6" s="48" t="s">
        <v>112</v>
      </c>
      <c r="G6" s="48" t="s">
        <v>215</v>
      </c>
      <c r="H6" s="48" t="s">
        <v>216</v>
      </c>
      <c r="I6" s="130" t="s">
        <v>206</v>
      </c>
      <c r="J6" s="131" t="s">
        <v>207</v>
      </c>
      <c r="L6" s="122"/>
      <c r="M6" s="122"/>
      <c r="N6" s="132"/>
    </row>
    <row r="7" spans="1:19">
      <c r="A7" s="133" t="s">
        <v>55</v>
      </c>
      <c r="B7" s="133" cm="1">
        <f t="array" ref="B7:B8">Overview!B11:B12</f>
        <v>1</v>
      </c>
      <c r="C7" s="134">
        <f>SUM(N15:N79)</f>
        <v>0.50693161432948619</v>
      </c>
      <c r="D7" s="134">
        <f>SUM(_xlfn.ANCHORARRAY(N87))*F7</f>
        <v>0.41676154113998654</v>
      </c>
      <c r="E7" s="135">
        <f>SUM(C7:D7)</f>
        <v>0.92369315546947273</v>
      </c>
      <c r="F7" s="136">
        <f>M79</f>
        <v>6.4478501115251899E-3</v>
      </c>
      <c r="G7" s="137">
        <f>1/F7</f>
        <v>155.09045382623785</v>
      </c>
      <c r="H7" s="138">
        <f>D7*G7</f>
        <v>64.635736552722804</v>
      </c>
      <c r="I7" s="139" cm="1">
        <f t="array" ref="I7">LOOKUP(2,1/(L15:L78&lt;&gt;0),B15:B78)</f>
        <v>40</v>
      </c>
      <c r="J7" s="139" cm="1">
        <f t="array" ref="J7">LOOKUP(2,1/(_xlfn.ANCHORARRAY(L87)&lt;&gt;0),B15:B78)</f>
        <v>140</v>
      </c>
      <c r="L7" s="121"/>
      <c r="M7" s="122"/>
      <c r="N7" s="132"/>
    </row>
    <row r="8" spans="1:19">
      <c r="A8" s="133" t="s">
        <v>91</v>
      </c>
      <c r="B8" s="133">
        <v>75</v>
      </c>
      <c r="C8" s="134">
        <f>N80</f>
        <v>0</v>
      </c>
      <c r="D8" s="134">
        <f>SUM(_xlfn.ANCHORARRAY(N157))/B8</f>
        <v>0.93768387089677541</v>
      </c>
      <c r="E8" s="135">
        <f>SUM(C8:D8)</f>
        <v>0.93768387089677541</v>
      </c>
      <c r="F8" s="140">
        <f>E80</f>
        <v>1</v>
      </c>
      <c r="G8" s="137">
        <f>1/F8</f>
        <v>1</v>
      </c>
      <c r="H8" s="138">
        <f>D8*G8*B8</f>
        <v>70.326290317258156</v>
      </c>
      <c r="I8" s="141"/>
      <c r="J8" s="141" cm="1">
        <f t="array" ref="J8">LOOKUP(2,1/(_xlfn.ANCHORARRAY(L157)&lt;&gt;0),B15:B78)</f>
        <v>3000</v>
      </c>
      <c r="L8" s="142"/>
      <c r="M8" s="122"/>
      <c r="N8" s="132"/>
    </row>
    <row r="9" spans="1:19">
      <c r="A9" s="14"/>
      <c r="B9" s="14"/>
      <c r="C9" s="1"/>
      <c r="D9" s="143"/>
      <c r="E9" s="14"/>
      <c r="F9" s="1"/>
      <c r="H9" s="15"/>
      <c r="I9" s="14"/>
      <c r="J9" s="14"/>
      <c r="K9" s="14"/>
      <c r="L9" s="144"/>
      <c r="M9" s="121"/>
      <c r="N9" s="121"/>
    </row>
    <row r="10" spans="1:19">
      <c r="A10" s="14"/>
      <c r="B10" s="14"/>
      <c r="C10" s="1"/>
      <c r="D10" s="1"/>
      <c r="E10" s="143"/>
      <c r="F10" s="1"/>
      <c r="H10" s="15"/>
      <c r="I10" s="14"/>
      <c r="J10" s="14"/>
      <c r="K10" s="14"/>
      <c r="L10" s="144"/>
      <c r="M10" s="121"/>
      <c r="N10" s="121"/>
    </row>
    <row r="11" spans="1:19" s="39" customFormat="1">
      <c r="A11" s="228" t="s">
        <v>50</v>
      </c>
      <c r="B11" s="228"/>
      <c r="C11" s="228"/>
      <c r="D11" s="228"/>
      <c r="E11" s="145"/>
      <c r="F11" s="145"/>
      <c r="G11" s="146"/>
      <c r="H11" s="147"/>
      <c r="I11" s="148"/>
      <c r="J11" s="149"/>
      <c r="K11" s="149"/>
      <c r="L11" s="149"/>
      <c r="M11" s="149"/>
      <c r="N11" s="149"/>
      <c r="O11" s="146"/>
    </row>
    <row r="12" spans="1:19">
      <c r="A12" s="14"/>
      <c r="B12" s="14"/>
      <c r="C12" s="1"/>
      <c r="D12" s="1"/>
      <c r="E12" s="1"/>
      <c r="F12" s="1"/>
      <c r="H12" s="15"/>
      <c r="I12" s="14"/>
      <c r="J12" s="14"/>
      <c r="K12" s="14"/>
      <c r="L12" s="14"/>
      <c r="M12" s="14"/>
      <c r="N12" s="14"/>
    </row>
    <row r="13" spans="1:19">
      <c r="A13" s="150" t="s">
        <v>217</v>
      </c>
      <c r="B13" s="151">
        <v>1000000000</v>
      </c>
      <c r="C13" s="152"/>
      <c r="D13" s="1"/>
      <c r="E13" s="1"/>
      <c r="F13" s="1"/>
      <c r="H13" s="150" t="s">
        <v>218</v>
      </c>
      <c r="I13" s="14"/>
      <c r="J13" s="14"/>
      <c r="K13" s="14"/>
      <c r="L13" s="14"/>
      <c r="M13" s="14"/>
      <c r="N13" s="14"/>
    </row>
    <row r="14" spans="1:19">
      <c r="A14" s="20" t="s">
        <v>57</v>
      </c>
      <c r="B14" s="20" t="s">
        <v>58</v>
      </c>
      <c r="C14" s="20" t="s">
        <v>219</v>
      </c>
      <c r="D14" s="20" t="s">
        <v>220</v>
      </c>
      <c r="E14" s="20" t="s">
        <v>221</v>
      </c>
      <c r="F14" s="20" t="s">
        <v>222</v>
      </c>
      <c r="H14" s="20" t="s">
        <v>60</v>
      </c>
      <c r="I14" s="20" t="s">
        <v>223</v>
      </c>
      <c r="J14" s="20" t="s">
        <v>224</v>
      </c>
      <c r="K14" s="20" t="s">
        <v>225</v>
      </c>
      <c r="L14" s="20" t="s">
        <v>226</v>
      </c>
      <c r="M14" s="20" t="s">
        <v>62</v>
      </c>
      <c r="N14" s="20" t="s">
        <v>59</v>
      </c>
      <c r="P14" s="48" t="s">
        <v>227</v>
      </c>
      <c r="Q14" s="48" t="s">
        <v>227</v>
      </c>
      <c r="R14" s="48" t="s">
        <v>228</v>
      </c>
      <c r="S14" s="48" t="s">
        <v>229</v>
      </c>
    </row>
    <row r="15" spans="1:19">
      <c r="A15" s="153">
        <v>-1</v>
      </c>
      <c r="B15" s="153">
        <v>0</v>
      </c>
      <c r="C15" s="154">
        <v>65390071</v>
      </c>
      <c r="D15" s="154">
        <v>0</v>
      </c>
      <c r="E15" s="155" cm="1">
        <f t="array" ref="E15:E78">_xlfn.LET(_xlpm.x, C15:C78, _xlpm.x/SUM(_xlpm.x))</f>
        <v>0.66407190760638146</v>
      </c>
      <c r="F15" s="157" cm="1">
        <f t="array" ref="F15:F80">_xlfn.LET(_xlpm.x, D15:D80/C15:C80/B3, IF(ISERR(_xlpm.x), 0, _xlpm.x))</f>
        <v>0</v>
      </c>
      <c r="G15" s="115">
        <v>9.9999999999999995E-7</v>
      </c>
      <c r="H15" s="38" t="str">
        <f>"("&amp;$A15&amp;", "&amp;$B15&amp;"]"</f>
        <v>(-1, 0]</v>
      </c>
      <c r="I15" s="159">
        <v>0.47399999999999998</v>
      </c>
      <c r="J15" s="156" cm="1">
        <f t="array" ref="J15:J79">E15:E79*I15:I79</f>
        <v>0.31477008420542479</v>
      </c>
      <c r="K15" s="156" cm="1">
        <f t="array" ref="K15:K78">J15:J78/SUM(_xlfn.ANCHORARRAY(J15))</f>
        <v>0.70683317485213781</v>
      </c>
      <c r="L15" s="160" cm="1">
        <f t="array" ref="L15:L79">INT(K15:K79*$B$2)</f>
        <v>706833174</v>
      </c>
      <c r="M15" s="156" cm="1">
        <f t="array" ref="M15:M79">_xlfn.LET(_xlpm.x, L15:L79, _xlpm.x/SUM(_xlpm.x))</f>
        <v>0.71250986047255127</v>
      </c>
      <c r="N15" s="156" cm="1">
        <f t="array" ref="N15:N79">M15:M79*F15:F79</f>
        <v>0</v>
      </c>
      <c r="O15" s="163"/>
      <c r="P15" s="156" cm="1">
        <f t="array" ref="P15:P78">M15:M78</f>
        <v>0.71250986047255127</v>
      </c>
      <c r="Q15" s="156"/>
      <c r="R15" s="156"/>
      <c r="S15" s="164" cm="1">
        <f t="array" ref="S15:S78">_xlfn.LET(_xlpm.x, Q15:Q78/M15:M78, IF(ISERR(_xlpm.x), 0, ROUND(_xlpm.x,2)))</f>
        <v>0</v>
      </c>
    </row>
    <row r="16" spans="1:19">
      <c r="A16" s="133">
        <v>0</v>
      </c>
      <c r="B16" s="133">
        <v>1</v>
      </c>
      <c r="C16" s="165">
        <v>17351600</v>
      </c>
      <c r="D16" s="165">
        <v>712785570</v>
      </c>
      <c r="E16" s="156">
        <v>0.17621498089553822</v>
      </c>
      <c r="F16" s="158">
        <v>0.41078953525899631</v>
      </c>
      <c r="G16" s="115">
        <v>0</v>
      </c>
      <c r="H16" s="38" t="str">
        <f t="shared" ref="H16:H78" si="0">"("&amp;$A16&amp;", "&amp;$B16&amp;"]"</f>
        <v>(0, 1]</v>
      </c>
      <c r="I16" s="159">
        <v>0.5</v>
      </c>
      <c r="J16" s="156">
        <v>8.810749044776911E-2</v>
      </c>
      <c r="K16" s="156">
        <v>0.19785011450074058</v>
      </c>
      <c r="L16" s="160">
        <v>197850114</v>
      </c>
      <c r="M16" s="156">
        <v>0.19943907884637338</v>
      </c>
      <c r="N16" s="156">
        <v>8.192748651178404E-2</v>
      </c>
      <c r="O16" s="163"/>
      <c r="P16" s="156">
        <v>0.19943907884637338</v>
      </c>
      <c r="Q16" s="156"/>
      <c r="R16" s="156"/>
      <c r="S16" s="164">
        <v>0</v>
      </c>
    </row>
    <row r="17" spans="1:19">
      <c r="A17" s="133">
        <v>1</v>
      </c>
      <c r="B17" s="133">
        <v>2</v>
      </c>
      <c r="C17" s="165">
        <v>5407273</v>
      </c>
      <c r="D17" s="165">
        <v>802609240</v>
      </c>
      <c r="E17" s="156">
        <v>5.4913812466398468E-2</v>
      </c>
      <c r="F17" s="158">
        <v>1.4843142560029796</v>
      </c>
      <c r="G17" s="166">
        <f>1+G16*G15</f>
        <v>1</v>
      </c>
      <c r="H17" s="38" t="str">
        <f t="shared" si="0"/>
        <v>(1, 2]</v>
      </c>
      <c r="I17" s="159">
        <v>0.3</v>
      </c>
      <c r="J17" s="156">
        <v>1.6474143739919539E-2</v>
      </c>
      <c r="K17" s="156">
        <v>3.6993576921555228E-2</v>
      </c>
      <c r="L17" s="160">
        <v>36993576</v>
      </c>
      <c r="M17" s="156">
        <v>3.7290677126793598E-2</v>
      </c>
      <c r="N17" s="156">
        <v>5.5351083675303968E-2</v>
      </c>
      <c r="O17" s="163"/>
      <c r="P17" s="156">
        <v>3.7290677126793598E-2</v>
      </c>
      <c r="Q17" s="156"/>
      <c r="R17" s="156"/>
      <c r="S17" s="164">
        <v>0</v>
      </c>
    </row>
    <row r="18" spans="1:19">
      <c r="A18" s="133">
        <v>2</v>
      </c>
      <c r="B18" s="133">
        <v>3</v>
      </c>
      <c r="C18" s="165">
        <v>2729510</v>
      </c>
      <c r="D18" s="165">
        <v>691016145</v>
      </c>
      <c r="E18" s="156">
        <v>2.7719665765934008E-2</v>
      </c>
      <c r="F18" s="158">
        <v>2.5316490688804949</v>
      </c>
      <c r="G18" s="166"/>
      <c r="H18" s="38" t="str">
        <f t="shared" si="0"/>
        <v>(2, 3]</v>
      </c>
      <c r="I18" s="159">
        <v>0.2</v>
      </c>
      <c r="J18" s="156">
        <v>5.5439331531868018E-3</v>
      </c>
      <c r="K18" s="156">
        <v>1.2449200443323184E-2</v>
      </c>
      <c r="L18" s="160">
        <v>12449200</v>
      </c>
      <c r="M18" s="156">
        <v>1.2549181449419187E-2</v>
      </c>
      <c r="N18" s="156">
        <v>3.1770123531634463E-2</v>
      </c>
      <c r="O18" s="163"/>
      <c r="P18" s="156">
        <v>1.2549181449419187E-2</v>
      </c>
      <c r="Q18" s="156"/>
      <c r="R18" s="156"/>
      <c r="S18" s="164">
        <v>0</v>
      </c>
    </row>
    <row r="19" spans="1:19">
      <c r="A19" s="133">
        <v>3</v>
      </c>
      <c r="B19" s="133">
        <v>4</v>
      </c>
      <c r="C19" s="165">
        <v>1570738</v>
      </c>
      <c r="D19" s="165">
        <v>556155520</v>
      </c>
      <c r="E19" s="156">
        <v>1.5951702820598442E-2</v>
      </c>
      <c r="F19" s="158">
        <v>3.5407274796942585</v>
      </c>
      <c r="G19" s="167"/>
      <c r="H19" s="38" t="str">
        <f t="shared" si="0"/>
        <v>(3, 4]</v>
      </c>
      <c r="I19" s="159">
        <v>0.2</v>
      </c>
      <c r="J19" s="156">
        <v>3.1903405641196883E-3</v>
      </c>
      <c r="K19" s="156">
        <v>7.1640815406225191E-3</v>
      </c>
      <c r="L19" s="160">
        <v>7164081</v>
      </c>
      <c r="M19" s="156">
        <v>7.2216168418321224E-3</v>
      </c>
      <c r="N19" s="156">
        <v>2.5569777199697861E-2</v>
      </c>
      <c r="O19" s="163"/>
      <c r="P19" s="156">
        <v>7.2216168418321224E-3</v>
      </c>
      <c r="Q19" s="156"/>
      <c r="R19" s="156"/>
      <c r="S19" s="164">
        <v>0</v>
      </c>
    </row>
    <row r="20" spans="1:19">
      <c r="A20" s="133">
        <v>4</v>
      </c>
      <c r="B20" s="133">
        <v>5</v>
      </c>
      <c r="C20" s="165">
        <v>1084233</v>
      </c>
      <c r="D20" s="165">
        <v>494968815</v>
      </c>
      <c r="E20" s="156">
        <v>1.1010978663714706E-2</v>
      </c>
      <c r="F20" s="158">
        <v>4.565151724767647</v>
      </c>
      <c r="G20" s="167"/>
      <c r="H20" s="38" t="str">
        <f t="shared" si="0"/>
        <v>(4, 5]</v>
      </c>
      <c r="I20" s="159">
        <v>0.2</v>
      </c>
      <c r="J20" s="156">
        <v>2.2021957327429411E-3</v>
      </c>
      <c r="K20" s="156">
        <v>4.9451491089117184E-3</v>
      </c>
      <c r="L20" s="160">
        <v>4945149</v>
      </c>
      <c r="M20" s="156">
        <v>4.9848642559693675E-3</v>
      </c>
      <c r="N20" s="156">
        <v>2.275666165587115E-2</v>
      </c>
      <c r="O20" s="163"/>
      <c r="P20" s="156">
        <v>4.9848642559693675E-3</v>
      </c>
      <c r="Q20" s="156"/>
      <c r="R20" s="156"/>
      <c r="S20" s="164">
        <v>0</v>
      </c>
    </row>
    <row r="21" spans="1:19">
      <c r="A21" s="133">
        <v>5</v>
      </c>
      <c r="B21" s="133">
        <v>6</v>
      </c>
      <c r="C21" s="165">
        <v>757823</v>
      </c>
      <c r="D21" s="165">
        <v>422988420</v>
      </c>
      <c r="E21" s="156">
        <v>7.6961067260194723E-3</v>
      </c>
      <c r="F21" s="158">
        <v>5.5816255246937612</v>
      </c>
      <c r="G21" s="167">
        <v>1.79</v>
      </c>
      <c r="H21" s="38" t="str">
        <f t="shared" si="0"/>
        <v>(5, 6]</v>
      </c>
      <c r="I21" s="159">
        <v>0.2</v>
      </c>
      <c r="J21" s="156">
        <v>1.5392213452038945E-3</v>
      </c>
      <c r="K21" s="156">
        <v>3.4564044196799082E-3</v>
      </c>
      <c r="L21" s="160">
        <v>3456404</v>
      </c>
      <c r="M21" s="156">
        <v>3.484162914765469E-3</v>
      </c>
      <c r="N21" s="156">
        <v>1.9447292657246356E-2</v>
      </c>
      <c r="O21" s="163"/>
      <c r="P21" s="156">
        <v>3.484162914765469E-3</v>
      </c>
      <c r="Q21" s="156"/>
      <c r="R21" s="156"/>
      <c r="S21" s="164">
        <v>0</v>
      </c>
    </row>
    <row r="22" spans="1:19">
      <c r="A22" s="133">
        <v>6</v>
      </c>
      <c r="B22" s="133">
        <v>7</v>
      </c>
      <c r="C22" s="165">
        <v>540166</v>
      </c>
      <c r="D22" s="165">
        <v>351987175</v>
      </c>
      <c r="E22" s="156">
        <v>5.4856809383814348E-3</v>
      </c>
      <c r="F22" s="158">
        <v>6.5162778664336516</v>
      </c>
      <c r="G22" s="167">
        <v>1.24</v>
      </c>
      <c r="H22" s="38" t="str">
        <f t="shared" si="0"/>
        <v>(6, 7]</v>
      </c>
      <c r="I22" s="159">
        <v>0.2</v>
      </c>
      <c r="J22" s="156">
        <v>1.0971361876762869E-3</v>
      </c>
      <c r="K22" s="156">
        <v>2.4636783916043947E-3</v>
      </c>
      <c r="L22" s="160">
        <v>2463678</v>
      </c>
      <c r="M22" s="156">
        <v>2.48346417881809E-3</v>
      </c>
      <c r="N22" s="156">
        <v>1.6182942660513143E-2</v>
      </c>
      <c r="O22" s="163"/>
      <c r="P22" s="156">
        <v>2.48346417881809E-3</v>
      </c>
      <c r="Q22" s="156"/>
      <c r="R22" s="156"/>
      <c r="S22" s="164">
        <v>0</v>
      </c>
    </row>
    <row r="23" spans="1:19">
      <c r="A23" s="133">
        <v>7</v>
      </c>
      <c r="B23" s="133">
        <v>8</v>
      </c>
      <c r="C23" s="165">
        <v>471377</v>
      </c>
      <c r="D23" s="165">
        <v>355806505</v>
      </c>
      <c r="E23" s="156">
        <v>4.7870910492171402E-3</v>
      </c>
      <c r="F23" s="158">
        <v>7.5482364434412377</v>
      </c>
      <c r="G23" s="167">
        <v>1.02</v>
      </c>
      <c r="H23" s="38" t="str">
        <f t="shared" si="0"/>
        <v>(7, 8]</v>
      </c>
      <c r="I23" s="159">
        <v>0.12</v>
      </c>
      <c r="J23" s="156">
        <v>5.744509259060568E-4</v>
      </c>
      <c r="K23" s="156">
        <v>1.2899604890340801E-3</v>
      </c>
      <c r="L23" s="160">
        <v>1289960</v>
      </c>
      <c r="M23" s="156">
        <v>1.3003198681435573E-3</v>
      </c>
      <c r="N23" s="156">
        <v>9.8151218168519051E-3</v>
      </c>
      <c r="O23" s="163"/>
      <c r="P23" s="156">
        <v>1.3003198681435573E-3</v>
      </c>
      <c r="Q23" s="156"/>
      <c r="R23" s="156"/>
      <c r="S23" s="164">
        <v>0</v>
      </c>
    </row>
    <row r="24" spans="1:19">
      <c r="A24" s="133">
        <v>8</v>
      </c>
      <c r="B24" s="133">
        <v>9</v>
      </c>
      <c r="C24" s="165">
        <v>382555</v>
      </c>
      <c r="D24" s="165">
        <v>329270680</v>
      </c>
      <c r="E24" s="156">
        <v>3.8850550967341703E-3</v>
      </c>
      <c r="F24" s="158">
        <v>8.60714616198978</v>
      </c>
      <c r="G24" s="167">
        <v>1.26</v>
      </c>
      <c r="H24" s="38" t="str">
        <f t="shared" si="0"/>
        <v>(8, 9]</v>
      </c>
      <c r="I24" s="159">
        <v>0.12</v>
      </c>
      <c r="J24" s="156">
        <v>4.6620661160810042E-4</v>
      </c>
      <c r="K24" s="156">
        <v>1.0468920521842016E-3</v>
      </c>
      <c r="L24" s="160">
        <v>1046892</v>
      </c>
      <c r="M24" s="156">
        <v>1.0552997514655844E-3</v>
      </c>
      <c r="N24" s="156">
        <v>9.083119205575774E-3</v>
      </c>
      <c r="O24" s="163"/>
      <c r="P24" s="156">
        <v>1.0552997514655844E-3</v>
      </c>
      <c r="Q24" s="156"/>
      <c r="R24" s="156"/>
      <c r="S24" s="164">
        <v>0</v>
      </c>
    </row>
    <row r="25" spans="1:19">
      <c r="A25" s="133">
        <v>9</v>
      </c>
      <c r="B25" s="133">
        <v>10</v>
      </c>
      <c r="C25" s="165">
        <v>312722</v>
      </c>
      <c r="D25" s="165">
        <v>299181170</v>
      </c>
      <c r="E25" s="156">
        <v>3.1758628170090657E-3</v>
      </c>
      <c r="F25" s="158">
        <v>9.5670010424594363</v>
      </c>
      <c r="G25" s="167">
        <v>1.21</v>
      </c>
      <c r="H25" s="38" t="str">
        <f t="shared" si="0"/>
        <v>(9, 10]</v>
      </c>
      <c r="I25" s="159">
        <v>0.12</v>
      </c>
      <c r="J25" s="156">
        <v>3.8110353804108785E-4</v>
      </c>
      <c r="K25" s="156">
        <v>8.5578851758086522E-4</v>
      </c>
      <c r="L25" s="160">
        <v>855788</v>
      </c>
      <c r="M25" s="156">
        <v>8.6266096570346274E-4</v>
      </c>
      <c r="N25" s="156">
        <v>8.2530783581740916E-3</v>
      </c>
      <c r="O25" s="163"/>
      <c r="P25" s="156">
        <v>8.6266096570346274E-4</v>
      </c>
      <c r="Q25" s="156"/>
      <c r="R25" s="156"/>
      <c r="S25" s="164">
        <v>0</v>
      </c>
    </row>
    <row r="26" spans="1:19">
      <c r="A26" s="133">
        <v>10</v>
      </c>
      <c r="B26" s="133">
        <v>15</v>
      </c>
      <c r="C26" s="165">
        <v>914728</v>
      </c>
      <c r="D26" s="165">
        <v>1123098055</v>
      </c>
      <c r="E26" s="156">
        <v>9.2895627518277211E-3</v>
      </c>
      <c r="F26" s="158">
        <v>12.277945520416997</v>
      </c>
      <c r="G26" s="167">
        <v>0.48</v>
      </c>
      <c r="H26" s="38" t="str">
        <f t="shared" si="0"/>
        <v>(10, 15]</v>
      </c>
      <c r="I26" s="159">
        <v>0.1</v>
      </c>
      <c r="J26" s="156">
        <v>9.2895627518277217E-4</v>
      </c>
      <c r="K26" s="156">
        <v>2.0860213413982968E-3</v>
      </c>
      <c r="L26" s="160">
        <v>2086021</v>
      </c>
      <c r="M26" s="156">
        <v>2.1027741570782753E-3</v>
      </c>
      <c r="N26" s="156">
        <v>2.5817746542347836E-2</v>
      </c>
      <c r="O26" s="163"/>
      <c r="P26" s="156">
        <v>2.1027741570782753E-3</v>
      </c>
      <c r="Q26" s="156"/>
      <c r="R26" s="156"/>
      <c r="S26" s="164">
        <v>0</v>
      </c>
    </row>
    <row r="27" spans="1:19">
      <c r="A27" s="133">
        <v>15</v>
      </c>
      <c r="B27" s="133">
        <v>20</v>
      </c>
      <c r="C27" s="165">
        <v>471279</v>
      </c>
      <c r="D27" s="165">
        <v>819221540</v>
      </c>
      <c r="E27" s="156">
        <v>4.7860958056587495E-3</v>
      </c>
      <c r="F27" s="158">
        <v>17.382941739394287</v>
      </c>
      <c r="G27" s="167">
        <v>1.1299999999999999</v>
      </c>
      <c r="H27" s="168" t="str">
        <f t="shared" si="0"/>
        <v>(15, 20]</v>
      </c>
      <c r="I27" s="159">
        <v>0.35</v>
      </c>
      <c r="J27" s="156">
        <v>1.6751335319805623E-3</v>
      </c>
      <c r="K27" s="156">
        <v>3.76160255413081E-3</v>
      </c>
      <c r="L27" s="160">
        <v>3761602</v>
      </c>
      <c r="M27" s="156">
        <v>3.7918120070766087E-3</v>
      </c>
      <c r="N27" s="156">
        <v>6.5912847205748401E-2</v>
      </c>
      <c r="O27" s="163"/>
      <c r="P27" s="156">
        <v>3.7918120070766087E-3</v>
      </c>
      <c r="Q27" s="156"/>
      <c r="R27" s="156"/>
      <c r="S27" s="164">
        <v>0</v>
      </c>
    </row>
    <row r="28" spans="1:19">
      <c r="A28" s="133">
        <v>20</v>
      </c>
      <c r="B28" s="133">
        <v>25</v>
      </c>
      <c r="C28" s="165">
        <v>278340</v>
      </c>
      <c r="D28" s="165">
        <v>623999005</v>
      </c>
      <c r="E28" s="156">
        <v>2.8266948167583457E-3</v>
      </c>
      <c r="F28" s="158">
        <v>22.418588955953151</v>
      </c>
      <c r="G28" s="167">
        <v>0.54</v>
      </c>
      <c r="H28" s="38" t="str">
        <f t="shared" si="0"/>
        <v>(20, 25]</v>
      </c>
      <c r="I28" s="159">
        <v>0.15</v>
      </c>
      <c r="J28" s="156">
        <v>4.2400422251375185E-4</v>
      </c>
      <c r="K28" s="156">
        <v>9.5212431482058371E-4</v>
      </c>
      <c r="L28" s="160">
        <v>952124</v>
      </c>
      <c r="M28" s="156">
        <v>9.5977065500970303E-4</v>
      </c>
      <c r="N28" s="156">
        <v>2.1516703806648451E-2</v>
      </c>
      <c r="O28" s="163"/>
      <c r="P28" s="156">
        <v>9.5977065500970303E-4</v>
      </c>
      <c r="Q28" s="156"/>
      <c r="R28" s="156"/>
      <c r="S28" s="164">
        <v>0</v>
      </c>
    </row>
    <row r="29" spans="1:19">
      <c r="A29" s="133">
        <v>25</v>
      </c>
      <c r="B29" s="133">
        <v>30</v>
      </c>
      <c r="C29" s="165">
        <v>187951</v>
      </c>
      <c r="D29" s="165">
        <v>515280570</v>
      </c>
      <c r="E29" s="156">
        <v>1.9087451228876476E-3</v>
      </c>
      <c r="F29" s="158">
        <v>27.415686535320376</v>
      </c>
      <c r="G29" s="167">
        <v>0.2</v>
      </c>
      <c r="H29" s="38" t="str">
        <f t="shared" si="0"/>
        <v>(25, 30]</v>
      </c>
      <c r="I29" s="159">
        <v>0.2</v>
      </c>
      <c r="J29" s="156">
        <v>3.8174902457752954E-4</v>
      </c>
      <c r="K29" s="156">
        <v>8.572379923587149E-4</v>
      </c>
      <c r="L29" s="160">
        <v>857237</v>
      </c>
      <c r="M29" s="156">
        <v>8.6412160284642841E-4</v>
      </c>
      <c r="N29" s="156">
        <v>2.369048699203629E-2</v>
      </c>
      <c r="O29" s="163"/>
      <c r="P29" s="156">
        <v>8.6412160284642841E-4</v>
      </c>
      <c r="Q29" s="156"/>
      <c r="R29" s="156"/>
      <c r="S29" s="164">
        <v>0</v>
      </c>
    </row>
    <row r="30" spans="1:19">
      <c r="A30" s="133">
        <v>30</v>
      </c>
      <c r="B30" s="133">
        <v>35</v>
      </c>
      <c r="C30" s="165">
        <v>123190</v>
      </c>
      <c r="D30" s="165">
        <v>399019550</v>
      </c>
      <c r="E30" s="156">
        <v>1.2510617750824912E-3</v>
      </c>
      <c r="F30" s="158">
        <v>32.390579592499392</v>
      </c>
      <c r="G30" s="167">
        <v>0.22</v>
      </c>
      <c r="H30" s="38" t="str">
        <f t="shared" si="0"/>
        <v>(30, 35]</v>
      </c>
      <c r="I30" s="159">
        <v>0.7</v>
      </c>
      <c r="J30" s="156">
        <v>8.7574324255774375E-4</v>
      </c>
      <c r="K30" s="156">
        <v>1.9665286110493972E-3</v>
      </c>
      <c r="L30" s="160">
        <v>1966528</v>
      </c>
      <c r="M30" s="156">
        <v>1.982321490325757E-3</v>
      </c>
      <c r="N30" s="156">
        <v>6.4208542010318448E-2</v>
      </c>
      <c r="O30" s="163"/>
      <c r="P30" s="156">
        <v>1.982321490325757E-3</v>
      </c>
      <c r="Q30" s="156"/>
      <c r="R30" s="156"/>
      <c r="S30" s="164">
        <v>0</v>
      </c>
    </row>
    <row r="31" spans="1:19">
      <c r="A31" s="133">
        <v>35</v>
      </c>
      <c r="B31" s="133">
        <v>40</v>
      </c>
      <c r="C31" s="165">
        <v>97176</v>
      </c>
      <c r="D31" s="165">
        <v>363839415</v>
      </c>
      <c r="E31" s="156">
        <v>9.8687538806247399E-4</v>
      </c>
      <c r="F31" s="158">
        <v>37.441283341565821</v>
      </c>
      <c r="G31" s="167">
        <v>0.33</v>
      </c>
      <c r="H31" s="168" t="str">
        <f t="shared" si="0"/>
        <v>(35, 40]</v>
      </c>
      <c r="I31" s="159">
        <v>0.3</v>
      </c>
      <c r="J31" s="156">
        <v>2.9606261641874221E-4</v>
      </c>
      <c r="K31" s="156">
        <v>6.6482454851623943E-4</v>
      </c>
      <c r="L31" s="160">
        <v>664824</v>
      </c>
      <c r="M31" s="156">
        <v>6.7016330430298026E-4</v>
      </c>
      <c r="N31" s="156">
        <v>2.5091774161527882E-2</v>
      </c>
      <c r="O31" s="163"/>
      <c r="P31" s="156">
        <v>6.7016330430298026E-4</v>
      </c>
      <c r="Q31" s="156"/>
      <c r="R31" s="156"/>
      <c r="S31" s="164">
        <v>0</v>
      </c>
    </row>
    <row r="32" spans="1:19">
      <c r="A32" s="133">
        <v>40</v>
      </c>
      <c r="B32" s="133">
        <v>45</v>
      </c>
      <c r="C32" s="165">
        <v>69470</v>
      </c>
      <c r="D32" s="165">
        <v>294779905</v>
      </c>
      <c r="E32" s="156">
        <v>7.0550581634045513E-4</v>
      </c>
      <c r="F32" s="158">
        <v>42.432691089679004</v>
      </c>
      <c r="G32" s="167">
        <v>0.16</v>
      </c>
      <c r="H32" s="38" t="str">
        <f t="shared" si="0"/>
        <v>(40, 45]</v>
      </c>
      <c r="I32" s="159">
        <v>0</v>
      </c>
      <c r="J32" s="156">
        <v>0</v>
      </c>
      <c r="K32" s="156">
        <v>0</v>
      </c>
      <c r="L32" s="160">
        <v>0</v>
      </c>
      <c r="M32" s="156">
        <v>0</v>
      </c>
      <c r="N32" s="156">
        <v>0</v>
      </c>
      <c r="O32" s="163"/>
      <c r="P32" s="156">
        <v>0</v>
      </c>
      <c r="Q32" s="156"/>
      <c r="R32" s="156"/>
      <c r="S32" s="164">
        <v>0</v>
      </c>
    </row>
    <row r="33" spans="1:19">
      <c r="A33" s="133">
        <v>45</v>
      </c>
      <c r="B33" s="133">
        <v>50</v>
      </c>
      <c r="C33" s="165">
        <v>53505</v>
      </c>
      <c r="D33" s="165">
        <v>254189610</v>
      </c>
      <c r="E33" s="156">
        <v>5.4337251624148627E-4</v>
      </c>
      <c r="F33" s="158">
        <v>47.507636669470138</v>
      </c>
      <c r="G33" s="167">
        <v>0.2</v>
      </c>
      <c r="H33" s="38" t="str">
        <f t="shared" si="0"/>
        <v>(45, 50]</v>
      </c>
      <c r="I33" s="159">
        <v>0</v>
      </c>
      <c r="J33" s="156">
        <v>0</v>
      </c>
      <c r="K33" s="156">
        <v>0</v>
      </c>
      <c r="L33" s="160">
        <v>0</v>
      </c>
      <c r="M33" s="156">
        <v>0</v>
      </c>
      <c r="N33" s="156">
        <v>0</v>
      </c>
      <c r="O33" s="163"/>
      <c r="P33" s="156">
        <v>0</v>
      </c>
      <c r="Q33" s="156"/>
      <c r="R33" s="156"/>
      <c r="S33" s="164">
        <v>0</v>
      </c>
    </row>
    <row r="34" spans="1:19">
      <c r="A34" s="133">
        <v>50</v>
      </c>
      <c r="B34" s="133">
        <v>60</v>
      </c>
      <c r="C34" s="165">
        <v>77241</v>
      </c>
      <c r="D34" s="165">
        <v>422768085</v>
      </c>
      <c r="E34" s="156">
        <v>7.8442456830218931E-4</v>
      </c>
      <c r="F34" s="158">
        <v>54.733636928574207</v>
      </c>
      <c r="G34" s="167">
        <v>0.2</v>
      </c>
      <c r="H34" s="168" t="str">
        <f t="shared" si="0"/>
        <v>(50, 60]</v>
      </c>
      <c r="I34" s="159">
        <v>0</v>
      </c>
      <c r="J34" s="156">
        <v>0</v>
      </c>
      <c r="K34" s="156">
        <v>0</v>
      </c>
      <c r="L34" s="160">
        <v>0</v>
      </c>
      <c r="M34" s="156">
        <v>0</v>
      </c>
      <c r="N34" s="156">
        <v>0</v>
      </c>
      <c r="O34" s="163"/>
      <c r="P34" s="156">
        <v>0</v>
      </c>
      <c r="Q34" s="156"/>
      <c r="R34" s="156"/>
      <c r="S34" s="164">
        <v>0</v>
      </c>
    </row>
    <row r="35" spans="1:19">
      <c r="A35" s="133">
        <v>60</v>
      </c>
      <c r="B35" s="133">
        <v>70</v>
      </c>
      <c r="C35" s="165">
        <v>48985</v>
      </c>
      <c r="D35" s="165">
        <v>316803035</v>
      </c>
      <c r="E35" s="156">
        <v>4.9746944599736854E-4</v>
      </c>
      <c r="F35" s="158">
        <v>64.673478615902837</v>
      </c>
      <c r="G35" s="167">
        <v>0.11</v>
      </c>
      <c r="H35" s="38" t="str">
        <f t="shared" si="0"/>
        <v>(60, 70]</v>
      </c>
      <c r="I35" s="159">
        <v>0</v>
      </c>
      <c r="J35" s="156">
        <v>0</v>
      </c>
      <c r="K35" s="156">
        <v>0</v>
      </c>
      <c r="L35" s="160">
        <v>0</v>
      </c>
      <c r="M35" s="156">
        <v>0</v>
      </c>
      <c r="N35" s="156">
        <v>0</v>
      </c>
      <c r="O35" s="163"/>
      <c r="P35" s="156">
        <v>0</v>
      </c>
      <c r="Q35" s="156"/>
      <c r="R35" s="156"/>
      <c r="S35" s="164">
        <v>0</v>
      </c>
    </row>
    <row r="36" spans="1:19">
      <c r="A36" s="133">
        <v>70</v>
      </c>
      <c r="B36" s="133">
        <v>80</v>
      </c>
      <c r="C36" s="165">
        <v>35139</v>
      </c>
      <c r="D36" s="165">
        <v>262724345</v>
      </c>
      <c r="E36" s="156">
        <v>3.5685574896195842E-4</v>
      </c>
      <c r="F36" s="158">
        <v>74.767166111727704</v>
      </c>
      <c r="G36" s="167">
        <v>0.12</v>
      </c>
      <c r="H36" s="38" t="str">
        <f t="shared" si="0"/>
        <v>(70, 80]</v>
      </c>
      <c r="I36" s="159">
        <v>0</v>
      </c>
      <c r="J36" s="156">
        <v>0</v>
      </c>
      <c r="K36" s="156">
        <v>0</v>
      </c>
      <c r="L36" s="160">
        <v>0</v>
      </c>
      <c r="M36" s="156">
        <v>0</v>
      </c>
      <c r="N36" s="156">
        <v>0</v>
      </c>
      <c r="O36" s="163"/>
      <c r="P36" s="156">
        <v>0</v>
      </c>
      <c r="Q36" s="156"/>
      <c r="R36" s="156"/>
      <c r="S36" s="164">
        <v>0</v>
      </c>
    </row>
    <row r="37" spans="1:19">
      <c r="A37" s="133">
        <v>80</v>
      </c>
      <c r="B37" s="133">
        <v>90</v>
      </c>
      <c r="C37" s="165">
        <v>24609</v>
      </c>
      <c r="D37" s="165">
        <v>208575005</v>
      </c>
      <c r="E37" s="156">
        <v>2.4991784416758685E-4</v>
      </c>
      <c r="F37" s="158">
        <v>84.755579259620461</v>
      </c>
      <c r="G37" s="167">
        <v>0</v>
      </c>
      <c r="H37" s="38" t="str">
        <f t="shared" si="0"/>
        <v>(80, 90]</v>
      </c>
      <c r="I37" s="159">
        <v>0</v>
      </c>
      <c r="J37" s="156">
        <v>0</v>
      </c>
      <c r="K37" s="156">
        <v>0</v>
      </c>
      <c r="L37" s="160">
        <v>0</v>
      </c>
      <c r="M37" s="156">
        <v>0</v>
      </c>
      <c r="N37" s="156">
        <v>0</v>
      </c>
      <c r="O37" s="163"/>
      <c r="P37" s="156">
        <v>0</v>
      </c>
      <c r="Q37" s="156"/>
      <c r="R37" s="156"/>
      <c r="S37" s="164">
        <v>0</v>
      </c>
    </row>
    <row r="38" spans="1:19">
      <c r="A38" s="133">
        <v>90</v>
      </c>
      <c r="B38" s="133">
        <v>100</v>
      </c>
      <c r="C38" s="165">
        <v>17770</v>
      </c>
      <c r="D38" s="165">
        <v>168473080</v>
      </c>
      <c r="E38" s="156">
        <v>1.8046406155707338E-4</v>
      </c>
      <c r="F38" s="158">
        <v>94.807585818795729</v>
      </c>
      <c r="G38" s="167">
        <v>0</v>
      </c>
      <c r="H38" s="38" t="str">
        <f t="shared" si="0"/>
        <v>(90, 100]</v>
      </c>
      <c r="I38" s="159">
        <v>0</v>
      </c>
      <c r="J38" s="156">
        <v>0</v>
      </c>
      <c r="K38" s="156">
        <v>0</v>
      </c>
      <c r="L38" s="160">
        <v>0</v>
      </c>
      <c r="M38" s="156">
        <v>0</v>
      </c>
      <c r="N38" s="156">
        <v>0</v>
      </c>
      <c r="O38" s="163"/>
      <c r="P38" s="156">
        <v>0</v>
      </c>
      <c r="Q38" s="156"/>
      <c r="R38" s="156"/>
      <c r="S38" s="164">
        <v>0</v>
      </c>
    </row>
    <row r="39" spans="1:19">
      <c r="A39" s="133">
        <v>100</v>
      </c>
      <c r="B39" s="133">
        <v>120</v>
      </c>
      <c r="C39" s="165">
        <v>24292</v>
      </c>
      <c r="D39" s="165">
        <v>265655390</v>
      </c>
      <c r="E39" s="156">
        <v>2.4669853592259011E-4</v>
      </c>
      <c r="F39" s="158">
        <v>109.35920879301828</v>
      </c>
      <c r="G39" s="167">
        <v>0.08</v>
      </c>
      <c r="H39" s="38" t="str">
        <f t="shared" si="0"/>
        <v>(100, 120]</v>
      </c>
      <c r="I39" s="159">
        <v>0</v>
      </c>
      <c r="J39" s="156">
        <v>0</v>
      </c>
      <c r="K39" s="156">
        <v>0</v>
      </c>
      <c r="L39" s="160">
        <v>0</v>
      </c>
      <c r="M39" s="156">
        <v>0</v>
      </c>
      <c r="N39" s="156">
        <v>0</v>
      </c>
      <c r="O39" s="163"/>
      <c r="P39" s="156">
        <v>0</v>
      </c>
      <c r="Q39" s="156"/>
      <c r="R39" s="156"/>
      <c r="S39" s="164">
        <v>0</v>
      </c>
    </row>
    <row r="40" spans="1:19">
      <c r="A40" s="133">
        <v>120</v>
      </c>
      <c r="B40" s="133">
        <v>140</v>
      </c>
      <c r="C40" s="165">
        <v>13953</v>
      </c>
      <c r="D40" s="165">
        <v>180188385</v>
      </c>
      <c r="E40" s="156">
        <v>1.4170034051242796E-4</v>
      </c>
      <c r="F40" s="158">
        <v>129.13952913351969</v>
      </c>
      <c r="G40" s="167">
        <v>0</v>
      </c>
      <c r="H40" s="38" t="str">
        <f t="shared" si="0"/>
        <v>(120, 140]</v>
      </c>
      <c r="I40" s="159">
        <v>0</v>
      </c>
      <c r="J40" s="156">
        <v>0</v>
      </c>
      <c r="K40" s="156">
        <v>0</v>
      </c>
      <c r="L40" s="160">
        <v>0</v>
      </c>
      <c r="M40" s="156">
        <v>0</v>
      </c>
      <c r="N40" s="156">
        <v>0</v>
      </c>
      <c r="O40" s="163"/>
      <c r="P40" s="156">
        <v>0</v>
      </c>
      <c r="Q40" s="156"/>
      <c r="R40" s="156"/>
      <c r="S40" s="164">
        <v>0</v>
      </c>
    </row>
    <row r="41" spans="1:19">
      <c r="A41" s="133">
        <v>140</v>
      </c>
      <c r="B41" s="133">
        <v>160</v>
      </c>
      <c r="C41" s="165">
        <v>9263</v>
      </c>
      <c r="D41" s="165">
        <v>138471420</v>
      </c>
      <c r="E41" s="156">
        <v>9.4070827360898744E-5</v>
      </c>
      <c r="F41" s="158">
        <v>149.48874014897982</v>
      </c>
      <c r="G41" s="167">
        <v>0</v>
      </c>
      <c r="H41" s="38" t="str">
        <f t="shared" si="0"/>
        <v>(140, 160]</v>
      </c>
      <c r="I41" s="159">
        <v>0</v>
      </c>
      <c r="J41" s="156">
        <v>0</v>
      </c>
      <c r="K41" s="156">
        <v>0</v>
      </c>
      <c r="L41" s="160">
        <v>0</v>
      </c>
      <c r="M41" s="156">
        <v>0</v>
      </c>
      <c r="N41" s="156">
        <v>0</v>
      </c>
      <c r="O41" s="163"/>
      <c r="P41" s="156">
        <v>0</v>
      </c>
      <c r="Q41" s="156"/>
      <c r="R41" s="156"/>
      <c r="S41" s="164">
        <v>0</v>
      </c>
    </row>
    <row r="42" spans="1:19">
      <c r="A42" s="133">
        <v>160</v>
      </c>
      <c r="B42" s="133">
        <v>180</v>
      </c>
      <c r="C42" s="165">
        <v>6214</v>
      </c>
      <c r="D42" s="165">
        <v>105222530</v>
      </c>
      <c r="E42" s="156">
        <v>6.3106566039147657E-5</v>
      </c>
      <c r="F42" s="158">
        <v>169.33139684583199</v>
      </c>
      <c r="G42" s="167">
        <v>0</v>
      </c>
      <c r="H42" s="38" t="str">
        <f t="shared" si="0"/>
        <v>(160, 180]</v>
      </c>
      <c r="I42" s="159">
        <v>0</v>
      </c>
      <c r="J42" s="156">
        <v>0</v>
      </c>
      <c r="K42" s="156">
        <v>0</v>
      </c>
      <c r="L42" s="160">
        <v>0</v>
      </c>
      <c r="M42" s="156">
        <v>0</v>
      </c>
      <c r="N42" s="156">
        <v>0</v>
      </c>
      <c r="O42" s="163"/>
      <c r="P42" s="156">
        <v>0</v>
      </c>
      <c r="Q42" s="156"/>
      <c r="R42" s="156"/>
      <c r="S42" s="164">
        <v>0</v>
      </c>
    </row>
    <row r="43" spans="1:19">
      <c r="A43" s="133">
        <v>180</v>
      </c>
      <c r="B43" s="133">
        <v>200</v>
      </c>
      <c r="C43" s="165">
        <v>4040</v>
      </c>
      <c r="D43" s="165">
        <v>76464055</v>
      </c>
      <c r="E43" s="156">
        <v>4.1028407917308744E-5</v>
      </c>
      <c r="F43" s="158">
        <v>189.26746287128714</v>
      </c>
      <c r="G43" s="167">
        <v>0</v>
      </c>
      <c r="H43" s="38" t="str">
        <f t="shared" si="0"/>
        <v>(180, 200]</v>
      </c>
      <c r="I43" s="159">
        <v>0</v>
      </c>
      <c r="J43" s="156">
        <v>0</v>
      </c>
      <c r="K43" s="156">
        <v>0</v>
      </c>
      <c r="L43" s="160">
        <v>0</v>
      </c>
      <c r="M43" s="156">
        <v>0</v>
      </c>
      <c r="N43" s="156">
        <v>0</v>
      </c>
      <c r="O43" s="163"/>
      <c r="P43" s="156">
        <v>0</v>
      </c>
      <c r="Q43" s="156"/>
      <c r="R43" s="156"/>
      <c r="S43" s="164">
        <v>0</v>
      </c>
    </row>
    <row r="44" spans="1:19">
      <c r="A44" s="133">
        <v>200</v>
      </c>
      <c r="B44" s="133">
        <v>250</v>
      </c>
      <c r="C44" s="165">
        <v>6008</v>
      </c>
      <c r="D44" s="165">
        <v>133587440</v>
      </c>
      <c r="E44" s="156">
        <v>6.1014523457225484E-5</v>
      </c>
      <c r="F44" s="158">
        <v>222.3492676431425</v>
      </c>
      <c r="G44" s="167">
        <v>0</v>
      </c>
      <c r="H44" s="38" t="str">
        <f t="shared" si="0"/>
        <v>(200, 250]</v>
      </c>
      <c r="I44" s="159">
        <v>0</v>
      </c>
      <c r="J44" s="156">
        <v>0</v>
      </c>
      <c r="K44" s="156">
        <v>0</v>
      </c>
      <c r="L44" s="160">
        <v>0</v>
      </c>
      <c r="M44" s="156">
        <v>0</v>
      </c>
      <c r="N44" s="156">
        <v>0</v>
      </c>
      <c r="O44" s="163"/>
      <c r="P44" s="156">
        <v>0</v>
      </c>
      <c r="Q44" s="156"/>
      <c r="R44" s="156"/>
      <c r="S44" s="164">
        <v>0</v>
      </c>
    </row>
    <row r="45" spans="1:19">
      <c r="A45" s="133">
        <v>250</v>
      </c>
      <c r="B45" s="133">
        <v>300</v>
      </c>
      <c r="C45" s="165">
        <v>2761</v>
      </c>
      <c r="D45" s="165">
        <v>75293200</v>
      </c>
      <c r="E45" s="156">
        <v>2.8039463925665706E-5</v>
      </c>
      <c r="F45" s="158">
        <v>272.70264396957623</v>
      </c>
      <c r="G45" s="167">
        <v>0</v>
      </c>
      <c r="H45" s="38" t="str">
        <f t="shared" si="0"/>
        <v>(250, 300]</v>
      </c>
      <c r="I45" s="159">
        <v>0</v>
      </c>
      <c r="J45" s="156">
        <v>0</v>
      </c>
      <c r="K45" s="156">
        <v>0</v>
      </c>
      <c r="L45" s="160">
        <v>0</v>
      </c>
      <c r="M45" s="156">
        <v>0</v>
      </c>
      <c r="N45" s="156">
        <v>0</v>
      </c>
      <c r="O45" s="163"/>
      <c r="P45" s="156">
        <v>0</v>
      </c>
      <c r="Q45" s="156"/>
      <c r="R45" s="156"/>
      <c r="S45" s="164">
        <v>0</v>
      </c>
    </row>
    <row r="46" spans="1:19">
      <c r="A46" s="133">
        <v>300</v>
      </c>
      <c r="B46" s="133">
        <v>350</v>
      </c>
      <c r="C46" s="165">
        <v>1611</v>
      </c>
      <c r="D46" s="165">
        <v>52047630</v>
      </c>
      <c r="E46" s="156">
        <v>1.6360585434352572E-5</v>
      </c>
      <c r="F46" s="158">
        <v>323.07653631284916</v>
      </c>
      <c r="G46" s="167">
        <v>0</v>
      </c>
      <c r="H46" s="38" t="str">
        <f t="shared" si="0"/>
        <v>(300, 350]</v>
      </c>
      <c r="I46" s="159">
        <v>0</v>
      </c>
      <c r="J46" s="156">
        <v>0</v>
      </c>
      <c r="K46" s="156">
        <v>0</v>
      </c>
      <c r="L46" s="160">
        <v>0</v>
      </c>
      <c r="M46" s="156">
        <v>0</v>
      </c>
      <c r="N46" s="156">
        <v>0</v>
      </c>
      <c r="O46" s="163"/>
      <c r="P46" s="156">
        <v>0</v>
      </c>
      <c r="Q46" s="156"/>
      <c r="R46" s="156"/>
      <c r="S46" s="164">
        <v>0</v>
      </c>
    </row>
    <row r="47" spans="1:19">
      <c r="A47" s="133">
        <v>350</v>
      </c>
      <c r="B47" s="133">
        <v>400</v>
      </c>
      <c r="C47" s="165">
        <v>926</v>
      </c>
      <c r="D47" s="165">
        <v>34527000</v>
      </c>
      <c r="E47" s="156">
        <v>9.4040360721356181E-6</v>
      </c>
      <c r="F47" s="158">
        <v>372.86177105831536</v>
      </c>
      <c r="G47" s="167">
        <v>0</v>
      </c>
      <c r="H47" s="38" t="str">
        <f t="shared" si="0"/>
        <v>(350, 400]</v>
      </c>
      <c r="I47" s="159">
        <v>0</v>
      </c>
      <c r="J47" s="156">
        <v>0</v>
      </c>
      <c r="K47" s="156">
        <v>0</v>
      </c>
      <c r="L47" s="160">
        <v>0</v>
      </c>
      <c r="M47" s="156">
        <v>0</v>
      </c>
      <c r="N47" s="156">
        <v>0</v>
      </c>
      <c r="O47" s="163"/>
      <c r="P47" s="156">
        <v>0</v>
      </c>
      <c r="Q47" s="156"/>
      <c r="R47" s="156"/>
      <c r="S47" s="164">
        <v>0</v>
      </c>
    </row>
    <row r="48" spans="1:19">
      <c r="A48" s="133">
        <v>400</v>
      </c>
      <c r="B48" s="133">
        <v>450</v>
      </c>
      <c r="C48" s="165">
        <v>528</v>
      </c>
      <c r="D48" s="165">
        <v>22405850</v>
      </c>
      <c r="E48" s="156">
        <v>5.3621285594898559E-6</v>
      </c>
      <c r="F48" s="158">
        <v>424.35321969696969</v>
      </c>
      <c r="G48" s="167">
        <v>0</v>
      </c>
      <c r="H48" s="38" t="str">
        <f t="shared" si="0"/>
        <v>(400, 450]</v>
      </c>
      <c r="I48" s="159">
        <v>0</v>
      </c>
      <c r="J48" s="156">
        <v>0</v>
      </c>
      <c r="K48" s="156">
        <v>0</v>
      </c>
      <c r="L48" s="160">
        <v>0</v>
      </c>
      <c r="M48" s="156">
        <v>0</v>
      </c>
      <c r="N48" s="156">
        <v>0</v>
      </c>
      <c r="O48" s="163"/>
      <c r="P48" s="156">
        <v>0</v>
      </c>
      <c r="Q48" s="156"/>
      <c r="R48" s="156"/>
      <c r="S48" s="164">
        <v>0</v>
      </c>
    </row>
    <row r="49" spans="1:19">
      <c r="A49" s="133">
        <v>450</v>
      </c>
      <c r="B49" s="133">
        <v>500</v>
      </c>
      <c r="C49" s="165">
        <v>384</v>
      </c>
      <c r="D49" s="165">
        <v>18154475</v>
      </c>
      <c r="E49" s="156">
        <v>3.8997298614471681E-6</v>
      </c>
      <c r="F49" s="158">
        <v>472.77278645833337</v>
      </c>
      <c r="G49" s="167">
        <v>0</v>
      </c>
      <c r="H49" s="38" t="str">
        <f t="shared" si="0"/>
        <v>(450, 500]</v>
      </c>
      <c r="I49" s="159">
        <v>0</v>
      </c>
      <c r="J49" s="156">
        <v>0</v>
      </c>
      <c r="K49" s="156">
        <v>0</v>
      </c>
      <c r="L49" s="160">
        <v>0</v>
      </c>
      <c r="M49" s="156">
        <v>0</v>
      </c>
      <c r="N49" s="156">
        <v>0</v>
      </c>
      <c r="O49" s="163"/>
      <c r="P49" s="156">
        <v>0</v>
      </c>
      <c r="Q49" s="156"/>
      <c r="R49" s="156"/>
      <c r="S49" s="164">
        <v>0</v>
      </c>
    </row>
    <row r="50" spans="1:19">
      <c r="A50" s="133">
        <v>500</v>
      </c>
      <c r="B50" s="133">
        <v>550</v>
      </c>
      <c r="C50" s="165">
        <v>244</v>
      </c>
      <c r="D50" s="165">
        <v>12745255</v>
      </c>
      <c r="E50" s="156">
        <v>2.4779533494612212E-6</v>
      </c>
      <c r="F50" s="158">
        <v>522.3465163934427</v>
      </c>
      <c r="G50" s="167">
        <v>0</v>
      </c>
      <c r="H50" s="38" t="str">
        <f t="shared" si="0"/>
        <v>(500, 550]</v>
      </c>
      <c r="I50" s="159">
        <v>0</v>
      </c>
      <c r="J50" s="156">
        <v>0</v>
      </c>
      <c r="K50" s="156">
        <v>0</v>
      </c>
      <c r="L50" s="160">
        <v>0</v>
      </c>
      <c r="M50" s="156">
        <v>0</v>
      </c>
      <c r="N50" s="156">
        <v>0</v>
      </c>
      <c r="O50" s="163"/>
      <c r="P50" s="156">
        <v>0</v>
      </c>
      <c r="Q50" s="156"/>
      <c r="R50" s="156"/>
      <c r="S50" s="164">
        <v>0</v>
      </c>
    </row>
    <row r="51" spans="1:19">
      <c r="A51" s="133">
        <v>550</v>
      </c>
      <c r="B51" s="133">
        <v>600</v>
      </c>
      <c r="C51" s="165">
        <v>166</v>
      </c>
      <c r="D51" s="165">
        <v>9552945</v>
      </c>
      <c r="E51" s="156">
        <v>1.6858207213547653E-6</v>
      </c>
      <c r="F51" s="158">
        <v>575.47861445783133</v>
      </c>
      <c r="G51" s="167">
        <v>0</v>
      </c>
      <c r="H51" s="38" t="str">
        <f t="shared" si="0"/>
        <v>(550, 600]</v>
      </c>
      <c r="I51" s="159">
        <v>0</v>
      </c>
      <c r="J51" s="156">
        <v>0</v>
      </c>
      <c r="K51" s="156">
        <v>0</v>
      </c>
      <c r="L51" s="160">
        <v>0</v>
      </c>
      <c r="M51" s="156">
        <v>0</v>
      </c>
      <c r="N51" s="156">
        <v>0</v>
      </c>
      <c r="O51" s="163"/>
      <c r="P51" s="156">
        <v>0</v>
      </c>
      <c r="Q51" s="156"/>
      <c r="R51" s="156"/>
      <c r="S51" s="164">
        <v>0</v>
      </c>
    </row>
    <row r="52" spans="1:19">
      <c r="A52" s="133">
        <v>600</v>
      </c>
      <c r="B52" s="133">
        <v>650</v>
      </c>
      <c r="C52" s="165">
        <v>100</v>
      </c>
      <c r="D52" s="165">
        <v>6212275</v>
      </c>
      <c r="E52" s="156">
        <v>1.0155546514185334E-6</v>
      </c>
      <c r="F52" s="158">
        <v>621.22749999999996</v>
      </c>
      <c r="G52" s="167">
        <v>0</v>
      </c>
      <c r="H52" s="38" t="str">
        <f t="shared" si="0"/>
        <v>(600, 650]</v>
      </c>
      <c r="I52" s="159">
        <v>0</v>
      </c>
      <c r="J52" s="156">
        <v>0</v>
      </c>
      <c r="K52" s="156">
        <v>0</v>
      </c>
      <c r="L52" s="160">
        <v>0</v>
      </c>
      <c r="M52" s="156">
        <v>0</v>
      </c>
      <c r="N52" s="156">
        <v>0</v>
      </c>
      <c r="O52" s="163"/>
      <c r="P52" s="156">
        <v>0</v>
      </c>
      <c r="Q52" s="156"/>
      <c r="R52" s="156"/>
      <c r="S52" s="164">
        <v>0</v>
      </c>
    </row>
    <row r="53" spans="1:19">
      <c r="A53" s="133">
        <v>650</v>
      </c>
      <c r="B53" s="133">
        <v>700</v>
      </c>
      <c r="C53" s="165">
        <v>120</v>
      </c>
      <c r="D53" s="165">
        <v>8078565</v>
      </c>
      <c r="E53" s="156">
        <v>1.2186655817022399E-6</v>
      </c>
      <c r="F53" s="158">
        <v>673.21375</v>
      </c>
      <c r="G53" s="167">
        <v>0</v>
      </c>
      <c r="H53" s="38" t="str">
        <f t="shared" si="0"/>
        <v>(650, 700]</v>
      </c>
      <c r="I53" s="159">
        <v>0</v>
      </c>
      <c r="J53" s="156">
        <v>0</v>
      </c>
      <c r="K53" s="156">
        <v>0</v>
      </c>
      <c r="L53" s="160">
        <v>0</v>
      </c>
      <c r="M53" s="156">
        <v>0</v>
      </c>
      <c r="N53" s="156">
        <v>0</v>
      </c>
      <c r="O53" s="163"/>
      <c r="P53" s="156">
        <v>0</v>
      </c>
      <c r="Q53" s="156"/>
      <c r="R53" s="156"/>
      <c r="S53" s="164">
        <v>0</v>
      </c>
    </row>
    <row r="54" spans="1:19">
      <c r="A54" s="133">
        <v>700</v>
      </c>
      <c r="B54" s="133">
        <v>750</v>
      </c>
      <c r="C54" s="165">
        <v>59</v>
      </c>
      <c r="D54" s="165">
        <v>4269135</v>
      </c>
      <c r="E54" s="156">
        <v>5.9917724433693462E-7</v>
      </c>
      <c r="F54" s="158">
        <v>723.58220338983051</v>
      </c>
      <c r="G54" s="167">
        <v>0</v>
      </c>
      <c r="H54" s="38" t="str">
        <f t="shared" si="0"/>
        <v>(700, 750]</v>
      </c>
      <c r="I54" s="159">
        <v>0</v>
      </c>
      <c r="J54" s="156">
        <v>0</v>
      </c>
      <c r="K54" s="156">
        <v>0</v>
      </c>
      <c r="L54" s="160">
        <v>0</v>
      </c>
      <c r="M54" s="156">
        <v>0</v>
      </c>
      <c r="N54" s="156">
        <v>0</v>
      </c>
      <c r="O54" s="163"/>
      <c r="P54" s="156">
        <v>0</v>
      </c>
      <c r="Q54" s="156"/>
      <c r="R54" s="156"/>
      <c r="S54" s="164">
        <v>0</v>
      </c>
    </row>
    <row r="55" spans="1:19">
      <c r="A55" s="133">
        <v>750</v>
      </c>
      <c r="B55" s="133">
        <v>800</v>
      </c>
      <c r="C55" s="165">
        <v>44</v>
      </c>
      <c r="D55" s="165">
        <v>3410965</v>
      </c>
      <c r="E55" s="156">
        <v>4.4684404662415466E-7</v>
      </c>
      <c r="F55" s="158">
        <v>775.21931818181827</v>
      </c>
      <c r="G55" s="167">
        <v>0</v>
      </c>
      <c r="H55" s="38" t="str">
        <f t="shared" si="0"/>
        <v>(750, 800]</v>
      </c>
      <c r="I55" s="159">
        <v>0</v>
      </c>
      <c r="J55" s="156">
        <v>0</v>
      </c>
      <c r="K55" s="156">
        <v>0</v>
      </c>
      <c r="L55" s="160">
        <v>0</v>
      </c>
      <c r="M55" s="156">
        <v>0</v>
      </c>
      <c r="N55" s="156">
        <v>0</v>
      </c>
      <c r="O55" s="163"/>
      <c r="P55" s="156">
        <v>0</v>
      </c>
      <c r="Q55" s="156"/>
      <c r="R55" s="156"/>
      <c r="S55" s="164">
        <v>0</v>
      </c>
    </row>
    <row r="56" spans="1:19">
      <c r="A56" s="133">
        <v>800</v>
      </c>
      <c r="B56" s="133">
        <v>850</v>
      </c>
      <c r="C56" s="165">
        <v>28</v>
      </c>
      <c r="D56" s="165">
        <v>2303400</v>
      </c>
      <c r="E56" s="156">
        <v>2.8435530239718936E-7</v>
      </c>
      <c r="F56" s="158">
        <v>822.64285714285711</v>
      </c>
      <c r="G56" s="167">
        <v>0</v>
      </c>
      <c r="H56" s="38" t="str">
        <f t="shared" si="0"/>
        <v>(800, 850]</v>
      </c>
      <c r="I56" s="159">
        <v>0</v>
      </c>
      <c r="J56" s="156">
        <v>0</v>
      </c>
      <c r="K56" s="156">
        <v>0</v>
      </c>
      <c r="L56" s="160">
        <v>0</v>
      </c>
      <c r="M56" s="156">
        <v>0</v>
      </c>
      <c r="N56" s="156">
        <v>0</v>
      </c>
      <c r="O56" s="163"/>
      <c r="P56" s="156">
        <v>0</v>
      </c>
      <c r="Q56" s="156"/>
      <c r="R56" s="156"/>
      <c r="S56" s="164">
        <v>0</v>
      </c>
    </row>
    <row r="57" spans="1:19">
      <c r="A57" s="133">
        <v>850</v>
      </c>
      <c r="B57" s="133">
        <v>900</v>
      </c>
      <c r="C57" s="165">
        <v>32</v>
      </c>
      <c r="D57" s="165">
        <v>2809020</v>
      </c>
      <c r="E57" s="156">
        <v>3.2497748845393066E-7</v>
      </c>
      <c r="F57" s="158">
        <v>877.81875000000002</v>
      </c>
      <c r="G57" s="167">
        <v>0</v>
      </c>
      <c r="H57" s="38" t="str">
        <f t="shared" si="0"/>
        <v>(850, 900]</v>
      </c>
      <c r="I57" s="159">
        <v>0</v>
      </c>
      <c r="J57" s="156">
        <v>0</v>
      </c>
      <c r="K57" s="156">
        <v>0</v>
      </c>
      <c r="L57" s="161">
        <v>0</v>
      </c>
      <c r="M57" s="156">
        <v>0</v>
      </c>
      <c r="N57" s="156">
        <v>0</v>
      </c>
      <c r="O57" s="163"/>
      <c r="P57" s="156">
        <v>0</v>
      </c>
      <c r="Q57" s="156"/>
      <c r="R57" s="156"/>
      <c r="S57" s="164">
        <v>0</v>
      </c>
    </row>
    <row r="58" spans="1:19">
      <c r="A58" s="133">
        <v>900</v>
      </c>
      <c r="B58" s="133">
        <v>950</v>
      </c>
      <c r="C58" s="165">
        <v>28</v>
      </c>
      <c r="D58" s="165">
        <v>2575920</v>
      </c>
      <c r="E58" s="156">
        <v>2.8435530239718936E-7</v>
      </c>
      <c r="F58" s="158">
        <v>919.97142857142853</v>
      </c>
      <c r="G58" s="167">
        <v>0</v>
      </c>
      <c r="H58" s="38" t="str">
        <f t="shared" si="0"/>
        <v>(900, 950]</v>
      </c>
      <c r="I58" s="159">
        <v>0</v>
      </c>
      <c r="J58" s="156">
        <v>0</v>
      </c>
      <c r="K58" s="156">
        <v>0</v>
      </c>
      <c r="L58" s="161">
        <v>0</v>
      </c>
      <c r="M58" s="156">
        <v>0</v>
      </c>
      <c r="N58" s="156">
        <v>0</v>
      </c>
      <c r="O58" s="163"/>
      <c r="P58" s="156">
        <v>0</v>
      </c>
      <c r="Q58" s="156"/>
      <c r="R58" s="156"/>
      <c r="S58" s="164">
        <v>0</v>
      </c>
    </row>
    <row r="59" spans="1:19">
      <c r="A59" s="133">
        <v>950</v>
      </c>
      <c r="B59" s="133">
        <v>1000</v>
      </c>
      <c r="C59" s="165">
        <v>16</v>
      </c>
      <c r="D59" s="165">
        <v>1568845</v>
      </c>
      <c r="E59" s="156">
        <v>1.6248874422696533E-7</v>
      </c>
      <c r="F59" s="158">
        <v>980.52812500000005</v>
      </c>
      <c r="G59" s="167">
        <v>0</v>
      </c>
      <c r="H59" s="38" t="str">
        <f t="shared" si="0"/>
        <v>(950, 1000]</v>
      </c>
      <c r="I59" s="159">
        <v>0</v>
      </c>
      <c r="J59" s="156">
        <v>0</v>
      </c>
      <c r="K59" s="156">
        <v>0</v>
      </c>
      <c r="L59" s="161">
        <v>0</v>
      </c>
      <c r="M59" s="156">
        <v>0</v>
      </c>
      <c r="N59" s="156">
        <v>0</v>
      </c>
      <c r="O59" s="163"/>
      <c r="P59" s="156">
        <v>0</v>
      </c>
      <c r="Q59" s="156"/>
      <c r="R59" s="156"/>
      <c r="S59" s="164">
        <v>0</v>
      </c>
    </row>
    <row r="60" spans="1:19">
      <c r="A60" s="133">
        <v>1000</v>
      </c>
      <c r="B60" s="133">
        <v>2000</v>
      </c>
      <c r="C60" s="165">
        <v>85</v>
      </c>
      <c r="D60" s="165">
        <v>10865110</v>
      </c>
      <c r="E60" s="156">
        <v>8.632214537057533E-7</v>
      </c>
      <c r="F60" s="158">
        <v>1278.2482352941176</v>
      </c>
      <c r="G60" s="167">
        <v>0</v>
      </c>
      <c r="H60" s="38" t="str">
        <f t="shared" si="0"/>
        <v>(1000, 2000]</v>
      </c>
      <c r="I60" s="159">
        <v>0</v>
      </c>
      <c r="J60" s="156">
        <v>0</v>
      </c>
      <c r="K60" s="156">
        <v>0</v>
      </c>
      <c r="L60" s="161">
        <v>0</v>
      </c>
      <c r="M60" s="156">
        <v>0</v>
      </c>
      <c r="N60" s="156">
        <v>0</v>
      </c>
      <c r="O60" s="163"/>
      <c r="P60" s="156">
        <v>0</v>
      </c>
      <c r="Q60" s="156"/>
      <c r="R60" s="156"/>
      <c r="S60" s="164">
        <v>0</v>
      </c>
    </row>
    <row r="61" spans="1:19">
      <c r="A61" s="133">
        <v>2000</v>
      </c>
      <c r="B61" s="133">
        <v>3000</v>
      </c>
      <c r="C61" s="165">
        <v>5</v>
      </c>
      <c r="D61" s="165">
        <v>1186280</v>
      </c>
      <c r="E61" s="156">
        <v>5.077773257092667E-8</v>
      </c>
      <c r="F61" s="158">
        <v>2372.56</v>
      </c>
      <c r="G61" s="167">
        <v>0</v>
      </c>
      <c r="H61" s="38" t="str">
        <f t="shared" si="0"/>
        <v>(2000, 3000]</v>
      </c>
      <c r="I61" s="159">
        <v>0</v>
      </c>
      <c r="J61" s="156">
        <v>0</v>
      </c>
      <c r="K61" s="156">
        <v>0</v>
      </c>
      <c r="L61" s="161">
        <v>0</v>
      </c>
      <c r="M61" s="156">
        <v>0</v>
      </c>
      <c r="N61" s="156">
        <v>0</v>
      </c>
      <c r="O61" s="163"/>
      <c r="P61" s="156">
        <v>0</v>
      </c>
      <c r="Q61" s="156"/>
      <c r="R61" s="156"/>
      <c r="S61" s="164">
        <v>0</v>
      </c>
    </row>
    <row r="62" spans="1:19">
      <c r="A62" s="133">
        <v>3000</v>
      </c>
      <c r="B62" s="133">
        <v>4000</v>
      </c>
      <c r="C62" s="165">
        <v>1</v>
      </c>
      <c r="D62" s="165">
        <v>326410</v>
      </c>
      <c r="E62" s="156">
        <v>1.0155546514185333E-8</v>
      </c>
      <c r="F62" s="158">
        <v>3264.1</v>
      </c>
      <c r="G62" s="167">
        <v>0</v>
      </c>
      <c r="H62" s="38" t="str">
        <f t="shared" si="0"/>
        <v>(3000, 4000]</v>
      </c>
      <c r="I62" s="159">
        <v>0</v>
      </c>
      <c r="J62" s="156">
        <v>0</v>
      </c>
      <c r="K62" s="156">
        <v>0</v>
      </c>
      <c r="L62" s="161">
        <v>0</v>
      </c>
      <c r="M62" s="156">
        <v>0</v>
      </c>
      <c r="N62" s="156">
        <v>0</v>
      </c>
      <c r="O62" s="163"/>
      <c r="P62" s="156">
        <v>0</v>
      </c>
      <c r="Q62" s="156"/>
      <c r="R62" s="156"/>
      <c r="S62" s="164">
        <v>0</v>
      </c>
    </row>
    <row r="63" spans="1:19">
      <c r="A63" s="133">
        <v>4000</v>
      </c>
      <c r="B63" s="133">
        <v>5000</v>
      </c>
      <c r="C63" s="165">
        <v>0</v>
      </c>
      <c r="D63" s="165">
        <v>0</v>
      </c>
      <c r="E63" s="156">
        <v>0</v>
      </c>
      <c r="F63" s="158">
        <v>0</v>
      </c>
      <c r="G63" s="167">
        <v>0</v>
      </c>
      <c r="H63" s="38" t="str">
        <f t="shared" si="0"/>
        <v>(4000, 5000]</v>
      </c>
      <c r="I63" s="159">
        <v>0</v>
      </c>
      <c r="J63" s="156">
        <v>0</v>
      </c>
      <c r="K63" s="156">
        <v>0</v>
      </c>
      <c r="L63" s="161">
        <v>0</v>
      </c>
      <c r="M63" s="156">
        <v>0</v>
      </c>
      <c r="N63" s="156">
        <v>0</v>
      </c>
      <c r="O63" s="163"/>
      <c r="P63" s="156">
        <v>0</v>
      </c>
      <c r="Q63" s="156"/>
      <c r="R63" s="156"/>
      <c r="S63" s="164">
        <v>0</v>
      </c>
    </row>
    <row r="64" spans="1:19">
      <c r="A64" s="133">
        <v>5000</v>
      </c>
      <c r="B64" s="133">
        <v>6000</v>
      </c>
      <c r="C64" s="165">
        <v>0</v>
      </c>
      <c r="D64" s="165">
        <v>0</v>
      </c>
      <c r="E64" s="156">
        <v>0</v>
      </c>
      <c r="F64" s="158">
        <v>0</v>
      </c>
      <c r="G64" s="167">
        <v>0</v>
      </c>
      <c r="H64" s="38" t="str">
        <f t="shared" si="0"/>
        <v>(5000, 6000]</v>
      </c>
      <c r="I64" s="159">
        <v>0</v>
      </c>
      <c r="J64" s="156">
        <v>0</v>
      </c>
      <c r="K64" s="156">
        <v>0</v>
      </c>
      <c r="L64" s="161">
        <v>0</v>
      </c>
      <c r="M64" s="156">
        <v>0</v>
      </c>
      <c r="N64" s="156">
        <v>0</v>
      </c>
      <c r="O64" s="163"/>
      <c r="P64" s="156">
        <v>0</v>
      </c>
      <c r="Q64" s="156"/>
      <c r="R64" s="156"/>
      <c r="S64" s="164">
        <v>0</v>
      </c>
    </row>
    <row r="65" spans="1:20">
      <c r="A65" s="133">
        <v>6000</v>
      </c>
      <c r="B65" s="133">
        <v>7000</v>
      </c>
      <c r="C65" s="165">
        <v>0</v>
      </c>
      <c r="D65" s="165">
        <v>0</v>
      </c>
      <c r="E65" s="156">
        <v>0</v>
      </c>
      <c r="F65" s="158">
        <v>0</v>
      </c>
      <c r="G65" s="167">
        <v>0</v>
      </c>
      <c r="H65" s="38" t="str">
        <f t="shared" si="0"/>
        <v>(6000, 7000]</v>
      </c>
      <c r="I65" s="159">
        <v>0</v>
      </c>
      <c r="J65" s="156">
        <v>0</v>
      </c>
      <c r="K65" s="156">
        <v>0</v>
      </c>
      <c r="L65" s="161">
        <v>0</v>
      </c>
      <c r="M65" s="156">
        <v>0</v>
      </c>
      <c r="N65" s="156">
        <v>0</v>
      </c>
      <c r="O65" s="163"/>
      <c r="P65" s="156">
        <v>0</v>
      </c>
      <c r="Q65" s="156"/>
      <c r="R65" s="156"/>
      <c r="S65" s="164">
        <v>0</v>
      </c>
    </row>
    <row r="66" spans="1:20">
      <c r="A66" s="133">
        <v>7000</v>
      </c>
      <c r="B66" s="133">
        <v>8000</v>
      </c>
      <c r="C66" s="165">
        <v>0</v>
      </c>
      <c r="D66" s="165">
        <v>0</v>
      </c>
      <c r="E66" s="156">
        <v>0</v>
      </c>
      <c r="F66" s="158">
        <v>0</v>
      </c>
      <c r="G66" s="167">
        <v>0</v>
      </c>
      <c r="H66" s="38" t="str">
        <f t="shared" si="0"/>
        <v>(7000, 8000]</v>
      </c>
      <c r="I66" s="159">
        <v>0</v>
      </c>
      <c r="J66" s="156">
        <v>0</v>
      </c>
      <c r="K66" s="156">
        <v>0</v>
      </c>
      <c r="L66" s="161">
        <v>0</v>
      </c>
      <c r="M66" s="156">
        <v>0</v>
      </c>
      <c r="N66" s="156">
        <v>0</v>
      </c>
      <c r="O66" s="163"/>
      <c r="P66" s="156">
        <v>0</v>
      </c>
      <c r="Q66" s="156"/>
      <c r="R66" s="156"/>
      <c r="S66" s="164">
        <v>0</v>
      </c>
    </row>
    <row r="67" spans="1:20">
      <c r="A67" s="133">
        <v>8000</v>
      </c>
      <c r="B67" s="133">
        <v>9000</v>
      </c>
      <c r="C67" s="165">
        <v>0</v>
      </c>
      <c r="D67" s="165">
        <v>0</v>
      </c>
      <c r="E67" s="156">
        <v>0</v>
      </c>
      <c r="F67" s="158">
        <v>0</v>
      </c>
      <c r="G67" s="167">
        <v>0</v>
      </c>
      <c r="H67" s="38" t="str">
        <f t="shared" si="0"/>
        <v>(8000, 9000]</v>
      </c>
      <c r="I67" s="159">
        <v>0</v>
      </c>
      <c r="J67" s="156">
        <v>0</v>
      </c>
      <c r="K67" s="156">
        <v>0</v>
      </c>
      <c r="L67" s="161">
        <v>0</v>
      </c>
      <c r="M67" s="156">
        <v>0</v>
      </c>
      <c r="N67" s="156">
        <v>0</v>
      </c>
      <c r="O67" s="163"/>
      <c r="P67" s="156">
        <v>0</v>
      </c>
      <c r="Q67" s="156"/>
      <c r="R67" s="156"/>
      <c r="S67" s="164">
        <v>0</v>
      </c>
    </row>
    <row r="68" spans="1:20">
      <c r="A68" s="133">
        <v>9000</v>
      </c>
      <c r="B68" s="133">
        <v>10000</v>
      </c>
      <c r="C68" s="165">
        <v>0</v>
      </c>
      <c r="D68" s="165">
        <v>0</v>
      </c>
      <c r="E68" s="156">
        <v>0</v>
      </c>
      <c r="F68" s="158">
        <v>0</v>
      </c>
      <c r="G68" s="167">
        <v>0</v>
      </c>
      <c r="H68" s="38" t="str">
        <f t="shared" si="0"/>
        <v>(9000, 10000]</v>
      </c>
      <c r="I68" s="159">
        <v>0</v>
      </c>
      <c r="J68" s="156">
        <v>0</v>
      </c>
      <c r="K68" s="156">
        <v>0</v>
      </c>
      <c r="L68" s="161">
        <v>0</v>
      </c>
      <c r="M68" s="156">
        <v>0</v>
      </c>
      <c r="N68" s="156">
        <v>0</v>
      </c>
      <c r="O68" s="163"/>
      <c r="P68" s="156">
        <v>0</v>
      </c>
      <c r="Q68" s="156"/>
      <c r="R68" s="156"/>
      <c r="S68" s="164">
        <v>0</v>
      </c>
    </row>
    <row r="69" spans="1:20">
      <c r="A69" s="133">
        <v>10000</v>
      </c>
      <c r="B69" s="133">
        <v>20000</v>
      </c>
      <c r="C69" s="165">
        <v>0</v>
      </c>
      <c r="D69" s="165">
        <v>0</v>
      </c>
      <c r="E69" s="156">
        <v>0</v>
      </c>
      <c r="F69" s="158">
        <v>0</v>
      </c>
      <c r="G69" s="167">
        <v>0</v>
      </c>
      <c r="H69" s="38" t="str">
        <f t="shared" si="0"/>
        <v>(10000, 20000]</v>
      </c>
      <c r="I69" s="159">
        <v>0</v>
      </c>
      <c r="J69" s="156">
        <v>0</v>
      </c>
      <c r="K69" s="156">
        <v>0</v>
      </c>
      <c r="L69" s="161">
        <v>0</v>
      </c>
      <c r="M69" s="156">
        <v>0</v>
      </c>
      <c r="N69" s="156">
        <v>0</v>
      </c>
      <c r="O69" s="163"/>
      <c r="P69" s="156">
        <v>0</v>
      </c>
      <c r="Q69" s="156"/>
      <c r="R69" s="156"/>
      <c r="S69" s="164">
        <v>0</v>
      </c>
    </row>
    <row r="70" spans="1:20">
      <c r="A70" s="133">
        <v>20000</v>
      </c>
      <c r="B70" s="133">
        <v>30000</v>
      </c>
      <c r="C70" s="165">
        <v>0</v>
      </c>
      <c r="D70" s="165">
        <v>0</v>
      </c>
      <c r="E70" s="156">
        <v>0</v>
      </c>
      <c r="F70" s="158">
        <v>0</v>
      </c>
      <c r="G70" s="167">
        <v>0</v>
      </c>
      <c r="H70" s="38" t="str">
        <f t="shared" si="0"/>
        <v>(20000, 30000]</v>
      </c>
      <c r="I70" s="159">
        <v>0</v>
      </c>
      <c r="J70" s="156">
        <v>0</v>
      </c>
      <c r="K70" s="156">
        <v>0</v>
      </c>
      <c r="L70" s="161">
        <v>0</v>
      </c>
      <c r="M70" s="156">
        <v>0</v>
      </c>
      <c r="N70" s="156">
        <v>0</v>
      </c>
      <c r="O70" s="163"/>
      <c r="P70" s="156">
        <v>0</v>
      </c>
      <c r="Q70" s="156"/>
      <c r="R70" s="156"/>
      <c r="S70" s="164">
        <v>0</v>
      </c>
    </row>
    <row r="71" spans="1:20">
      <c r="A71" s="133">
        <v>30000</v>
      </c>
      <c r="B71" s="133">
        <v>40000</v>
      </c>
      <c r="C71" s="165">
        <v>0</v>
      </c>
      <c r="D71" s="165">
        <v>0</v>
      </c>
      <c r="E71" s="156">
        <v>0</v>
      </c>
      <c r="F71" s="158">
        <v>0</v>
      </c>
      <c r="G71" s="167">
        <v>0</v>
      </c>
      <c r="H71" s="38" t="str">
        <f t="shared" si="0"/>
        <v>(30000, 40000]</v>
      </c>
      <c r="I71" s="159">
        <v>0</v>
      </c>
      <c r="J71" s="156">
        <v>0</v>
      </c>
      <c r="K71" s="156">
        <v>0</v>
      </c>
      <c r="L71" s="161">
        <v>0</v>
      </c>
      <c r="M71" s="156">
        <v>0</v>
      </c>
      <c r="N71" s="156">
        <v>0</v>
      </c>
      <c r="O71" s="163"/>
      <c r="P71" s="156">
        <v>0</v>
      </c>
      <c r="Q71" s="156"/>
      <c r="R71" s="156"/>
      <c r="S71" s="164">
        <v>0</v>
      </c>
    </row>
    <row r="72" spans="1:20">
      <c r="A72" s="133">
        <v>40000</v>
      </c>
      <c r="B72" s="133">
        <v>50000</v>
      </c>
      <c r="C72" s="165">
        <v>0</v>
      </c>
      <c r="D72" s="165">
        <v>0</v>
      </c>
      <c r="E72" s="156">
        <v>0</v>
      </c>
      <c r="F72" s="158">
        <v>0</v>
      </c>
      <c r="G72" s="167">
        <v>0</v>
      </c>
      <c r="H72" s="38" t="str">
        <f t="shared" si="0"/>
        <v>(40000, 50000]</v>
      </c>
      <c r="I72" s="159">
        <v>0</v>
      </c>
      <c r="J72" s="156">
        <v>0</v>
      </c>
      <c r="K72" s="156">
        <v>0</v>
      </c>
      <c r="L72" s="161">
        <v>0</v>
      </c>
      <c r="M72" s="156">
        <v>0</v>
      </c>
      <c r="N72" s="156">
        <v>0</v>
      </c>
      <c r="O72" s="163"/>
      <c r="P72" s="156">
        <v>0</v>
      </c>
      <c r="Q72" s="156"/>
      <c r="R72" s="156"/>
      <c r="S72" s="164">
        <v>0</v>
      </c>
    </row>
    <row r="73" spans="1:20">
      <c r="A73" s="133">
        <v>50000</v>
      </c>
      <c r="B73" s="133">
        <v>60000</v>
      </c>
      <c r="C73" s="165">
        <v>0</v>
      </c>
      <c r="D73" s="165">
        <v>0</v>
      </c>
      <c r="E73" s="156">
        <v>0</v>
      </c>
      <c r="F73" s="158">
        <v>0</v>
      </c>
      <c r="G73" s="167">
        <v>0</v>
      </c>
      <c r="H73" s="38" t="str">
        <f t="shared" si="0"/>
        <v>(50000, 60000]</v>
      </c>
      <c r="I73" s="159">
        <v>0</v>
      </c>
      <c r="J73" s="156">
        <v>0</v>
      </c>
      <c r="K73" s="156">
        <v>0</v>
      </c>
      <c r="L73" s="161">
        <v>0</v>
      </c>
      <c r="M73" s="156">
        <v>0</v>
      </c>
      <c r="N73" s="156">
        <v>0</v>
      </c>
      <c r="O73" s="163"/>
      <c r="P73" s="156">
        <v>0</v>
      </c>
      <c r="Q73" s="156"/>
      <c r="R73" s="156"/>
      <c r="S73" s="164">
        <v>0</v>
      </c>
    </row>
    <row r="74" spans="1:20">
      <c r="A74" s="133">
        <v>60000</v>
      </c>
      <c r="B74" s="133">
        <v>70000</v>
      </c>
      <c r="C74" s="165">
        <v>0</v>
      </c>
      <c r="D74" s="165">
        <v>0</v>
      </c>
      <c r="E74" s="156">
        <v>0</v>
      </c>
      <c r="F74" s="158">
        <v>0</v>
      </c>
      <c r="G74" s="167">
        <v>0</v>
      </c>
      <c r="H74" s="38" t="str">
        <f t="shared" si="0"/>
        <v>(60000, 70000]</v>
      </c>
      <c r="I74" s="159">
        <v>0</v>
      </c>
      <c r="J74" s="156">
        <v>0</v>
      </c>
      <c r="K74" s="156">
        <v>0</v>
      </c>
      <c r="L74" s="161">
        <v>0</v>
      </c>
      <c r="M74" s="156">
        <v>0</v>
      </c>
      <c r="N74" s="156">
        <v>0</v>
      </c>
      <c r="O74" s="163"/>
      <c r="P74" s="156">
        <v>0</v>
      </c>
      <c r="Q74" s="156"/>
      <c r="R74" s="156"/>
      <c r="S74" s="164">
        <v>0</v>
      </c>
    </row>
    <row r="75" spans="1:20">
      <c r="A75" s="133">
        <v>70000</v>
      </c>
      <c r="B75" s="133">
        <v>80000</v>
      </c>
      <c r="C75" s="165">
        <v>0</v>
      </c>
      <c r="D75" s="165">
        <v>0</v>
      </c>
      <c r="E75" s="156">
        <v>0</v>
      </c>
      <c r="F75" s="158">
        <v>0</v>
      </c>
      <c r="G75" s="167">
        <v>0</v>
      </c>
      <c r="H75" s="38" t="str">
        <f t="shared" si="0"/>
        <v>(70000, 80000]</v>
      </c>
      <c r="I75" s="159">
        <v>0</v>
      </c>
      <c r="J75" s="156">
        <v>0</v>
      </c>
      <c r="K75" s="156">
        <v>0</v>
      </c>
      <c r="L75" s="161">
        <v>0</v>
      </c>
      <c r="M75" s="156">
        <v>0</v>
      </c>
      <c r="N75" s="156">
        <v>0</v>
      </c>
      <c r="O75" s="163"/>
      <c r="P75" s="156">
        <v>0</v>
      </c>
      <c r="Q75" s="156"/>
      <c r="R75" s="156"/>
      <c r="S75" s="164">
        <v>0</v>
      </c>
    </row>
    <row r="76" spans="1:20">
      <c r="A76" s="133">
        <v>80000</v>
      </c>
      <c r="B76" s="133">
        <v>90000</v>
      </c>
      <c r="C76" s="165">
        <v>0</v>
      </c>
      <c r="D76" s="165">
        <v>0</v>
      </c>
      <c r="E76" s="156">
        <v>0</v>
      </c>
      <c r="F76" s="158">
        <v>0</v>
      </c>
      <c r="G76" s="167">
        <v>0</v>
      </c>
      <c r="H76" s="38" t="str">
        <f t="shared" si="0"/>
        <v>(80000, 90000]</v>
      </c>
      <c r="I76" s="159">
        <v>0</v>
      </c>
      <c r="J76" s="156">
        <v>0</v>
      </c>
      <c r="K76" s="156">
        <v>0</v>
      </c>
      <c r="L76" s="161">
        <v>0</v>
      </c>
      <c r="M76" s="156">
        <v>0</v>
      </c>
      <c r="N76" s="156">
        <v>0</v>
      </c>
      <c r="O76" s="163"/>
      <c r="P76" s="156">
        <v>0</v>
      </c>
      <c r="Q76" s="156"/>
      <c r="R76" s="156"/>
      <c r="S76" s="164">
        <v>0</v>
      </c>
    </row>
    <row r="77" spans="1:20">
      <c r="A77" s="133">
        <v>90000</v>
      </c>
      <c r="B77" s="133">
        <v>100000</v>
      </c>
      <c r="C77" s="165">
        <v>0</v>
      </c>
      <c r="D77" s="165">
        <v>0</v>
      </c>
      <c r="E77" s="156">
        <v>0</v>
      </c>
      <c r="F77" s="158">
        <v>0</v>
      </c>
      <c r="G77" s="167">
        <v>0</v>
      </c>
      <c r="H77" s="38" t="str">
        <f t="shared" si="0"/>
        <v>(90000, 100000]</v>
      </c>
      <c r="I77" s="159">
        <v>0</v>
      </c>
      <c r="J77" s="156">
        <v>0</v>
      </c>
      <c r="K77" s="156">
        <v>0</v>
      </c>
      <c r="L77" s="161">
        <v>0</v>
      </c>
      <c r="M77" s="156">
        <v>0</v>
      </c>
      <c r="N77" s="156">
        <v>0</v>
      </c>
      <c r="O77" s="163"/>
      <c r="P77" s="156">
        <v>0</v>
      </c>
      <c r="Q77" s="156"/>
      <c r="R77" s="156"/>
      <c r="S77" s="164">
        <v>0</v>
      </c>
    </row>
    <row r="78" spans="1:20">
      <c r="A78" s="133">
        <v>100000</v>
      </c>
      <c r="B78" s="133">
        <v>9999999</v>
      </c>
      <c r="C78" s="165">
        <v>0</v>
      </c>
      <c r="D78" s="165">
        <v>0</v>
      </c>
      <c r="E78" s="156">
        <v>0</v>
      </c>
      <c r="F78" s="158">
        <v>0</v>
      </c>
      <c r="G78" s="167">
        <v>0</v>
      </c>
      <c r="H78" s="38" t="str">
        <f t="shared" si="0"/>
        <v>(100000, 9999999]</v>
      </c>
      <c r="I78" s="159">
        <v>0</v>
      </c>
      <c r="J78" s="156">
        <v>0</v>
      </c>
      <c r="K78" s="156">
        <v>0</v>
      </c>
      <c r="L78" s="161">
        <v>0</v>
      </c>
      <c r="M78" s="156">
        <v>0</v>
      </c>
      <c r="N78" s="156">
        <v>0</v>
      </c>
      <c r="O78" s="163"/>
      <c r="P78" s="156">
        <v>0</v>
      </c>
      <c r="Q78" s="156"/>
      <c r="R78" s="156"/>
      <c r="S78" s="164">
        <v>0</v>
      </c>
    </row>
    <row r="79" spans="1:20">
      <c r="A79" s="229" t="s">
        <v>63</v>
      </c>
      <c r="B79" s="230"/>
      <c r="C79" s="169">
        <f>E79*B13</f>
        <v>22844570</v>
      </c>
      <c r="D79" s="165">
        <v>190196215</v>
      </c>
      <c r="E79" s="170">
        <v>2.2844570000000002E-2</v>
      </c>
      <c r="F79" s="158">
        <v>8.3256640418270078E-2</v>
      </c>
      <c r="G79" s="167"/>
      <c r="H79" s="38" t="s">
        <v>63</v>
      </c>
      <c r="I79" s="159">
        <v>0.28000000000000003</v>
      </c>
      <c r="J79" s="156">
        <v>6.3964796000000011E-3</v>
      </c>
      <c r="K79" s="156">
        <f>J79</f>
        <v>6.3964796000000011E-3</v>
      </c>
      <c r="L79" s="161">
        <v>6396479</v>
      </c>
      <c r="M79" s="162">
        <v>6.4478501115251899E-3</v>
      </c>
      <c r="N79" s="156">
        <v>5.3682633820615537E-4</v>
      </c>
      <c r="P79" s="115"/>
      <c r="Q79" s="115"/>
      <c r="R79" s="115"/>
      <c r="S79" s="115"/>
      <c r="T79" s="115"/>
    </row>
    <row r="80" spans="1:20">
      <c r="A80" s="229" t="s">
        <v>88</v>
      </c>
      <c r="B80" s="230"/>
      <c r="C80" s="169">
        <v>10000000</v>
      </c>
      <c r="D80" s="165"/>
      <c r="E80" s="156">
        <v>1</v>
      </c>
      <c r="F80" s="158">
        <v>0</v>
      </c>
      <c r="G80" s="167"/>
      <c r="H80" s="38" t="s">
        <v>88</v>
      </c>
      <c r="I80" s="133"/>
      <c r="J80" s="156"/>
      <c r="K80" s="156"/>
      <c r="L80" s="171"/>
      <c r="M80" s="162">
        <f>E80</f>
        <v>1</v>
      </c>
      <c r="N80" s="156">
        <f>F80/B8</f>
        <v>0</v>
      </c>
      <c r="P80" s="115"/>
      <c r="Q80" s="115"/>
      <c r="R80" s="115"/>
      <c r="S80" s="115"/>
      <c r="T80" s="115"/>
    </row>
    <row r="81" spans="1:19">
      <c r="A81" s="172"/>
      <c r="B81" s="14"/>
      <c r="C81" s="1"/>
      <c r="D81" s="194"/>
      <c r="E81" s="1"/>
      <c r="F81" s="1"/>
      <c r="H81" s="15"/>
      <c r="I81" s="14"/>
      <c r="J81" s="14"/>
      <c r="K81" s="14"/>
      <c r="L81" s="120"/>
      <c r="M81" s="14"/>
      <c r="N81" s="14"/>
    </row>
    <row r="82" spans="1:19">
      <c r="A82" s="14"/>
      <c r="D82" s="173"/>
      <c r="E82" s="1"/>
      <c r="F82" s="1"/>
      <c r="H82" s="15"/>
      <c r="I82" s="14"/>
      <c r="J82" s="14"/>
      <c r="K82" s="14"/>
      <c r="L82" s="14"/>
      <c r="M82" s="14"/>
      <c r="N82" s="14"/>
    </row>
    <row r="83" spans="1:19" s="181" customFormat="1">
      <c r="A83" s="228" t="s">
        <v>213</v>
      </c>
      <c r="B83" s="228"/>
      <c r="C83" s="228"/>
      <c r="D83" s="228"/>
      <c r="E83" s="176"/>
      <c r="F83" s="176"/>
      <c r="G83" s="177"/>
      <c r="H83" s="178"/>
      <c r="I83" s="179"/>
      <c r="J83" s="180"/>
      <c r="K83" s="180"/>
      <c r="L83" s="180"/>
      <c r="M83" s="180"/>
      <c r="N83" s="180"/>
      <c r="O83" s="177"/>
    </row>
    <row r="84" spans="1:19">
      <c r="A84" s="14"/>
      <c r="B84" s="14"/>
      <c r="C84" s="1"/>
      <c r="D84" s="1"/>
      <c r="E84" s="1"/>
      <c r="F84" s="1"/>
      <c r="H84" s="15"/>
      <c r="I84" s="14"/>
      <c r="J84" s="14"/>
      <c r="K84" s="14"/>
      <c r="L84" s="14"/>
      <c r="M84" s="14"/>
      <c r="N84" s="14"/>
    </row>
    <row r="85" spans="1:19">
      <c r="A85" s="150" t="s">
        <v>217</v>
      </c>
      <c r="B85" s="174">
        <f>B13</f>
        <v>1000000000</v>
      </c>
      <c r="C85" s="1"/>
      <c r="D85" s="1"/>
      <c r="E85" s="1"/>
      <c r="F85" s="1"/>
      <c r="H85" s="150" t="s">
        <v>218</v>
      </c>
      <c r="I85" s="14"/>
      <c r="J85" s="14"/>
      <c r="K85" s="14"/>
      <c r="M85" s="14"/>
      <c r="N85" s="14"/>
    </row>
    <row r="86" spans="1:19">
      <c r="A86" s="20" t="s">
        <v>57</v>
      </c>
      <c r="B86" s="20" t="s">
        <v>58</v>
      </c>
      <c r="C86" s="20" t="s">
        <v>219</v>
      </c>
      <c r="D86" s="20" t="s">
        <v>220</v>
      </c>
      <c r="E86" s="20" t="s">
        <v>221</v>
      </c>
      <c r="F86" s="20" t="s">
        <v>222</v>
      </c>
      <c r="H86" s="20" t="s">
        <v>60</v>
      </c>
      <c r="I86" s="20" t="s">
        <v>223</v>
      </c>
      <c r="J86" s="20" t="s">
        <v>224</v>
      </c>
      <c r="K86" s="20" t="s">
        <v>225</v>
      </c>
      <c r="L86" s="20" t="s">
        <v>226</v>
      </c>
      <c r="M86" s="20" t="s">
        <v>62</v>
      </c>
      <c r="N86" s="20" t="s">
        <v>59</v>
      </c>
      <c r="P86" s="48" t="s">
        <v>227</v>
      </c>
      <c r="Q86" s="48" t="s">
        <v>227</v>
      </c>
      <c r="R86" s="48" t="s">
        <v>228</v>
      </c>
      <c r="S86" s="48" t="s">
        <v>229</v>
      </c>
    </row>
    <row r="87" spans="1:19">
      <c r="A87" s="153">
        <v>-1</v>
      </c>
      <c r="B87" s="153">
        <v>0</v>
      </c>
      <c r="C87" s="154">
        <v>6070</v>
      </c>
      <c r="D87" s="154">
        <v>0</v>
      </c>
      <c r="E87" s="156" cm="1">
        <f t="array" ref="E87:E150">_xlfn.LET(_xlpm.x, C87:C150, _xlpm.x/SUM(_xlpm.x))</f>
        <v>2.664165481983526E-3</v>
      </c>
      <c r="F87" s="157" cm="1">
        <f t="array" ref="F87:F150">_xlfn.LET(_xlpm.x, D87:D150/C87:C150/B3, IF(ISERR(_xlpm.x), 0, _xlpm.x))</f>
        <v>0</v>
      </c>
      <c r="G87" s="115">
        <v>1.0000000000000001E-5</v>
      </c>
      <c r="H87" s="38" t="str">
        <f>"("&amp;$A87&amp;", "&amp;$B87&amp;"]"</f>
        <v>(-1, 0]</v>
      </c>
      <c r="I87" s="159">
        <v>0</v>
      </c>
      <c r="J87" s="156" cm="1">
        <f t="array" ref="J87:J150">_xlfn.ANCHORARRAY(E87)*I87:I150</f>
        <v>0</v>
      </c>
      <c r="K87" s="156" cm="1">
        <f t="array" ref="K87:K150">J87:J150/SUM(_xlfn.ANCHORARRAY(J87))</f>
        <v>0</v>
      </c>
      <c r="L87" s="160" cm="1">
        <f t="array" ref="L87:L150">INT(_xlfn.ANCHORARRAY(K87)*$B$2)</f>
        <v>0</v>
      </c>
      <c r="M87" s="156" cm="1">
        <f t="array" ref="M87:M150">_xlfn.LET(_xlpm.x, L87:L150, _xlpm.x/SUM(_xlpm.x))</f>
        <v>0</v>
      </c>
      <c r="N87" s="183" cm="1">
        <f t="array" ref="N87:N150">M87:M150*_xlfn.ANCHORARRAY(F87)</f>
        <v>0</v>
      </c>
      <c r="O87" s="163"/>
      <c r="P87" s="156" cm="1">
        <f t="array" ref="P87:P150">_xlfn.ANCHORARRAY(M87)</f>
        <v>0</v>
      </c>
      <c r="Q87" s="156"/>
      <c r="R87" s="156"/>
      <c r="S87" s="164" cm="1">
        <f t="array" ref="S87:S150">_xlfn.LET(_xlpm.x, Q87:Q150/M87:M150, IF(ISERR(_xlpm.x), 0, ROUND(_xlpm.x,2)))</f>
        <v>0</v>
      </c>
    </row>
    <row r="88" spans="1:19">
      <c r="A88" s="133">
        <v>0</v>
      </c>
      <c r="B88" s="133">
        <v>1</v>
      </c>
      <c r="C88" s="165">
        <v>13289</v>
      </c>
      <c r="D88" s="165">
        <v>1090600</v>
      </c>
      <c r="E88" s="156">
        <v>5.8326351054496014E-3</v>
      </c>
      <c r="F88" s="158">
        <v>0.82067875686658143</v>
      </c>
      <c r="G88" s="115">
        <v>0</v>
      </c>
      <c r="H88" s="38" t="str">
        <f t="shared" ref="H88:H150" si="1">"("&amp;$A88&amp;", "&amp;$B88&amp;"]"</f>
        <v>(0, 1]</v>
      </c>
      <c r="I88" s="159">
        <v>0</v>
      </c>
      <c r="J88" s="156">
        <v>0</v>
      </c>
      <c r="K88" s="156">
        <v>0</v>
      </c>
      <c r="L88" s="160">
        <v>0</v>
      </c>
      <c r="M88" s="156">
        <v>0</v>
      </c>
      <c r="N88" s="156">
        <v>0</v>
      </c>
      <c r="O88" s="163"/>
      <c r="P88" s="156">
        <v>0</v>
      </c>
      <c r="Q88" s="156"/>
      <c r="R88" s="156"/>
      <c r="S88" s="164">
        <v>0</v>
      </c>
    </row>
    <row r="89" spans="1:19">
      <c r="A89" s="133">
        <v>1</v>
      </c>
      <c r="B89" s="133">
        <v>2</v>
      </c>
      <c r="C89" s="165">
        <v>20810</v>
      </c>
      <c r="D89" s="165">
        <v>3233730</v>
      </c>
      <c r="E89" s="156">
        <v>9.1336546425168329E-3</v>
      </c>
      <c r="F89" s="158">
        <v>1.5539308024987986</v>
      </c>
      <c r="G89" s="166">
        <f>1+G88*G87</f>
        <v>1</v>
      </c>
      <c r="H89" s="38" t="str">
        <f t="shared" si="1"/>
        <v>(1, 2]</v>
      </c>
      <c r="I89" s="159">
        <v>0</v>
      </c>
      <c r="J89" s="156">
        <v>0</v>
      </c>
      <c r="K89" s="156">
        <v>0</v>
      </c>
      <c r="L89" s="160">
        <v>0</v>
      </c>
      <c r="M89" s="156">
        <v>0</v>
      </c>
      <c r="N89" s="156">
        <v>0</v>
      </c>
      <c r="O89" s="163"/>
      <c r="P89" s="156">
        <v>0</v>
      </c>
      <c r="Q89" s="156"/>
      <c r="R89" s="156"/>
      <c r="S89" s="164">
        <v>0</v>
      </c>
    </row>
    <row r="90" spans="1:19">
      <c r="A90" s="133">
        <v>2</v>
      </c>
      <c r="B90" s="133">
        <v>3</v>
      </c>
      <c r="C90" s="165">
        <v>21254</v>
      </c>
      <c r="D90" s="165">
        <v>5431450</v>
      </c>
      <c r="E90" s="156">
        <v>9.3285293499304547E-3</v>
      </c>
      <c r="F90" s="158">
        <v>2.5554954361531945</v>
      </c>
      <c r="G90" s="163"/>
      <c r="H90" s="38" t="str">
        <f t="shared" si="1"/>
        <v>(2, 3]</v>
      </c>
      <c r="I90" s="159">
        <v>0</v>
      </c>
      <c r="J90" s="156">
        <v>0</v>
      </c>
      <c r="K90" s="156">
        <v>0</v>
      </c>
      <c r="L90" s="160">
        <v>0</v>
      </c>
      <c r="M90" s="156">
        <v>0</v>
      </c>
      <c r="N90" s="156">
        <v>0</v>
      </c>
      <c r="O90" s="163"/>
      <c r="P90" s="156">
        <v>0</v>
      </c>
      <c r="Q90" s="156"/>
      <c r="R90" s="156"/>
      <c r="S90" s="164">
        <v>0</v>
      </c>
    </row>
    <row r="91" spans="1:19">
      <c r="A91" s="133">
        <v>3</v>
      </c>
      <c r="B91" s="133">
        <v>4</v>
      </c>
      <c r="C91" s="165">
        <v>21645</v>
      </c>
      <c r="D91" s="165">
        <v>7695990</v>
      </c>
      <c r="E91" s="156">
        <v>9.5001419864140721E-3</v>
      </c>
      <c r="F91" s="158">
        <v>3.5555509355509356</v>
      </c>
      <c r="G91" s="163"/>
      <c r="H91" s="38" t="str">
        <f t="shared" si="1"/>
        <v>(3, 4]</v>
      </c>
      <c r="I91" s="159">
        <v>0</v>
      </c>
      <c r="J91" s="156">
        <v>0</v>
      </c>
      <c r="K91" s="156">
        <v>0</v>
      </c>
      <c r="L91" s="160">
        <v>0</v>
      </c>
      <c r="M91" s="156">
        <v>0</v>
      </c>
      <c r="N91" s="156">
        <v>0</v>
      </c>
      <c r="O91" s="163"/>
      <c r="P91" s="156">
        <v>0</v>
      </c>
      <c r="Q91" s="156"/>
      <c r="R91" s="156"/>
      <c r="S91" s="164">
        <v>0</v>
      </c>
    </row>
    <row r="92" spans="1:19">
      <c r="A92" s="133">
        <v>4</v>
      </c>
      <c r="B92" s="133">
        <v>5</v>
      </c>
      <c r="C92" s="165">
        <v>21438</v>
      </c>
      <c r="D92" s="165">
        <v>9764380</v>
      </c>
      <c r="E92" s="156">
        <v>9.4092882376874513E-3</v>
      </c>
      <c r="F92" s="158">
        <v>4.5547065957645305</v>
      </c>
      <c r="G92" s="163"/>
      <c r="H92" s="38" t="str">
        <f t="shared" si="1"/>
        <v>(4, 5]</v>
      </c>
      <c r="I92" s="159">
        <v>0</v>
      </c>
      <c r="J92" s="156">
        <v>0</v>
      </c>
      <c r="K92" s="156">
        <v>0</v>
      </c>
      <c r="L92" s="160">
        <v>0</v>
      </c>
      <c r="M92" s="156">
        <v>0</v>
      </c>
      <c r="N92" s="156">
        <v>0</v>
      </c>
      <c r="O92" s="163"/>
      <c r="P92" s="156">
        <v>0</v>
      </c>
      <c r="Q92" s="156"/>
      <c r="R92" s="156"/>
      <c r="S92" s="164">
        <v>0</v>
      </c>
    </row>
    <row r="93" spans="1:19">
      <c r="A93" s="133">
        <v>5</v>
      </c>
      <c r="B93" s="133">
        <v>6</v>
      </c>
      <c r="C93" s="165">
        <v>21633</v>
      </c>
      <c r="D93" s="165">
        <v>12019590</v>
      </c>
      <c r="E93" s="156">
        <v>9.4948751024299203E-3</v>
      </c>
      <c r="F93" s="158">
        <v>5.5561364581888775</v>
      </c>
      <c r="G93" s="163"/>
      <c r="H93" s="38" t="str">
        <f t="shared" si="1"/>
        <v>(5, 6]</v>
      </c>
      <c r="I93" s="159">
        <v>0</v>
      </c>
      <c r="J93" s="156">
        <v>0</v>
      </c>
      <c r="K93" s="156">
        <v>0</v>
      </c>
      <c r="L93" s="160">
        <v>0</v>
      </c>
      <c r="M93" s="156">
        <v>0</v>
      </c>
      <c r="N93" s="156">
        <v>0</v>
      </c>
      <c r="O93" s="163"/>
      <c r="P93" s="156">
        <v>0</v>
      </c>
      <c r="Q93" s="156"/>
      <c r="R93" s="156"/>
      <c r="S93" s="164">
        <v>0</v>
      </c>
    </row>
    <row r="94" spans="1:19">
      <c r="A94" s="133">
        <v>6</v>
      </c>
      <c r="B94" s="133">
        <v>7</v>
      </c>
      <c r="C94" s="165">
        <v>20646</v>
      </c>
      <c r="D94" s="165">
        <v>13512875</v>
      </c>
      <c r="E94" s="156">
        <v>9.0616738947334238E-3</v>
      </c>
      <c r="F94" s="158">
        <v>6.5450329361619684</v>
      </c>
      <c r="G94" s="163"/>
      <c r="H94" s="38" t="str">
        <f t="shared" si="1"/>
        <v>(6, 7]</v>
      </c>
      <c r="I94" s="159">
        <v>0</v>
      </c>
      <c r="J94" s="156">
        <v>0</v>
      </c>
      <c r="K94" s="156">
        <v>0</v>
      </c>
      <c r="L94" s="160">
        <v>0</v>
      </c>
      <c r="M94" s="156">
        <v>0</v>
      </c>
      <c r="N94" s="156">
        <v>0</v>
      </c>
      <c r="O94" s="163"/>
      <c r="P94" s="156">
        <v>0</v>
      </c>
      <c r="Q94" s="156"/>
      <c r="R94" s="156"/>
      <c r="S94" s="164">
        <v>0</v>
      </c>
    </row>
    <row r="95" spans="1:19">
      <c r="A95" s="133">
        <v>7</v>
      </c>
      <c r="B95" s="133">
        <v>8</v>
      </c>
      <c r="C95" s="165">
        <v>20886</v>
      </c>
      <c r="D95" s="165">
        <v>15764920</v>
      </c>
      <c r="E95" s="156">
        <v>9.1670115744164615E-3</v>
      </c>
      <c r="F95" s="158">
        <v>7.548080053624437</v>
      </c>
      <c r="G95" s="163"/>
      <c r="H95" s="38" t="str">
        <f t="shared" si="1"/>
        <v>(7, 8]</v>
      </c>
      <c r="I95" s="159">
        <v>0</v>
      </c>
      <c r="J95" s="156">
        <v>0</v>
      </c>
      <c r="K95" s="156">
        <v>0</v>
      </c>
      <c r="L95" s="160">
        <v>0</v>
      </c>
      <c r="M95" s="156">
        <v>0</v>
      </c>
      <c r="N95" s="156">
        <v>0</v>
      </c>
      <c r="O95" s="163"/>
      <c r="P95" s="156">
        <v>0</v>
      </c>
      <c r="Q95" s="156"/>
      <c r="R95" s="156"/>
      <c r="S95" s="164">
        <v>0</v>
      </c>
    </row>
    <row r="96" spans="1:19">
      <c r="A96" s="133">
        <v>8</v>
      </c>
      <c r="B96" s="133">
        <v>9</v>
      </c>
      <c r="C96" s="165">
        <v>20446</v>
      </c>
      <c r="D96" s="165">
        <v>17486945</v>
      </c>
      <c r="E96" s="156">
        <v>8.9738924949975575E-3</v>
      </c>
      <c r="F96" s="158">
        <v>8.5527462584368585</v>
      </c>
      <c r="G96" s="163"/>
      <c r="H96" s="38" t="str">
        <f t="shared" si="1"/>
        <v>(8, 9]</v>
      </c>
      <c r="I96" s="159">
        <v>0</v>
      </c>
      <c r="J96" s="156">
        <v>0</v>
      </c>
      <c r="K96" s="156">
        <v>0</v>
      </c>
      <c r="L96" s="160">
        <v>0</v>
      </c>
      <c r="M96" s="156">
        <v>0</v>
      </c>
      <c r="N96" s="156">
        <v>0</v>
      </c>
      <c r="O96" s="163"/>
      <c r="P96" s="156">
        <v>0</v>
      </c>
      <c r="Q96" s="156"/>
      <c r="R96" s="156"/>
      <c r="S96" s="164">
        <v>0</v>
      </c>
    </row>
    <row r="97" spans="1:20">
      <c r="A97" s="133">
        <v>9</v>
      </c>
      <c r="B97" s="133">
        <v>10</v>
      </c>
      <c r="C97" s="165">
        <v>19920</v>
      </c>
      <c r="D97" s="165">
        <v>19030345</v>
      </c>
      <c r="E97" s="156">
        <v>8.7430274136922302E-3</v>
      </c>
      <c r="F97" s="158">
        <v>9.5533860441767064</v>
      </c>
      <c r="G97" s="163"/>
      <c r="H97" s="38" t="str">
        <f t="shared" si="1"/>
        <v>(9, 10]</v>
      </c>
      <c r="I97" s="159">
        <v>0</v>
      </c>
      <c r="J97" s="156">
        <v>0</v>
      </c>
      <c r="K97" s="156">
        <v>0</v>
      </c>
      <c r="L97" s="160">
        <v>0</v>
      </c>
      <c r="M97" s="156">
        <v>0</v>
      </c>
      <c r="N97" s="156">
        <v>0</v>
      </c>
      <c r="O97" s="163"/>
      <c r="P97" s="156">
        <v>0</v>
      </c>
      <c r="Q97" s="156"/>
      <c r="R97" s="156"/>
      <c r="S97" s="164">
        <v>0</v>
      </c>
    </row>
    <row r="98" spans="1:20">
      <c r="A98" s="133">
        <v>10</v>
      </c>
      <c r="B98" s="133">
        <v>15</v>
      </c>
      <c r="C98" s="165">
        <v>95890</v>
      </c>
      <c r="D98" s="165">
        <v>120087185</v>
      </c>
      <c r="E98" s="156">
        <v>4.2086792103360846E-2</v>
      </c>
      <c r="F98" s="158">
        <v>12.523431536135156</v>
      </c>
      <c r="G98" s="163"/>
      <c r="H98" s="38" t="str">
        <f t="shared" si="1"/>
        <v>(10, 15]</v>
      </c>
      <c r="I98" s="159">
        <v>0</v>
      </c>
      <c r="J98" s="156">
        <v>0</v>
      </c>
      <c r="K98" s="156">
        <v>0</v>
      </c>
      <c r="L98" s="160">
        <v>0</v>
      </c>
      <c r="M98" s="156">
        <v>0</v>
      </c>
      <c r="N98" s="156">
        <v>0</v>
      </c>
      <c r="O98" s="163"/>
      <c r="P98" s="156">
        <v>0</v>
      </c>
      <c r="Q98" s="156"/>
      <c r="R98" s="156"/>
      <c r="S98" s="164">
        <v>0</v>
      </c>
      <c r="T98" s="184"/>
    </row>
    <row r="99" spans="1:20">
      <c r="A99" s="133">
        <v>15</v>
      </c>
      <c r="B99" s="133">
        <v>20</v>
      </c>
      <c r="C99" s="165">
        <v>89276</v>
      </c>
      <c r="D99" s="165">
        <v>156417885</v>
      </c>
      <c r="E99" s="156">
        <v>3.9183861214095762E-2</v>
      </c>
      <c r="F99" s="158">
        <v>17.520709373179802</v>
      </c>
      <c r="G99" s="163"/>
      <c r="H99" s="168" t="str">
        <f t="shared" si="1"/>
        <v>(15, 20]</v>
      </c>
      <c r="I99" s="159">
        <v>0</v>
      </c>
      <c r="J99" s="156">
        <v>0</v>
      </c>
      <c r="K99" s="156">
        <v>0</v>
      </c>
      <c r="L99" s="160">
        <v>0</v>
      </c>
      <c r="M99" s="156">
        <v>0</v>
      </c>
      <c r="N99" s="156">
        <v>0</v>
      </c>
      <c r="O99" s="163"/>
      <c r="P99" s="156">
        <v>0</v>
      </c>
      <c r="Q99" s="156"/>
      <c r="R99" s="156"/>
      <c r="S99" s="164">
        <v>0</v>
      </c>
      <c r="T99" s="184"/>
    </row>
    <row r="100" spans="1:20">
      <c r="A100" s="133">
        <v>20</v>
      </c>
      <c r="B100" s="133">
        <v>25</v>
      </c>
      <c r="C100" s="165">
        <v>82338</v>
      </c>
      <c r="D100" s="165">
        <v>185300895</v>
      </c>
      <c r="E100" s="156">
        <v>3.6138724457258575E-2</v>
      </c>
      <c r="F100" s="158">
        <v>22.504905997230924</v>
      </c>
      <c r="G100" s="163"/>
      <c r="H100" s="38" t="str">
        <f t="shared" si="1"/>
        <v>(20, 25]</v>
      </c>
      <c r="I100" s="159">
        <v>0</v>
      </c>
      <c r="J100" s="156">
        <v>0</v>
      </c>
      <c r="K100" s="156">
        <v>0</v>
      </c>
      <c r="L100" s="160">
        <v>0</v>
      </c>
      <c r="M100" s="156">
        <v>0</v>
      </c>
      <c r="N100" s="156">
        <v>0</v>
      </c>
      <c r="O100" s="163"/>
      <c r="P100" s="156">
        <v>0</v>
      </c>
      <c r="Q100" s="156"/>
      <c r="R100" s="156"/>
      <c r="S100" s="164">
        <v>0</v>
      </c>
      <c r="T100" s="184"/>
    </row>
    <row r="101" spans="1:20">
      <c r="A101" s="133">
        <v>25</v>
      </c>
      <c r="B101" s="133">
        <v>30</v>
      </c>
      <c r="C101" s="165">
        <v>76062</v>
      </c>
      <c r="D101" s="165">
        <v>209282100</v>
      </c>
      <c r="E101" s="156">
        <v>3.3384144133547108E-2</v>
      </c>
      <c r="F101" s="158">
        <v>27.514672241066499</v>
      </c>
      <c r="G101" s="163"/>
      <c r="H101" s="38" t="str">
        <f t="shared" si="1"/>
        <v>(25, 30]</v>
      </c>
      <c r="I101" s="159">
        <v>0</v>
      </c>
      <c r="J101" s="156">
        <v>0</v>
      </c>
      <c r="K101" s="156">
        <v>0</v>
      </c>
      <c r="L101" s="160">
        <v>0</v>
      </c>
      <c r="M101" s="156">
        <v>0</v>
      </c>
      <c r="N101" s="156">
        <v>0</v>
      </c>
      <c r="O101" s="163"/>
      <c r="P101" s="156">
        <v>0</v>
      </c>
      <c r="Q101" s="156"/>
      <c r="R101" s="156"/>
      <c r="S101" s="164">
        <v>0</v>
      </c>
      <c r="T101" s="184"/>
    </row>
    <row r="102" spans="1:20">
      <c r="A102" s="133">
        <v>30</v>
      </c>
      <c r="B102" s="133">
        <v>35</v>
      </c>
      <c r="C102" s="165">
        <v>70584</v>
      </c>
      <c r="D102" s="165">
        <v>229534305</v>
      </c>
      <c r="E102" s="156">
        <v>3.0979811594781748E-2</v>
      </c>
      <c r="F102" s="158">
        <v>32.519311033662021</v>
      </c>
      <c r="G102" s="163"/>
      <c r="H102" s="38" t="str">
        <f t="shared" si="1"/>
        <v>(30, 35]</v>
      </c>
      <c r="I102" s="159">
        <v>0</v>
      </c>
      <c r="J102" s="156">
        <v>0</v>
      </c>
      <c r="K102" s="156">
        <v>0</v>
      </c>
      <c r="L102" s="160">
        <v>0</v>
      </c>
      <c r="M102" s="156">
        <v>0</v>
      </c>
      <c r="N102" s="156">
        <v>0</v>
      </c>
      <c r="O102" s="163"/>
      <c r="P102" s="156">
        <v>0</v>
      </c>
      <c r="Q102" s="156"/>
      <c r="R102" s="156"/>
      <c r="S102" s="164">
        <v>0</v>
      </c>
      <c r="T102" s="184"/>
    </row>
    <row r="103" spans="1:20">
      <c r="A103" s="133">
        <v>35</v>
      </c>
      <c r="B103" s="133">
        <v>40</v>
      </c>
      <c r="C103" s="165">
        <v>65100</v>
      </c>
      <c r="D103" s="165">
        <v>244284710</v>
      </c>
      <c r="E103" s="156">
        <v>2.8572845614024307E-2</v>
      </c>
      <c r="F103" s="158">
        <v>37.524533026113673</v>
      </c>
      <c r="G103" s="163"/>
      <c r="H103" s="168" t="str">
        <f t="shared" si="1"/>
        <v>(35, 40]</v>
      </c>
      <c r="I103" s="159">
        <v>0</v>
      </c>
      <c r="J103" s="156">
        <v>0</v>
      </c>
      <c r="K103" s="156">
        <v>0</v>
      </c>
      <c r="L103" s="160">
        <v>0</v>
      </c>
      <c r="M103" s="156">
        <v>0</v>
      </c>
      <c r="N103" s="156">
        <v>0</v>
      </c>
      <c r="O103" s="163"/>
      <c r="P103" s="156">
        <v>0</v>
      </c>
      <c r="Q103" s="156"/>
      <c r="R103" s="156"/>
      <c r="S103" s="164">
        <v>0</v>
      </c>
      <c r="T103" s="184"/>
    </row>
    <row r="104" spans="1:20">
      <c r="A104" s="133">
        <v>40</v>
      </c>
      <c r="B104" s="133">
        <v>45</v>
      </c>
      <c r="C104" s="165">
        <v>61979</v>
      </c>
      <c r="D104" s="165">
        <v>263528360</v>
      </c>
      <c r="E104" s="156">
        <v>2.7203016871146121E-2</v>
      </c>
      <c r="F104" s="158">
        <v>42.518975782119753</v>
      </c>
      <c r="G104" s="163"/>
      <c r="H104" s="38" t="str">
        <f t="shared" si="1"/>
        <v>(40, 45]</v>
      </c>
      <c r="I104" s="159">
        <v>3</v>
      </c>
      <c r="J104" s="156">
        <v>8.1609050613438358E-2</v>
      </c>
      <c r="K104" s="156">
        <v>0.19167510082330699</v>
      </c>
      <c r="L104" s="160">
        <v>191675100</v>
      </c>
      <c r="M104" s="156">
        <v>0.1916751009583755</v>
      </c>
      <c r="N104" s="156">
        <v>8.1498289756845264</v>
      </c>
      <c r="O104" s="163"/>
      <c r="P104" s="156">
        <v>0.1916751009583755</v>
      </c>
      <c r="Q104" s="156"/>
      <c r="R104" s="156"/>
      <c r="S104" s="164">
        <v>0</v>
      </c>
      <c r="T104" s="184"/>
    </row>
    <row r="105" spans="1:20">
      <c r="A105" s="133">
        <v>45</v>
      </c>
      <c r="B105" s="133">
        <v>50</v>
      </c>
      <c r="C105" s="165">
        <v>57512</v>
      </c>
      <c r="D105" s="165">
        <v>273347815</v>
      </c>
      <c r="E105" s="156">
        <v>2.524241930804556E-2</v>
      </c>
      <c r="F105" s="158">
        <v>47.528831374321882</v>
      </c>
      <c r="G105" s="163"/>
      <c r="H105" s="38" t="str">
        <f t="shared" si="1"/>
        <v>(45, 50]</v>
      </c>
      <c r="I105" s="159">
        <v>3</v>
      </c>
      <c r="J105" s="156">
        <v>7.5727257924136676E-2</v>
      </c>
      <c r="K105" s="156">
        <v>0.17786053983688077</v>
      </c>
      <c r="L105" s="160">
        <v>177860539</v>
      </c>
      <c r="M105" s="156">
        <v>0.1778605398893027</v>
      </c>
      <c r="N105" s="156">
        <v>8.4535036085445192</v>
      </c>
      <c r="O105" s="163"/>
      <c r="P105" s="156">
        <v>0.1778605398893027</v>
      </c>
      <c r="Q105" s="156"/>
      <c r="R105" s="156"/>
      <c r="S105" s="164">
        <v>0</v>
      </c>
      <c r="T105" s="184"/>
    </row>
    <row r="106" spans="1:20">
      <c r="A106" s="133">
        <v>50</v>
      </c>
      <c r="B106" s="133">
        <v>60</v>
      </c>
      <c r="C106" s="165">
        <v>104777</v>
      </c>
      <c r="D106" s="165">
        <v>575637135</v>
      </c>
      <c r="E106" s="156">
        <v>4.5987358600624036E-2</v>
      </c>
      <c r="F106" s="158">
        <v>54.939264819569182</v>
      </c>
      <c r="G106" s="163">
        <v>2.12</v>
      </c>
      <c r="H106" s="168" t="str">
        <f t="shared" si="1"/>
        <v>(50, 60]</v>
      </c>
      <c r="I106" s="159">
        <v>1.5</v>
      </c>
      <c r="J106" s="156">
        <v>6.8981037900936057E-2</v>
      </c>
      <c r="K106" s="156">
        <v>0.16201569918007422</v>
      </c>
      <c r="L106" s="160">
        <v>162015699</v>
      </c>
      <c r="M106" s="156">
        <v>0.16201569981007849</v>
      </c>
      <c r="N106" s="156">
        <v>8.9010234367937269</v>
      </c>
      <c r="O106" s="163"/>
      <c r="P106" s="156">
        <v>0.16201569981007849</v>
      </c>
      <c r="Q106" s="156"/>
      <c r="R106" s="156"/>
      <c r="S106" s="164">
        <v>0</v>
      </c>
      <c r="T106" s="184"/>
    </row>
    <row r="107" spans="1:20">
      <c r="A107" s="133">
        <v>60</v>
      </c>
      <c r="B107" s="133">
        <v>70</v>
      </c>
      <c r="C107" s="165">
        <v>92873</v>
      </c>
      <c r="D107" s="165">
        <v>603037995</v>
      </c>
      <c r="E107" s="156">
        <v>4.076260968834531E-2</v>
      </c>
      <c r="F107" s="158">
        <v>64.931465011359592</v>
      </c>
      <c r="G107" s="163">
        <v>5.94</v>
      </c>
      <c r="H107" s="38" t="str">
        <f t="shared" si="1"/>
        <v>(60, 70]</v>
      </c>
      <c r="I107" s="159">
        <v>1.4</v>
      </c>
      <c r="J107" s="156">
        <v>5.7067653563683429E-2</v>
      </c>
      <c r="K107" s="156">
        <v>0.13403474453319236</v>
      </c>
      <c r="L107" s="160">
        <v>134034744</v>
      </c>
      <c r="M107" s="156">
        <v>0.13403474467017373</v>
      </c>
      <c r="N107" s="156">
        <v>8.7030723338579019</v>
      </c>
      <c r="O107" s="163"/>
      <c r="P107" s="156">
        <v>0.13403474467017373</v>
      </c>
      <c r="Q107" s="156"/>
      <c r="R107" s="156"/>
      <c r="S107" s="164">
        <v>0</v>
      </c>
      <c r="T107" s="184"/>
    </row>
    <row r="108" spans="1:20">
      <c r="A108" s="133">
        <v>70</v>
      </c>
      <c r="B108" s="133">
        <v>80</v>
      </c>
      <c r="C108" s="165">
        <v>83293</v>
      </c>
      <c r="D108" s="165">
        <v>624248335</v>
      </c>
      <c r="E108" s="156">
        <v>3.6557880640997339E-2</v>
      </c>
      <c r="F108" s="158">
        <v>74.946074099864333</v>
      </c>
      <c r="G108" s="163">
        <v>5.07</v>
      </c>
      <c r="H108" s="38" t="str">
        <f t="shared" si="1"/>
        <v>(70, 80]</v>
      </c>
      <c r="I108" s="159">
        <v>1.2</v>
      </c>
      <c r="J108" s="156">
        <v>4.3869456769196805E-2</v>
      </c>
      <c r="K108" s="156">
        <v>0.10303615207006057</v>
      </c>
      <c r="L108" s="160">
        <v>103036152</v>
      </c>
      <c r="M108" s="156">
        <v>0.10303615251518077</v>
      </c>
      <c r="N108" s="156">
        <v>7.7221551213676607</v>
      </c>
      <c r="O108" s="163"/>
      <c r="P108" s="156">
        <v>0.10303615251518077</v>
      </c>
      <c r="Q108" s="156"/>
      <c r="R108" s="156"/>
      <c r="S108" s="164">
        <v>0</v>
      </c>
      <c r="T108" s="184"/>
    </row>
    <row r="109" spans="1:20">
      <c r="A109" s="133">
        <v>80</v>
      </c>
      <c r="B109" s="133">
        <v>90</v>
      </c>
      <c r="C109" s="165">
        <v>74862</v>
      </c>
      <c r="D109" s="165">
        <v>635978325</v>
      </c>
      <c r="E109" s="156">
        <v>3.2857455735131914E-2</v>
      </c>
      <c r="F109" s="158">
        <v>84.953424300713309</v>
      </c>
      <c r="G109" s="163">
        <v>2.4900000000000002</v>
      </c>
      <c r="H109" s="38" t="str">
        <f t="shared" si="1"/>
        <v>(80, 90]</v>
      </c>
      <c r="I109" s="159">
        <v>1.2</v>
      </c>
      <c r="J109" s="156">
        <v>3.9428946882158297E-2</v>
      </c>
      <c r="K109" s="156">
        <v>9.2606730652862485E-2</v>
      </c>
      <c r="L109" s="160">
        <v>92606730</v>
      </c>
      <c r="M109" s="156">
        <v>9.2606730463033651E-2</v>
      </c>
      <c r="N109" s="156">
        <v>7.8672588661278908</v>
      </c>
      <c r="O109" s="163"/>
      <c r="P109" s="156">
        <v>9.2606730463033651E-2</v>
      </c>
      <c r="Q109" s="156"/>
      <c r="R109" s="156"/>
      <c r="S109" s="164">
        <v>0</v>
      </c>
      <c r="T109" s="184"/>
    </row>
    <row r="110" spans="1:20">
      <c r="A110" s="133">
        <v>90</v>
      </c>
      <c r="B110" s="133">
        <v>100</v>
      </c>
      <c r="C110" s="165">
        <v>67374</v>
      </c>
      <c r="D110" s="165">
        <v>639750200</v>
      </c>
      <c r="E110" s="156">
        <v>2.95709201290211E-2</v>
      </c>
      <c r="F110" s="158">
        <v>94.955056846854873</v>
      </c>
      <c r="G110" s="163">
        <v>2.13</v>
      </c>
      <c r="H110" s="38" t="str">
        <f t="shared" si="1"/>
        <v>(90, 100]</v>
      </c>
      <c r="I110" s="185">
        <v>0.93</v>
      </c>
      <c r="J110" s="182">
        <v>2.7500955719989624E-2</v>
      </c>
      <c r="K110" s="182">
        <v>6.4591468969966301E-2</v>
      </c>
      <c r="L110" s="160">
        <v>64591468</v>
      </c>
      <c r="M110" s="182">
        <v>6.4591468322957341E-2</v>
      </c>
      <c r="N110" s="182">
        <v>6.1332865464282404</v>
      </c>
      <c r="O110" s="163"/>
      <c r="P110" s="156">
        <v>6.4591468322957341E-2</v>
      </c>
      <c r="Q110" s="156"/>
      <c r="R110" s="156"/>
      <c r="S110" s="164">
        <v>0</v>
      </c>
      <c r="T110" s="184"/>
    </row>
    <row r="111" spans="1:20">
      <c r="A111" s="133">
        <v>100</v>
      </c>
      <c r="B111" s="133">
        <v>120</v>
      </c>
      <c r="C111" s="165">
        <v>117138</v>
      </c>
      <c r="D111" s="165">
        <v>1285241290</v>
      </c>
      <c r="E111" s="156">
        <v>5.1412688011299224E-2</v>
      </c>
      <c r="F111" s="158">
        <v>109.72026925506667</v>
      </c>
      <c r="G111" s="163">
        <v>1.6</v>
      </c>
      <c r="H111" s="38" t="str">
        <f t="shared" si="1"/>
        <v>(100, 120]</v>
      </c>
      <c r="I111" s="185">
        <v>0.38</v>
      </c>
      <c r="J111" s="182">
        <v>1.9536821444293705E-2</v>
      </c>
      <c r="K111" s="182">
        <v>4.5886114247790405E-2</v>
      </c>
      <c r="L111" s="160">
        <v>45886114</v>
      </c>
      <c r="M111" s="182">
        <v>4.588611422943057E-2</v>
      </c>
      <c r="N111" s="182">
        <v>5.034636808321868</v>
      </c>
      <c r="O111" s="163"/>
      <c r="P111" s="156">
        <v>4.588611422943057E-2</v>
      </c>
      <c r="Q111" s="156"/>
      <c r="R111" s="156"/>
      <c r="S111" s="164">
        <v>0</v>
      </c>
      <c r="T111" s="184"/>
    </row>
    <row r="112" spans="1:20">
      <c r="A112" s="133">
        <v>120</v>
      </c>
      <c r="B112" s="133">
        <v>140</v>
      </c>
      <c r="C112" s="165">
        <v>98023</v>
      </c>
      <c r="D112" s="165">
        <v>1271812335</v>
      </c>
      <c r="E112" s="156">
        <v>4.3022980731543849E-2</v>
      </c>
      <c r="F112" s="158">
        <v>129.7463182110321</v>
      </c>
      <c r="G112" s="163">
        <v>0.68</v>
      </c>
      <c r="H112" s="38" t="str">
        <f t="shared" si="1"/>
        <v>(120, 140]</v>
      </c>
      <c r="I112" s="185">
        <v>0.28000000000000003</v>
      </c>
      <c r="J112" s="182">
        <v>1.2046434604832278E-2</v>
      </c>
      <c r="K112" s="182">
        <v>2.8293449685865894E-2</v>
      </c>
      <c r="L112" s="160">
        <v>28293449</v>
      </c>
      <c r="M112" s="182">
        <v>2.8293449141467246E-2</v>
      </c>
      <c r="N112" s="182">
        <v>3.6709708555964622</v>
      </c>
      <c r="O112" s="163"/>
      <c r="P112" s="156">
        <v>2.8293449141467246E-2</v>
      </c>
      <c r="Q112" s="156"/>
      <c r="R112" s="156"/>
      <c r="S112" s="164">
        <v>0</v>
      </c>
      <c r="T112" s="184"/>
    </row>
    <row r="113" spans="1:20">
      <c r="A113" s="133">
        <v>140</v>
      </c>
      <c r="B113" s="133">
        <v>160</v>
      </c>
      <c r="C113" s="165">
        <v>83073</v>
      </c>
      <c r="D113" s="165">
        <v>1244282160</v>
      </c>
      <c r="E113" s="156">
        <v>3.6461321101287886E-2</v>
      </c>
      <c r="F113" s="158">
        <v>149.7817774728251</v>
      </c>
      <c r="G113" s="163">
        <v>1.03</v>
      </c>
      <c r="H113" s="38" t="str">
        <f t="shared" si="1"/>
        <v>(140, 160]</v>
      </c>
      <c r="I113" s="185">
        <v>0</v>
      </c>
      <c r="J113" s="182">
        <v>0</v>
      </c>
      <c r="K113" s="182">
        <v>0</v>
      </c>
      <c r="L113" s="160">
        <v>0</v>
      </c>
      <c r="M113" s="182">
        <v>0</v>
      </c>
      <c r="N113" s="182">
        <v>0</v>
      </c>
      <c r="O113" s="163"/>
      <c r="P113" s="156">
        <v>0</v>
      </c>
      <c r="Q113" s="156"/>
      <c r="R113" s="156"/>
      <c r="S113" s="164">
        <v>0</v>
      </c>
      <c r="T113" s="184"/>
    </row>
    <row r="114" spans="1:20">
      <c r="A114" s="133">
        <v>160</v>
      </c>
      <c r="B114" s="133">
        <v>180</v>
      </c>
      <c r="C114" s="165">
        <v>71278</v>
      </c>
      <c r="D114" s="165">
        <v>1210416050</v>
      </c>
      <c r="E114" s="156">
        <v>3.1284413051865204E-2</v>
      </c>
      <c r="F114" s="158">
        <v>169.81621959089759</v>
      </c>
      <c r="G114" s="163">
        <v>0.3</v>
      </c>
      <c r="H114" s="38" t="str">
        <f t="shared" si="1"/>
        <v>(160, 180]</v>
      </c>
      <c r="I114" s="185">
        <v>0</v>
      </c>
      <c r="J114" s="182">
        <v>0</v>
      </c>
      <c r="K114" s="182">
        <v>0</v>
      </c>
      <c r="L114" s="160">
        <v>0</v>
      </c>
      <c r="M114" s="182">
        <v>0</v>
      </c>
      <c r="N114" s="182">
        <v>0</v>
      </c>
      <c r="O114" s="163"/>
      <c r="P114" s="156">
        <v>0</v>
      </c>
      <c r="Q114" s="156"/>
      <c r="R114" s="156"/>
      <c r="S114" s="164">
        <v>0</v>
      </c>
      <c r="T114" s="184"/>
    </row>
    <row r="115" spans="1:20">
      <c r="A115" s="133">
        <v>180</v>
      </c>
      <c r="B115" s="133">
        <v>200</v>
      </c>
      <c r="C115" s="165">
        <v>61850</v>
      </c>
      <c r="D115" s="165">
        <v>1174015420</v>
      </c>
      <c r="E115" s="156">
        <v>2.7146397868316487E-2</v>
      </c>
      <c r="F115" s="158">
        <v>189.81655941794662</v>
      </c>
      <c r="G115" s="163">
        <v>0.26</v>
      </c>
      <c r="H115" s="38" t="str">
        <f t="shared" si="1"/>
        <v>(180, 200]</v>
      </c>
      <c r="I115" s="185">
        <v>0</v>
      </c>
      <c r="J115" s="182">
        <v>0</v>
      </c>
      <c r="K115" s="182">
        <v>0</v>
      </c>
      <c r="L115" s="160">
        <v>0</v>
      </c>
      <c r="M115" s="182">
        <v>0</v>
      </c>
      <c r="N115" s="182">
        <v>0</v>
      </c>
      <c r="O115" s="163"/>
      <c r="P115" s="156">
        <v>0</v>
      </c>
      <c r="Q115" s="156"/>
      <c r="R115" s="156"/>
      <c r="S115" s="164">
        <v>0</v>
      </c>
      <c r="T115" s="184"/>
    </row>
    <row r="116" spans="1:20">
      <c r="A116" s="133">
        <v>200</v>
      </c>
      <c r="B116" s="133">
        <v>250</v>
      </c>
      <c r="C116" s="165">
        <v>123505</v>
      </c>
      <c r="D116" s="165">
        <v>2763375860</v>
      </c>
      <c r="E116" s="156">
        <v>5.4207208871890511E-2</v>
      </c>
      <c r="F116" s="158">
        <v>223.7460718189547</v>
      </c>
      <c r="G116" s="163">
        <v>0.3</v>
      </c>
      <c r="H116" s="38" t="str">
        <f t="shared" si="1"/>
        <v>(200, 250]</v>
      </c>
      <c r="I116" s="185">
        <v>0</v>
      </c>
      <c r="J116" s="182">
        <v>0</v>
      </c>
      <c r="K116" s="182">
        <v>0</v>
      </c>
      <c r="L116" s="160">
        <v>0</v>
      </c>
      <c r="M116" s="182">
        <v>0</v>
      </c>
      <c r="N116" s="182">
        <v>0</v>
      </c>
      <c r="O116" s="163"/>
      <c r="P116" s="156">
        <v>0</v>
      </c>
      <c r="Q116" s="156"/>
      <c r="R116" s="156"/>
      <c r="S116" s="164">
        <v>0</v>
      </c>
      <c r="T116" s="184"/>
    </row>
    <row r="117" spans="1:20">
      <c r="A117" s="133">
        <v>250</v>
      </c>
      <c r="B117" s="133">
        <v>300</v>
      </c>
      <c r="C117" s="165">
        <v>91171</v>
      </c>
      <c r="D117" s="165">
        <v>2497132705</v>
      </c>
      <c r="E117" s="156">
        <v>4.0015589976593088E-2</v>
      </c>
      <c r="F117" s="158">
        <v>273.89550460124383</v>
      </c>
      <c r="G117" s="163">
        <v>0.09</v>
      </c>
      <c r="H117" s="38" t="str">
        <f t="shared" si="1"/>
        <v>(250, 300]</v>
      </c>
      <c r="I117" s="185">
        <v>0</v>
      </c>
      <c r="J117" s="182">
        <v>0</v>
      </c>
      <c r="K117" s="182">
        <v>0</v>
      </c>
      <c r="L117" s="160">
        <v>0</v>
      </c>
      <c r="M117" s="182">
        <v>0</v>
      </c>
      <c r="N117" s="182">
        <v>0</v>
      </c>
      <c r="O117" s="163"/>
      <c r="P117" s="156">
        <v>0</v>
      </c>
      <c r="Q117" s="156"/>
      <c r="R117" s="156"/>
      <c r="S117" s="164">
        <v>0</v>
      </c>
      <c r="T117" s="184"/>
    </row>
    <row r="118" spans="1:20">
      <c r="A118" s="133">
        <v>300</v>
      </c>
      <c r="B118" s="133">
        <v>350</v>
      </c>
      <c r="C118" s="165">
        <v>70283</v>
      </c>
      <c r="D118" s="165">
        <v>2277474765</v>
      </c>
      <c r="E118" s="156">
        <v>3.0847700588179268E-2</v>
      </c>
      <c r="F118" s="158">
        <v>324.04347637408762</v>
      </c>
      <c r="G118" s="163">
        <v>0.08</v>
      </c>
      <c r="H118" s="38" t="str">
        <f t="shared" si="1"/>
        <v>(300, 350]</v>
      </c>
      <c r="I118" s="185">
        <v>0</v>
      </c>
      <c r="J118" s="182">
        <v>0</v>
      </c>
      <c r="K118" s="182">
        <v>0</v>
      </c>
      <c r="L118" s="160">
        <v>0</v>
      </c>
      <c r="M118" s="182">
        <v>0</v>
      </c>
      <c r="N118" s="182">
        <v>0</v>
      </c>
      <c r="O118" s="163"/>
      <c r="P118" s="156">
        <v>0</v>
      </c>
      <c r="Q118" s="156"/>
      <c r="R118" s="156"/>
      <c r="S118" s="164">
        <v>0</v>
      </c>
      <c r="T118" s="184"/>
    </row>
    <row r="119" spans="1:20">
      <c r="A119" s="133">
        <v>350</v>
      </c>
      <c r="B119" s="133">
        <v>400</v>
      </c>
      <c r="C119" s="165">
        <v>54191</v>
      </c>
      <c r="D119" s="165">
        <v>2026990150</v>
      </c>
      <c r="E119" s="156">
        <v>2.3784809165431509E-2</v>
      </c>
      <c r="F119" s="158">
        <v>374.04553339115353</v>
      </c>
      <c r="G119" s="163">
        <v>0.01</v>
      </c>
      <c r="H119" s="38" t="str">
        <f t="shared" si="1"/>
        <v>(350, 400]</v>
      </c>
      <c r="I119" s="185">
        <v>0</v>
      </c>
      <c r="J119" s="182">
        <v>0</v>
      </c>
      <c r="K119" s="182">
        <v>0</v>
      </c>
      <c r="L119" s="160">
        <v>0</v>
      </c>
      <c r="M119" s="182">
        <v>0</v>
      </c>
      <c r="N119" s="182">
        <v>0</v>
      </c>
      <c r="O119" s="163"/>
      <c r="P119" s="156">
        <v>0</v>
      </c>
      <c r="Q119" s="156"/>
      <c r="R119" s="156"/>
      <c r="S119" s="164">
        <v>0</v>
      </c>
      <c r="T119" s="184"/>
    </row>
    <row r="120" spans="1:20">
      <c r="A120" s="133">
        <v>400</v>
      </c>
      <c r="B120" s="133">
        <v>450</v>
      </c>
      <c r="C120" s="165">
        <v>43300</v>
      </c>
      <c r="D120" s="165">
        <v>1836158150</v>
      </c>
      <c r="E120" s="156">
        <v>1.9004673042814939E-2</v>
      </c>
      <c r="F120" s="158">
        <v>424.05500000000001</v>
      </c>
      <c r="G120" s="163">
        <v>0.01</v>
      </c>
      <c r="H120" s="38" t="str">
        <f t="shared" si="1"/>
        <v>(400, 450]</v>
      </c>
      <c r="I120" s="185">
        <v>0</v>
      </c>
      <c r="J120" s="182">
        <v>0</v>
      </c>
      <c r="K120" s="182">
        <v>0</v>
      </c>
      <c r="L120" s="160">
        <v>0</v>
      </c>
      <c r="M120" s="182">
        <v>0</v>
      </c>
      <c r="N120" s="182">
        <v>0</v>
      </c>
      <c r="O120" s="163"/>
      <c r="P120" s="156">
        <v>0</v>
      </c>
      <c r="Q120" s="156"/>
      <c r="R120" s="156"/>
      <c r="S120" s="164">
        <v>0</v>
      </c>
      <c r="T120" s="184"/>
    </row>
    <row r="121" spans="1:20">
      <c r="A121" s="133">
        <v>450</v>
      </c>
      <c r="B121" s="133">
        <v>500</v>
      </c>
      <c r="C121" s="165">
        <v>35047</v>
      </c>
      <c r="D121" s="165">
        <v>1661604835</v>
      </c>
      <c r="E121" s="156">
        <v>1.5382373582714439E-2</v>
      </c>
      <c r="F121" s="158">
        <v>474.10757982138267</v>
      </c>
      <c r="G121" s="163">
        <v>0.01</v>
      </c>
      <c r="H121" s="38" t="str">
        <f t="shared" si="1"/>
        <v>(450, 500]</v>
      </c>
      <c r="I121" s="185">
        <v>0</v>
      </c>
      <c r="J121" s="182">
        <v>0</v>
      </c>
      <c r="K121" s="182">
        <v>0</v>
      </c>
      <c r="L121" s="160">
        <v>0</v>
      </c>
      <c r="M121" s="182">
        <v>0</v>
      </c>
      <c r="N121" s="182">
        <v>0</v>
      </c>
      <c r="O121" s="163"/>
      <c r="P121" s="156">
        <v>0</v>
      </c>
      <c r="Q121" s="156"/>
      <c r="R121" s="156"/>
      <c r="S121" s="164">
        <v>0</v>
      </c>
      <c r="T121" s="184"/>
    </row>
    <row r="122" spans="1:20">
      <c r="A122" s="133">
        <v>500</v>
      </c>
      <c r="B122" s="133">
        <v>550</v>
      </c>
      <c r="C122" s="165">
        <v>28158</v>
      </c>
      <c r="D122" s="165">
        <v>1476232245</v>
      </c>
      <c r="E122" s="156">
        <v>1.2358743268812542E-2</v>
      </c>
      <c r="F122" s="158">
        <v>524.26743554229699</v>
      </c>
      <c r="G122" s="163">
        <v>0.01</v>
      </c>
      <c r="H122" s="38" t="str">
        <f t="shared" si="1"/>
        <v>(500, 550]</v>
      </c>
      <c r="I122" s="185">
        <v>0</v>
      </c>
      <c r="J122" s="182">
        <v>0</v>
      </c>
      <c r="K122" s="182">
        <v>0</v>
      </c>
      <c r="L122" s="160">
        <v>0</v>
      </c>
      <c r="M122" s="182">
        <v>0</v>
      </c>
      <c r="N122" s="182">
        <v>0</v>
      </c>
      <c r="O122" s="163"/>
      <c r="P122" s="156">
        <v>0</v>
      </c>
      <c r="Q122" s="156"/>
      <c r="R122" s="156"/>
      <c r="S122" s="164">
        <v>0</v>
      </c>
      <c r="T122" s="184"/>
    </row>
    <row r="123" spans="1:20">
      <c r="A123" s="133">
        <v>550</v>
      </c>
      <c r="B123" s="133">
        <v>600</v>
      </c>
      <c r="C123" s="165">
        <v>23509</v>
      </c>
      <c r="D123" s="165">
        <v>1350228635</v>
      </c>
      <c r="E123" s="156">
        <v>1.0318264631952342E-2</v>
      </c>
      <c r="F123" s="158">
        <v>574.34541452209794</v>
      </c>
      <c r="G123" s="163">
        <v>0.01</v>
      </c>
      <c r="H123" s="38" t="str">
        <f t="shared" si="1"/>
        <v>(550, 600]</v>
      </c>
      <c r="I123" s="159">
        <v>0</v>
      </c>
      <c r="J123" s="156">
        <v>0</v>
      </c>
      <c r="K123" s="156">
        <v>0</v>
      </c>
      <c r="L123" s="160">
        <v>0</v>
      </c>
      <c r="M123" s="156">
        <v>0</v>
      </c>
      <c r="N123" s="156">
        <v>0</v>
      </c>
      <c r="O123" s="163"/>
      <c r="P123" s="156">
        <v>0</v>
      </c>
      <c r="Q123" s="156"/>
      <c r="R123" s="156"/>
      <c r="S123" s="164">
        <v>0</v>
      </c>
      <c r="T123" s="184"/>
    </row>
    <row r="124" spans="1:20">
      <c r="A124" s="133">
        <v>600</v>
      </c>
      <c r="B124" s="133">
        <v>650</v>
      </c>
      <c r="C124" s="165">
        <v>19576</v>
      </c>
      <c r="D124" s="165">
        <v>1222197930</v>
      </c>
      <c r="E124" s="156">
        <v>8.5920434061465406E-3</v>
      </c>
      <c r="F124" s="158">
        <v>624.33486411932984</v>
      </c>
      <c r="G124" s="163">
        <v>0.01</v>
      </c>
      <c r="H124" s="38" t="str">
        <f t="shared" si="1"/>
        <v>(600, 650]</v>
      </c>
      <c r="I124" s="159">
        <v>0</v>
      </c>
      <c r="J124" s="156">
        <v>0</v>
      </c>
      <c r="K124" s="156">
        <v>0</v>
      </c>
      <c r="L124" s="160">
        <v>0</v>
      </c>
      <c r="M124" s="156">
        <v>0</v>
      </c>
      <c r="N124" s="156">
        <v>0</v>
      </c>
      <c r="O124" s="163"/>
      <c r="P124" s="156">
        <v>0</v>
      </c>
      <c r="Q124" s="156"/>
      <c r="R124" s="156"/>
      <c r="S124" s="164">
        <v>0</v>
      </c>
      <c r="T124" s="184"/>
    </row>
    <row r="125" spans="1:20">
      <c r="A125" s="133">
        <v>650</v>
      </c>
      <c r="B125" s="133">
        <v>700</v>
      </c>
      <c r="C125" s="165">
        <v>16323</v>
      </c>
      <c r="D125" s="165">
        <v>1100626695</v>
      </c>
      <c r="E125" s="156">
        <v>7.1642789394426847E-3</v>
      </c>
      <c r="F125" s="158">
        <v>674.27966366476755</v>
      </c>
      <c r="G125" s="163">
        <v>0.01</v>
      </c>
      <c r="H125" s="38" t="str">
        <f t="shared" si="1"/>
        <v>(650, 700]</v>
      </c>
      <c r="I125" s="159">
        <v>0</v>
      </c>
      <c r="J125" s="156">
        <v>0</v>
      </c>
      <c r="K125" s="156">
        <v>0</v>
      </c>
      <c r="L125" s="160">
        <v>0</v>
      </c>
      <c r="M125" s="156">
        <v>0</v>
      </c>
      <c r="N125" s="156">
        <v>0</v>
      </c>
      <c r="O125" s="163"/>
      <c r="P125" s="156">
        <v>0</v>
      </c>
      <c r="Q125" s="156"/>
      <c r="R125" s="156"/>
      <c r="S125" s="164">
        <v>0</v>
      </c>
      <c r="T125" s="184"/>
    </row>
    <row r="126" spans="1:20">
      <c r="A126" s="133">
        <v>700</v>
      </c>
      <c r="B126" s="133">
        <v>750</v>
      </c>
      <c r="C126" s="165">
        <v>13958</v>
      </c>
      <c r="D126" s="165">
        <v>1010893865</v>
      </c>
      <c r="E126" s="156">
        <v>6.1262638875660717E-3</v>
      </c>
      <c r="F126" s="158">
        <v>724.23976572574873</v>
      </c>
      <c r="G126" s="163">
        <v>0.01</v>
      </c>
      <c r="H126" s="38" t="str">
        <f t="shared" si="1"/>
        <v>(700, 750]</v>
      </c>
      <c r="I126" s="159">
        <v>0</v>
      </c>
      <c r="J126" s="156">
        <v>0</v>
      </c>
      <c r="K126" s="156">
        <v>0</v>
      </c>
      <c r="L126" s="160">
        <v>0</v>
      </c>
      <c r="M126" s="156">
        <v>0</v>
      </c>
      <c r="N126" s="156">
        <v>0</v>
      </c>
      <c r="O126" s="163"/>
      <c r="P126" s="156">
        <v>0</v>
      </c>
      <c r="Q126" s="156"/>
      <c r="R126" s="156"/>
      <c r="S126" s="164">
        <v>0</v>
      </c>
      <c r="T126" s="184"/>
    </row>
    <row r="127" spans="1:20">
      <c r="A127" s="133">
        <v>750</v>
      </c>
      <c r="B127" s="133">
        <v>800</v>
      </c>
      <c r="C127" s="165">
        <v>11691</v>
      </c>
      <c r="D127" s="165">
        <v>905166865</v>
      </c>
      <c r="E127" s="156">
        <v>5.1312617215600338E-3</v>
      </c>
      <c r="F127" s="158">
        <v>774.24246428876916</v>
      </c>
      <c r="G127" s="163">
        <v>0.01</v>
      </c>
      <c r="H127" s="38" t="str">
        <f t="shared" si="1"/>
        <v>(750, 800]</v>
      </c>
      <c r="I127" s="159">
        <v>0</v>
      </c>
      <c r="J127" s="156">
        <v>0</v>
      </c>
      <c r="K127" s="156">
        <v>0</v>
      </c>
      <c r="L127" s="160">
        <v>0</v>
      </c>
      <c r="M127" s="156">
        <v>0</v>
      </c>
      <c r="N127" s="156">
        <v>0</v>
      </c>
      <c r="O127" s="163"/>
      <c r="P127" s="156">
        <v>0</v>
      </c>
      <c r="Q127" s="156"/>
      <c r="R127" s="156"/>
      <c r="S127" s="164">
        <v>0</v>
      </c>
      <c r="T127" s="184"/>
    </row>
    <row r="128" spans="1:20">
      <c r="A128" s="133">
        <v>800</v>
      </c>
      <c r="B128" s="133">
        <v>850</v>
      </c>
      <c r="C128" s="165">
        <v>10300</v>
      </c>
      <c r="D128" s="165">
        <v>849158805</v>
      </c>
      <c r="E128" s="156">
        <v>4.5207420863970869E-3</v>
      </c>
      <c r="F128" s="158">
        <v>824.42602427184465</v>
      </c>
      <c r="G128" s="163">
        <v>0.01</v>
      </c>
      <c r="H128" s="38" t="str">
        <f t="shared" si="1"/>
        <v>(800, 850]</v>
      </c>
      <c r="I128" s="159">
        <v>0</v>
      </c>
      <c r="J128" s="156">
        <v>0</v>
      </c>
      <c r="K128" s="156">
        <v>0</v>
      </c>
      <c r="L128" s="160">
        <v>0</v>
      </c>
      <c r="M128" s="156">
        <v>0</v>
      </c>
      <c r="N128" s="156">
        <v>0</v>
      </c>
      <c r="O128" s="163"/>
      <c r="P128" s="156">
        <v>0</v>
      </c>
      <c r="Q128" s="156"/>
      <c r="R128" s="156"/>
      <c r="S128" s="164">
        <v>0</v>
      </c>
      <c r="T128" s="184"/>
    </row>
    <row r="129" spans="1:20">
      <c r="A129" s="133">
        <v>850</v>
      </c>
      <c r="B129" s="133">
        <v>900</v>
      </c>
      <c r="C129" s="165">
        <v>8545</v>
      </c>
      <c r="D129" s="165">
        <v>747239950</v>
      </c>
      <c r="E129" s="156">
        <v>3.7504603037148651E-3</v>
      </c>
      <c r="F129" s="158">
        <v>874.47624341720302</v>
      </c>
      <c r="G129" s="163">
        <v>0.01</v>
      </c>
      <c r="H129" s="38" t="str">
        <f t="shared" si="1"/>
        <v>(850, 900]</v>
      </c>
      <c r="I129" s="159">
        <v>0</v>
      </c>
      <c r="J129" s="156">
        <v>0</v>
      </c>
      <c r="K129" s="156">
        <v>0</v>
      </c>
      <c r="L129" s="161">
        <v>0</v>
      </c>
      <c r="M129" s="156">
        <v>0</v>
      </c>
      <c r="N129" s="156">
        <v>0</v>
      </c>
      <c r="O129" s="163"/>
      <c r="P129" s="156">
        <v>0</v>
      </c>
      <c r="Q129" s="156"/>
      <c r="R129" s="156"/>
      <c r="S129" s="164">
        <v>0</v>
      </c>
      <c r="T129" s="184"/>
    </row>
    <row r="130" spans="1:20">
      <c r="A130" s="133">
        <v>900</v>
      </c>
      <c r="B130" s="133">
        <v>950</v>
      </c>
      <c r="C130" s="165">
        <v>7531</v>
      </c>
      <c r="D130" s="165">
        <v>696264460</v>
      </c>
      <c r="E130" s="156">
        <v>3.3054086070540257E-3</v>
      </c>
      <c r="F130" s="158">
        <v>924.53121763378033</v>
      </c>
      <c r="G130" s="163">
        <v>0.01</v>
      </c>
      <c r="H130" s="38" t="str">
        <f t="shared" si="1"/>
        <v>(900, 950]</v>
      </c>
      <c r="I130" s="159">
        <v>0</v>
      </c>
      <c r="J130" s="156">
        <v>0</v>
      </c>
      <c r="K130" s="156">
        <v>0</v>
      </c>
      <c r="L130" s="161">
        <v>0</v>
      </c>
      <c r="M130" s="156">
        <v>0</v>
      </c>
      <c r="N130" s="156">
        <v>0</v>
      </c>
      <c r="O130" s="163"/>
      <c r="P130" s="156">
        <v>0</v>
      </c>
      <c r="Q130" s="156"/>
      <c r="R130" s="156"/>
      <c r="S130" s="164">
        <v>0</v>
      </c>
      <c r="T130" s="184"/>
    </row>
    <row r="131" spans="1:20">
      <c r="A131" s="133">
        <v>950</v>
      </c>
      <c r="B131" s="133">
        <v>1000</v>
      </c>
      <c r="C131" s="165">
        <v>6522</v>
      </c>
      <c r="D131" s="165">
        <v>635506350</v>
      </c>
      <c r="E131" s="156">
        <v>2.8625514453865827E-3</v>
      </c>
      <c r="F131" s="158">
        <v>974.4040938362466</v>
      </c>
      <c r="G131" s="163">
        <v>0.01</v>
      </c>
      <c r="H131" s="38" t="str">
        <f t="shared" si="1"/>
        <v>(950, 1000]</v>
      </c>
      <c r="I131" s="159">
        <v>0</v>
      </c>
      <c r="J131" s="156">
        <v>0</v>
      </c>
      <c r="K131" s="156">
        <v>0</v>
      </c>
      <c r="L131" s="161">
        <v>0</v>
      </c>
      <c r="M131" s="156">
        <v>0</v>
      </c>
      <c r="N131" s="156">
        <v>0</v>
      </c>
      <c r="O131" s="163"/>
      <c r="P131" s="156">
        <v>0</v>
      </c>
      <c r="Q131" s="156"/>
      <c r="R131" s="156"/>
      <c r="S131" s="164">
        <v>0</v>
      </c>
      <c r="T131" s="184"/>
    </row>
    <row r="132" spans="1:20">
      <c r="A132" s="133">
        <v>1000</v>
      </c>
      <c r="B132" s="133">
        <v>2000</v>
      </c>
      <c r="C132" s="165">
        <v>45431</v>
      </c>
      <c r="D132" s="165">
        <v>6016529675</v>
      </c>
      <c r="E132" s="156">
        <v>1.993998385700059E-2</v>
      </c>
      <c r="F132" s="158">
        <v>1324.322527569281</v>
      </c>
      <c r="G132" s="163">
        <v>0.01</v>
      </c>
      <c r="H132" s="38" t="str">
        <f t="shared" si="1"/>
        <v>(1000, 2000]</v>
      </c>
      <c r="I132" s="159">
        <v>0</v>
      </c>
      <c r="J132" s="156">
        <v>0</v>
      </c>
      <c r="K132" s="156">
        <v>0</v>
      </c>
      <c r="L132" s="161">
        <v>0</v>
      </c>
      <c r="M132" s="156">
        <v>0</v>
      </c>
      <c r="N132" s="156">
        <v>0</v>
      </c>
      <c r="O132" s="163"/>
      <c r="P132" s="156">
        <v>0</v>
      </c>
      <c r="Q132" s="156"/>
      <c r="R132" s="156"/>
      <c r="S132" s="164">
        <v>0</v>
      </c>
      <c r="T132" s="184"/>
    </row>
    <row r="133" spans="1:20">
      <c r="A133" s="133">
        <v>2000</v>
      </c>
      <c r="B133" s="133">
        <v>3000</v>
      </c>
      <c r="C133" s="165">
        <v>6086</v>
      </c>
      <c r="D133" s="165">
        <v>1439400455</v>
      </c>
      <c r="E133" s="156">
        <v>2.6711879939623952E-3</v>
      </c>
      <c r="F133" s="158">
        <v>2365.1009776536316</v>
      </c>
      <c r="G133" s="163">
        <v>0.01</v>
      </c>
      <c r="H133" s="38" t="str">
        <f t="shared" si="1"/>
        <v>(2000, 3000]</v>
      </c>
      <c r="I133" s="159">
        <v>0</v>
      </c>
      <c r="J133" s="156">
        <v>0</v>
      </c>
      <c r="K133" s="156">
        <v>0</v>
      </c>
      <c r="L133" s="161">
        <v>0</v>
      </c>
      <c r="M133" s="156">
        <v>0</v>
      </c>
      <c r="N133" s="156">
        <v>0</v>
      </c>
      <c r="O133" s="163"/>
      <c r="P133" s="156">
        <v>0</v>
      </c>
      <c r="Q133" s="156"/>
      <c r="R133" s="156"/>
      <c r="S133" s="164">
        <v>0</v>
      </c>
      <c r="T133" s="184"/>
    </row>
    <row r="134" spans="1:20">
      <c r="A134" s="133">
        <v>3000</v>
      </c>
      <c r="B134" s="133">
        <v>4000</v>
      </c>
      <c r="C134" s="165">
        <v>1330</v>
      </c>
      <c r="D134" s="165">
        <v>451295940</v>
      </c>
      <c r="E134" s="156">
        <v>5.8374630824350733E-4</v>
      </c>
      <c r="F134" s="158">
        <v>3393.2025563909779</v>
      </c>
      <c r="G134" s="163">
        <v>0.01</v>
      </c>
      <c r="H134" s="38" t="str">
        <f t="shared" si="1"/>
        <v>(3000, 4000]</v>
      </c>
      <c r="I134" s="159">
        <v>0</v>
      </c>
      <c r="J134" s="156">
        <v>0</v>
      </c>
      <c r="K134" s="156">
        <v>0</v>
      </c>
      <c r="L134" s="161">
        <v>0</v>
      </c>
      <c r="M134" s="156">
        <v>0</v>
      </c>
      <c r="N134" s="156">
        <v>0</v>
      </c>
      <c r="O134" s="163"/>
      <c r="P134" s="156">
        <v>0</v>
      </c>
      <c r="Q134" s="156"/>
      <c r="R134" s="156"/>
      <c r="S134" s="164">
        <v>0</v>
      </c>
    </row>
    <row r="135" spans="1:20">
      <c r="A135" s="133">
        <v>4000</v>
      </c>
      <c r="B135" s="133">
        <v>5000</v>
      </c>
      <c r="C135" s="165">
        <v>361</v>
      </c>
      <c r="D135" s="165">
        <v>158982415</v>
      </c>
      <c r="E135" s="156">
        <v>1.5844542652323771E-4</v>
      </c>
      <c r="F135" s="158">
        <v>4403.9450138504153</v>
      </c>
      <c r="G135" s="163">
        <v>0.01</v>
      </c>
      <c r="H135" s="38" t="str">
        <f t="shared" si="1"/>
        <v>(4000, 5000]</v>
      </c>
      <c r="I135" s="159">
        <v>0</v>
      </c>
      <c r="J135" s="156">
        <v>0</v>
      </c>
      <c r="K135" s="156">
        <v>0</v>
      </c>
      <c r="L135" s="161">
        <v>0</v>
      </c>
      <c r="M135" s="156">
        <v>0</v>
      </c>
      <c r="N135" s="156">
        <v>0</v>
      </c>
      <c r="O135" s="163"/>
      <c r="P135" s="156">
        <v>0</v>
      </c>
      <c r="Q135" s="156"/>
      <c r="R135" s="156"/>
      <c r="S135" s="164">
        <v>0</v>
      </c>
    </row>
    <row r="136" spans="1:20">
      <c r="A136" s="133">
        <v>5000</v>
      </c>
      <c r="B136" s="133">
        <v>6000</v>
      </c>
      <c r="C136" s="165">
        <v>133</v>
      </c>
      <c r="D136" s="165">
        <v>72027630</v>
      </c>
      <c r="E136" s="156">
        <v>5.8374630824350737E-5</v>
      </c>
      <c r="F136" s="158">
        <v>5415.611278195488</v>
      </c>
      <c r="G136" s="163">
        <v>0.01</v>
      </c>
      <c r="H136" s="38" t="str">
        <f t="shared" si="1"/>
        <v>(5000, 6000]</v>
      </c>
      <c r="I136" s="159">
        <v>0</v>
      </c>
      <c r="J136" s="156">
        <v>0</v>
      </c>
      <c r="K136" s="156">
        <v>0</v>
      </c>
      <c r="L136" s="161">
        <v>0</v>
      </c>
      <c r="M136" s="156">
        <v>0</v>
      </c>
      <c r="N136" s="156">
        <v>0</v>
      </c>
      <c r="O136" s="163"/>
      <c r="P136" s="156">
        <v>0</v>
      </c>
      <c r="Q136" s="156"/>
      <c r="R136" s="156"/>
      <c r="S136" s="164">
        <v>0</v>
      </c>
    </row>
    <row r="137" spans="1:20">
      <c r="A137" s="133">
        <v>6000</v>
      </c>
      <c r="B137" s="133">
        <v>7000</v>
      </c>
      <c r="C137" s="165">
        <v>48</v>
      </c>
      <c r="D137" s="165">
        <v>30871890</v>
      </c>
      <c r="E137" s="156">
        <v>2.1067535936607783E-5</v>
      </c>
      <c r="F137" s="158">
        <v>6431.6437500000002</v>
      </c>
      <c r="G137" s="163">
        <v>0.01</v>
      </c>
      <c r="H137" s="38" t="str">
        <f t="shared" si="1"/>
        <v>(6000, 7000]</v>
      </c>
      <c r="I137" s="159">
        <v>0</v>
      </c>
      <c r="J137" s="156">
        <v>0</v>
      </c>
      <c r="K137" s="156">
        <v>0</v>
      </c>
      <c r="L137" s="161">
        <v>0</v>
      </c>
      <c r="M137" s="156">
        <v>0</v>
      </c>
      <c r="N137" s="156">
        <v>0</v>
      </c>
      <c r="O137" s="163"/>
      <c r="P137" s="156">
        <v>0</v>
      </c>
      <c r="Q137" s="156"/>
      <c r="R137" s="156"/>
      <c r="S137" s="164">
        <v>0</v>
      </c>
    </row>
    <row r="138" spans="1:20">
      <c r="A138" s="133">
        <v>7000</v>
      </c>
      <c r="B138" s="133">
        <v>8000</v>
      </c>
      <c r="C138" s="165">
        <v>27</v>
      </c>
      <c r="D138" s="165">
        <v>20035630</v>
      </c>
      <c r="E138" s="156">
        <v>1.1850488964341879E-5</v>
      </c>
      <c r="F138" s="158">
        <v>7420.6037037037031</v>
      </c>
      <c r="G138" s="163">
        <v>0.01</v>
      </c>
      <c r="H138" s="38" t="str">
        <f t="shared" si="1"/>
        <v>(7000, 8000]</v>
      </c>
      <c r="I138" s="159">
        <v>0</v>
      </c>
      <c r="J138" s="156">
        <v>0</v>
      </c>
      <c r="K138" s="156">
        <v>0</v>
      </c>
      <c r="L138" s="161">
        <v>0</v>
      </c>
      <c r="M138" s="156">
        <v>0</v>
      </c>
      <c r="N138" s="156">
        <v>0</v>
      </c>
      <c r="O138" s="163"/>
      <c r="P138" s="156">
        <v>0</v>
      </c>
      <c r="Q138" s="156"/>
      <c r="R138" s="156"/>
      <c r="S138" s="164">
        <v>0</v>
      </c>
    </row>
    <row r="139" spans="1:20">
      <c r="A139" s="133">
        <v>8000</v>
      </c>
      <c r="B139" s="133">
        <v>9000</v>
      </c>
      <c r="C139" s="165">
        <v>19</v>
      </c>
      <c r="D139" s="165">
        <v>15872480</v>
      </c>
      <c r="E139" s="156">
        <v>8.3392329749072486E-6</v>
      </c>
      <c r="F139" s="158">
        <v>8353.9368421052623</v>
      </c>
      <c r="G139" s="163">
        <v>0.01</v>
      </c>
      <c r="H139" s="38" t="str">
        <f t="shared" si="1"/>
        <v>(8000, 9000]</v>
      </c>
      <c r="I139" s="159">
        <v>0</v>
      </c>
      <c r="J139" s="156">
        <v>0</v>
      </c>
      <c r="K139" s="156">
        <v>0</v>
      </c>
      <c r="L139" s="161">
        <v>0</v>
      </c>
      <c r="M139" s="156">
        <v>0</v>
      </c>
      <c r="N139" s="156">
        <v>0</v>
      </c>
      <c r="O139" s="163"/>
      <c r="P139" s="156">
        <v>0</v>
      </c>
      <c r="Q139" s="156"/>
      <c r="R139" s="156"/>
      <c r="S139" s="164">
        <v>0</v>
      </c>
    </row>
    <row r="140" spans="1:20">
      <c r="A140" s="133">
        <v>9000</v>
      </c>
      <c r="B140" s="133">
        <v>10000</v>
      </c>
      <c r="C140" s="165">
        <v>11</v>
      </c>
      <c r="D140" s="165">
        <v>10382895</v>
      </c>
      <c r="E140" s="156">
        <v>4.8279769854726173E-6</v>
      </c>
      <c r="F140" s="158">
        <v>9438.9954545454548</v>
      </c>
      <c r="G140" s="163">
        <v>0.01</v>
      </c>
      <c r="H140" s="38" t="str">
        <f t="shared" si="1"/>
        <v>(9000, 10000]</v>
      </c>
      <c r="I140" s="159">
        <v>0</v>
      </c>
      <c r="J140" s="156">
        <v>0</v>
      </c>
      <c r="K140" s="156">
        <v>0</v>
      </c>
      <c r="L140" s="161">
        <v>0</v>
      </c>
      <c r="M140" s="156">
        <v>0</v>
      </c>
      <c r="N140" s="156">
        <v>0</v>
      </c>
      <c r="O140" s="163"/>
      <c r="P140" s="156">
        <v>0</v>
      </c>
      <c r="Q140" s="156"/>
      <c r="R140" s="156"/>
      <c r="S140" s="164">
        <v>0</v>
      </c>
    </row>
    <row r="141" spans="1:20">
      <c r="A141" s="133">
        <v>10000</v>
      </c>
      <c r="B141" s="133">
        <v>20000</v>
      </c>
      <c r="C141" s="165">
        <v>12</v>
      </c>
      <c r="D141" s="165">
        <v>14267885</v>
      </c>
      <c r="E141" s="156">
        <v>5.2668839841519457E-6</v>
      </c>
      <c r="F141" s="158">
        <v>11889.904166666667</v>
      </c>
      <c r="G141" s="163">
        <v>0.01</v>
      </c>
      <c r="H141" s="38" t="str">
        <f t="shared" si="1"/>
        <v>(10000, 20000]</v>
      </c>
      <c r="I141" s="159">
        <v>0</v>
      </c>
      <c r="J141" s="156">
        <v>0</v>
      </c>
      <c r="K141" s="156">
        <v>0</v>
      </c>
      <c r="L141" s="161">
        <v>0</v>
      </c>
      <c r="M141" s="156">
        <v>0</v>
      </c>
      <c r="N141" s="156">
        <v>0</v>
      </c>
      <c r="O141" s="163"/>
      <c r="P141" s="156">
        <v>0</v>
      </c>
      <c r="Q141" s="156"/>
      <c r="R141" s="156"/>
      <c r="S141" s="164">
        <v>0</v>
      </c>
    </row>
    <row r="142" spans="1:20">
      <c r="A142" s="133">
        <v>20000</v>
      </c>
      <c r="B142" s="133">
        <v>30000</v>
      </c>
      <c r="C142" s="165">
        <v>0</v>
      </c>
      <c r="D142" s="165">
        <v>0</v>
      </c>
      <c r="E142" s="156">
        <v>0</v>
      </c>
      <c r="F142" s="158">
        <v>0</v>
      </c>
      <c r="G142" s="163">
        <v>0</v>
      </c>
      <c r="H142" s="38" t="str">
        <f t="shared" si="1"/>
        <v>(20000, 30000]</v>
      </c>
      <c r="I142" s="159">
        <v>0</v>
      </c>
      <c r="J142" s="156">
        <v>0</v>
      </c>
      <c r="K142" s="156">
        <v>0</v>
      </c>
      <c r="L142" s="161">
        <v>0</v>
      </c>
      <c r="M142" s="156">
        <v>0</v>
      </c>
      <c r="N142" s="156">
        <v>0</v>
      </c>
      <c r="O142" s="163"/>
      <c r="P142" s="156">
        <v>0</v>
      </c>
      <c r="Q142" s="156"/>
      <c r="R142" s="156"/>
      <c r="S142" s="164">
        <v>0</v>
      </c>
    </row>
    <row r="143" spans="1:20">
      <c r="A143" s="133">
        <v>30000</v>
      </c>
      <c r="B143" s="133">
        <v>40000</v>
      </c>
      <c r="C143" s="165">
        <v>0</v>
      </c>
      <c r="D143" s="165">
        <v>0</v>
      </c>
      <c r="E143" s="156">
        <v>0</v>
      </c>
      <c r="F143" s="158">
        <v>0</v>
      </c>
      <c r="G143" s="163">
        <v>0</v>
      </c>
      <c r="H143" s="38" t="str">
        <f t="shared" si="1"/>
        <v>(30000, 40000]</v>
      </c>
      <c r="I143" s="159">
        <v>0</v>
      </c>
      <c r="J143" s="156">
        <v>0</v>
      </c>
      <c r="K143" s="156">
        <v>0</v>
      </c>
      <c r="L143" s="161">
        <v>0</v>
      </c>
      <c r="M143" s="156">
        <v>0</v>
      </c>
      <c r="N143" s="156">
        <v>0</v>
      </c>
      <c r="O143" s="163"/>
      <c r="P143" s="156">
        <v>0</v>
      </c>
      <c r="Q143" s="156"/>
      <c r="R143" s="156"/>
      <c r="S143" s="164">
        <v>0</v>
      </c>
    </row>
    <row r="144" spans="1:20">
      <c r="A144" s="133">
        <v>40000</v>
      </c>
      <c r="B144" s="133">
        <v>50000</v>
      </c>
      <c r="C144" s="165">
        <v>0</v>
      </c>
      <c r="D144" s="165">
        <v>0</v>
      </c>
      <c r="E144" s="156">
        <v>0</v>
      </c>
      <c r="F144" s="158">
        <v>0</v>
      </c>
      <c r="G144" s="163">
        <v>0</v>
      </c>
      <c r="H144" s="38" t="str">
        <f t="shared" si="1"/>
        <v>(40000, 50000]</v>
      </c>
      <c r="I144" s="159">
        <v>0</v>
      </c>
      <c r="J144" s="156">
        <v>0</v>
      </c>
      <c r="K144" s="156">
        <v>0</v>
      </c>
      <c r="L144" s="161">
        <v>0</v>
      </c>
      <c r="M144" s="156">
        <v>0</v>
      </c>
      <c r="N144" s="156">
        <v>0</v>
      </c>
      <c r="O144" s="163"/>
      <c r="P144" s="156">
        <v>0</v>
      </c>
      <c r="Q144" s="156"/>
      <c r="R144" s="156"/>
      <c r="S144" s="164">
        <v>0</v>
      </c>
    </row>
    <row r="145" spans="1:19">
      <c r="A145" s="133">
        <v>50000</v>
      </c>
      <c r="B145" s="133">
        <v>60000</v>
      </c>
      <c r="C145" s="165">
        <v>0</v>
      </c>
      <c r="D145" s="165">
        <v>0</v>
      </c>
      <c r="E145" s="156">
        <v>0</v>
      </c>
      <c r="F145" s="158">
        <v>0</v>
      </c>
      <c r="G145" s="163">
        <v>0</v>
      </c>
      <c r="H145" s="38" t="str">
        <f t="shared" si="1"/>
        <v>(50000, 60000]</v>
      </c>
      <c r="I145" s="159">
        <v>0</v>
      </c>
      <c r="J145" s="156">
        <v>0</v>
      </c>
      <c r="K145" s="156">
        <v>0</v>
      </c>
      <c r="L145" s="161">
        <v>0</v>
      </c>
      <c r="M145" s="156">
        <v>0</v>
      </c>
      <c r="N145" s="156">
        <v>0</v>
      </c>
      <c r="O145" s="163"/>
      <c r="P145" s="156">
        <v>0</v>
      </c>
      <c r="Q145" s="156"/>
      <c r="R145" s="156"/>
      <c r="S145" s="164">
        <v>0</v>
      </c>
    </row>
    <row r="146" spans="1:19">
      <c r="A146" s="133">
        <v>60000</v>
      </c>
      <c r="B146" s="133">
        <v>70000</v>
      </c>
      <c r="C146" s="165">
        <v>0</v>
      </c>
      <c r="D146" s="165">
        <v>0</v>
      </c>
      <c r="E146" s="156">
        <v>0</v>
      </c>
      <c r="F146" s="158">
        <v>0</v>
      </c>
      <c r="G146" s="163">
        <v>0</v>
      </c>
      <c r="H146" s="38" t="str">
        <f t="shared" si="1"/>
        <v>(60000, 70000]</v>
      </c>
      <c r="I146" s="159">
        <v>0</v>
      </c>
      <c r="J146" s="156">
        <v>0</v>
      </c>
      <c r="K146" s="156">
        <v>0</v>
      </c>
      <c r="L146" s="161">
        <v>0</v>
      </c>
      <c r="M146" s="156">
        <v>0</v>
      </c>
      <c r="N146" s="156">
        <v>0</v>
      </c>
      <c r="O146" s="163"/>
      <c r="P146" s="156">
        <v>0</v>
      </c>
      <c r="Q146" s="156"/>
      <c r="R146" s="156"/>
      <c r="S146" s="164">
        <v>0</v>
      </c>
    </row>
    <row r="147" spans="1:19">
      <c r="A147" s="133">
        <v>70000</v>
      </c>
      <c r="B147" s="133">
        <v>80000</v>
      </c>
      <c r="C147" s="165">
        <v>0</v>
      </c>
      <c r="D147" s="165">
        <v>0</v>
      </c>
      <c r="E147" s="156">
        <v>0</v>
      </c>
      <c r="F147" s="158">
        <v>0</v>
      </c>
      <c r="G147" s="163">
        <v>0</v>
      </c>
      <c r="H147" s="38" t="str">
        <f t="shared" si="1"/>
        <v>(70000, 80000]</v>
      </c>
      <c r="I147" s="159">
        <v>0</v>
      </c>
      <c r="J147" s="156">
        <v>0</v>
      </c>
      <c r="K147" s="156">
        <v>0</v>
      </c>
      <c r="L147" s="161">
        <v>0</v>
      </c>
      <c r="M147" s="156">
        <v>0</v>
      </c>
      <c r="N147" s="156">
        <v>0</v>
      </c>
      <c r="O147" s="163"/>
      <c r="P147" s="156">
        <v>0</v>
      </c>
      <c r="Q147" s="156"/>
      <c r="R147" s="156"/>
      <c r="S147" s="164">
        <v>0</v>
      </c>
    </row>
    <row r="148" spans="1:19">
      <c r="A148" s="133">
        <v>80000</v>
      </c>
      <c r="B148" s="133">
        <v>90000</v>
      </c>
      <c r="C148" s="165">
        <v>0</v>
      </c>
      <c r="D148" s="165">
        <v>0</v>
      </c>
      <c r="E148" s="156">
        <v>0</v>
      </c>
      <c r="F148" s="158">
        <v>0</v>
      </c>
      <c r="G148" s="163">
        <v>0</v>
      </c>
      <c r="H148" s="38" t="str">
        <f t="shared" si="1"/>
        <v>(80000, 90000]</v>
      </c>
      <c r="I148" s="159">
        <v>0</v>
      </c>
      <c r="J148" s="156">
        <v>0</v>
      </c>
      <c r="K148" s="156">
        <v>0</v>
      </c>
      <c r="L148" s="161">
        <v>0</v>
      </c>
      <c r="M148" s="156">
        <v>0</v>
      </c>
      <c r="N148" s="156">
        <v>0</v>
      </c>
      <c r="O148" s="163"/>
      <c r="P148" s="156">
        <v>0</v>
      </c>
      <c r="Q148" s="156"/>
      <c r="R148" s="156"/>
      <c r="S148" s="164">
        <v>0</v>
      </c>
    </row>
    <row r="149" spans="1:19">
      <c r="A149" s="133">
        <v>90000</v>
      </c>
      <c r="B149" s="133">
        <v>100000</v>
      </c>
      <c r="C149" s="165">
        <v>0</v>
      </c>
      <c r="D149" s="165">
        <v>0</v>
      </c>
      <c r="E149" s="156">
        <v>0</v>
      </c>
      <c r="F149" s="158">
        <v>0</v>
      </c>
      <c r="G149" s="163">
        <v>0</v>
      </c>
      <c r="H149" s="38" t="str">
        <f t="shared" si="1"/>
        <v>(90000, 100000]</v>
      </c>
      <c r="I149" s="159">
        <v>0</v>
      </c>
      <c r="J149" s="156">
        <v>0</v>
      </c>
      <c r="K149" s="156">
        <v>0</v>
      </c>
      <c r="L149" s="161">
        <v>0</v>
      </c>
      <c r="M149" s="156">
        <v>0</v>
      </c>
      <c r="N149" s="156">
        <v>0</v>
      </c>
      <c r="O149" s="163"/>
      <c r="P149" s="156">
        <v>0</v>
      </c>
      <c r="Q149" s="156"/>
      <c r="R149" s="156"/>
      <c r="S149" s="164">
        <v>0</v>
      </c>
    </row>
    <row r="150" spans="1:19">
      <c r="A150" s="133">
        <v>100000</v>
      </c>
      <c r="B150" s="133">
        <v>9999999</v>
      </c>
      <c r="C150" s="165">
        <v>0</v>
      </c>
      <c r="D150" s="165">
        <v>0</v>
      </c>
      <c r="E150" s="156">
        <v>0</v>
      </c>
      <c r="F150" s="158">
        <v>0</v>
      </c>
      <c r="G150" s="163">
        <v>0</v>
      </c>
      <c r="H150" s="38" t="str">
        <f t="shared" si="1"/>
        <v>(100000, 9999999]</v>
      </c>
      <c r="I150" s="159">
        <v>0</v>
      </c>
      <c r="J150" s="156">
        <v>0</v>
      </c>
      <c r="K150" s="156">
        <v>0</v>
      </c>
      <c r="L150" s="161">
        <v>0</v>
      </c>
      <c r="M150" s="156">
        <v>0</v>
      </c>
      <c r="N150" s="156">
        <v>0</v>
      </c>
      <c r="O150" s="163"/>
      <c r="P150" s="156">
        <v>0</v>
      </c>
      <c r="Q150" s="156"/>
      <c r="R150" s="156"/>
      <c r="S150" s="164">
        <v>0</v>
      </c>
    </row>
    <row r="153" spans="1:19" s="191" customFormat="1">
      <c r="A153" s="231" t="s">
        <v>91</v>
      </c>
      <c r="B153" s="231"/>
      <c r="C153" s="231"/>
      <c r="D153" s="231"/>
      <c r="E153" s="186"/>
      <c r="F153" s="186"/>
      <c r="G153" s="187"/>
      <c r="H153" s="188"/>
      <c r="I153" s="189"/>
      <c r="J153" s="190"/>
      <c r="K153" s="190"/>
      <c r="L153" s="190"/>
      <c r="M153" s="190"/>
      <c r="N153" s="190"/>
      <c r="O153" s="187"/>
    </row>
    <row r="154" spans="1:19">
      <c r="A154" s="14"/>
      <c r="B154" s="14"/>
      <c r="C154" s="1"/>
      <c r="D154" s="1"/>
      <c r="E154" s="1"/>
      <c r="F154" s="1"/>
      <c r="H154" s="15"/>
      <c r="I154" s="14"/>
      <c r="J154" s="14"/>
      <c r="K154" s="14"/>
      <c r="L154" s="14"/>
      <c r="M154" s="14"/>
      <c r="N154" s="14"/>
    </row>
    <row r="155" spans="1:19">
      <c r="A155" s="150" t="s">
        <v>217</v>
      </c>
      <c r="B155" s="174">
        <v>10000000</v>
      </c>
      <c r="C155" s="1"/>
      <c r="D155" s="1"/>
      <c r="E155" s="1"/>
      <c r="F155" s="1"/>
      <c r="H155" s="150" t="s">
        <v>218</v>
      </c>
      <c r="I155" s="14"/>
      <c r="J155" s="14"/>
      <c r="K155" s="14"/>
      <c r="M155" s="14"/>
      <c r="N155" s="14"/>
    </row>
    <row r="156" spans="1:19">
      <c r="A156" s="20" t="s">
        <v>57</v>
      </c>
      <c r="B156" s="20" t="s">
        <v>58</v>
      </c>
      <c r="C156" s="20" t="s">
        <v>219</v>
      </c>
      <c r="D156" s="20" t="s">
        <v>220</v>
      </c>
      <c r="E156" s="20" t="s">
        <v>221</v>
      </c>
      <c r="F156" s="20" t="s">
        <v>222</v>
      </c>
      <c r="H156" s="20" t="s">
        <v>60</v>
      </c>
      <c r="I156" s="20" t="s">
        <v>223</v>
      </c>
      <c r="J156" s="20" t="s">
        <v>224</v>
      </c>
      <c r="K156" s="20" t="s">
        <v>225</v>
      </c>
      <c r="L156" s="20" t="s">
        <v>226</v>
      </c>
      <c r="M156" s="20" t="s">
        <v>62</v>
      </c>
      <c r="N156" s="20" t="s">
        <v>59</v>
      </c>
      <c r="P156" s="48" t="s">
        <v>227</v>
      </c>
      <c r="Q156" s="48" t="s">
        <v>227</v>
      </c>
      <c r="R156" s="48" t="s">
        <v>228</v>
      </c>
      <c r="S156" s="48" t="s">
        <v>229</v>
      </c>
    </row>
    <row r="157" spans="1:19">
      <c r="A157" s="153">
        <v>-1</v>
      </c>
      <c r="B157" s="153">
        <v>0</v>
      </c>
      <c r="C157" s="175" cm="1">
        <f t="array" ref="C157:D220">C87:D150</f>
        <v>6070</v>
      </c>
      <c r="D157" s="175">
        <v>0</v>
      </c>
      <c r="E157" s="156" cm="1">
        <f t="array" ref="E157:E220">_xlfn.LET(_xlpm.x, C157:C220, _xlpm.x/SUM(_xlpm.x))</f>
        <v>2.664165481983526E-3</v>
      </c>
      <c r="F157" s="157" cm="1">
        <f t="array" ref="F157:F220">_xlfn.LET(_xlpm.x, D157:D220/C157:C220/B3, IF(ISERR(_xlpm.x), 0, _xlpm.x))</f>
        <v>0</v>
      </c>
      <c r="G157" s="115">
        <v>9.9999999999999995E-7</v>
      </c>
      <c r="H157" s="38" t="str">
        <f>"("&amp;$A157&amp;", "&amp;$B157&amp;"]"</f>
        <v>(-1, 0]</v>
      </c>
      <c r="I157" s="159">
        <v>0</v>
      </c>
      <c r="J157" s="156" cm="1">
        <f t="array" ref="J157:J220">_xlfn.ANCHORARRAY(E157)*I157:I220</f>
        <v>0</v>
      </c>
      <c r="K157" s="156" cm="1">
        <f t="array" ref="K157:K220">J157:J220/SUM(_xlfn.ANCHORARRAY(J157))</f>
        <v>0</v>
      </c>
      <c r="L157" s="160" cm="1">
        <f t="array" ref="L157:L220">INT(_xlfn.ANCHORARRAY(K157)*$B$2)</f>
        <v>0</v>
      </c>
      <c r="M157" s="156" cm="1">
        <f t="array" ref="M157:M220">_xlfn.LET(_xlpm.x, L157:L220, _xlpm.x/SUM(_xlpm.x))</f>
        <v>0</v>
      </c>
      <c r="N157" s="183" cm="1">
        <f t="array" ref="N157:N220">M157:M220*_xlfn.ANCHORARRAY(F157)</f>
        <v>0</v>
      </c>
      <c r="O157" s="163"/>
      <c r="P157" s="156" cm="1">
        <f t="array" ref="P157:P220">_xlfn.ANCHORARRAY(M157)</f>
        <v>0</v>
      </c>
      <c r="Q157" s="156"/>
      <c r="R157" s="156"/>
      <c r="S157" s="164" cm="1">
        <f t="array" ref="S157:S220">_xlfn.LET(_xlpm.x, Q157:Q220/M157:M220, IF(ISERR(_xlpm.x), 0, ROUND(_xlpm.x,2)))</f>
        <v>0</v>
      </c>
    </row>
    <row r="158" spans="1:19">
      <c r="A158" s="133">
        <v>0</v>
      </c>
      <c r="B158" s="133">
        <v>1</v>
      </c>
      <c r="C158" s="192">
        <v>13289</v>
      </c>
      <c r="D158" s="192">
        <v>1090600</v>
      </c>
      <c r="E158" s="156">
        <v>5.8326351054496014E-3</v>
      </c>
      <c r="F158" s="158">
        <v>0.82067875686658143</v>
      </c>
      <c r="G158" s="115">
        <v>0</v>
      </c>
      <c r="H158" s="38" t="str">
        <f t="shared" ref="H158:H220" si="2">"("&amp;$A158&amp;", "&amp;$B158&amp;"]"</f>
        <v>(0, 1]</v>
      </c>
      <c r="I158" s="159">
        <v>0</v>
      </c>
      <c r="J158" s="156">
        <v>0</v>
      </c>
      <c r="K158" s="156">
        <v>0</v>
      </c>
      <c r="L158" s="160">
        <v>0</v>
      </c>
      <c r="M158" s="156">
        <v>0</v>
      </c>
      <c r="N158" s="156">
        <v>0</v>
      </c>
      <c r="O158" s="163"/>
      <c r="P158" s="156">
        <v>0</v>
      </c>
      <c r="Q158" s="156"/>
      <c r="R158" s="156"/>
      <c r="S158" s="164">
        <v>0</v>
      </c>
    </row>
    <row r="159" spans="1:19">
      <c r="A159" s="133">
        <v>1</v>
      </c>
      <c r="B159" s="133">
        <v>2</v>
      </c>
      <c r="C159" s="192">
        <v>20810</v>
      </c>
      <c r="D159" s="192">
        <v>3233730</v>
      </c>
      <c r="E159" s="156">
        <v>9.1336546425168329E-3</v>
      </c>
      <c r="F159" s="158">
        <v>1.5539308024987986</v>
      </c>
      <c r="G159" s="166">
        <f>1+G158*G157</f>
        <v>1</v>
      </c>
      <c r="H159" s="38" t="str">
        <f t="shared" si="2"/>
        <v>(1, 2]</v>
      </c>
      <c r="I159" s="159">
        <v>0</v>
      </c>
      <c r="J159" s="156">
        <v>0</v>
      </c>
      <c r="K159" s="156">
        <v>0</v>
      </c>
      <c r="L159" s="160">
        <v>0</v>
      </c>
      <c r="M159" s="156">
        <v>0</v>
      </c>
      <c r="N159" s="156">
        <v>0</v>
      </c>
      <c r="O159" s="163"/>
      <c r="P159" s="156">
        <v>0</v>
      </c>
      <c r="Q159" s="156"/>
      <c r="R159" s="156"/>
      <c r="S159" s="164">
        <v>0</v>
      </c>
    </row>
    <row r="160" spans="1:19" ht="16.2" customHeight="1">
      <c r="A160" s="133">
        <v>2</v>
      </c>
      <c r="B160" s="133">
        <v>3</v>
      </c>
      <c r="C160" s="192">
        <v>21254</v>
      </c>
      <c r="D160" s="192">
        <v>5431450</v>
      </c>
      <c r="E160" s="156">
        <v>9.3285293499304547E-3</v>
      </c>
      <c r="F160" s="158">
        <v>2.5554954361531945</v>
      </c>
      <c r="G160" s="163"/>
      <c r="H160" s="38" t="str">
        <f t="shared" si="2"/>
        <v>(2, 3]</v>
      </c>
      <c r="I160" s="159">
        <v>0</v>
      </c>
      <c r="J160" s="156">
        <v>0</v>
      </c>
      <c r="K160" s="156">
        <v>0</v>
      </c>
      <c r="L160" s="160">
        <v>0</v>
      </c>
      <c r="M160" s="156">
        <v>0</v>
      </c>
      <c r="N160" s="156">
        <v>0</v>
      </c>
      <c r="O160" s="163"/>
      <c r="P160" s="156">
        <v>0</v>
      </c>
      <c r="Q160" s="156"/>
      <c r="R160" s="156"/>
      <c r="S160" s="164">
        <v>0</v>
      </c>
    </row>
    <row r="161" spans="1:20">
      <c r="A161" s="133">
        <v>3</v>
      </c>
      <c r="B161" s="133">
        <v>4</v>
      </c>
      <c r="C161" s="192">
        <v>21645</v>
      </c>
      <c r="D161" s="192">
        <v>7695990</v>
      </c>
      <c r="E161" s="156">
        <v>9.5001419864140721E-3</v>
      </c>
      <c r="F161" s="158">
        <v>3.5555509355509356</v>
      </c>
      <c r="G161" s="163"/>
      <c r="H161" s="38" t="str">
        <f t="shared" si="2"/>
        <v>(3, 4]</v>
      </c>
      <c r="I161" s="159">
        <v>0</v>
      </c>
      <c r="J161" s="156">
        <v>0</v>
      </c>
      <c r="K161" s="156">
        <v>0</v>
      </c>
      <c r="L161" s="160">
        <v>0</v>
      </c>
      <c r="M161" s="156">
        <v>0</v>
      </c>
      <c r="N161" s="156">
        <v>0</v>
      </c>
      <c r="O161" s="163"/>
      <c r="P161" s="156">
        <v>0</v>
      </c>
      <c r="Q161" s="156"/>
      <c r="R161" s="156"/>
      <c r="S161" s="164">
        <v>0</v>
      </c>
    </row>
    <row r="162" spans="1:20">
      <c r="A162" s="133">
        <v>4</v>
      </c>
      <c r="B162" s="133">
        <v>5</v>
      </c>
      <c r="C162" s="192">
        <v>21438</v>
      </c>
      <c r="D162" s="192">
        <v>9764380</v>
      </c>
      <c r="E162" s="156">
        <v>9.4092882376874513E-3</v>
      </c>
      <c r="F162" s="158">
        <v>4.5547065957645305</v>
      </c>
      <c r="G162" s="163"/>
      <c r="H162" s="38" t="str">
        <f t="shared" si="2"/>
        <v>(4, 5]</v>
      </c>
      <c r="I162" s="159">
        <v>0</v>
      </c>
      <c r="J162" s="156">
        <v>0</v>
      </c>
      <c r="K162" s="156">
        <v>0</v>
      </c>
      <c r="L162" s="160">
        <v>0</v>
      </c>
      <c r="M162" s="156">
        <v>0</v>
      </c>
      <c r="N162" s="156">
        <v>0</v>
      </c>
      <c r="O162" s="163"/>
      <c r="P162" s="156">
        <v>0</v>
      </c>
      <c r="Q162" s="156"/>
      <c r="R162" s="156"/>
      <c r="S162" s="164">
        <v>0</v>
      </c>
    </row>
    <row r="163" spans="1:20">
      <c r="A163" s="133">
        <v>5</v>
      </c>
      <c r="B163" s="133">
        <v>6</v>
      </c>
      <c r="C163" s="192">
        <v>21633</v>
      </c>
      <c r="D163" s="192">
        <v>12019590</v>
      </c>
      <c r="E163" s="156">
        <v>9.4948751024299203E-3</v>
      </c>
      <c r="F163" s="158">
        <v>5.5561364581888775</v>
      </c>
      <c r="G163" s="163"/>
      <c r="H163" s="38" t="str">
        <f t="shared" si="2"/>
        <v>(5, 6]</v>
      </c>
      <c r="I163" s="159">
        <v>0</v>
      </c>
      <c r="J163" s="156">
        <v>0</v>
      </c>
      <c r="K163" s="156">
        <v>0</v>
      </c>
      <c r="L163" s="160">
        <v>0</v>
      </c>
      <c r="M163" s="156">
        <v>0</v>
      </c>
      <c r="N163" s="156">
        <v>0</v>
      </c>
      <c r="O163" s="163"/>
      <c r="P163" s="156">
        <v>0</v>
      </c>
      <c r="Q163" s="156"/>
      <c r="R163" s="156"/>
      <c r="S163" s="164">
        <v>0</v>
      </c>
    </row>
    <row r="164" spans="1:20">
      <c r="A164" s="133">
        <v>6</v>
      </c>
      <c r="B164" s="133">
        <v>7</v>
      </c>
      <c r="C164" s="192">
        <v>20646</v>
      </c>
      <c r="D164" s="192">
        <v>13512875</v>
      </c>
      <c r="E164" s="156">
        <v>9.0616738947334238E-3</v>
      </c>
      <c r="F164" s="158">
        <v>6.5450329361619684</v>
      </c>
      <c r="G164" s="163"/>
      <c r="H164" s="38" t="str">
        <f t="shared" si="2"/>
        <v>(6, 7]</v>
      </c>
      <c r="I164" s="159">
        <v>0</v>
      </c>
      <c r="J164" s="156">
        <v>0</v>
      </c>
      <c r="K164" s="156">
        <v>0</v>
      </c>
      <c r="L164" s="160">
        <v>0</v>
      </c>
      <c r="M164" s="156">
        <v>0</v>
      </c>
      <c r="N164" s="156">
        <v>0</v>
      </c>
      <c r="O164" s="163"/>
      <c r="P164" s="156">
        <v>0</v>
      </c>
      <c r="Q164" s="156"/>
      <c r="R164" s="156"/>
      <c r="S164" s="164">
        <v>0</v>
      </c>
    </row>
    <row r="165" spans="1:20">
      <c r="A165" s="133">
        <v>7</v>
      </c>
      <c r="B165" s="133">
        <v>8</v>
      </c>
      <c r="C165" s="192">
        <v>20886</v>
      </c>
      <c r="D165" s="192">
        <v>15764920</v>
      </c>
      <c r="E165" s="156">
        <v>9.1670115744164615E-3</v>
      </c>
      <c r="F165" s="158">
        <v>7.548080053624437</v>
      </c>
      <c r="G165" s="163"/>
      <c r="H165" s="38" t="str">
        <f t="shared" si="2"/>
        <v>(7, 8]</v>
      </c>
      <c r="I165" s="159">
        <v>0</v>
      </c>
      <c r="J165" s="156">
        <v>0</v>
      </c>
      <c r="K165" s="156">
        <v>0</v>
      </c>
      <c r="L165" s="160">
        <v>0</v>
      </c>
      <c r="M165" s="156">
        <v>0</v>
      </c>
      <c r="N165" s="156">
        <v>0</v>
      </c>
      <c r="O165" s="163"/>
      <c r="P165" s="156">
        <v>0</v>
      </c>
      <c r="Q165" s="156"/>
      <c r="R165" s="156"/>
      <c r="S165" s="164">
        <v>0</v>
      </c>
    </row>
    <row r="166" spans="1:20">
      <c r="A166" s="133">
        <v>8</v>
      </c>
      <c r="B166" s="133">
        <v>9</v>
      </c>
      <c r="C166" s="192">
        <v>20446</v>
      </c>
      <c r="D166" s="192">
        <v>17486945</v>
      </c>
      <c r="E166" s="156">
        <v>8.9738924949975575E-3</v>
      </c>
      <c r="F166" s="158">
        <v>8.5527462584368585</v>
      </c>
      <c r="G166" s="163"/>
      <c r="H166" s="38" t="str">
        <f t="shared" si="2"/>
        <v>(8, 9]</v>
      </c>
      <c r="I166" s="159">
        <v>0</v>
      </c>
      <c r="J166" s="156">
        <v>0</v>
      </c>
      <c r="K166" s="156">
        <v>0</v>
      </c>
      <c r="L166" s="160">
        <v>0</v>
      </c>
      <c r="M166" s="156">
        <v>0</v>
      </c>
      <c r="N166" s="156">
        <v>0</v>
      </c>
      <c r="O166" s="163"/>
      <c r="P166" s="156">
        <v>0</v>
      </c>
      <c r="Q166" s="156"/>
      <c r="R166" s="156"/>
      <c r="S166" s="164">
        <v>0</v>
      </c>
    </row>
    <row r="167" spans="1:20">
      <c r="A167" s="133">
        <v>9</v>
      </c>
      <c r="B167" s="133">
        <v>10</v>
      </c>
      <c r="C167" s="192">
        <v>19920</v>
      </c>
      <c r="D167" s="192">
        <v>19030345</v>
      </c>
      <c r="E167" s="156">
        <v>8.7430274136922302E-3</v>
      </c>
      <c r="F167" s="158">
        <v>9.5533860441767064</v>
      </c>
      <c r="G167" s="163"/>
      <c r="H167" s="38" t="str">
        <f t="shared" si="2"/>
        <v>(9, 10]</v>
      </c>
      <c r="I167" s="159">
        <v>0</v>
      </c>
      <c r="J167" s="156">
        <v>0</v>
      </c>
      <c r="K167" s="156">
        <v>0</v>
      </c>
      <c r="L167" s="160">
        <v>0</v>
      </c>
      <c r="M167" s="156">
        <v>0</v>
      </c>
      <c r="N167" s="156">
        <v>0</v>
      </c>
      <c r="O167" s="163"/>
      <c r="P167" s="156">
        <v>0</v>
      </c>
      <c r="Q167" s="156"/>
      <c r="R167" s="156"/>
      <c r="S167" s="164">
        <v>0</v>
      </c>
    </row>
    <row r="168" spans="1:20">
      <c r="A168" s="133">
        <v>10</v>
      </c>
      <c r="B168" s="133">
        <v>15</v>
      </c>
      <c r="C168" s="192">
        <v>95890</v>
      </c>
      <c r="D168" s="192">
        <v>120087185</v>
      </c>
      <c r="E168" s="156">
        <v>4.2086792103360846E-2</v>
      </c>
      <c r="F168" s="158">
        <v>12.523431536135156</v>
      </c>
      <c r="G168" s="163"/>
      <c r="H168" s="38" t="str">
        <f t="shared" si="2"/>
        <v>(10, 15]</v>
      </c>
      <c r="I168" s="159">
        <v>0</v>
      </c>
      <c r="J168" s="156">
        <v>0</v>
      </c>
      <c r="K168" s="156">
        <v>0</v>
      </c>
      <c r="L168" s="160">
        <v>0</v>
      </c>
      <c r="M168" s="156">
        <v>0</v>
      </c>
      <c r="N168" s="156">
        <v>0</v>
      </c>
      <c r="O168" s="163"/>
      <c r="P168" s="156">
        <v>0</v>
      </c>
      <c r="Q168" s="156"/>
      <c r="R168" s="156"/>
      <c r="S168" s="164">
        <v>0</v>
      </c>
      <c r="T168" s="122"/>
    </row>
    <row r="169" spans="1:20">
      <c r="A169" s="133">
        <v>15</v>
      </c>
      <c r="B169" s="133">
        <v>20</v>
      </c>
      <c r="C169" s="192">
        <v>89276</v>
      </c>
      <c r="D169" s="192">
        <v>156417885</v>
      </c>
      <c r="E169" s="156">
        <v>3.9183861214095762E-2</v>
      </c>
      <c r="F169" s="158">
        <v>17.520709373179802</v>
      </c>
      <c r="G169" s="163"/>
      <c r="H169" s="168" t="str">
        <f t="shared" si="2"/>
        <v>(15, 20]</v>
      </c>
      <c r="I169" s="159">
        <v>2.5</v>
      </c>
      <c r="J169" s="156">
        <v>9.7959653035239402E-2</v>
      </c>
      <c r="K169" s="156">
        <v>9.3302689545836273E-2</v>
      </c>
      <c r="L169" s="160">
        <v>93302689</v>
      </c>
      <c r="M169" s="156">
        <v>9.3302690492843052E-2</v>
      </c>
      <c r="N169" s="156">
        <v>1.6347293238608493</v>
      </c>
      <c r="O169" s="163"/>
      <c r="P169" s="156">
        <v>9.3302690492843052E-2</v>
      </c>
      <c r="Q169" s="156"/>
      <c r="R169" s="156"/>
      <c r="S169" s="164">
        <v>0</v>
      </c>
      <c r="T169" s="122"/>
    </row>
    <row r="170" spans="1:20">
      <c r="A170" s="133">
        <v>20</v>
      </c>
      <c r="B170" s="133">
        <v>25</v>
      </c>
      <c r="C170" s="192">
        <v>82338</v>
      </c>
      <c r="D170" s="192">
        <v>185300895</v>
      </c>
      <c r="E170" s="156">
        <v>3.6138724457258575E-2</v>
      </c>
      <c r="F170" s="158">
        <v>22.504905997230924</v>
      </c>
      <c r="G170" s="163"/>
      <c r="H170" s="38" t="str">
        <f t="shared" si="2"/>
        <v>(20, 25]</v>
      </c>
      <c r="I170" s="159">
        <v>2.5</v>
      </c>
      <c r="J170" s="156">
        <v>9.0346811143146438E-2</v>
      </c>
      <c r="K170" s="156">
        <v>8.6051759171838646E-2</v>
      </c>
      <c r="L170" s="160">
        <v>86051759</v>
      </c>
      <c r="M170" s="156">
        <v>8.6051760376828171E-2</v>
      </c>
      <c r="N170" s="156">
        <v>1.9365867781767587</v>
      </c>
      <c r="O170" s="163"/>
      <c r="P170" s="156">
        <v>8.6051760376828171E-2</v>
      </c>
      <c r="Q170" s="156"/>
      <c r="R170" s="156"/>
      <c r="S170" s="164">
        <v>0</v>
      </c>
      <c r="T170" s="122"/>
    </row>
    <row r="171" spans="1:20">
      <c r="A171" s="133">
        <v>25</v>
      </c>
      <c r="B171" s="133">
        <v>30</v>
      </c>
      <c r="C171" s="192">
        <v>76062</v>
      </c>
      <c r="D171" s="192">
        <v>209282100</v>
      </c>
      <c r="E171" s="156">
        <v>3.3384144133547108E-2</v>
      </c>
      <c r="F171" s="158">
        <v>27.514672241066499</v>
      </c>
      <c r="G171" s="163"/>
      <c r="H171" s="38" t="str">
        <f t="shared" si="2"/>
        <v>(25, 30]</v>
      </c>
      <c r="I171" s="159">
        <v>2.5</v>
      </c>
      <c r="J171" s="156">
        <v>8.3460360333867778E-2</v>
      </c>
      <c r="K171" s="156">
        <v>7.9492687533440104E-2</v>
      </c>
      <c r="L171" s="160">
        <v>79492687</v>
      </c>
      <c r="M171" s="156">
        <v>7.9492688271883008E-2</v>
      </c>
      <c r="N171" s="156">
        <v>2.1872152633621318</v>
      </c>
      <c r="O171" s="163"/>
      <c r="P171" s="156">
        <v>7.9492688271883008E-2</v>
      </c>
      <c r="Q171" s="156"/>
      <c r="R171" s="156"/>
      <c r="S171" s="164">
        <v>0</v>
      </c>
      <c r="T171" s="122"/>
    </row>
    <row r="172" spans="1:20">
      <c r="A172" s="133">
        <v>30</v>
      </c>
      <c r="B172" s="133">
        <v>35</v>
      </c>
      <c r="C172" s="192">
        <v>70584</v>
      </c>
      <c r="D172" s="192">
        <v>229534305</v>
      </c>
      <c r="E172" s="156">
        <v>3.0979811594781748E-2</v>
      </c>
      <c r="F172" s="158">
        <v>32.519311033662021</v>
      </c>
      <c r="G172" s="163"/>
      <c r="H172" s="38" t="str">
        <f t="shared" si="2"/>
        <v>(30, 35]</v>
      </c>
      <c r="I172" s="159">
        <v>2.5</v>
      </c>
      <c r="J172" s="156">
        <v>7.7449528986954369E-2</v>
      </c>
      <c r="K172" s="156">
        <v>7.3767608751549224E-2</v>
      </c>
      <c r="L172" s="160">
        <v>73767608</v>
      </c>
      <c r="M172" s="156">
        <v>7.3767609180281746E-2</v>
      </c>
      <c r="N172" s="156">
        <v>2.3988718271432039</v>
      </c>
      <c r="O172" s="163"/>
      <c r="P172" s="156">
        <v>7.3767609180281746E-2</v>
      </c>
      <c r="Q172" s="156"/>
      <c r="R172" s="156"/>
      <c r="S172" s="164">
        <v>0</v>
      </c>
      <c r="T172" s="122"/>
    </row>
    <row r="173" spans="1:20">
      <c r="A173" s="133">
        <v>35</v>
      </c>
      <c r="B173" s="133">
        <v>40</v>
      </c>
      <c r="C173" s="192">
        <v>65100</v>
      </c>
      <c r="D173" s="192">
        <v>244284710</v>
      </c>
      <c r="E173" s="156">
        <v>2.8572845614024307E-2</v>
      </c>
      <c r="F173" s="158">
        <v>37.524533026113673</v>
      </c>
      <c r="G173" s="163"/>
      <c r="H173" s="168" t="str">
        <f t="shared" si="2"/>
        <v>(35, 40]</v>
      </c>
      <c r="I173" s="159">
        <v>2.5</v>
      </c>
      <c r="J173" s="156">
        <v>7.1432114035060765E-2</v>
      </c>
      <c r="K173" s="156">
        <v>6.8036259346677064E-2</v>
      </c>
      <c r="L173" s="160">
        <v>68036259</v>
      </c>
      <c r="M173" s="156">
        <v>6.8036260088580158E-2</v>
      </c>
      <c r="N173" s="156">
        <v>2.5530288886671859</v>
      </c>
      <c r="O173" s="163"/>
      <c r="P173" s="156">
        <v>6.8036260088580158E-2</v>
      </c>
      <c r="Q173" s="156"/>
      <c r="R173" s="156"/>
      <c r="S173" s="164">
        <v>0</v>
      </c>
      <c r="T173" s="122"/>
    </row>
    <row r="174" spans="1:20">
      <c r="A174" s="133">
        <v>40</v>
      </c>
      <c r="B174" s="133">
        <v>45</v>
      </c>
      <c r="C174" s="192">
        <v>61979</v>
      </c>
      <c r="D174" s="192">
        <v>263528360</v>
      </c>
      <c r="E174" s="156">
        <v>2.7203016871146121E-2</v>
      </c>
      <c r="F174" s="158">
        <v>42.518975782119753</v>
      </c>
      <c r="G174" s="163"/>
      <c r="H174" s="38" t="str">
        <f t="shared" si="2"/>
        <v>(40, 45]</v>
      </c>
      <c r="I174" s="159">
        <v>3</v>
      </c>
      <c r="J174" s="156">
        <v>8.1609050613438358E-2</v>
      </c>
      <c r="K174" s="156">
        <v>7.7729388351109624E-2</v>
      </c>
      <c r="L174" s="160">
        <v>77729388</v>
      </c>
      <c r="M174" s="156">
        <v>7.7729389243670233E-2</v>
      </c>
      <c r="N174" s="156">
        <v>3.3049740188105741</v>
      </c>
      <c r="O174" s="163"/>
      <c r="P174" s="156">
        <v>7.7729389243670233E-2</v>
      </c>
      <c r="Q174" s="156"/>
      <c r="R174" s="156"/>
      <c r="S174" s="164">
        <v>0</v>
      </c>
      <c r="T174" s="122"/>
    </row>
    <row r="175" spans="1:20">
      <c r="A175" s="133">
        <v>45</v>
      </c>
      <c r="B175" s="133">
        <v>50</v>
      </c>
      <c r="C175" s="192">
        <v>57512</v>
      </c>
      <c r="D175" s="192">
        <v>273347815</v>
      </c>
      <c r="E175" s="156">
        <v>2.524241930804556E-2</v>
      </c>
      <c r="F175" s="158">
        <v>47.528831374321882</v>
      </c>
      <c r="G175" s="163"/>
      <c r="H175" s="38" t="str">
        <f t="shared" si="2"/>
        <v>(45, 50]</v>
      </c>
      <c r="I175" s="159">
        <v>3</v>
      </c>
      <c r="J175" s="156">
        <v>7.5727257924136676E-2</v>
      </c>
      <c r="K175" s="156">
        <v>7.212721377965145E-2</v>
      </c>
      <c r="L175" s="160">
        <v>72127213</v>
      </c>
      <c r="M175" s="156">
        <v>7.2127214154035432E-2</v>
      </c>
      <c r="N175" s="156">
        <v>3.4281221990267525</v>
      </c>
      <c r="O175" s="163"/>
      <c r="P175" s="156">
        <v>7.2127214154035432E-2</v>
      </c>
      <c r="Q175" s="156"/>
      <c r="R175" s="156"/>
      <c r="S175" s="164">
        <v>0</v>
      </c>
      <c r="T175" s="122"/>
    </row>
    <row r="176" spans="1:20">
      <c r="A176" s="133">
        <v>50</v>
      </c>
      <c r="B176" s="133">
        <v>60</v>
      </c>
      <c r="C176" s="192">
        <v>104777</v>
      </c>
      <c r="D176" s="192">
        <v>575637135</v>
      </c>
      <c r="E176" s="156">
        <v>4.5987358600624036E-2</v>
      </c>
      <c r="F176" s="158">
        <v>54.939264819569182</v>
      </c>
      <c r="G176" s="163">
        <v>1.91</v>
      </c>
      <c r="H176" s="168" t="str">
        <f t="shared" si="2"/>
        <v>(50, 60]</v>
      </c>
      <c r="I176" s="159">
        <v>2</v>
      </c>
      <c r="J176" s="156">
        <v>9.1974717201248071E-2</v>
      </c>
      <c r="K176" s="156">
        <v>8.7602275214338346E-2</v>
      </c>
      <c r="L176" s="160">
        <v>87602275</v>
      </c>
      <c r="M176" s="156">
        <v>8.7602276401636425E-2</v>
      </c>
      <c r="N176" s="156">
        <v>4.8128046620265996</v>
      </c>
      <c r="O176" s="163"/>
      <c r="P176" s="156">
        <v>8.7602276401636425E-2</v>
      </c>
      <c r="Q176" s="156"/>
      <c r="R176" s="156"/>
      <c r="S176" s="164">
        <v>0</v>
      </c>
      <c r="T176" s="122"/>
    </row>
    <row r="177" spans="1:20">
      <c r="A177" s="133">
        <v>60</v>
      </c>
      <c r="B177" s="133">
        <v>70</v>
      </c>
      <c r="C177" s="192">
        <v>92873</v>
      </c>
      <c r="D177" s="192">
        <v>603037995</v>
      </c>
      <c r="E177" s="156">
        <v>4.076260968834531E-2</v>
      </c>
      <c r="F177" s="158">
        <v>64.931465011359592</v>
      </c>
      <c r="G177" s="163">
        <v>5.94</v>
      </c>
      <c r="H177" s="38" t="str">
        <f t="shared" si="2"/>
        <v>(60, 70]</v>
      </c>
      <c r="I177" s="159">
        <v>1.8</v>
      </c>
      <c r="J177" s="156">
        <v>7.3372697439021556E-2</v>
      </c>
      <c r="K177" s="156">
        <v>6.9884588176633428E-2</v>
      </c>
      <c r="L177" s="160">
        <v>69884588</v>
      </c>
      <c r="M177" s="156">
        <v>6.9884589118153428E-2</v>
      </c>
      <c r="N177" s="156">
        <v>4.5377087531586202</v>
      </c>
      <c r="O177" s="163"/>
      <c r="P177" s="156">
        <v>6.9884589118153428E-2</v>
      </c>
      <c r="Q177" s="156"/>
      <c r="R177" s="156"/>
      <c r="S177" s="164">
        <v>0</v>
      </c>
      <c r="T177" s="122"/>
    </row>
    <row r="178" spans="1:20">
      <c r="A178" s="133">
        <v>70</v>
      </c>
      <c r="B178" s="133">
        <v>80</v>
      </c>
      <c r="C178" s="192">
        <v>83293</v>
      </c>
      <c r="D178" s="192">
        <v>624248335</v>
      </c>
      <c r="E178" s="156">
        <v>3.6557880640997339E-2</v>
      </c>
      <c r="F178" s="158">
        <v>74.946074099864333</v>
      </c>
      <c r="G178" s="163">
        <v>5.07</v>
      </c>
      <c r="H178" s="38" t="str">
        <f t="shared" si="2"/>
        <v>(70, 80]</v>
      </c>
      <c r="I178" s="159">
        <v>1.6</v>
      </c>
      <c r="J178" s="156">
        <v>5.8492609025595749E-2</v>
      </c>
      <c r="K178" s="156">
        <v>5.5711893331001155E-2</v>
      </c>
      <c r="L178" s="160">
        <v>55711893</v>
      </c>
      <c r="M178" s="156">
        <v>5.57118938913903E-2</v>
      </c>
      <c r="N178" s="156">
        <v>4.1753877278279168</v>
      </c>
      <c r="O178" s="163"/>
      <c r="P178" s="156">
        <v>5.57118938913903E-2</v>
      </c>
      <c r="Q178" s="156"/>
      <c r="R178" s="156"/>
      <c r="S178" s="164">
        <v>0</v>
      </c>
      <c r="T178" s="122"/>
    </row>
    <row r="179" spans="1:20">
      <c r="A179" s="133">
        <v>80</v>
      </c>
      <c r="B179" s="133">
        <v>90</v>
      </c>
      <c r="C179" s="192">
        <v>74862</v>
      </c>
      <c r="D179" s="192">
        <v>635978325</v>
      </c>
      <c r="E179" s="156">
        <v>3.2857455735131914E-2</v>
      </c>
      <c r="F179" s="158">
        <v>84.953424300713309</v>
      </c>
      <c r="G179" s="163">
        <v>2.2400000000000002</v>
      </c>
      <c r="H179" s="38" t="str">
        <f t="shared" si="2"/>
        <v>(80, 90]</v>
      </c>
      <c r="I179" s="159">
        <v>0.8</v>
      </c>
      <c r="J179" s="156">
        <v>2.6285964588105531E-2</v>
      </c>
      <c r="K179" s="156">
        <v>2.5036340139900158E-2</v>
      </c>
      <c r="L179" s="160">
        <v>25036340</v>
      </c>
      <c r="M179" s="156">
        <v>2.5036340400581447E-2</v>
      </c>
      <c r="N179" s="156">
        <v>2.1269228489876864</v>
      </c>
      <c r="O179" s="163"/>
      <c r="P179" s="156">
        <v>2.5036340400581447E-2</v>
      </c>
      <c r="Q179" s="156"/>
      <c r="R179" s="156"/>
      <c r="S179" s="164">
        <v>0</v>
      </c>
      <c r="T179" s="122"/>
    </row>
    <row r="180" spans="1:20">
      <c r="A180" s="133">
        <v>90</v>
      </c>
      <c r="B180" s="133">
        <v>100</v>
      </c>
      <c r="C180" s="192">
        <v>67374</v>
      </c>
      <c r="D180" s="192">
        <v>639750200</v>
      </c>
      <c r="E180" s="156">
        <v>2.95709201290211E-2</v>
      </c>
      <c r="F180" s="158">
        <v>94.955056846854873</v>
      </c>
      <c r="G180" s="163">
        <v>1.91</v>
      </c>
      <c r="H180" s="38" t="str">
        <f t="shared" si="2"/>
        <v>(90, 100]</v>
      </c>
      <c r="I180" s="159">
        <v>0.8</v>
      </c>
      <c r="J180" s="156">
        <v>2.3656736103216881E-2</v>
      </c>
      <c r="K180" s="156">
        <v>2.2532104146103942E-2</v>
      </c>
      <c r="L180" s="160">
        <v>22532104</v>
      </c>
      <c r="M180" s="156">
        <v>2.2532104360513668E-2</v>
      </c>
      <c r="N180" s="156">
        <v>2.1395372504318417</v>
      </c>
      <c r="O180" s="163"/>
      <c r="P180" s="156">
        <v>2.2532104360513668E-2</v>
      </c>
      <c r="Q180" s="156"/>
      <c r="R180" s="156"/>
      <c r="S180" s="164">
        <v>0</v>
      </c>
      <c r="T180" s="122"/>
    </row>
    <row r="181" spans="1:20">
      <c r="A181" s="133">
        <v>100</v>
      </c>
      <c r="B181" s="133">
        <v>120</v>
      </c>
      <c r="C181" s="192">
        <v>117138</v>
      </c>
      <c r="D181" s="192">
        <v>1285241290</v>
      </c>
      <c r="E181" s="156">
        <v>5.1412688011299224E-2</v>
      </c>
      <c r="F181" s="158">
        <v>109.72026925506667</v>
      </c>
      <c r="G181" s="163">
        <v>2.04</v>
      </c>
      <c r="H181" s="193" t="str">
        <f t="shared" si="2"/>
        <v>(100, 120]</v>
      </c>
      <c r="I181" s="159">
        <v>0.8</v>
      </c>
      <c r="J181" s="156">
        <v>4.1130150409039383E-2</v>
      </c>
      <c r="K181" s="156">
        <v>3.9174839188207973E-2</v>
      </c>
      <c r="L181" s="160">
        <v>39174839</v>
      </c>
      <c r="M181" s="156">
        <v>3.9174839626797436E-2</v>
      </c>
      <c r="N181" s="156">
        <v>4.2982739518762703</v>
      </c>
      <c r="O181" s="163"/>
      <c r="P181" s="156">
        <v>3.9174839626797436E-2</v>
      </c>
      <c r="Q181" s="156"/>
      <c r="R181" s="156"/>
      <c r="S181" s="164">
        <v>0</v>
      </c>
      <c r="T181" s="122"/>
    </row>
    <row r="182" spans="1:20">
      <c r="A182" s="133">
        <v>120</v>
      </c>
      <c r="B182" s="133">
        <v>140</v>
      </c>
      <c r="C182" s="192">
        <v>98023</v>
      </c>
      <c r="D182" s="192">
        <v>1271812335</v>
      </c>
      <c r="E182" s="156">
        <v>4.3022980731543849E-2</v>
      </c>
      <c r="F182" s="158">
        <v>129.7463182110321</v>
      </c>
      <c r="G182" s="163">
        <v>0.94</v>
      </c>
      <c r="H182" s="38" t="str">
        <f t="shared" si="2"/>
        <v>(120, 140]</v>
      </c>
      <c r="I182" s="159">
        <v>0.8</v>
      </c>
      <c r="J182" s="156">
        <v>3.4418384585235079E-2</v>
      </c>
      <c r="K182" s="156">
        <v>3.2782148079578868E-2</v>
      </c>
      <c r="L182" s="160">
        <v>32782148</v>
      </c>
      <c r="M182" s="156">
        <v>3.2782148524514373E-2</v>
      </c>
      <c r="N182" s="156">
        <v>4.2533630741029587</v>
      </c>
      <c r="O182" s="163"/>
      <c r="P182" s="156">
        <v>3.2782148524514373E-2</v>
      </c>
      <c r="Q182" s="156"/>
      <c r="R182" s="156"/>
      <c r="S182" s="164">
        <v>0</v>
      </c>
      <c r="T182" s="122"/>
    </row>
    <row r="183" spans="1:20">
      <c r="A183" s="133">
        <v>140</v>
      </c>
      <c r="B183" s="133">
        <v>160</v>
      </c>
      <c r="C183" s="192">
        <v>83073</v>
      </c>
      <c r="D183" s="192">
        <v>1244282160</v>
      </c>
      <c r="E183" s="156">
        <v>3.6461321101287886E-2</v>
      </c>
      <c r="F183" s="158">
        <v>149.7817774728251</v>
      </c>
      <c r="G183" s="163">
        <v>1.45</v>
      </c>
      <c r="H183" s="193" t="str">
        <f t="shared" si="2"/>
        <v>(140, 160]</v>
      </c>
      <c r="I183" s="159">
        <v>1</v>
      </c>
      <c r="J183" s="156">
        <v>3.6461321101287886E-2</v>
      </c>
      <c r="K183" s="156">
        <v>3.4727964194817232E-2</v>
      </c>
      <c r="L183" s="160">
        <v>34727964</v>
      </c>
      <c r="M183" s="156">
        <v>3.4727964555647431E-2</v>
      </c>
      <c r="N183" s="156">
        <v>5.2016162591581407</v>
      </c>
      <c r="O183" s="163"/>
      <c r="P183" s="156">
        <v>3.4727964555647431E-2</v>
      </c>
      <c r="Q183" s="156"/>
      <c r="R183" s="156"/>
      <c r="S183" s="164">
        <v>0</v>
      </c>
      <c r="T183" s="122"/>
    </row>
    <row r="184" spans="1:20">
      <c r="A184" s="133">
        <v>160</v>
      </c>
      <c r="B184" s="133">
        <v>180</v>
      </c>
      <c r="C184" s="192">
        <v>71278</v>
      </c>
      <c r="D184" s="192">
        <v>1210416050</v>
      </c>
      <c r="E184" s="156">
        <v>3.1284413051865204E-2</v>
      </c>
      <c r="F184" s="158">
        <v>169.81621959089759</v>
      </c>
      <c r="G184" s="163">
        <v>0.71</v>
      </c>
      <c r="H184" s="38" t="str">
        <f t="shared" si="2"/>
        <v>(160, 180]</v>
      </c>
      <c r="I184" s="159">
        <v>0.61950000000000005</v>
      </c>
      <c r="J184" s="156">
        <v>1.9380693885630497E-2</v>
      </c>
      <c r="K184" s="156">
        <v>1.8459343298647388E-2</v>
      </c>
      <c r="L184" s="160">
        <v>18459343</v>
      </c>
      <c r="M184" s="156">
        <v>1.8459343295349494E-2</v>
      </c>
      <c r="N184" s="156">
        <v>3.1346958945468328</v>
      </c>
      <c r="O184" s="163"/>
      <c r="P184" s="156">
        <v>1.8459343295349494E-2</v>
      </c>
      <c r="Q184" s="156"/>
      <c r="R184" s="156"/>
      <c r="S184" s="164">
        <v>0</v>
      </c>
      <c r="T184" s="122"/>
    </row>
    <row r="185" spans="1:20">
      <c r="A185" s="133">
        <v>180</v>
      </c>
      <c r="B185" s="133">
        <v>200</v>
      </c>
      <c r="C185" s="192">
        <v>61850</v>
      </c>
      <c r="D185" s="192">
        <v>1174015420</v>
      </c>
      <c r="E185" s="156">
        <v>2.7146397868316487E-2</v>
      </c>
      <c r="F185" s="158">
        <v>189.81655941794662</v>
      </c>
      <c r="G185" s="163">
        <v>0.62</v>
      </c>
      <c r="H185" s="38" t="str">
        <f t="shared" si="2"/>
        <v>(180, 200]</v>
      </c>
      <c r="I185" s="159">
        <v>0.6</v>
      </c>
      <c r="J185" s="156">
        <v>1.6287838720989892E-2</v>
      </c>
      <c r="K185" s="156">
        <v>1.5513521255638622E-2</v>
      </c>
      <c r="L185" s="160">
        <v>15513521</v>
      </c>
      <c r="M185" s="156">
        <v>1.551352124821634E-2</v>
      </c>
      <c r="N185" s="156">
        <v>2.9447232277936344</v>
      </c>
      <c r="O185" s="163"/>
      <c r="P185" s="156">
        <v>1.551352124821634E-2</v>
      </c>
      <c r="Q185" s="156"/>
      <c r="R185" s="156"/>
      <c r="S185" s="164">
        <v>0</v>
      </c>
      <c r="T185" s="122"/>
    </row>
    <row r="186" spans="1:20">
      <c r="A186" s="133">
        <v>200</v>
      </c>
      <c r="B186" s="133">
        <v>250</v>
      </c>
      <c r="C186" s="192">
        <v>123505</v>
      </c>
      <c r="D186" s="192">
        <v>2763375860</v>
      </c>
      <c r="E186" s="156">
        <v>5.4207208871890511E-2</v>
      </c>
      <c r="F186" s="158">
        <v>223.7460718189547</v>
      </c>
      <c r="G186" s="163">
        <v>0.5</v>
      </c>
      <c r="H186" s="38" t="str">
        <f t="shared" si="2"/>
        <v>(200, 250]</v>
      </c>
      <c r="I186" s="159">
        <v>0.5</v>
      </c>
      <c r="J186" s="156">
        <v>2.7103604435945255E-2</v>
      </c>
      <c r="K186" s="156">
        <v>2.5815109710019511E-2</v>
      </c>
      <c r="L186" s="160">
        <v>25815109</v>
      </c>
      <c r="M186" s="156">
        <v>2.5815109413041749E-2</v>
      </c>
      <c r="N186" s="156">
        <v>5.7760293247446128</v>
      </c>
      <c r="O186" s="163"/>
      <c r="P186" s="156">
        <v>2.5815109413041749E-2</v>
      </c>
      <c r="Q186" s="156"/>
      <c r="R186" s="156"/>
      <c r="S186" s="164">
        <v>0</v>
      </c>
      <c r="T186" s="122"/>
    </row>
    <row r="187" spans="1:20">
      <c r="A187" s="133">
        <v>250</v>
      </c>
      <c r="B187" s="133">
        <v>300</v>
      </c>
      <c r="C187" s="192">
        <v>91171</v>
      </c>
      <c r="D187" s="192">
        <v>2497132705</v>
      </c>
      <c r="E187" s="156">
        <v>4.0015589976593088E-2</v>
      </c>
      <c r="F187" s="158">
        <v>273.89550460124383</v>
      </c>
      <c r="G187" s="163">
        <v>0.21</v>
      </c>
      <c r="H187" s="38" t="str">
        <f t="shared" si="2"/>
        <v>(250, 300]</v>
      </c>
      <c r="I187" s="159">
        <v>0.09</v>
      </c>
      <c r="J187" s="156">
        <v>3.6014030978933778E-3</v>
      </c>
      <c r="K187" s="156">
        <v>3.4301938069470385E-3</v>
      </c>
      <c r="L187" s="160">
        <v>3430193</v>
      </c>
      <c r="M187" s="156">
        <v>3.4301930548830887E-3</v>
      </c>
      <c r="N187" s="156">
        <v>0.93951445764688568</v>
      </c>
      <c r="O187" s="163"/>
      <c r="P187" s="156">
        <v>3.4301930548830887E-3</v>
      </c>
      <c r="Q187" s="156"/>
      <c r="R187" s="156"/>
      <c r="S187" s="164">
        <v>0</v>
      </c>
      <c r="T187" s="122"/>
    </row>
    <row r="188" spans="1:20">
      <c r="A188" s="133">
        <v>300</v>
      </c>
      <c r="B188" s="133">
        <v>350</v>
      </c>
      <c r="C188" s="192">
        <v>70283</v>
      </c>
      <c r="D188" s="192">
        <v>2277474765</v>
      </c>
      <c r="E188" s="156">
        <v>3.0847700588179268E-2</v>
      </c>
      <c r="F188" s="158">
        <v>324.04347637408762</v>
      </c>
      <c r="G188" s="163">
        <v>0.19</v>
      </c>
      <c r="H188" s="38" t="str">
        <f t="shared" si="2"/>
        <v>(300, 350]</v>
      </c>
      <c r="I188" s="159">
        <v>0.28000000000000003</v>
      </c>
      <c r="J188" s="156">
        <v>8.6373561646901961E-3</v>
      </c>
      <c r="K188" s="156">
        <v>8.2267396398494706E-3</v>
      </c>
      <c r="L188" s="160">
        <v>8226739</v>
      </c>
      <c r="M188" s="156">
        <v>8.226739131627827E-3</v>
      </c>
      <c r="N188" s="156">
        <v>2.6658211474354236</v>
      </c>
      <c r="O188" s="163"/>
      <c r="P188" s="156">
        <v>8.226739131627827E-3</v>
      </c>
      <c r="Q188" s="156"/>
      <c r="R188" s="156"/>
      <c r="S188" s="164">
        <v>0</v>
      </c>
      <c r="T188" s="122"/>
    </row>
    <row r="189" spans="1:20">
      <c r="A189" s="133">
        <v>350</v>
      </c>
      <c r="B189" s="133">
        <v>400</v>
      </c>
      <c r="C189" s="192">
        <v>54191</v>
      </c>
      <c r="D189" s="192">
        <v>2026990150</v>
      </c>
      <c r="E189" s="156">
        <v>2.3784809165431509E-2</v>
      </c>
      <c r="F189" s="158">
        <v>374.04553339115353</v>
      </c>
      <c r="G189" s="163">
        <v>0.01</v>
      </c>
      <c r="H189" s="38" t="str">
        <f t="shared" si="2"/>
        <v>(350, 400]</v>
      </c>
      <c r="I189" s="159">
        <v>0.08</v>
      </c>
      <c r="J189" s="156">
        <v>1.9027847332345209E-3</v>
      </c>
      <c r="K189" s="156">
        <v>1.8123270932132853E-3</v>
      </c>
      <c r="L189" s="160">
        <v>1812327</v>
      </c>
      <c r="M189" s="156">
        <v>1.8123270289972324E-3</v>
      </c>
      <c r="N189" s="156">
        <v>0.67789283024047442</v>
      </c>
      <c r="O189" s="163"/>
      <c r="P189" s="156">
        <v>1.8123270289972324E-3</v>
      </c>
      <c r="Q189" s="156"/>
      <c r="R189" s="156"/>
      <c r="S189" s="164">
        <v>0</v>
      </c>
      <c r="T189" s="122"/>
    </row>
    <row r="190" spans="1:20">
      <c r="A190" s="133">
        <v>400</v>
      </c>
      <c r="B190" s="133">
        <v>450</v>
      </c>
      <c r="C190" s="192">
        <v>43300</v>
      </c>
      <c r="D190" s="192">
        <v>1836158150</v>
      </c>
      <c r="E190" s="156">
        <v>1.9004673042814939E-2</v>
      </c>
      <c r="F190" s="158">
        <v>424.05500000000001</v>
      </c>
      <c r="G190" s="163">
        <v>0.01</v>
      </c>
      <c r="H190" s="38" t="str">
        <f t="shared" si="2"/>
        <v>(400, 450]</v>
      </c>
      <c r="I190" s="159">
        <v>0.08</v>
      </c>
      <c r="J190" s="156">
        <v>1.5203738434251951E-3</v>
      </c>
      <c r="K190" s="156">
        <v>1.448095867139105E-3</v>
      </c>
      <c r="L190" s="160">
        <v>1448095</v>
      </c>
      <c r="M190" s="156">
        <v>1.4480950231695203E-3</v>
      </c>
      <c r="N190" s="156">
        <v>0.6140719350501509</v>
      </c>
      <c r="O190" s="163"/>
      <c r="P190" s="156">
        <v>1.4480950231695203E-3</v>
      </c>
      <c r="Q190" s="156"/>
      <c r="R190" s="156"/>
      <c r="S190" s="164">
        <v>0</v>
      </c>
      <c r="T190" s="122"/>
    </row>
    <row r="191" spans="1:20">
      <c r="A191" s="133">
        <v>450</v>
      </c>
      <c r="B191" s="133">
        <v>500</v>
      </c>
      <c r="C191" s="192">
        <v>35047</v>
      </c>
      <c r="D191" s="192">
        <v>1661604835</v>
      </c>
      <c r="E191" s="156">
        <v>1.5382373582714439E-2</v>
      </c>
      <c r="F191" s="158">
        <v>474.10757982138267</v>
      </c>
      <c r="G191" s="163">
        <v>0.01</v>
      </c>
      <c r="H191" s="38" t="str">
        <f t="shared" si="2"/>
        <v>(450, 500]</v>
      </c>
      <c r="I191" s="159">
        <v>0.08</v>
      </c>
      <c r="J191" s="156">
        <v>1.2305898866171552E-3</v>
      </c>
      <c r="K191" s="156">
        <v>1.1720881259959404E-3</v>
      </c>
      <c r="L191" s="160">
        <v>1172088</v>
      </c>
      <c r="M191" s="156">
        <v>1.1720880187534083E-3</v>
      </c>
      <c r="N191" s="156">
        <v>0.55569581390881784</v>
      </c>
      <c r="O191" s="163"/>
      <c r="P191" s="156">
        <v>1.1720880187534083E-3</v>
      </c>
      <c r="Q191" s="156"/>
      <c r="R191" s="156"/>
      <c r="S191" s="164">
        <v>0</v>
      </c>
      <c r="T191" s="122"/>
    </row>
    <row r="192" spans="1:20">
      <c r="A192" s="133">
        <v>500</v>
      </c>
      <c r="B192" s="133">
        <v>550</v>
      </c>
      <c r="C192" s="192">
        <v>28158</v>
      </c>
      <c r="D192" s="192">
        <v>1476232245</v>
      </c>
      <c r="E192" s="156">
        <v>1.2358743268812542E-2</v>
      </c>
      <c r="F192" s="158">
        <v>524.26743554229699</v>
      </c>
      <c r="G192" s="163">
        <v>0.01</v>
      </c>
      <c r="H192" s="38" t="str">
        <f t="shared" si="2"/>
        <v>(500, 550]</v>
      </c>
      <c r="I192" s="159">
        <v>0.25</v>
      </c>
      <c r="J192" s="156">
        <v>3.0896858172031355E-3</v>
      </c>
      <c r="K192" s="156">
        <v>2.9428033651055807E-3</v>
      </c>
      <c r="L192" s="160">
        <v>2942803</v>
      </c>
      <c r="M192" s="156">
        <v>2.942803047084849E-3</v>
      </c>
      <c r="N192" s="156">
        <v>1.5428158068012312</v>
      </c>
      <c r="O192" s="163"/>
      <c r="P192" s="156">
        <v>2.942803047084849E-3</v>
      </c>
      <c r="Q192" s="156"/>
      <c r="R192" s="156"/>
      <c r="S192" s="164">
        <v>0</v>
      </c>
      <c r="T192" s="122"/>
    </row>
    <row r="193" spans="1:20">
      <c r="A193" s="133">
        <v>550</v>
      </c>
      <c r="B193" s="133">
        <v>600</v>
      </c>
      <c r="C193" s="192">
        <v>23509</v>
      </c>
      <c r="D193" s="192">
        <v>1350228635</v>
      </c>
      <c r="E193" s="156">
        <v>1.0318264631952342E-2</v>
      </c>
      <c r="F193" s="158">
        <v>574.34541452209794</v>
      </c>
      <c r="G193" s="163">
        <v>0.01</v>
      </c>
      <c r="H193" s="38" t="str">
        <f t="shared" si="2"/>
        <v>(550, 600]</v>
      </c>
      <c r="I193" s="159">
        <v>5.5E-2</v>
      </c>
      <c r="J193" s="156">
        <v>5.6750455475737885E-4</v>
      </c>
      <c r="K193" s="156">
        <v>5.4052561077699986E-4</v>
      </c>
      <c r="L193" s="160">
        <v>540525</v>
      </c>
      <c r="M193" s="156">
        <v>5.4052500864840017E-4</v>
      </c>
      <c r="N193" s="156">
        <v>0.31044806015172599</v>
      </c>
      <c r="O193" s="163"/>
      <c r="P193" s="156">
        <v>5.4052500864840017E-4</v>
      </c>
      <c r="Q193" s="156"/>
      <c r="R193" s="156"/>
      <c r="S193" s="164">
        <v>0</v>
      </c>
      <c r="T193" s="122"/>
    </row>
    <row r="194" spans="1:20">
      <c r="A194" s="133">
        <v>600</v>
      </c>
      <c r="B194" s="133">
        <v>650</v>
      </c>
      <c r="C194" s="192">
        <v>19576</v>
      </c>
      <c r="D194" s="192">
        <v>1222197930</v>
      </c>
      <c r="E194" s="156">
        <v>8.5920434061465406E-3</v>
      </c>
      <c r="F194" s="158">
        <v>624.33486411932984</v>
      </c>
      <c r="G194" s="163">
        <v>0.01</v>
      </c>
      <c r="H194" s="38" t="str">
        <f t="shared" si="2"/>
        <v>(600, 650]</v>
      </c>
      <c r="I194" s="159">
        <v>5.5E-2</v>
      </c>
      <c r="J194" s="156">
        <v>4.7256238733805973E-4</v>
      </c>
      <c r="K194" s="156">
        <v>4.5009695676424122E-4</v>
      </c>
      <c r="L194" s="160">
        <v>450096</v>
      </c>
      <c r="M194" s="156">
        <v>4.5009600720153612E-4</v>
      </c>
      <c r="N194" s="156">
        <v>0.28101062949682393</v>
      </c>
      <c r="O194" s="163"/>
      <c r="P194" s="156">
        <v>4.5009600720153612E-4</v>
      </c>
      <c r="Q194" s="156"/>
      <c r="R194" s="156"/>
      <c r="S194" s="164">
        <v>0</v>
      </c>
      <c r="T194" s="122"/>
    </row>
    <row r="195" spans="1:20">
      <c r="A195" s="133">
        <v>650</v>
      </c>
      <c r="B195" s="133">
        <v>700</v>
      </c>
      <c r="C195" s="192">
        <v>16323</v>
      </c>
      <c r="D195" s="192">
        <v>1100626695</v>
      </c>
      <c r="E195" s="156">
        <v>7.1642789394426847E-3</v>
      </c>
      <c r="F195" s="158">
        <v>674.27966366476755</v>
      </c>
      <c r="G195" s="163">
        <v>0.01</v>
      </c>
      <c r="H195" s="38" t="str">
        <f t="shared" si="2"/>
        <v>(650, 700]</v>
      </c>
      <c r="I195" s="159">
        <v>0.06</v>
      </c>
      <c r="J195" s="156">
        <v>4.2985673636656104E-4</v>
      </c>
      <c r="K195" s="156">
        <v>4.0942151569246441E-4</v>
      </c>
      <c r="L195" s="160">
        <v>409421</v>
      </c>
      <c r="M195" s="156">
        <v>4.0942100655073612E-4</v>
      </c>
      <c r="N195" s="156">
        <v>0.27606425859432093</v>
      </c>
      <c r="O195" s="163"/>
      <c r="P195" s="156">
        <v>4.0942100655073612E-4</v>
      </c>
      <c r="Q195" s="156"/>
      <c r="R195" s="156"/>
      <c r="S195" s="164">
        <v>0</v>
      </c>
      <c r="T195" s="122"/>
    </row>
    <row r="196" spans="1:20">
      <c r="A196" s="133">
        <v>700</v>
      </c>
      <c r="B196" s="133">
        <v>750</v>
      </c>
      <c r="C196" s="192">
        <v>13958</v>
      </c>
      <c r="D196" s="192">
        <v>1010893865</v>
      </c>
      <c r="E196" s="156">
        <v>6.1262638875660717E-3</v>
      </c>
      <c r="F196" s="158">
        <v>724.23976572574873</v>
      </c>
      <c r="G196" s="163">
        <v>0.01</v>
      </c>
      <c r="H196" s="38" t="str">
        <f t="shared" si="2"/>
        <v>(700, 750]</v>
      </c>
      <c r="I196" s="159">
        <v>0.06</v>
      </c>
      <c r="J196" s="156">
        <v>3.6757583325396428E-4</v>
      </c>
      <c r="K196" s="156">
        <v>3.5010142228973949E-4</v>
      </c>
      <c r="L196" s="160">
        <v>350101</v>
      </c>
      <c r="M196" s="156">
        <v>3.5010100560161608E-4</v>
      </c>
      <c r="N196" s="156">
        <v>0.25355707027726349</v>
      </c>
      <c r="O196" s="163"/>
      <c r="P196" s="156">
        <v>3.5010100560161608E-4</v>
      </c>
      <c r="Q196" s="156"/>
      <c r="R196" s="156"/>
      <c r="S196" s="164">
        <v>0</v>
      </c>
      <c r="T196" s="122"/>
    </row>
    <row r="197" spans="1:20">
      <c r="A197" s="133">
        <v>750</v>
      </c>
      <c r="B197" s="133">
        <v>800</v>
      </c>
      <c r="C197" s="192">
        <v>11691</v>
      </c>
      <c r="D197" s="192">
        <v>905166865</v>
      </c>
      <c r="E197" s="156">
        <v>5.1312617215600338E-3</v>
      </c>
      <c r="F197" s="158">
        <v>774.24246428876916</v>
      </c>
      <c r="G197" s="163">
        <v>0.01</v>
      </c>
      <c r="H197" s="38" t="str">
        <f t="shared" si="2"/>
        <v>(750, 800]</v>
      </c>
      <c r="I197" s="159">
        <v>0.06</v>
      </c>
      <c r="J197" s="156">
        <v>3.07875703293602E-4</v>
      </c>
      <c r="K197" s="156">
        <v>2.9323941309566877E-4</v>
      </c>
      <c r="L197" s="160">
        <v>293239</v>
      </c>
      <c r="M197" s="156">
        <v>2.9323900469182407E-4</v>
      </c>
      <c r="N197" s="156">
        <v>0.22703808961818381</v>
      </c>
      <c r="O197" s="163"/>
      <c r="P197" s="156">
        <v>2.9323900469182407E-4</v>
      </c>
      <c r="Q197" s="156"/>
      <c r="R197" s="156"/>
      <c r="S197" s="164">
        <v>0</v>
      </c>
      <c r="T197" s="122"/>
    </row>
    <row r="198" spans="1:20">
      <c r="A198" s="133">
        <v>800</v>
      </c>
      <c r="B198" s="133">
        <v>850</v>
      </c>
      <c r="C198" s="192">
        <v>10300</v>
      </c>
      <c r="D198" s="192">
        <v>849158805</v>
      </c>
      <c r="E198" s="156">
        <v>4.5207420863970869E-3</v>
      </c>
      <c r="F198" s="158">
        <v>824.42602427184465</v>
      </c>
      <c r="G198" s="163">
        <v>0.01</v>
      </c>
      <c r="H198" s="38" t="str">
        <f t="shared" si="2"/>
        <v>(800, 850]</v>
      </c>
      <c r="I198" s="159">
        <v>6.5000000000000002E-2</v>
      </c>
      <c r="J198" s="156">
        <v>2.9384823561581064E-4</v>
      </c>
      <c r="K198" s="156">
        <v>2.7987880573026295E-4</v>
      </c>
      <c r="L198" s="160">
        <v>279878</v>
      </c>
      <c r="M198" s="156">
        <v>2.7987800447804809E-4</v>
      </c>
      <c r="N198" s="156">
        <v>0.23073871051297473</v>
      </c>
      <c r="O198" s="163"/>
      <c r="P198" s="156">
        <v>2.7987800447804809E-4</v>
      </c>
      <c r="Q198" s="156"/>
      <c r="R198" s="156"/>
      <c r="S198" s="164">
        <v>0</v>
      </c>
      <c r="T198" s="122"/>
    </row>
    <row r="199" spans="1:20">
      <c r="A199" s="133">
        <v>850</v>
      </c>
      <c r="B199" s="133">
        <v>900</v>
      </c>
      <c r="C199" s="192">
        <v>8545</v>
      </c>
      <c r="D199" s="192">
        <v>747239950</v>
      </c>
      <c r="E199" s="156">
        <v>3.7504603037148651E-3</v>
      </c>
      <c r="F199" s="158">
        <v>874.47624341720302</v>
      </c>
      <c r="G199" s="163">
        <v>0.01</v>
      </c>
      <c r="H199" s="38" t="str">
        <f t="shared" si="2"/>
        <v>(850, 900]</v>
      </c>
      <c r="I199" s="159">
        <v>7.0000000000000007E-2</v>
      </c>
      <c r="J199" s="156">
        <v>2.6253222126004056E-4</v>
      </c>
      <c r="K199" s="156">
        <v>2.5005154241606692E-4</v>
      </c>
      <c r="L199" s="161">
        <v>250051</v>
      </c>
      <c r="M199" s="156">
        <v>2.5005100400081606E-4</v>
      </c>
      <c r="N199" s="156">
        <v>0.21866366264133363</v>
      </c>
      <c r="O199" s="163"/>
      <c r="P199" s="156">
        <v>2.5005100400081606E-4</v>
      </c>
      <c r="Q199" s="156"/>
      <c r="R199" s="156"/>
      <c r="S199" s="164">
        <v>0</v>
      </c>
      <c r="T199" s="122"/>
    </row>
    <row r="200" spans="1:20">
      <c r="A200" s="133">
        <v>900</v>
      </c>
      <c r="B200" s="133">
        <v>950</v>
      </c>
      <c r="C200" s="192">
        <v>7531</v>
      </c>
      <c r="D200" s="192">
        <v>696264460</v>
      </c>
      <c r="E200" s="156">
        <v>3.3054086070540257E-3</v>
      </c>
      <c r="F200" s="158">
        <v>924.53121763378033</v>
      </c>
      <c r="G200" s="163">
        <v>0.01</v>
      </c>
      <c r="H200" s="38" t="str">
        <f t="shared" si="2"/>
        <v>(900, 950]</v>
      </c>
      <c r="I200" s="159">
        <v>7.4999999999999997E-2</v>
      </c>
      <c r="J200" s="156">
        <v>2.479056455290519E-4</v>
      </c>
      <c r="K200" s="156">
        <v>2.3612030835936634E-4</v>
      </c>
      <c r="L200" s="161">
        <v>236120</v>
      </c>
      <c r="M200" s="156">
        <v>2.3612000377792007E-4</v>
      </c>
      <c r="N200" s="156">
        <v>0.21830031460049326</v>
      </c>
      <c r="O200" s="163"/>
      <c r="P200" s="156">
        <v>2.3612000377792007E-4</v>
      </c>
      <c r="Q200" s="156"/>
      <c r="R200" s="156"/>
      <c r="S200" s="164">
        <v>0</v>
      </c>
      <c r="T200" s="122"/>
    </row>
    <row r="201" spans="1:20">
      <c r="A201" s="133">
        <v>950</v>
      </c>
      <c r="B201" s="133">
        <v>1000</v>
      </c>
      <c r="C201" s="192">
        <v>6522</v>
      </c>
      <c r="D201" s="192">
        <v>635506350</v>
      </c>
      <c r="E201" s="156">
        <v>2.8625514453865827E-3</v>
      </c>
      <c r="F201" s="158">
        <v>974.4040938362466</v>
      </c>
      <c r="G201" s="163">
        <v>0.01</v>
      </c>
      <c r="H201" s="38" t="str">
        <f t="shared" si="2"/>
        <v>(950, 1000]</v>
      </c>
      <c r="I201" s="159">
        <v>0.08</v>
      </c>
      <c r="J201" s="156">
        <v>2.2900411563092662E-4</v>
      </c>
      <c r="K201" s="156">
        <v>2.181173497801673E-4</v>
      </c>
      <c r="L201" s="161">
        <v>218117</v>
      </c>
      <c r="M201" s="156">
        <v>2.1811700348987206E-4</v>
      </c>
      <c r="N201" s="156">
        <v>0.21253410113582621</v>
      </c>
      <c r="O201" s="163"/>
      <c r="P201" s="156">
        <v>2.1811700348987206E-4</v>
      </c>
      <c r="Q201" s="156"/>
      <c r="R201" s="156"/>
      <c r="S201" s="164">
        <v>0</v>
      </c>
      <c r="T201" s="122"/>
    </row>
    <row r="202" spans="1:20">
      <c r="A202" s="133">
        <v>1000</v>
      </c>
      <c r="B202" s="133">
        <v>2000</v>
      </c>
      <c r="C202" s="192">
        <v>45431</v>
      </c>
      <c r="D202" s="192">
        <v>6016529675</v>
      </c>
      <c r="E202" s="156">
        <v>1.993998385700059E-2</v>
      </c>
      <c r="F202" s="158">
        <v>1324.322527569281</v>
      </c>
      <c r="G202" s="163">
        <v>0.01</v>
      </c>
      <c r="H202" s="38" t="str">
        <f t="shared" si="2"/>
        <v>(1000, 2000]</v>
      </c>
      <c r="I202" s="159">
        <v>0.01</v>
      </c>
      <c r="J202" s="156">
        <v>1.9939983857000589E-4</v>
      </c>
      <c r="K202" s="156">
        <v>1.8992044844109898E-4</v>
      </c>
      <c r="L202" s="161">
        <v>189920</v>
      </c>
      <c r="M202" s="156">
        <v>1.8992000303872004E-4</v>
      </c>
      <c r="N202" s="156">
        <v>0.25151533846020324</v>
      </c>
      <c r="O202" s="163"/>
      <c r="P202" s="156">
        <v>1.8992000303872004E-4</v>
      </c>
      <c r="Q202" s="156"/>
      <c r="R202" s="156"/>
      <c r="S202" s="164">
        <v>0</v>
      </c>
      <c r="T202" s="122"/>
    </row>
    <row r="203" spans="1:20">
      <c r="A203" s="133">
        <v>2000</v>
      </c>
      <c r="B203" s="133">
        <v>3000</v>
      </c>
      <c r="C203" s="192">
        <v>6086</v>
      </c>
      <c r="D203" s="192">
        <v>1439400455</v>
      </c>
      <c r="E203" s="156">
        <v>2.6711879939623952E-3</v>
      </c>
      <c r="F203" s="158">
        <v>2365.1009776536316</v>
      </c>
      <c r="G203" s="163">
        <v>0</v>
      </c>
      <c r="H203" s="38" t="str">
        <f t="shared" si="2"/>
        <v>(2000, 3000]</v>
      </c>
      <c r="I203" s="159">
        <v>1E-3</v>
      </c>
      <c r="J203" s="156">
        <v>2.6711879939623953E-6</v>
      </c>
      <c r="K203" s="156">
        <v>2.5442007642634509E-6</v>
      </c>
      <c r="L203" s="161">
        <v>2544</v>
      </c>
      <c r="M203" s="156">
        <v>2.5440000407040007E-6</v>
      </c>
      <c r="N203" s="156">
        <v>6.016816983419911E-3</v>
      </c>
      <c r="O203" s="163"/>
      <c r="P203" s="156">
        <v>2.5440000407040007E-6</v>
      </c>
      <c r="Q203" s="156"/>
      <c r="R203" s="156"/>
      <c r="S203" s="164">
        <v>0</v>
      </c>
    </row>
    <row r="204" spans="1:20">
      <c r="A204" s="133">
        <v>3000</v>
      </c>
      <c r="B204" s="133">
        <v>4000</v>
      </c>
      <c r="C204" s="192">
        <v>1330</v>
      </c>
      <c r="D204" s="192">
        <v>451295940</v>
      </c>
      <c r="E204" s="156">
        <v>5.8374630824350733E-4</v>
      </c>
      <c r="F204" s="158">
        <v>3393.2025563909779</v>
      </c>
      <c r="G204" s="163">
        <v>0</v>
      </c>
      <c r="H204" s="38" t="str">
        <f t="shared" si="2"/>
        <v>(3000, 4000]</v>
      </c>
      <c r="I204" s="159">
        <v>0</v>
      </c>
      <c r="J204" s="156">
        <v>0</v>
      </c>
      <c r="K204" s="156">
        <v>0</v>
      </c>
      <c r="L204" s="161">
        <v>0</v>
      </c>
      <c r="M204" s="156">
        <v>0</v>
      </c>
      <c r="N204" s="156">
        <v>0</v>
      </c>
      <c r="O204" s="163"/>
      <c r="P204" s="156">
        <v>0</v>
      </c>
      <c r="Q204" s="156"/>
      <c r="R204" s="156"/>
      <c r="S204" s="164">
        <v>0</v>
      </c>
    </row>
    <row r="205" spans="1:20">
      <c r="A205" s="133">
        <v>4000</v>
      </c>
      <c r="B205" s="133">
        <v>5000</v>
      </c>
      <c r="C205" s="192">
        <v>361</v>
      </c>
      <c r="D205" s="192">
        <v>158982415</v>
      </c>
      <c r="E205" s="156">
        <v>1.5844542652323771E-4</v>
      </c>
      <c r="F205" s="158">
        <v>4403.9450138504153</v>
      </c>
      <c r="G205" s="163">
        <v>0.01</v>
      </c>
      <c r="H205" s="38" t="str">
        <f t="shared" si="2"/>
        <v>(4000, 5000]</v>
      </c>
      <c r="I205" s="159">
        <v>0</v>
      </c>
      <c r="J205" s="156">
        <v>0</v>
      </c>
      <c r="K205" s="156">
        <v>0</v>
      </c>
      <c r="L205" s="161">
        <v>0</v>
      </c>
      <c r="M205" s="156">
        <v>0</v>
      </c>
      <c r="N205" s="156">
        <v>0</v>
      </c>
      <c r="O205" s="163"/>
      <c r="P205" s="156">
        <v>0</v>
      </c>
      <c r="Q205" s="156"/>
      <c r="R205" s="156"/>
      <c r="S205" s="164">
        <v>0</v>
      </c>
    </row>
    <row r="206" spans="1:20">
      <c r="A206" s="133">
        <v>5000</v>
      </c>
      <c r="B206" s="133">
        <v>6000</v>
      </c>
      <c r="C206" s="192">
        <v>133</v>
      </c>
      <c r="D206" s="192">
        <v>72027630</v>
      </c>
      <c r="E206" s="156">
        <v>5.8374630824350737E-5</v>
      </c>
      <c r="F206" s="158">
        <v>5415.611278195488</v>
      </c>
      <c r="G206" s="163">
        <v>0.01</v>
      </c>
      <c r="H206" s="38" t="str">
        <f t="shared" si="2"/>
        <v>(5000, 6000]</v>
      </c>
      <c r="I206" s="159">
        <v>0</v>
      </c>
      <c r="J206" s="156">
        <v>0</v>
      </c>
      <c r="K206" s="156">
        <v>0</v>
      </c>
      <c r="L206" s="161">
        <v>0</v>
      </c>
      <c r="M206" s="156">
        <v>0</v>
      </c>
      <c r="N206" s="156">
        <v>0</v>
      </c>
      <c r="O206" s="163"/>
      <c r="P206" s="156">
        <v>0</v>
      </c>
      <c r="Q206" s="156"/>
      <c r="R206" s="156"/>
      <c r="S206" s="164">
        <v>0</v>
      </c>
    </row>
    <row r="207" spans="1:20">
      <c r="A207" s="133">
        <v>6000</v>
      </c>
      <c r="B207" s="133">
        <v>7000</v>
      </c>
      <c r="C207" s="192">
        <v>48</v>
      </c>
      <c r="D207" s="192">
        <v>30871890</v>
      </c>
      <c r="E207" s="156">
        <v>2.1067535936607783E-5</v>
      </c>
      <c r="F207" s="158">
        <v>6431.6437500000002</v>
      </c>
      <c r="G207" s="163">
        <v>0.01</v>
      </c>
      <c r="H207" s="38" t="str">
        <f t="shared" si="2"/>
        <v>(6000, 7000]</v>
      </c>
      <c r="I207" s="159">
        <v>0</v>
      </c>
      <c r="J207" s="156">
        <v>0</v>
      </c>
      <c r="K207" s="156">
        <v>0</v>
      </c>
      <c r="L207" s="161">
        <v>0</v>
      </c>
      <c r="M207" s="156">
        <v>0</v>
      </c>
      <c r="N207" s="156">
        <v>0</v>
      </c>
      <c r="O207" s="163"/>
      <c r="P207" s="156">
        <v>0</v>
      </c>
      <c r="Q207" s="156"/>
      <c r="R207" s="156"/>
      <c r="S207" s="164">
        <v>0</v>
      </c>
    </row>
    <row r="208" spans="1:20">
      <c r="A208" s="133">
        <v>7000</v>
      </c>
      <c r="B208" s="133">
        <v>8000</v>
      </c>
      <c r="C208" s="192">
        <v>27</v>
      </c>
      <c r="D208" s="192">
        <v>20035630</v>
      </c>
      <c r="E208" s="156">
        <v>1.1850488964341879E-5</v>
      </c>
      <c r="F208" s="158">
        <v>7420.6037037037031</v>
      </c>
      <c r="G208" s="163">
        <v>0.01</v>
      </c>
      <c r="H208" s="38" t="str">
        <f t="shared" si="2"/>
        <v>(7000, 8000]</v>
      </c>
      <c r="I208" s="159">
        <v>2.0000000000000002E-5</v>
      </c>
      <c r="J208" s="156">
        <v>2.3700977928683759E-10</v>
      </c>
      <c r="K208" s="156">
        <v>2.2574242732538015E-10</v>
      </c>
      <c r="L208" s="161">
        <v>0</v>
      </c>
      <c r="M208" s="156">
        <v>0</v>
      </c>
      <c r="N208" s="156">
        <v>0</v>
      </c>
      <c r="O208" s="163"/>
      <c r="P208" s="156">
        <v>0</v>
      </c>
      <c r="Q208" s="156"/>
      <c r="R208" s="156"/>
      <c r="S208" s="164">
        <v>0</v>
      </c>
    </row>
    <row r="209" spans="1:19">
      <c r="A209" s="133">
        <v>8000</v>
      </c>
      <c r="B209" s="133">
        <v>9000</v>
      </c>
      <c r="C209" s="192">
        <v>19</v>
      </c>
      <c r="D209" s="192">
        <v>15872480</v>
      </c>
      <c r="E209" s="156">
        <v>8.3392329749072486E-6</v>
      </c>
      <c r="F209" s="158">
        <v>8353.9368421052623</v>
      </c>
      <c r="G209" s="163">
        <v>0.01</v>
      </c>
      <c r="H209" s="38" t="str">
        <f t="shared" si="2"/>
        <v>(8000, 9000]</v>
      </c>
      <c r="I209" s="159">
        <v>4.0000000000000003E-5</v>
      </c>
      <c r="J209" s="156">
        <v>3.3356931899628998E-10</v>
      </c>
      <c r="K209" s="156">
        <v>3.1771156438386839E-10</v>
      </c>
      <c r="L209" s="161">
        <v>0</v>
      </c>
      <c r="M209" s="156">
        <v>0</v>
      </c>
      <c r="N209" s="156">
        <v>0</v>
      </c>
      <c r="O209" s="163"/>
      <c r="P209" s="156">
        <v>0</v>
      </c>
      <c r="Q209" s="156"/>
      <c r="R209" s="156"/>
      <c r="S209" s="164">
        <v>0</v>
      </c>
    </row>
    <row r="210" spans="1:19">
      <c r="A210" s="133">
        <v>9000</v>
      </c>
      <c r="B210" s="133">
        <v>10000</v>
      </c>
      <c r="C210" s="192">
        <v>11</v>
      </c>
      <c r="D210" s="192">
        <v>10382895</v>
      </c>
      <c r="E210" s="156">
        <v>4.8279769854726173E-6</v>
      </c>
      <c r="F210" s="158">
        <v>9438.9954545454548</v>
      </c>
      <c r="G210" s="163">
        <v>0.01</v>
      </c>
      <c r="H210" s="38" t="str">
        <f t="shared" si="2"/>
        <v>(9000, 10000]</v>
      </c>
      <c r="I210" s="159">
        <v>8.0000000000000007E-5</v>
      </c>
      <c r="J210" s="156">
        <v>3.862381588378094E-10</v>
      </c>
      <c r="K210" s="156">
        <v>3.6787654823395281E-10</v>
      </c>
      <c r="L210" s="161">
        <v>0</v>
      </c>
      <c r="M210" s="156">
        <v>0</v>
      </c>
      <c r="N210" s="156">
        <v>0</v>
      </c>
      <c r="O210" s="163"/>
      <c r="P210" s="156">
        <v>0</v>
      </c>
      <c r="Q210" s="156"/>
      <c r="R210" s="156"/>
      <c r="S210" s="164">
        <v>0</v>
      </c>
    </row>
    <row r="211" spans="1:19">
      <c r="A211" s="133">
        <v>10000</v>
      </c>
      <c r="B211" s="133">
        <v>20000</v>
      </c>
      <c r="C211" s="192">
        <v>12</v>
      </c>
      <c r="D211" s="192">
        <v>14267885</v>
      </c>
      <c r="E211" s="156">
        <v>5.2668839841519457E-6</v>
      </c>
      <c r="F211" s="158">
        <v>11889.904166666667</v>
      </c>
      <c r="G211" s="163">
        <v>0.01</v>
      </c>
      <c r="H211" s="38" t="str">
        <f t="shared" si="2"/>
        <v>(10000, 20000]</v>
      </c>
      <c r="I211" s="159">
        <v>8.0000000000000007E-5</v>
      </c>
      <c r="J211" s="156">
        <v>4.2135071873215567E-10</v>
      </c>
      <c r="K211" s="156">
        <v>4.0131987080067574E-10</v>
      </c>
      <c r="L211" s="161">
        <v>0</v>
      </c>
      <c r="M211" s="156">
        <v>0</v>
      </c>
      <c r="N211" s="156">
        <v>0</v>
      </c>
      <c r="O211" s="163"/>
      <c r="P211" s="156">
        <v>0</v>
      </c>
      <c r="Q211" s="156"/>
      <c r="R211" s="156"/>
      <c r="S211" s="164">
        <v>0</v>
      </c>
    </row>
    <row r="212" spans="1:19">
      <c r="A212" s="133">
        <v>20000</v>
      </c>
      <c r="B212" s="133">
        <v>30000</v>
      </c>
      <c r="C212" s="192">
        <v>0</v>
      </c>
      <c r="D212" s="192">
        <v>0</v>
      </c>
      <c r="E212" s="156">
        <v>0</v>
      </c>
      <c r="F212" s="158">
        <v>0</v>
      </c>
      <c r="G212" s="163">
        <v>0</v>
      </c>
      <c r="H212" s="38" t="str">
        <f t="shared" si="2"/>
        <v>(20000, 30000]</v>
      </c>
      <c r="I212" s="159">
        <v>0</v>
      </c>
      <c r="J212" s="156">
        <v>0</v>
      </c>
      <c r="K212" s="156">
        <v>0</v>
      </c>
      <c r="L212" s="161">
        <v>0</v>
      </c>
      <c r="M212" s="156">
        <v>0</v>
      </c>
      <c r="N212" s="156">
        <v>0</v>
      </c>
      <c r="O212" s="163"/>
      <c r="P212" s="156">
        <v>0</v>
      </c>
      <c r="Q212" s="156"/>
      <c r="R212" s="156"/>
      <c r="S212" s="164">
        <v>0</v>
      </c>
    </row>
    <row r="213" spans="1:19">
      <c r="A213" s="133">
        <v>30000</v>
      </c>
      <c r="B213" s="133">
        <v>40000</v>
      </c>
      <c r="C213" s="192">
        <v>0</v>
      </c>
      <c r="D213" s="192">
        <v>0</v>
      </c>
      <c r="E213" s="156">
        <v>0</v>
      </c>
      <c r="F213" s="158">
        <v>0</v>
      </c>
      <c r="G213" s="163">
        <v>0</v>
      </c>
      <c r="H213" s="38" t="str">
        <f t="shared" si="2"/>
        <v>(30000, 40000]</v>
      </c>
      <c r="I213" s="159">
        <v>0</v>
      </c>
      <c r="J213" s="156">
        <v>0</v>
      </c>
      <c r="K213" s="156">
        <v>0</v>
      </c>
      <c r="L213" s="161">
        <v>0</v>
      </c>
      <c r="M213" s="156">
        <v>0</v>
      </c>
      <c r="N213" s="156">
        <v>0</v>
      </c>
      <c r="O213" s="163"/>
      <c r="P213" s="156">
        <v>0</v>
      </c>
      <c r="Q213" s="156"/>
      <c r="R213" s="156"/>
      <c r="S213" s="164">
        <v>0</v>
      </c>
    </row>
    <row r="214" spans="1:19">
      <c r="A214" s="133">
        <v>40000</v>
      </c>
      <c r="B214" s="133">
        <v>50000</v>
      </c>
      <c r="C214" s="192">
        <v>0</v>
      </c>
      <c r="D214" s="192">
        <v>0</v>
      </c>
      <c r="E214" s="156">
        <v>0</v>
      </c>
      <c r="F214" s="158">
        <v>0</v>
      </c>
      <c r="G214" s="163">
        <v>0</v>
      </c>
      <c r="H214" s="38" t="str">
        <f t="shared" si="2"/>
        <v>(40000, 50000]</v>
      </c>
      <c r="I214" s="159">
        <v>0</v>
      </c>
      <c r="J214" s="156">
        <v>0</v>
      </c>
      <c r="K214" s="156">
        <v>0</v>
      </c>
      <c r="L214" s="161">
        <v>0</v>
      </c>
      <c r="M214" s="156">
        <v>0</v>
      </c>
      <c r="N214" s="156">
        <v>0</v>
      </c>
      <c r="O214" s="163"/>
      <c r="P214" s="156">
        <v>0</v>
      </c>
      <c r="Q214" s="156"/>
      <c r="R214" s="156"/>
      <c r="S214" s="164">
        <v>0</v>
      </c>
    </row>
    <row r="215" spans="1:19">
      <c r="A215" s="133">
        <v>50000</v>
      </c>
      <c r="B215" s="133">
        <v>60000</v>
      </c>
      <c r="C215" s="192">
        <v>0</v>
      </c>
      <c r="D215" s="192">
        <v>0</v>
      </c>
      <c r="E215" s="156">
        <v>0</v>
      </c>
      <c r="F215" s="158">
        <v>0</v>
      </c>
      <c r="G215" s="163">
        <v>0</v>
      </c>
      <c r="H215" s="38" t="str">
        <f t="shared" si="2"/>
        <v>(50000, 60000]</v>
      </c>
      <c r="I215" s="159">
        <v>0</v>
      </c>
      <c r="J215" s="156">
        <v>0</v>
      </c>
      <c r="K215" s="156">
        <v>0</v>
      </c>
      <c r="L215" s="161">
        <v>0</v>
      </c>
      <c r="M215" s="156">
        <v>0</v>
      </c>
      <c r="N215" s="156">
        <v>0</v>
      </c>
      <c r="O215" s="163"/>
      <c r="P215" s="156">
        <v>0</v>
      </c>
      <c r="Q215" s="156"/>
      <c r="R215" s="156"/>
      <c r="S215" s="164">
        <v>0</v>
      </c>
    </row>
    <row r="216" spans="1:19">
      <c r="A216" s="133">
        <v>60000</v>
      </c>
      <c r="B216" s="133">
        <v>70000</v>
      </c>
      <c r="C216" s="192">
        <v>0</v>
      </c>
      <c r="D216" s="192">
        <v>0</v>
      </c>
      <c r="E216" s="156">
        <v>0</v>
      </c>
      <c r="F216" s="158">
        <v>0</v>
      </c>
      <c r="G216" s="163">
        <v>0</v>
      </c>
      <c r="H216" s="38" t="str">
        <f t="shared" si="2"/>
        <v>(60000, 70000]</v>
      </c>
      <c r="I216" s="159">
        <v>0</v>
      </c>
      <c r="J216" s="156">
        <v>0</v>
      </c>
      <c r="K216" s="156">
        <v>0</v>
      </c>
      <c r="L216" s="161">
        <v>0</v>
      </c>
      <c r="M216" s="156">
        <v>0</v>
      </c>
      <c r="N216" s="156">
        <v>0</v>
      </c>
      <c r="O216" s="163"/>
      <c r="P216" s="156">
        <v>0</v>
      </c>
      <c r="Q216" s="156"/>
      <c r="R216" s="156"/>
      <c r="S216" s="164">
        <v>0</v>
      </c>
    </row>
    <row r="217" spans="1:19">
      <c r="A217" s="133">
        <v>70000</v>
      </c>
      <c r="B217" s="133">
        <v>80000</v>
      </c>
      <c r="C217" s="192">
        <v>0</v>
      </c>
      <c r="D217" s="192">
        <v>0</v>
      </c>
      <c r="E217" s="156">
        <v>0</v>
      </c>
      <c r="F217" s="158">
        <v>0</v>
      </c>
      <c r="G217" s="163">
        <v>0</v>
      </c>
      <c r="H217" s="38" t="str">
        <f t="shared" si="2"/>
        <v>(70000, 80000]</v>
      </c>
      <c r="I217" s="159">
        <v>0</v>
      </c>
      <c r="J217" s="156">
        <v>0</v>
      </c>
      <c r="K217" s="156">
        <v>0</v>
      </c>
      <c r="L217" s="161">
        <v>0</v>
      </c>
      <c r="M217" s="156">
        <v>0</v>
      </c>
      <c r="N217" s="156">
        <v>0</v>
      </c>
      <c r="O217" s="163"/>
      <c r="P217" s="156">
        <v>0</v>
      </c>
      <c r="Q217" s="156"/>
      <c r="R217" s="156"/>
      <c r="S217" s="164">
        <v>0</v>
      </c>
    </row>
    <row r="218" spans="1:19">
      <c r="A218" s="133">
        <v>80000</v>
      </c>
      <c r="B218" s="133">
        <v>90000</v>
      </c>
      <c r="C218" s="192">
        <v>0</v>
      </c>
      <c r="D218" s="192">
        <v>0</v>
      </c>
      <c r="E218" s="156">
        <v>0</v>
      </c>
      <c r="F218" s="158">
        <v>0</v>
      </c>
      <c r="G218" s="163">
        <v>0</v>
      </c>
      <c r="H218" s="38" t="str">
        <f t="shared" si="2"/>
        <v>(80000, 90000]</v>
      </c>
      <c r="I218" s="159">
        <v>0</v>
      </c>
      <c r="J218" s="156">
        <v>0</v>
      </c>
      <c r="K218" s="156">
        <v>0</v>
      </c>
      <c r="L218" s="161">
        <v>0</v>
      </c>
      <c r="M218" s="156">
        <v>0</v>
      </c>
      <c r="N218" s="156">
        <v>0</v>
      </c>
      <c r="O218" s="163"/>
      <c r="P218" s="156">
        <v>0</v>
      </c>
      <c r="Q218" s="156"/>
      <c r="R218" s="156"/>
      <c r="S218" s="164">
        <v>0</v>
      </c>
    </row>
    <row r="219" spans="1:19">
      <c r="A219" s="133">
        <v>90000</v>
      </c>
      <c r="B219" s="133">
        <v>100000</v>
      </c>
      <c r="C219" s="192">
        <v>0</v>
      </c>
      <c r="D219" s="192">
        <v>0</v>
      </c>
      <c r="E219" s="156">
        <v>0</v>
      </c>
      <c r="F219" s="158">
        <v>0</v>
      </c>
      <c r="G219" s="163">
        <v>0</v>
      </c>
      <c r="H219" s="38" t="str">
        <f t="shared" si="2"/>
        <v>(90000, 100000]</v>
      </c>
      <c r="I219" s="159">
        <v>0</v>
      </c>
      <c r="J219" s="156">
        <v>0</v>
      </c>
      <c r="K219" s="156">
        <v>0</v>
      </c>
      <c r="L219" s="161">
        <v>0</v>
      </c>
      <c r="M219" s="156">
        <v>0</v>
      </c>
      <c r="N219" s="156">
        <v>0</v>
      </c>
      <c r="O219" s="163"/>
      <c r="P219" s="156">
        <v>0</v>
      </c>
      <c r="Q219" s="156"/>
      <c r="R219" s="156"/>
      <c r="S219" s="164">
        <v>0</v>
      </c>
    </row>
    <row r="220" spans="1:19">
      <c r="A220" s="133">
        <v>100000</v>
      </c>
      <c r="B220" s="133">
        <v>9999999</v>
      </c>
      <c r="C220" s="192">
        <v>0</v>
      </c>
      <c r="D220" s="192">
        <v>0</v>
      </c>
      <c r="E220" s="156">
        <v>0</v>
      </c>
      <c r="F220" s="158">
        <v>0</v>
      </c>
      <c r="G220" s="163">
        <v>0</v>
      </c>
      <c r="H220" s="38" t="str">
        <f t="shared" si="2"/>
        <v>(100000, 9999999]</v>
      </c>
      <c r="I220" s="159">
        <v>0</v>
      </c>
      <c r="J220" s="156">
        <v>0</v>
      </c>
      <c r="K220" s="156">
        <v>0</v>
      </c>
      <c r="L220" s="161">
        <v>0</v>
      </c>
      <c r="M220" s="156">
        <v>0</v>
      </c>
      <c r="N220" s="156">
        <v>0</v>
      </c>
      <c r="O220" s="163"/>
      <c r="P220" s="156">
        <v>0</v>
      </c>
      <c r="Q220" s="156"/>
      <c r="R220" s="156"/>
      <c r="S220" s="164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3" priority="18" operator="lessThan">
      <formula>0.001</formula>
    </cfRule>
  </conditionalFormatting>
  <conditionalFormatting sqref="E87:E150">
    <cfRule type="cellIs" dxfId="122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1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dimension ref="A2:H39"/>
  <sheetViews>
    <sheetView workbookViewId="0"/>
  </sheetViews>
  <sheetFormatPr defaultColWidth="8.88671875" defaultRowHeight="15.6"/>
  <cols>
    <col min="1" max="1" width="8.88671875" style="13" customWidth="1"/>
    <col min="2" max="2" width="18.33203125" style="13" bestFit="1" customWidth="1"/>
    <col min="3" max="3" width="24.21875" style="13" bestFit="1" customWidth="1"/>
    <col min="4" max="4" width="20.33203125" style="35" customWidth="1"/>
    <col min="5" max="5" width="19.88671875" style="13" bestFit="1" customWidth="1"/>
    <col min="6" max="6" width="16.77734375" style="13" customWidth="1"/>
    <col min="7" max="7" width="20.5546875" style="13" customWidth="1"/>
    <col min="8" max="8" width="16.5546875" style="13" customWidth="1"/>
    <col min="9" max="16384" width="8.88671875" style="13"/>
  </cols>
  <sheetData>
    <row r="2" spans="1:8">
      <c r="B2" s="54" t="s">
        <v>61</v>
      </c>
      <c r="C2" s="112">
        <v>10000000000</v>
      </c>
    </row>
    <row r="4" spans="1:8">
      <c r="B4" s="48" t="s">
        <v>200</v>
      </c>
      <c r="C4" s="48" t="s">
        <v>119</v>
      </c>
      <c r="D4" s="20" t="s">
        <v>201</v>
      </c>
      <c r="E4" s="48" t="s">
        <v>202</v>
      </c>
      <c r="F4" s="113" t="s">
        <v>203</v>
      </c>
      <c r="G4" s="48" t="s">
        <v>204</v>
      </c>
    </row>
    <row r="5" spans="1:8">
      <c r="A5" s="35"/>
      <c r="B5" s="232" t="s">
        <v>205</v>
      </c>
      <c r="C5" s="232" t="s">
        <v>55</v>
      </c>
      <c r="D5" s="30" t="s">
        <v>206</v>
      </c>
      <c r="E5" s="234"/>
      <c r="F5" s="114"/>
      <c r="G5" s="236" t="e">
        <f>SUM(F5:F6)/E5*$C$2</f>
        <v>#DIV/0!</v>
      </c>
      <c r="H5" s="115"/>
    </row>
    <row r="6" spans="1:8">
      <c r="B6" s="233"/>
      <c r="C6" s="233"/>
      <c r="D6" s="5" t="s">
        <v>207</v>
      </c>
      <c r="E6" s="235"/>
      <c r="F6" s="116"/>
      <c r="G6" s="237"/>
      <c r="H6" s="115"/>
    </row>
    <row r="7" spans="1:8">
      <c r="A7" s="35"/>
      <c r="B7" s="232" t="s">
        <v>208</v>
      </c>
      <c r="C7" s="232" t="s">
        <v>55</v>
      </c>
      <c r="D7" s="30" t="s">
        <v>206</v>
      </c>
      <c r="E7" s="234"/>
      <c r="F7" s="116"/>
      <c r="G7" s="236" t="e">
        <f>SUM(F7:F8)/E7*$C$2</f>
        <v>#DIV/0!</v>
      </c>
      <c r="H7" s="115"/>
    </row>
    <row r="8" spans="1:8">
      <c r="B8" s="233"/>
      <c r="C8" s="233"/>
      <c r="D8" s="5" t="s">
        <v>207</v>
      </c>
      <c r="E8" s="235"/>
      <c r="F8" s="116"/>
      <c r="G8" s="237"/>
      <c r="H8" s="115"/>
    </row>
    <row r="9" spans="1:8">
      <c r="A9" s="35"/>
      <c r="B9" s="238" t="s">
        <v>209</v>
      </c>
      <c r="C9" s="232" t="s">
        <v>91</v>
      </c>
      <c r="D9" s="30" t="s">
        <v>206</v>
      </c>
      <c r="E9" s="239">
        <f>F9</f>
        <v>0</v>
      </c>
      <c r="F9" s="116"/>
      <c r="G9" s="236" t="e">
        <f>SUM(F9:F10)/E9*$C$2</f>
        <v>#DIV/0!</v>
      </c>
      <c r="H9" s="115"/>
    </row>
    <row r="10" spans="1:8">
      <c r="B10" s="233"/>
      <c r="C10" s="233"/>
      <c r="D10" s="5" t="s">
        <v>207</v>
      </c>
      <c r="E10" s="240"/>
      <c r="F10" s="116"/>
      <c r="G10" s="237"/>
      <c r="H10" s="115"/>
    </row>
    <row r="11" spans="1:8">
      <c r="B11" s="117"/>
      <c r="C11" s="117"/>
      <c r="E11" s="14"/>
    </row>
    <row r="12" spans="1:8">
      <c r="D12" s="13"/>
    </row>
    <row r="13" spans="1:8">
      <c r="D13" s="13"/>
    </row>
    <row r="14" spans="1:8">
      <c r="D14" s="13"/>
    </row>
    <row r="15" spans="1:8">
      <c r="D15" s="13"/>
    </row>
    <row r="16" spans="1:8">
      <c r="D16" s="13"/>
    </row>
    <row r="39" spans="4:4">
      <c r="D39" s="13"/>
    </row>
  </sheetData>
  <mergeCells count="12">
    <mergeCell ref="B9:B10"/>
    <mergeCell ref="C9:C10"/>
    <mergeCell ref="E9:E10"/>
    <mergeCell ref="G9:G10"/>
    <mergeCell ref="E7:E8"/>
    <mergeCell ref="G7:G8"/>
    <mergeCell ref="B5:B6"/>
    <mergeCell ref="C5:C6"/>
    <mergeCell ref="E5:E6"/>
    <mergeCell ref="G5:G6"/>
    <mergeCell ref="B7:B8"/>
    <mergeCell ref="C7:C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>
    <tabColor theme="3" tint="0.59999389629810485"/>
  </sheetPr>
  <dimension ref="A2:AT405"/>
  <sheetViews>
    <sheetView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99" customWidth="1"/>
    <col min="20" max="20" width="8.88671875" style="1" customWidth="1"/>
    <col min="21" max="21" width="5.5546875" style="1" customWidth="1"/>
    <col min="22" max="26" width="5.5546875" style="197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231</v>
      </c>
      <c r="AC2" s="11" t="s">
        <v>232</v>
      </c>
      <c r="AD2" s="215"/>
      <c r="AE2" s="215"/>
      <c r="AF2" s="215"/>
      <c r="AG2" s="215"/>
      <c r="AH2" s="215"/>
      <c r="AI2" s="215"/>
      <c r="AK2" s="49" t="s">
        <v>276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97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277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96" t="str" cm="1">
        <f t="array" ref="A4:B29">Overview!$A$42:$B$67</f>
        <v>WW</v>
      </c>
      <c r="B4" s="196" t="str">
        <v>Wild</v>
      </c>
      <c r="C4" s="101">
        <f>COUNTIF(M$4:M$304,$A4)</f>
        <v>0</v>
      </c>
      <c r="D4" s="101">
        <f t="shared" ref="D4:I4" si="0">COUNTIF(N$4:N$304,$A4)</f>
        <v>0</v>
      </c>
      <c r="E4" s="101">
        <f t="shared" si="0"/>
        <v>0</v>
      </c>
      <c r="F4" s="101">
        <f t="shared" si="0"/>
        <v>0</v>
      </c>
      <c r="G4" s="101">
        <f t="shared" si="0"/>
        <v>0</v>
      </c>
      <c r="H4" s="101">
        <f t="shared" si="0"/>
        <v>0</v>
      </c>
      <c r="I4" s="101">
        <f t="shared" si="0"/>
        <v>0</v>
      </c>
      <c r="J4" s="196">
        <v>0</v>
      </c>
      <c r="K4" s="43"/>
      <c r="L4" s="19">
        <v>0</v>
      </c>
      <c r="M4" s="205" t="s">
        <v>90</v>
      </c>
      <c r="N4" s="205" t="s">
        <v>25</v>
      </c>
      <c r="O4" s="205" t="s">
        <v>35</v>
      </c>
      <c r="P4" s="205" t="s">
        <v>34</v>
      </c>
      <c r="Q4" s="205" t="s">
        <v>39</v>
      </c>
      <c r="R4" s="205" t="s">
        <v>38</v>
      </c>
      <c r="S4" s="206" t="s">
        <v>35</v>
      </c>
      <c r="U4" s="207">
        <f t="shared" ref="U4:AA4" si="1">VLOOKUP(M4, $A$4:$J$29, 9, 0)</f>
        <v>6</v>
      </c>
      <c r="V4" s="207">
        <f t="shared" si="1"/>
        <v>5</v>
      </c>
      <c r="W4" s="207">
        <f t="shared" si="1"/>
        <v>15</v>
      </c>
      <c r="X4" s="207">
        <f t="shared" si="1"/>
        <v>16</v>
      </c>
      <c r="Y4" s="207">
        <f t="shared" si="1"/>
        <v>5</v>
      </c>
      <c r="Z4" s="207">
        <f t="shared" si="1"/>
        <v>15</v>
      </c>
      <c r="AA4" s="207">
        <f t="shared" si="1"/>
        <v>15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96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ref="C5:C29" si="2">COUNTIF(M$4:M$304,$A5)</f>
        <v>0</v>
      </c>
      <c r="D5" s="12">
        <f t="shared" ref="D5:D29" si="3">COUNTIF(N$4:N$304,$A5)</f>
        <v>0</v>
      </c>
      <c r="E5" s="12">
        <f t="shared" ref="E5:E29" si="4">COUNTIF(O$4:O$304,$A5)</f>
        <v>0</v>
      </c>
      <c r="F5" s="12">
        <f t="shared" ref="F5:F29" si="5">COUNTIF(P$4:P$304,$A5)</f>
        <v>0</v>
      </c>
      <c r="G5" s="12">
        <f t="shared" ref="G5:G29" si="6">COUNTIF(Q$4:Q$304,$A5)</f>
        <v>0</v>
      </c>
      <c r="H5" s="12">
        <f t="shared" ref="H5:H29" si="7">COUNTIF(R$4:R$304,$A5)</f>
        <v>0</v>
      </c>
      <c r="I5" s="12">
        <f t="shared" ref="I5:I29" si="8">COUNTIF(S$4:S$304,$A5)</f>
        <v>0</v>
      </c>
      <c r="J5" s="5">
        <v>1</v>
      </c>
      <c r="K5" s="43"/>
      <c r="L5" s="18">
        <v>1</v>
      </c>
      <c r="M5" s="47" t="s">
        <v>39</v>
      </c>
      <c r="N5" s="47" t="s">
        <v>65</v>
      </c>
      <c r="O5" s="47" t="s">
        <v>25</v>
      </c>
      <c r="P5" s="47" t="s">
        <v>34</v>
      </c>
      <c r="Q5" s="47" t="s">
        <v>39</v>
      </c>
      <c r="R5" s="47" t="s">
        <v>38</v>
      </c>
      <c r="S5" s="33" t="s">
        <v>35</v>
      </c>
      <c r="U5" s="46">
        <f t="shared" ref="U5:U68" si="9">VLOOKUP(M5, $A$4:$J$29, 9, 0)</f>
        <v>5</v>
      </c>
      <c r="V5" s="46">
        <f t="shared" ref="V5:V68" si="10">VLOOKUP(N5, $A$4:$J$29, 9, 0)</f>
        <v>17</v>
      </c>
      <c r="W5" s="46">
        <f t="shared" ref="W5:W68" si="11">VLOOKUP(O5, $A$4:$J$29, 9, 0)</f>
        <v>5</v>
      </c>
      <c r="X5" s="46">
        <f t="shared" ref="X5:X68" si="12">VLOOKUP(P5, $A$4:$J$29, 9, 0)</f>
        <v>16</v>
      </c>
      <c r="Y5" s="46">
        <f t="shared" ref="Y5:Y68" si="13">VLOOKUP(Q5, $A$4:$J$29, 9, 0)</f>
        <v>5</v>
      </c>
      <c r="Z5" s="46">
        <f t="shared" ref="Z5:Z68" si="14">VLOOKUP(R5, $A$4:$J$29, 9, 0)</f>
        <v>15</v>
      </c>
      <c r="AA5" s="46">
        <f t="shared" ref="AA5:AA68" si="15">VLOOKUP(S5, $A$4:$J$29, 9, 0)</f>
        <v>15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10</v>
      </c>
      <c r="AM5" s="46">
        <v>10</v>
      </c>
      <c r="AN5" s="46">
        <v>10</v>
      </c>
      <c r="AO5" s="46">
        <v>10</v>
      </c>
      <c r="AP5" s="46">
        <v>10</v>
      </c>
      <c r="AQ5" s="46">
        <v>10</v>
      </c>
      <c r="AR5" s="46">
        <v>5</v>
      </c>
      <c r="AS5" s="5">
        <v>1</v>
      </c>
    </row>
    <row r="6" spans="1:45" ht="15.9" customHeight="1">
      <c r="A6" s="200" t="str">
        <v>M1</v>
      </c>
      <c r="B6" s="200" t="str">
        <v>M1</v>
      </c>
      <c r="C6" s="202">
        <f t="shared" si="2"/>
        <v>1</v>
      </c>
      <c r="D6" s="202">
        <f t="shared" si="3"/>
        <v>1</v>
      </c>
      <c r="E6" s="202">
        <f t="shared" si="4"/>
        <v>2</v>
      </c>
      <c r="F6" s="202">
        <f t="shared" si="5"/>
        <v>1</v>
      </c>
      <c r="G6" s="202">
        <f t="shared" si="6"/>
        <v>1</v>
      </c>
      <c r="H6" s="202">
        <f t="shared" si="7"/>
        <v>2</v>
      </c>
      <c r="I6" s="202">
        <f t="shared" si="8"/>
        <v>4</v>
      </c>
      <c r="J6" s="200">
        <v>2</v>
      </c>
      <c r="L6" s="19">
        <v>2</v>
      </c>
      <c r="M6" s="47" t="s">
        <v>39</v>
      </c>
      <c r="N6" s="47" t="s">
        <v>38</v>
      </c>
      <c r="O6" s="47" t="s">
        <v>39</v>
      </c>
      <c r="P6" s="47" t="s">
        <v>238</v>
      </c>
      <c r="Q6" s="47" t="s">
        <v>37</v>
      </c>
      <c r="R6" s="47" t="s">
        <v>38</v>
      </c>
      <c r="S6" s="33" t="s">
        <v>35</v>
      </c>
      <c r="U6" s="46">
        <f t="shared" si="9"/>
        <v>5</v>
      </c>
      <c r="V6" s="46">
        <f t="shared" si="10"/>
        <v>15</v>
      </c>
      <c r="W6" s="46">
        <f t="shared" si="11"/>
        <v>5</v>
      </c>
      <c r="X6" s="46">
        <f t="shared" si="12"/>
        <v>0</v>
      </c>
      <c r="Y6" s="46">
        <f t="shared" si="13"/>
        <v>13</v>
      </c>
      <c r="Z6" s="46">
        <f t="shared" si="14"/>
        <v>15</v>
      </c>
      <c r="AA6" s="46">
        <f t="shared" si="15"/>
        <v>15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203" t="s">
        <v>20</v>
      </c>
      <c r="AL6" s="203">
        <v>8</v>
      </c>
      <c r="AM6" s="203">
        <v>8</v>
      </c>
      <c r="AN6" s="203">
        <v>8</v>
      </c>
      <c r="AO6" s="203">
        <v>8</v>
      </c>
      <c r="AP6" s="203">
        <v>8</v>
      </c>
      <c r="AQ6" s="203">
        <v>8</v>
      </c>
      <c r="AR6" s="203">
        <v>8</v>
      </c>
      <c r="AS6" s="200">
        <v>2</v>
      </c>
    </row>
    <row r="7" spans="1:45" ht="15.9" customHeight="1">
      <c r="A7" s="200" t="str">
        <v>M2</v>
      </c>
      <c r="B7" s="200" t="str">
        <v>M2</v>
      </c>
      <c r="C7" s="202">
        <f t="shared" si="2"/>
        <v>1</v>
      </c>
      <c r="D7" s="202">
        <f t="shared" si="3"/>
        <v>5</v>
      </c>
      <c r="E7" s="202">
        <f t="shared" si="4"/>
        <v>6</v>
      </c>
      <c r="F7" s="202">
        <f t="shared" si="5"/>
        <v>10</v>
      </c>
      <c r="G7" s="202">
        <f t="shared" si="6"/>
        <v>2</v>
      </c>
      <c r="H7" s="202">
        <f t="shared" si="7"/>
        <v>5</v>
      </c>
      <c r="I7" s="202">
        <f t="shared" si="8"/>
        <v>11</v>
      </c>
      <c r="J7" s="200">
        <v>3</v>
      </c>
      <c r="L7" s="18">
        <v>3</v>
      </c>
      <c r="M7" s="47" t="s">
        <v>40</v>
      </c>
      <c r="N7" s="47" t="s">
        <v>65</v>
      </c>
      <c r="O7" s="47" t="s">
        <v>39</v>
      </c>
      <c r="P7" s="47" t="s">
        <v>65</v>
      </c>
      <c r="Q7" s="47" t="s">
        <v>238</v>
      </c>
      <c r="R7" s="47" t="s">
        <v>40</v>
      </c>
      <c r="S7" s="33" t="s">
        <v>33</v>
      </c>
      <c r="U7" s="46">
        <f t="shared" si="9"/>
        <v>12</v>
      </c>
      <c r="V7" s="46">
        <f t="shared" si="10"/>
        <v>17</v>
      </c>
      <c r="W7" s="46">
        <f t="shared" si="11"/>
        <v>5</v>
      </c>
      <c r="X7" s="46">
        <f t="shared" si="12"/>
        <v>17</v>
      </c>
      <c r="Y7" s="46">
        <f t="shared" si="13"/>
        <v>0</v>
      </c>
      <c r="Z7" s="46">
        <f t="shared" si="14"/>
        <v>12</v>
      </c>
      <c r="AA7" s="46">
        <f t="shared" si="15"/>
        <v>11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203" t="s">
        <v>21</v>
      </c>
      <c r="AL7" s="203">
        <v>10</v>
      </c>
      <c r="AM7" s="203">
        <v>13</v>
      </c>
      <c r="AN7" s="203">
        <v>10</v>
      </c>
      <c r="AO7" s="203">
        <v>5</v>
      </c>
      <c r="AP7" s="203">
        <v>20</v>
      </c>
      <c r="AQ7" s="203">
        <v>5</v>
      </c>
      <c r="AR7" s="203">
        <v>10</v>
      </c>
      <c r="AS7" s="200">
        <v>3</v>
      </c>
    </row>
    <row r="8" spans="1:45" ht="15.9" customHeight="1">
      <c r="A8" s="200" t="str">
        <v>M3</v>
      </c>
      <c r="B8" s="200" t="str">
        <v>M3</v>
      </c>
      <c r="C8" s="202">
        <f t="shared" si="2"/>
        <v>11</v>
      </c>
      <c r="D8" s="202">
        <f t="shared" si="3"/>
        <v>4</v>
      </c>
      <c r="E8" s="202">
        <f t="shared" si="4"/>
        <v>8</v>
      </c>
      <c r="F8" s="202">
        <f t="shared" si="5"/>
        <v>5</v>
      </c>
      <c r="G8" s="202">
        <f t="shared" si="6"/>
        <v>7</v>
      </c>
      <c r="H8" s="202">
        <f t="shared" si="7"/>
        <v>4</v>
      </c>
      <c r="I8" s="202">
        <f t="shared" si="8"/>
        <v>16</v>
      </c>
      <c r="J8" s="200">
        <v>4</v>
      </c>
      <c r="L8" s="19">
        <v>4</v>
      </c>
      <c r="M8" s="47" t="s">
        <v>40</v>
      </c>
      <c r="N8" s="47" t="s">
        <v>35</v>
      </c>
      <c r="O8" s="47" t="s">
        <v>25</v>
      </c>
      <c r="P8" s="47" t="s">
        <v>33</v>
      </c>
      <c r="Q8" s="47" t="s">
        <v>35</v>
      </c>
      <c r="R8" s="47" t="s">
        <v>40</v>
      </c>
      <c r="S8" s="33" t="s">
        <v>33</v>
      </c>
      <c r="U8" s="46">
        <f t="shared" si="9"/>
        <v>12</v>
      </c>
      <c r="V8" s="46">
        <f t="shared" si="10"/>
        <v>15</v>
      </c>
      <c r="W8" s="46">
        <f t="shared" si="11"/>
        <v>5</v>
      </c>
      <c r="X8" s="46">
        <f t="shared" si="12"/>
        <v>11</v>
      </c>
      <c r="Y8" s="46">
        <f t="shared" si="13"/>
        <v>15</v>
      </c>
      <c r="Z8" s="46">
        <f t="shared" si="14"/>
        <v>12</v>
      </c>
      <c r="AA8" s="46">
        <f t="shared" si="15"/>
        <v>11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203" t="s">
        <v>17</v>
      </c>
      <c r="AL8" s="203">
        <v>15</v>
      </c>
      <c r="AM8" s="203">
        <v>10</v>
      </c>
      <c r="AN8" s="203">
        <v>15</v>
      </c>
      <c r="AO8" s="203">
        <v>5</v>
      </c>
      <c r="AP8" s="203">
        <v>18</v>
      </c>
      <c r="AQ8" s="203">
        <v>20</v>
      </c>
      <c r="AR8" s="203">
        <v>10</v>
      </c>
      <c r="AS8" s="200">
        <v>4</v>
      </c>
    </row>
    <row r="9" spans="1:45" ht="15.9" customHeight="1">
      <c r="A9" s="200" t="str">
        <v>M4</v>
      </c>
      <c r="B9" s="200" t="str">
        <v>M4</v>
      </c>
      <c r="C9" s="202">
        <f t="shared" si="2"/>
        <v>10</v>
      </c>
      <c r="D9" s="202">
        <f t="shared" si="3"/>
        <v>6</v>
      </c>
      <c r="E9" s="202">
        <f t="shared" si="4"/>
        <v>16</v>
      </c>
      <c r="F9" s="202">
        <f t="shared" si="5"/>
        <v>6</v>
      </c>
      <c r="G9" s="202">
        <f t="shared" si="6"/>
        <v>17</v>
      </c>
      <c r="H9" s="202">
        <f t="shared" si="7"/>
        <v>2</v>
      </c>
      <c r="I9" s="202">
        <f t="shared" si="8"/>
        <v>15</v>
      </c>
      <c r="J9" s="200">
        <v>5</v>
      </c>
      <c r="L9" s="18">
        <v>5</v>
      </c>
      <c r="M9" s="47" t="s">
        <v>39</v>
      </c>
      <c r="N9" s="47" t="s">
        <v>38</v>
      </c>
      <c r="O9" s="47" t="s">
        <v>37</v>
      </c>
      <c r="P9" s="47" t="s">
        <v>33</v>
      </c>
      <c r="Q9" s="47" t="s">
        <v>39</v>
      </c>
      <c r="R9" s="47" t="s">
        <v>40</v>
      </c>
      <c r="S9" s="33" t="s">
        <v>33</v>
      </c>
      <c r="U9" s="46">
        <f t="shared" si="9"/>
        <v>5</v>
      </c>
      <c r="V9" s="46">
        <f t="shared" si="10"/>
        <v>15</v>
      </c>
      <c r="W9" s="46">
        <f t="shared" si="11"/>
        <v>13</v>
      </c>
      <c r="X9" s="46">
        <f t="shared" si="12"/>
        <v>11</v>
      </c>
      <c r="Y9" s="46">
        <f t="shared" si="13"/>
        <v>5</v>
      </c>
      <c r="Z9" s="46">
        <f t="shared" si="14"/>
        <v>12</v>
      </c>
      <c r="AA9" s="46">
        <f t="shared" si="15"/>
        <v>11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203" t="s">
        <v>18</v>
      </c>
      <c r="AL9" s="203">
        <v>10</v>
      </c>
      <c r="AM9" s="203">
        <v>20</v>
      </c>
      <c r="AN9" s="203">
        <v>20</v>
      </c>
      <c r="AO9" s="203">
        <v>20</v>
      </c>
      <c r="AP9" s="203">
        <v>10</v>
      </c>
      <c r="AQ9" s="203">
        <v>20</v>
      </c>
      <c r="AR9" s="203">
        <v>10</v>
      </c>
      <c r="AS9" s="200">
        <v>5</v>
      </c>
    </row>
    <row r="10" spans="1:45" ht="15.9" customHeight="1">
      <c r="A10" s="200" t="str">
        <v>M5</v>
      </c>
      <c r="B10" s="200" t="str">
        <v>M5</v>
      </c>
      <c r="C10" s="202">
        <f t="shared" si="2"/>
        <v>7</v>
      </c>
      <c r="D10" s="202">
        <f t="shared" si="3"/>
        <v>16</v>
      </c>
      <c r="E10" s="202">
        <f t="shared" si="4"/>
        <v>10</v>
      </c>
      <c r="F10" s="202">
        <f t="shared" si="5"/>
        <v>19</v>
      </c>
      <c r="G10" s="202">
        <f t="shared" si="6"/>
        <v>5</v>
      </c>
      <c r="H10" s="202">
        <f t="shared" si="7"/>
        <v>25</v>
      </c>
      <c r="I10" s="202">
        <f t="shared" si="8"/>
        <v>17</v>
      </c>
      <c r="J10" s="200">
        <v>6</v>
      </c>
      <c r="L10" s="19">
        <v>6</v>
      </c>
      <c r="M10" s="47" t="s">
        <v>25</v>
      </c>
      <c r="N10" s="47" t="s">
        <v>38</v>
      </c>
      <c r="O10" s="47" t="s">
        <v>37</v>
      </c>
      <c r="P10" s="47" t="s">
        <v>34</v>
      </c>
      <c r="Q10" s="47" t="s">
        <v>39</v>
      </c>
      <c r="R10" s="47" t="s">
        <v>35</v>
      </c>
      <c r="S10" s="33" t="s">
        <v>65</v>
      </c>
      <c r="U10" s="46">
        <f t="shared" si="9"/>
        <v>5</v>
      </c>
      <c r="V10" s="46">
        <f t="shared" si="10"/>
        <v>15</v>
      </c>
      <c r="W10" s="46">
        <f t="shared" si="11"/>
        <v>13</v>
      </c>
      <c r="X10" s="46">
        <f t="shared" si="12"/>
        <v>16</v>
      </c>
      <c r="Y10" s="46">
        <f t="shared" si="13"/>
        <v>5</v>
      </c>
      <c r="Z10" s="46">
        <f t="shared" si="14"/>
        <v>15</v>
      </c>
      <c r="AA10" s="46">
        <f t="shared" si="15"/>
        <v>17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203" t="s">
        <v>64</v>
      </c>
      <c r="AL10" s="203">
        <v>50</v>
      </c>
      <c r="AM10" s="203">
        <v>50</v>
      </c>
      <c r="AN10" s="203">
        <v>50</v>
      </c>
      <c r="AO10" s="203">
        <v>50</v>
      </c>
      <c r="AP10" s="203">
        <v>50</v>
      </c>
      <c r="AQ10" s="203">
        <v>50</v>
      </c>
      <c r="AR10" s="203">
        <v>10</v>
      </c>
      <c r="AS10" s="200">
        <v>6</v>
      </c>
    </row>
    <row r="11" spans="1:45" ht="15.9" customHeight="1">
      <c r="A11" s="200" t="str">
        <v>M6</v>
      </c>
      <c r="B11" s="200" t="str">
        <v>M6</v>
      </c>
      <c r="C11" s="202">
        <f t="shared" si="2"/>
        <v>15</v>
      </c>
      <c r="D11" s="202">
        <f t="shared" si="3"/>
        <v>9</v>
      </c>
      <c r="E11" s="202">
        <f t="shared" si="4"/>
        <v>12</v>
      </c>
      <c r="F11" s="202">
        <f t="shared" si="5"/>
        <v>6</v>
      </c>
      <c r="G11" s="202">
        <f t="shared" si="6"/>
        <v>21</v>
      </c>
      <c r="H11" s="202">
        <f t="shared" si="7"/>
        <v>1</v>
      </c>
      <c r="I11" s="202">
        <f t="shared" si="8"/>
        <v>6</v>
      </c>
      <c r="J11" s="200">
        <v>7</v>
      </c>
      <c r="L11" s="18">
        <v>7</v>
      </c>
      <c r="M11" s="47" t="s">
        <v>37</v>
      </c>
      <c r="N11" s="47" t="s">
        <v>65</v>
      </c>
      <c r="O11" s="47" t="s">
        <v>65</v>
      </c>
      <c r="P11" s="47" t="s">
        <v>38</v>
      </c>
      <c r="Q11" s="47" t="s">
        <v>40</v>
      </c>
      <c r="R11" s="47" t="s">
        <v>25</v>
      </c>
      <c r="S11" s="33" t="s">
        <v>40</v>
      </c>
      <c r="U11" s="46">
        <f t="shared" si="9"/>
        <v>13</v>
      </c>
      <c r="V11" s="46">
        <f t="shared" si="10"/>
        <v>17</v>
      </c>
      <c r="W11" s="46">
        <f t="shared" si="11"/>
        <v>17</v>
      </c>
      <c r="X11" s="46">
        <f t="shared" si="12"/>
        <v>15</v>
      </c>
      <c r="Y11" s="46">
        <f t="shared" si="13"/>
        <v>12</v>
      </c>
      <c r="Z11" s="46">
        <f t="shared" si="14"/>
        <v>5</v>
      </c>
      <c r="AA11" s="46">
        <f t="shared" si="15"/>
        <v>12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203" t="s">
        <v>89</v>
      </c>
      <c r="AL11" s="203">
        <v>50</v>
      </c>
      <c r="AM11" s="203">
        <v>50</v>
      </c>
      <c r="AN11" s="203">
        <v>50</v>
      </c>
      <c r="AO11" s="203">
        <v>50</v>
      </c>
      <c r="AP11" s="203">
        <v>50</v>
      </c>
      <c r="AQ11" s="203">
        <v>50</v>
      </c>
      <c r="AR11" s="203">
        <v>10</v>
      </c>
      <c r="AS11" s="200">
        <v>7</v>
      </c>
    </row>
    <row r="12" spans="1:45" ht="15.9" customHeight="1">
      <c r="A12" s="33" t="str">
        <v>A</v>
      </c>
      <c r="B12" s="46" t="str">
        <v>A</v>
      </c>
      <c r="C12" s="12">
        <f t="shared" si="2"/>
        <v>11</v>
      </c>
      <c r="D12" s="12">
        <f t="shared" si="3"/>
        <v>16</v>
      </c>
      <c r="E12" s="12">
        <f t="shared" si="4"/>
        <v>10</v>
      </c>
      <c r="F12" s="12">
        <f t="shared" si="5"/>
        <v>20</v>
      </c>
      <c r="G12" s="12">
        <f t="shared" si="6"/>
        <v>2</v>
      </c>
      <c r="H12" s="12">
        <f t="shared" si="7"/>
        <v>31</v>
      </c>
      <c r="I12" s="12">
        <f t="shared" si="8"/>
        <v>5</v>
      </c>
      <c r="J12" s="5">
        <v>8</v>
      </c>
      <c r="L12" s="19">
        <v>8</v>
      </c>
      <c r="M12" s="47" t="s">
        <v>90</v>
      </c>
      <c r="N12" s="47" t="s">
        <v>238</v>
      </c>
      <c r="O12" s="47" t="s">
        <v>35</v>
      </c>
      <c r="P12" s="47" t="s">
        <v>65</v>
      </c>
      <c r="Q12" s="47" t="s">
        <v>35</v>
      </c>
      <c r="R12" s="47" t="s">
        <v>65</v>
      </c>
      <c r="S12" s="33" t="s">
        <v>40</v>
      </c>
      <c r="U12" s="46">
        <f t="shared" si="9"/>
        <v>6</v>
      </c>
      <c r="V12" s="46">
        <f t="shared" si="10"/>
        <v>0</v>
      </c>
      <c r="W12" s="46">
        <f t="shared" si="11"/>
        <v>15</v>
      </c>
      <c r="X12" s="46">
        <f t="shared" si="12"/>
        <v>17</v>
      </c>
      <c r="Y12" s="46">
        <f t="shared" si="13"/>
        <v>15</v>
      </c>
      <c r="Z12" s="46">
        <f t="shared" si="14"/>
        <v>17</v>
      </c>
      <c r="AA12" s="46">
        <f t="shared" si="15"/>
        <v>12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10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2"/>
        <v>16</v>
      </c>
      <c r="D13" s="12">
        <f t="shared" si="3"/>
        <v>9</v>
      </c>
      <c r="E13" s="12">
        <f t="shared" si="4"/>
        <v>12</v>
      </c>
      <c r="F13" s="12">
        <f t="shared" si="5"/>
        <v>5</v>
      </c>
      <c r="G13" s="12">
        <f t="shared" si="6"/>
        <v>16</v>
      </c>
      <c r="H13" s="12">
        <f t="shared" si="7"/>
        <v>4</v>
      </c>
      <c r="I13" s="12">
        <f t="shared" si="8"/>
        <v>13</v>
      </c>
      <c r="J13" s="5">
        <v>9</v>
      </c>
      <c r="L13" s="18">
        <v>9</v>
      </c>
      <c r="M13" s="47" t="s">
        <v>39</v>
      </c>
      <c r="N13" s="47" t="s">
        <v>34</v>
      </c>
      <c r="O13" s="47" t="s">
        <v>35</v>
      </c>
      <c r="P13" s="47" t="s">
        <v>40</v>
      </c>
      <c r="Q13" s="47" t="s">
        <v>35</v>
      </c>
      <c r="R13" s="47" t="s">
        <v>65</v>
      </c>
      <c r="S13" s="33" t="s">
        <v>25</v>
      </c>
      <c r="U13" s="46">
        <f t="shared" si="9"/>
        <v>5</v>
      </c>
      <c r="V13" s="46">
        <f t="shared" si="10"/>
        <v>16</v>
      </c>
      <c r="W13" s="46">
        <f t="shared" si="11"/>
        <v>15</v>
      </c>
      <c r="X13" s="46">
        <f t="shared" si="12"/>
        <v>12</v>
      </c>
      <c r="Y13" s="46">
        <f t="shared" si="13"/>
        <v>15</v>
      </c>
      <c r="Z13" s="46">
        <f t="shared" si="14"/>
        <v>17</v>
      </c>
      <c r="AA13" s="46">
        <f t="shared" si="15"/>
        <v>5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10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2"/>
        <v>3</v>
      </c>
      <c r="D14" s="12">
        <f t="shared" si="3"/>
        <v>17</v>
      </c>
      <c r="E14" s="12">
        <f t="shared" si="4"/>
        <v>4</v>
      </c>
      <c r="F14" s="12">
        <f t="shared" si="5"/>
        <v>19</v>
      </c>
      <c r="G14" s="12">
        <f t="shared" si="6"/>
        <v>2</v>
      </c>
      <c r="H14" s="12">
        <f t="shared" si="7"/>
        <v>22</v>
      </c>
      <c r="I14" s="12">
        <f t="shared" si="8"/>
        <v>15</v>
      </c>
      <c r="J14" s="5">
        <v>10</v>
      </c>
      <c r="L14" s="19">
        <v>10</v>
      </c>
      <c r="M14" s="47" t="s">
        <v>39</v>
      </c>
      <c r="N14" s="47" t="s">
        <v>34</v>
      </c>
      <c r="O14" s="47" t="s">
        <v>35</v>
      </c>
      <c r="P14" s="47" t="s">
        <v>40</v>
      </c>
      <c r="Q14" s="47" t="s">
        <v>39</v>
      </c>
      <c r="R14" s="47" t="s">
        <v>40</v>
      </c>
      <c r="S14" s="33" t="s">
        <v>35</v>
      </c>
      <c r="U14" s="46">
        <f t="shared" si="9"/>
        <v>5</v>
      </c>
      <c r="V14" s="46">
        <f t="shared" si="10"/>
        <v>16</v>
      </c>
      <c r="W14" s="46">
        <f t="shared" si="11"/>
        <v>15</v>
      </c>
      <c r="X14" s="46">
        <f t="shared" si="12"/>
        <v>12</v>
      </c>
      <c r="Y14" s="46">
        <f t="shared" si="13"/>
        <v>5</v>
      </c>
      <c r="Z14" s="46">
        <f t="shared" si="14"/>
        <v>12</v>
      </c>
      <c r="AA14" s="46">
        <f t="shared" si="15"/>
        <v>15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10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2"/>
        <v>25</v>
      </c>
      <c r="D15" s="12">
        <f t="shared" si="3"/>
        <v>1</v>
      </c>
      <c r="E15" s="12">
        <f t="shared" si="4"/>
        <v>20</v>
      </c>
      <c r="F15" s="12">
        <f t="shared" si="5"/>
        <v>6</v>
      </c>
      <c r="G15" s="12">
        <f t="shared" si="6"/>
        <v>27</v>
      </c>
      <c r="H15" s="12">
        <f t="shared" si="7"/>
        <v>5</v>
      </c>
      <c r="I15" s="12">
        <f t="shared" si="8"/>
        <v>5</v>
      </c>
      <c r="J15" s="5">
        <v>11</v>
      </c>
      <c r="L15" s="18">
        <v>11</v>
      </c>
      <c r="M15" s="47" t="s">
        <v>34</v>
      </c>
      <c r="N15" s="47" t="s">
        <v>38</v>
      </c>
      <c r="O15" s="47" t="s">
        <v>90</v>
      </c>
      <c r="P15" s="47" t="s">
        <v>90</v>
      </c>
      <c r="Q15" s="47" t="s">
        <v>90</v>
      </c>
      <c r="R15" s="47" t="s">
        <v>40</v>
      </c>
      <c r="S15" s="33" t="s">
        <v>40</v>
      </c>
      <c r="U15" s="46">
        <f t="shared" si="9"/>
        <v>16</v>
      </c>
      <c r="V15" s="46">
        <f t="shared" si="10"/>
        <v>15</v>
      </c>
      <c r="W15" s="46">
        <f t="shared" si="11"/>
        <v>6</v>
      </c>
      <c r="X15" s="46">
        <f t="shared" si="12"/>
        <v>6</v>
      </c>
      <c r="Y15" s="46">
        <f t="shared" si="13"/>
        <v>6</v>
      </c>
      <c r="Z15" s="46">
        <f t="shared" si="14"/>
        <v>12</v>
      </c>
      <c r="AA15" s="46">
        <f t="shared" si="15"/>
        <v>12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10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2"/>
        <v>19</v>
      </c>
      <c r="D16" s="12">
        <f t="shared" si="3"/>
        <v>15</v>
      </c>
      <c r="E16" s="12">
        <f t="shared" si="4"/>
        <v>6</v>
      </c>
      <c r="F16" s="12">
        <f t="shared" si="5"/>
        <v>13</v>
      </c>
      <c r="G16" s="12">
        <f t="shared" si="6"/>
        <v>10</v>
      </c>
      <c r="H16" s="12">
        <f t="shared" si="7"/>
        <v>18</v>
      </c>
      <c r="I16" s="12">
        <f t="shared" si="8"/>
        <v>12</v>
      </c>
      <c r="J16" s="5">
        <v>12</v>
      </c>
      <c r="L16" s="19">
        <v>12</v>
      </c>
      <c r="M16" s="47" t="s">
        <v>90</v>
      </c>
      <c r="N16" s="47" t="s">
        <v>38</v>
      </c>
      <c r="O16" s="47" t="s">
        <v>39</v>
      </c>
      <c r="P16" s="47" t="s">
        <v>38</v>
      </c>
      <c r="Q16" s="47" t="s">
        <v>90</v>
      </c>
      <c r="R16" s="47" t="s">
        <v>40</v>
      </c>
      <c r="S16" s="33" t="s">
        <v>40</v>
      </c>
      <c r="U16" s="46">
        <f t="shared" si="9"/>
        <v>6</v>
      </c>
      <c r="V16" s="46">
        <f t="shared" si="10"/>
        <v>15</v>
      </c>
      <c r="W16" s="46">
        <f t="shared" si="11"/>
        <v>5</v>
      </c>
      <c r="X16" s="46">
        <f t="shared" si="12"/>
        <v>15</v>
      </c>
      <c r="Y16" s="46">
        <f t="shared" si="13"/>
        <v>6</v>
      </c>
      <c r="Z16" s="46">
        <f t="shared" si="14"/>
        <v>12</v>
      </c>
      <c r="AA16" s="46">
        <f t="shared" si="15"/>
        <v>12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10</v>
      </c>
      <c r="AS16" s="5">
        <v>12</v>
      </c>
    </row>
    <row r="17" spans="1:45" ht="15.9" customHeight="1">
      <c r="A17" s="203" t="str">
        <v>G1</v>
      </c>
      <c r="B17" s="200" t="str">
        <v>Golden M1</v>
      </c>
      <c r="C17" s="202">
        <f t="shared" si="2"/>
        <v>0</v>
      </c>
      <c r="D17" s="202">
        <f t="shared" si="3"/>
        <v>1</v>
      </c>
      <c r="E17" s="202">
        <f t="shared" si="4"/>
        <v>0</v>
      </c>
      <c r="F17" s="202">
        <f t="shared" si="5"/>
        <v>0</v>
      </c>
      <c r="G17" s="202">
        <f t="shared" si="6"/>
        <v>0</v>
      </c>
      <c r="H17" s="202">
        <f t="shared" si="7"/>
        <v>0</v>
      </c>
      <c r="I17" s="202">
        <f t="shared" si="8"/>
        <v>0</v>
      </c>
      <c r="J17" s="200">
        <v>13</v>
      </c>
      <c r="L17" s="18">
        <v>13</v>
      </c>
      <c r="M17" s="47" t="s">
        <v>90</v>
      </c>
      <c r="N17" s="47" t="s">
        <v>246</v>
      </c>
      <c r="O17" s="47" t="s">
        <v>39</v>
      </c>
      <c r="P17" s="47" t="s">
        <v>38</v>
      </c>
      <c r="Q17" s="47" t="s">
        <v>242</v>
      </c>
      <c r="R17" s="47" t="s">
        <v>38</v>
      </c>
      <c r="S17" s="33" t="s">
        <v>40</v>
      </c>
      <c r="U17" s="46">
        <f t="shared" si="9"/>
        <v>6</v>
      </c>
      <c r="V17" s="46">
        <f t="shared" si="10"/>
        <v>0</v>
      </c>
      <c r="W17" s="46">
        <f t="shared" si="11"/>
        <v>5</v>
      </c>
      <c r="X17" s="46">
        <f t="shared" si="12"/>
        <v>15</v>
      </c>
      <c r="Y17" s="46">
        <f t="shared" si="13"/>
        <v>0</v>
      </c>
      <c r="Z17" s="46">
        <f t="shared" si="14"/>
        <v>15</v>
      </c>
      <c r="AA17" s="46">
        <f t="shared" si="15"/>
        <v>12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203" t="s">
        <v>234</v>
      </c>
      <c r="AL17" s="203">
        <v>0</v>
      </c>
      <c r="AM17" s="203">
        <v>3</v>
      </c>
      <c r="AN17" s="203">
        <v>3</v>
      </c>
      <c r="AO17" s="203">
        <v>3</v>
      </c>
      <c r="AP17" s="203">
        <v>3</v>
      </c>
      <c r="AQ17" s="203">
        <v>0</v>
      </c>
      <c r="AR17" s="203">
        <v>0</v>
      </c>
      <c r="AS17" s="200">
        <v>13</v>
      </c>
    </row>
    <row r="18" spans="1:45" s="197" customFormat="1" ht="15.9" customHeight="1">
      <c r="A18" s="203" t="str">
        <v>G2</v>
      </c>
      <c r="B18" s="200" t="str">
        <v>Golden M2</v>
      </c>
      <c r="C18" s="202">
        <f t="shared" si="2"/>
        <v>0</v>
      </c>
      <c r="D18" s="202">
        <f t="shared" si="3"/>
        <v>1</v>
      </c>
      <c r="E18" s="202">
        <f t="shared" si="4"/>
        <v>1</v>
      </c>
      <c r="F18" s="202">
        <f t="shared" si="5"/>
        <v>0</v>
      </c>
      <c r="G18" s="202">
        <f t="shared" si="6"/>
        <v>1</v>
      </c>
      <c r="H18" s="202">
        <f t="shared" si="7"/>
        <v>0</v>
      </c>
      <c r="I18" s="202">
        <f t="shared" si="8"/>
        <v>0</v>
      </c>
      <c r="J18" s="200">
        <v>14</v>
      </c>
      <c r="K18" s="41"/>
      <c r="L18" s="19">
        <v>14</v>
      </c>
      <c r="M18" s="47" t="s">
        <v>38</v>
      </c>
      <c r="N18" s="47" t="s">
        <v>32</v>
      </c>
      <c r="O18" s="47" t="s">
        <v>39</v>
      </c>
      <c r="P18" s="47" t="s">
        <v>39</v>
      </c>
      <c r="Q18" s="47" t="s">
        <v>65</v>
      </c>
      <c r="R18" s="47" t="s">
        <v>39</v>
      </c>
      <c r="S18" s="33" t="s">
        <v>37</v>
      </c>
      <c r="U18" s="46">
        <f t="shared" si="9"/>
        <v>15</v>
      </c>
      <c r="V18" s="46">
        <f t="shared" si="10"/>
        <v>4</v>
      </c>
      <c r="W18" s="46">
        <f t="shared" si="11"/>
        <v>5</v>
      </c>
      <c r="X18" s="46">
        <f t="shared" si="12"/>
        <v>5</v>
      </c>
      <c r="Y18" s="46">
        <f t="shared" si="13"/>
        <v>17</v>
      </c>
      <c r="Z18" s="46">
        <f t="shared" si="14"/>
        <v>5</v>
      </c>
      <c r="AA18" s="46">
        <f t="shared" si="15"/>
        <v>13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203" t="s">
        <v>236</v>
      </c>
      <c r="AL18" s="203">
        <v>0</v>
      </c>
      <c r="AM18" s="203">
        <v>4</v>
      </c>
      <c r="AN18" s="203">
        <v>4</v>
      </c>
      <c r="AO18" s="203">
        <v>2</v>
      </c>
      <c r="AP18" s="203">
        <v>2</v>
      </c>
      <c r="AQ18" s="203">
        <v>0</v>
      </c>
      <c r="AR18" s="203">
        <v>0</v>
      </c>
      <c r="AS18" s="200">
        <v>14</v>
      </c>
    </row>
    <row r="19" spans="1:45" ht="15.9" customHeight="1">
      <c r="A19" s="203" t="str">
        <v>G3</v>
      </c>
      <c r="B19" s="200" t="str">
        <v>Golden M3</v>
      </c>
      <c r="C19" s="202">
        <f t="shared" si="2"/>
        <v>0</v>
      </c>
      <c r="D19" s="202">
        <f t="shared" si="3"/>
        <v>1</v>
      </c>
      <c r="E19" s="202">
        <f t="shared" si="4"/>
        <v>1</v>
      </c>
      <c r="F19" s="202">
        <f t="shared" si="5"/>
        <v>1</v>
      </c>
      <c r="G19" s="202">
        <f t="shared" si="6"/>
        <v>1</v>
      </c>
      <c r="H19" s="202">
        <f t="shared" si="7"/>
        <v>0</v>
      </c>
      <c r="I19" s="202">
        <f t="shared" si="8"/>
        <v>0</v>
      </c>
      <c r="J19" s="200">
        <v>15</v>
      </c>
      <c r="K19" s="52"/>
      <c r="L19" s="18">
        <v>15</v>
      </c>
      <c r="M19" s="47" t="s">
        <v>40</v>
      </c>
      <c r="N19" s="47" t="s">
        <v>234</v>
      </c>
      <c r="O19" s="47" t="s">
        <v>90</v>
      </c>
      <c r="P19" s="47" t="s">
        <v>39</v>
      </c>
      <c r="Q19" s="47" t="s">
        <v>244</v>
      </c>
      <c r="R19" s="47" t="s">
        <v>65</v>
      </c>
      <c r="S19" s="33" t="s">
        <v>37</v>
      </c>
      <c r="U19" s="46">
        <f t="shared" si="9"/>
        <v>12</v>
      </c>
      <c r="V19" s="46">
        <f t="shared" si="10"/>
        <v>0</v>
      </c>
      <c r="W19" s="46">
        <f t="shared" si="11"/>
        <v>6</v>
      </c>
      <c r="X19" s="46">
        <f t="shared" si="12"/>
        <v>5</v>
      </c>
      <c r="Y19" s="46">
        <f t="shared" si="13"/>
        <v>0</v>
      </c>
      <c r="Z19" s="46">
        <f t="shared" si="14"/>
        <v>17</v>
      </c>
      <c r="AA19" s="46">
        <f t="shared" si="15"/>
        <v>13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203" t="s">
        <v>238</v>
      </c>
      <c r="AL19" s="203">
        <v>0</v>
      </c>
      <c r="AM19" s="203">
        <v>5</v>
      </c>
      <c r="AN19" s="203">
        <v>5</v>
      </c>
      <c r="AO19" s="203">
        <v>2</v>
      </c>
      <c r="AP19" s="203">
        <v>2</v>
      </c>
      <c r="AQ19" s="203">
        <v>0</v>
      </c>
      <c r="AR19" s="203">
        <v>0</v>
      </c>
      <c r="AS19" s="200">
        <v>15</v>
      </c>
    </row>
    <row r="20" spans="1:45" ht="15.9" customHeight="1">
      <c r="A20" s="203" t="str">
        <v>G4</v>
      </c>
      <c r="B20" s="200" t="str">
        <v>Golden M4</v>
      </c>
      <c r="C20" s="202">
        <f t="shared" si="2"/>
        <v>0</v>
      </c>
      <c r="D20" s="202">
        <f t="shared" si="3"/>
        <v>1</v>
      </c>
      <c r="E20" s="202">
        <f t="shared" si="4"/>
        <v>1</v>
      </c>
      <c r="F20" s="202">
        <f t="shared" si="5"/>
        <v>0</v>
      </c>
      <c r="G20" s="202">
        <f t="shared" si="6"/>
        <v>1</v>
      </c>
      <c r="H20" s="202">
        <f t="shared" si="7"/>
        <v>0</v>
      </c>
      <c r="I20" s="202">
        <f t="shared" si="8"/>
        <v>0</v>
      </c>
      <c r="J20" s="200">
        <v>16</v>
      </c>
      <c r="L20" s="19">
        <v>16</v>
      </c>
      <c r="M20" s="47" t="s">
        <v>40</v>
      </c>
      <c r="N20" s="47" t="s">
        <v>40</v>
      </c>
      <c r="O20" s="47" t="s">
        <v>90</v>
      </c>
      <c r="P20" s="47" t="s">
        <v>25</v>
      </c>
      <c r="Q20" s="47" t="s">
        <v>90</v>
      </c>
      <c r="R20" s="47" t="s">
        <v>25</v>
      </c>
      <c r="S20" s="33" t="s">
        <v>37</v>
      </c>
      <c r="U20" s="46">
        <f t="shared" si="9"/>
        <v>12</v>
      </c>
      <c r="V20" s="46">
        <f t="shared" si="10"/>
        <v>12</v>
      </c>
      <c r="W20" s="46">
        <f t="shared" si="11"/>
        <v>6</v>
      </c>
      <c r="X20" s="46">
        <f t="shared" si="12"/>
        <v>5</v>
      </c>
      <c r="Y20" s="46">
        <f t="shared" si="13"/>
        <v>6</v>
      </c>
      <c r="Z20" s="46">
        <f t="shared" si="14"/>
        <v>5</v>
      </c>
      <c r="AA20" s="46">
        <f t="shared" si="15"/>
        <v>13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203" t="s">
        <v>240</v>
      </c>
      <c r="AL20" s="203">
        <v>0</v>
      </c>
      <c r="AM20" s="203">
        <v>5</v>
      </c>
      <c r="AN20" s="203">
        <v>5</v>
      </c>
      <c r="AO20" s="203">
        <v>5</v>
      </c>
      <c r="AP20" s="203">
        <v>8</v>
      </c>
      <c r="AQ20" s="203">
        <v>0</v>
      </c>
      <c r="AR20" s="203">
        <v>0</v>
      </c>
      <c r="AS20" s="200">
        <v>16</v>
      </c>
    </row>
    <row r="21" spans="1:45" ht="15.9" customHeight="1">
      <c r="A21" s="203" t="str">
        <v>G5</v>
      </c>
      <c r="B21" s="200" t="str">
        <v>Golden M5</v>
      </c>
      <c r="C21" s="202">
        <f t="shared" si="2"/>
        <v>0</v>
      </c>
      <c r="D21" s="202">
        <f t="shared" si="3"/>
        <v>4</v>
      </c>
      <c r="E21" s="202">
        <f t="shared" si="4"/>
        <v>1</v>
      </c>
      <c r="F21" s="202">
        <f t="shared" si="5"/>
        <v>1</v>
      </c>
      <c r="G21" s="202">
        <f t="shared" si="6"/>
        <v>1</v>
      </c>
      <c r="H21" s="202">
        <f t="shared" si="7"/>
        <v>0</v>
      </c>
      <c r="I21" s="202">
        <f t="shared" si="8"/>
        <v>0</v>
      </c>
      <c r="J21" s="200">
        <v>17</v>
      </c>
      <c r="L21" s="18">
        <v>17</v>
      </c>
      <c r="M21" s="47" t="s">
        <v>39</v>
      </c>
      <c r="N21" s="47" t="s">
        <v>40</v>
      </c>
      <c r="O21" s="47" t="s">
        <v>37</v>
      </c>
      <c r="P21" s="47" t="s">
        <v>25</v>
      </c>
      <c r="Q21" s="47" t="s">
        <v>90</v>
      </c>
      <c r="R21" s="47" t="s">
        <v>65</v>
      </c>
      <c r="S21" s="33" t="s">
        <v>65</v>
      </c>
      <c r="U21" s="46">
        <f t="shared" si="9"/>
        <v>5</v>
      </c>
      <c r="V21" s="46">
        <f t="shared" si="10"/>
        <v>12</v>
      </c>
      <c r="W21" s="46">
        <f t="shared" si="11"/>
        <v>13</v>
      </c>
      <c r="X21" s="46">
        <f t="shared" si="12"/>
        <v>5</v>
      </c>
      <c r="Y21" s="46">
        <f t="shared" si="13"/>
        <v>6</v>
      </c>
      <c r="Z21" s="46">
        <f t="shared" si="14"/>
        <v>17</v>
      </c>
      <c r="AA21" s="46">
        <f t="shared" si="15"/>
        <v>17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203" t="s">
        <v>242</v>
      </c>
      <c r="AL21" s="203">
        <v>0</v>
      </c>
      <c r="AM21" s="203">
        <v>15</v>
      </c>
      <c r="AN21" s="203">
        <v>15</v>
      </c>
      <c r="AO21" s="203">
        <v>10</v>
      </c>
      <c r="AP21" s="203">
        <v>15</v>
      </c>
      <c r="AQ21" s="203">
        <v>0</v>
      </c>
      <c r="AR21" s="203">
        <v>0</v>
      </c>
      <c r="AS21" s="200">
        <v>17</v>
      </c>
    </row>
    <row r="22" spans="1:45" ht="15.9" customHeight="1">
      <c r="A22" s="203" t="str">
        <v>G6</v>
      </c>
      <c r="B22" s="200" t="str">
        <v>Golden M6</v>
      </c>
      <c r="C22" s="202">
        <f t="shared" si="2"/>
        <v>0</v>
      </c>
      <c r="D22" s="202">
        <f t="shared" si="3"/>
        <v>4</v>
      </c>
      <c r="E22" s="202">
        <f t="shared" si="4"/>
        <v>2</v>
      </c>
      <c r="F22" s="202">
        <f t="shared" si="5"/>
        <v>1</v>
      </c>
      <c r="G22" s="202">
        <f t="shared" si="6"/>
        <v>1</v>
      </c>
      <c r="H22" s="202">
        <f t="shared" si="7"/>
        <v>0</v>
      </c>
      <c r="I22" s="202">
        <f t="shared" si="8"/>
        <v>0</v>
      </c>
      <c r="J22" s="200">
        <v>18</v>
      </c>
      <c r="L22" s="19">
        <v>18</v>
      </c>
      <c r="M22" s="47" t="s">
        <v>39</v>
      </c>
      <c r="N22" s="47" t="s">
        <v>90</v>
      </c>
      <c r="O22" s="47" t="s">
        <v>65</v>
      </c>
      <c r="P22" s="47" t="s">
        <v>34</v>
      </c>
      <c r="Q22" s="47" t="s">
        <v>37</v>
      </c>
      <c r="R22" s="47" t="s">
        <v>65</v>
      </c>
      <c r="S22" s="47" t="s">
        <v>34</v>
      </c>
      <c r="U22" s="46">
        <f t="shared" si="9"/>
        <v>5</v>
      </c>
      <c r="V22" s="46">
        <f t="shared" si="10"/>
        <v>6</v>
      </c>
      <c r="W22" s="46">
        <f t="shared" si="11"/>
        <v>17</v>
      </c>
      <c r="X22" s="46">
        <f t="shared" si="12"/>
        <v>16</v>
      </c>
      <c r="Y22" s="46">
        <f t="shared" si="13"/>
        <v>13</v>
      </c>
      <c r="Z22" s="46">
        <f t="shared" si="14"/>
        <v>17</v>
      </c>
      <c r="AA22" s="46">
        <f t="shared" si="15"/>
        <v>16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203" t="s">
        <v>244</v>
      </c>
      <c r="AL22" s="203">
        <v>0</v>
      </c>
      <c r="AM22" s="203">
        <v>10</v>
      </c>
      <c r="AN22" s="203">
        <v>15</v>
      </c>
      <c r="AO22" s="203">
        <v>15</v>
      </c>
      <c r="AP22" s="203">
        <v>10</v>
      </c>
      <c r="AQ22" s="203">
        <v>0</v>
      </c>
      <c r="AR22" s="203">
        <v>0</v>
      </c>
      <c r="AS22" s="200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2"/>
        <v>0</v>
      </c>
      <c r="D23" s="12">
        <f t="shared" si="3"/>
        <v>2</v>
      </c>
      <c r="E23" s="12">
        <f t="shared" si="4"/>
        <v>1</v>
      </c>
      <c r="F23" s="12">
        <f t="shared" si="5"/>
        <v>1</v>
      </c>
      <c r="G23" s="12">
        <f t="shared" si="6"/>
        <v>0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90</v>
      </c>
      <c r="N23" s="47" t="s">
        <v>25</v>
      </c>
      <c r="O23" s="47" t="s">
        <v>37</v>
      </c>
      <c r="P23" s="47" t="s">
        <v>25</v>
      </c>
      <c r="Q23" s="47" t="s">
        <v>90</v>
      </c>
      <c r="R23" s="47" t="s">
        <v>65</v>
      </c>
      <c r="S23" s="33" t="s">
        <v>34</v>
      </c>
      <c r="U23" s="46">
        <f t="shared" si="9"/>
        <v>6</v>
      </c>
      <c r="V23" s="46">
        <f t="shared" si="10"/>
        <v>5</v>
      </c>
      <c r="W23" s="46">
        <f t="shared" si="11"/>
        <v>13</v>
      </c>
      <c r="X23" s="46">
        <f t="shared" si="12"/>
        <v>5</v>
      </c>
      <c r="Y23" s="46">
        <f t="shared" si="13"/>
        <v>6</v>
      </c>
      <c r="Z23" s="46">
        <f t="shared" si="14"/>
        <v>17</v>
      </c>
      <c r="AA23" s="46">
        <f t="shared" si="15"/>
        <v>16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246</v>
      </c>
      <c r="AL23" s="46">
        <v>0</v>
      </c>
      <c r="AM23" s="46">
        <v>12</v>
      </c>
      <c r="AN23" s="46">
        <v>12</v>
      </c>
      <c r="AO23" s="46">
        <v>4</v>
      </c>
      <c r="AP23" s="46">
        <v>6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2"/>
        <v>0</v>
      </c>
      <c r="D24" s="12">
        <f t="shared" si="3"/>
        <v>1</v>
      </c>
      <c r="E24" s="12">
        <f t="shared" si="4"/>
        <v>1</v>
      </c>
      <c r="F24" s="12">
        <f t="shared" si="5"/>
        <v>1</v>
      </c>
      <c r="G24" s="12">
        <f t="shared" si="6"/>
        <v>1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39</v>
      </c>
      <c r="N24" s="47" t="s">
        <v>40</v>
      </c>
      <c r="O24" s="47" t="s">
        <v>37</v>
      </c>
      <c r="P24" s="47" t="s">
        <v>25</v>
      </c>
      <c r="Q24" s="47" t="s">
        <v>34</v>
      </c>
      <c r="R24" s="47" t="s">
        <v>38</v>
      </c>
      <c r="S24" s="33" t="s">
        <v>34</v>
      </c>
      <c r="U24" s="46">
        <f t="shared" si="9"/>
        <v>5</v>
      </c>
      <c r="V24" s="46">
        <f t="shared" si="10"/>
        <v>12</v>
      </c>
      <c r="W24" s="46">
        <f t="shared" si="11"/>
        <v>13</v>
      </c>
      <c r="X24" s="46">
        <f t="shared" si="12"/>
        <v>5</v>
      </c>
      <c r="Y24" s="46">
        <f t="shared" si="13"/>
        <v>16</v>
      </c>
      <c r="Z24" s="46">
        <f t="shared" si="14"/>
        <v>15</v>
      </c>
      <c r="AA24" s="46">
        <f t="shared" si="15"/>
        <v>16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248</v>
      </c>
      <c r="AL24" s="46">
        <v>0</v>
      </c>
      <c r="AM24" s="46">
        <v>8</v>
      </c>
      <c r="AN24" s="46">
        <v>12</v>
      </c>
      <c r="AO24" s="46">
        <v>4</v>
      </c>
      <c r="AP24" s="46">
        <v>4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2"/>
        <v>0</v>
      </c>
      <c r="D25" s="12">
        <f t="shared" si="3"/>
        <v>1</v>
      </c>
      <c r="E25" s="12">
        <f t="shared" si="4"/>
        <v>1</v>
      </c>
      <c r="F25" s="12">
        <f t="shared" si="5"/>
        <v>3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40</v>
      </c>
      <c r="N25" s="47" t="s">
        <v>244</v>
      </c>
      <c r="O25" s="47" t="s">
        <v>37</v>
      </c>
      <c r="P25" s="47" t="s">
        <v>250</v>
      </c>
      <c r="Q25" s="47" t="s">
        <v>34</v>
      </c>
      <c r="R25" s="47" t="s">
        <v>38</v>
      </c>
      <c r="S25" s="33" t="s">
        <v>38</v>
      </c>
      <c r="U25" s="46">
        <f t="shared" si="9"/>
        <v>12</v>
      </c>
      <c r="V25" s="46">
        <f t="shared" si="10"/>
        <v>0</v>
      </c>
      <c r="W25" s="46">
        <f t="shared" si="11"/>
        <v>13</v>
      </c>
      <c r="X25" s="46">
        <f t="shared" si="12"/>
        <v>0</v>
      </c>
      <c r="Y25" s="46">
        <f t="shared" si="13"/>
        <v>16</v>
      </c>
      <c r="Z25" s="46">
        <f t="shared" si="14"/>
        <v>15</v>
      </c>
      <c r="AA25" s="46">
        <f t="shared" si="15"/>
        <v>15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250</v>
      </c>
      <c r="AL25" s="46">
        <v>0</v>
      </c>
      <c r="AM25" s="46">
        <v>10</v>
      </c>
      <c r="AN25" s="46">
        <v>6</v>
      </c>
      <c r="AO25" s="46">
        <v>2</v>
      </c>
      <c r="AP25" s="46">
        <v>8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2"/>
        <v>0</v>
      </c>
      <c r="D26" s="12">
        <f t="shared" si="3"/>
        <v>1</v>
      </c>
      <c r="E26" s="12">
        <f t="shared" si="4"/>
        <v>1</v>
      </c>
      <c r="F26" s="12">
        <f t="shared" si="5"/>
        <v>0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90</v>
      </c>
      <c r="N26" s="47" t="s">
        <v>37</v>
      </c>
      <c r="O26" s="47" t="s">
        <v>39</v>
      </c>
      <c r="P26" s="47" t="s">
        <v>38</v>
      </c>
      <c r="Q26" s="47" t="s">
        <v>37</v>
      </c>
      <c r="R26" s="47" t="s">
        <v>38</v>
      </c>
      <c r="S26" s="33" t="s">
        <v>37</v>
      </c>
      <c r="U26" s="46">
        <f t="shared" si="9"/>
        <v>6</v>
      </c>
      <c r="V26" s="46">
        <f t="shared" si="10"/>
        <v>13</v>
      </c>
      <c r="W26" s="46">
        <f t="shared" si="11"/>
        <v>5</v>
      </c>
      <c r="X26" s="46">
        <f t="shared" si="12"/>
        <v>15</v>
      </c>
      <c r="Y26" s="46">
        <f t="shared" si="13"/>
        <v>13</v>
      </c>
      <c r="Z26" s="46">
        <f t="shared" si="14"/>
        <v>15</v>
      </c>
      <c r="AA26" s="46">
        <f t="shared" si="15"/>
        <v>13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252</v>
      </c>
      <c r="AL26" s="46">
        <v>0</v>
      </c>
      <c r="AM26" s="46">
        <v>5</v>
      </c>
      <c r="AN26" s="46">
        <v>6</v>
      </c>
      <c r="AO26" s="46">
        <v>2</v>
      </c>
      <c r="AP26" s="46">
        <v>4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2"/>
        <v>0</v>
      </c>
      <c r="D27" s="12">
        <f t="shared" si="3"/>
        <v>2</v>
      </c>
      <c r="E27" s="12">
        <f t="shared" si="4"/>
        <v>1</v>
      </c>
      <c r="F27" s="12">
        <f t="shared" si="5"/>
        <v>0</v>
      </c>
      <c r="G27" s="12">
        <f t="shared" si="6"/>
        <v>1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37</v>
      </c>
      <c r="N27" s="47" t="s">
        <v>37</v>
      </c>
      <c r="O27" s="47" t="s">
        <v>39</v>
      </c>
      <c r="P27" s="47" t="s">
        <v>38</v>
      </c>
      <c r="Q27" s="47" t="s">
        <v>33</v>
      </c>
      <c r="R27" s="47" t="s">
        <v>65</v>
      </c>
      <c r="S27" s="33" t="s">
        <v>37</v>
      </c>
      <c r="U27" s="46">
        <f t="shared" si="9"/>
        <v>13</v>
      </c>
      <c r="V27" s="46">
        <f t="shared" si="10"/>
        <v>13</v>
      </c>
      <c r="W27" s="46">
        <f t="shared" si="11"/>
        <v>5</v>
      </c>
      <c r="X27" s="46">
        <f t="shared" si="12"/>
        <v>15</v>
      </c>
      <c r="Y27" s="46">
        <f t="shared" si="13"/>
        <v>11</v>
      </c>
      <c r="Z27" s="46">
        <f t="shared" si="14"/>
        <v>17</v>
      </c>
      <c r="AA27" s="46">
        <f t="shared" si="15"/>
        <v>13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254</v>
      </c>
      <c r="AL27" s="46">
        <v>0</v>
      </c>
      <c r="AM27" s="46">
        <v>4</v>
      </c>
      <c r="AN27" s="46">
        <v>6</v>
      </c>
      <c r="AO27" s="46">
        <v>2</v>
      </c>
      <c r="AP27" s="46">
        <v>4</v>
      </c>
      <c r="AQ27" s="46">
        <v>0</v>
      </c>
      <c r="AR27" s="46">
        <v>0</v>
      </c>
      <c r="AS27" s="5">
        <v>23</v>
      </c>
    </row>
    <row r="28" spans="1:45" ht="16.5" customHeight="1">
      <c r="A28" s="203" t="str">
        <v>MY</v>
      </c>
      <c r="B28" s="203" t="str">
        <v>Mystery</v>
      </c>
      <c r="C28" s="202">
        <f t="shared" si="2"/>
        <v>2</v>
      </c>
      <c r="D28" s="202">
        <f t="shared" si="3"/>
        <v>2</v>
      </c>
      <c r="E28" s="202">
        <f t="shared" si="4"/>
        <v>3</v>
      </c>
      <c r="F28" s="202">
        <f t="shared" si="5"/>
        <v>2</v>
      </c>
      <c r="G28" s="202">
        <f t="shared" si="6"/>
        <v>2</v>
      </c>
      <c r="H28" s="202">
        <f t="shared" si="7"/>
        <v>2</v>
      </c>
      <c r="I28" s="202">
        <f t="shared" si="8"/>
        <v>2</v>
      </c>
      <c r="J28" s="200">
        <v>24</v>
      </c>
      <c r="L28" s="19">
        <v>24</v>
      </c>
      <c r="M28" s="47" t="s">
        <v>37</v>
      </c>
      <c r="N28" s="47" t="s">
        <v>242</v>
      </c>
      <c r="O28" s="47" t="s">
        <v>35</v>
      </c>
      <c r="P28" s="47" t="s">
        <v>25</v>
      </c>
      <c r="Q28" s="47" t="s">
        <v>37</v>
      </c>
      <c r="R28" s="47" t="s">
        <v>34</v>
      </c>
      <c r="S28" s="33" t="s">
        <v>33</v>
      </c>
      <c r="U28" s="46">
        <f t="shared" si="9"/>
        <v>13</v>
      </c>
      <c r="V28" s="46">
        <f t="shared" si="10"/>
        <v>0</v>
      </c>
      <c r="W28" s="46">
        <f t="shared" si="11"/>
        <v>15</v>
      </c>
      <c r="X28" s="46">
        <f t="shared" si="12"/>
        <v>5</v>
      </c>
      <c r="Y28" s="46">
        <f t="shared" si="13"/>
        <v>13</v>
      </c>
      <c r="Z28" s="46">
        <f t="shared" si="14"/>
        <v>16</v>
      </c>
      <c r="AA28" s="46">
        <f t="shared" si="15"/>
        <v>11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203" t="s">
        <v>101</v>
      </c>
      <c r="AL28" s="203">
        <v>0</v>
      </c>
      <c r="AM28" s="203">
        <v>10</v>
      </c>
      <c r="AN28" s="203">
        <v>10</v>
      </c>
      <c r="AO28" s="203">
        <v>10</v>
      </c>
      <c r="AP28" s="203">
        <v>10</v>
      </c>
      <c r="AQ28" s="203">
        <v>0</v>
      </c>
      <c r="AR28" s="203">
        <v>0</v>
      </c>
      <c r="AS28" s="200">
        <v>24</v>
      </c>
    </row>
    <row r="29" spans="1:45" ht="16.5" customHeight="1">
      <c r="A29" s="203" t="str">
        <v>GM</v>
      </c>
      <c r="B29" s="203" t="str">
        <v>Golden Mystery</v>
      </c>
      <c r="C29" s="202">
        <f t="shared" si="2"/>
        <v>0</v>
      </c>
      <c r="D29" s="202">
        <f t="shared" si="3"/>
        <v>1</v>
      </c>
      <c r="E29" s="202">
        <f t="shared" si="4"/>
        <v>1</v>
      </c>
      <c r="F29" s="202">
        <f t="shared" si="5"/>
        <v>1</v>
      </c>
      <c r="G29" s="202">
        <f t="shared" si="6"/>
        <v>1</v>
      </c>
      <c r="H29" s="202">
        <f t="shared" si="7"/>
        <v>0</v>
      </c>
      <c r="I29" s="202">
        <f t="shared" si="8"/>
        <v>0</v>
      </c>
      <c r="J29" s="200">
        <v>25</v>
      </c>
      <c r="L29" s="18">
        <v>25</v>
      </c>
      <c r="M29" s="47" t="s">
        <v>39</v>
      </c>
      <c r="N29" s="47" t="s">
        <v>65</v>
      </c>
      <c r="O29" s="47" t="s">
        <v>35</v>
      </c>
      <c r="P29" s="47" t="s">
        <v>34</v>
      </c>
      <c r="Q29" s="47" t="s">
        <v>38</v>
      </c>
      <c r="R29" s="47" t="s">
        <v>25</v>
      </c>
      <c r="S29" s="33" t="s">
        <v>33</v>
      </c>
      <c r="U29" s="46">
        <f t="shared" si="9"/>
        <v>5</v>
      </c>
      <c r="V29" s="46">
        <f t="shared" si="10"/>
        <v>17</v>
      </c>
      <c r="W29" s="46">
        <f t="shared" si="11"/>
        <v>15</v>
      </c>
      <c r="X29" s="46">
        <f t="shared" si="12"/>
        <v>16</v>
      </c>
      <c r="Y29" s="46">
        <f t="shared" si="13"/>
        <v>15</v>
      </c>
      <c r="Z29" s="46">
        <f t="shared" si="14"/>
        <v>5</v>
      </c>
      <c r="AA29" s="46">
        <f t="shared" si="15"/>
        <v>11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203" t="s">
        <v>269</v>
      </c>
      <c r="AL29" s="203">
        <v>0</v>
      </c>
      <c r="AM29" s="203">
        <v>1</v>
      </c>
      <c r="AN29" s="203">
        <v>1</v>
      </c>
      <c r="AO29" s="203">
        <v>1</v>
      </c>
      <c r="AP29" s="203">
        <v>1</v>
      </c>
      <c r="AQ29" s="203">
        <v>0</v>
      </c>
      <c r="AR29" s="203">
        <v>0</v>
      </c>
      <c r="AS29" s="200">
        <v>25</v>
      </c>
    </row>
    <row r="30" spans="1:45" ht="16.5" customHeight="1">
      <c r="A30" s="197"/>
      <c r="B30" s="197"/>
      <c r="C30" s="219">
        <f>SUM(C4:C29)</f>
        <v>121</v>
      </c>
      <c r="D30" s="219">
        <f t="shared" ref="D30:I30" si="16">SUM(D4:D29)</f>
        <v>121</v>
      </c>
      <c r="E30" s="219">
        <f t="shared" si="16"/>
        <v>121</v>
      </c>
      <c r="F30" s="219">
        <f t="shared" si="16"/>
        <v>121</v>
      </c>
      <c r="G30" s="219">
        <f t="shared" si="16"/>
        <v>121</v>
      </c>
      <c r="H30" s="219">
        <f t="shared" si="16"/>
        <v>121</v>
      </c>
      <c r="I30" s="219">
        <f t="shared" si="16"/>
        <v>121</v>
      </c>
      <c r="J30" s="15"/>
      <c r="L30" s="19">
        <v>26</v>
      </c>
      <c r="M30" s="47" t="s">
        <v>37</v>
      </c>
      <c r="N30" s="47" t="s">
        <v>65</v>
      </c>
      <c r="O30" s="47" t="s">
        <v>40</v>
      </c>
      <c r="P30" s="47" t="s">
        <v>38</v>
      </c>
      <c r="Q30" s="47" t="s">
        <v>37</v>
      </c>
      <c r="R30" s="47" t="s">
        <v>65</v>
      </c>
      <c r="S30" s="33" t="s">
        <v>33</v>
      </c>
      <c r="U30" s="46">
        <f t="shared" si="9"/>
        <v>13</v>
      </c>
      <c r="V30" s="46">
        <f t="shared" si="10"/>
        <v>17</v>
      </c>
      <c r="W30" s="46">
        <f t="shared" si="11"/>
        <v>12</v>
      </c>
      <c r="X30" s="46">
        <f t="shared" si="12"/>
        <v>15</v>
      </c>
      <c r="Y30" s="46">
        <f t="shared" si="13"/>
        <v>13</v>
      </c>
      <c r="Z30" s="46">
        <f t="shared" si="14"/>
        <v>17</v>
      </c>
      <c r="AA30" s="46">
        <f t="shared" si="15"/>
        <v>11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84"/>
      <c r="E31" s="84"/>
      <c r="F31" s="84"/>
      <c r="G31" s="84"/>
      <c r="J31" s="15"/>
      <c r="L31" s="18">
        <v>27</v>
      </c>
      <c r="M31" s="47" t="s">
        <v>35</v>
      </c>
      <c r="N31" s="47" t="s">
        <v>236</v>
      </c>
      <c r="O31" s="47" t="s">
        <v>40</v>
      </c>
      <c r="P31" s="47" t="s">
        <v>38</v>
      </c>
      <c r="Q31" s="47" t="s">
        <v>32</v>
      </c>
      <c r="R31" s="47" t="s">
        <v>65</v>
      </c>
      <c r="S31" s="33" t="s">
        <v>37</v>
      </c>
      <c r="U31" s="46">
        <f t="shared" si="9"/>
        <v>15</v>
      </c>
      <c r="V31" s="46">
        <f t="shared" si="10"/>
        <v>0</v>
      </c>
      <c r="W31" s="46">
        <f t="shared" si="11"/>
        <v>12</v>
      </c>
      <c r="X31" s="46">
        <f t="shared" si="12"/>
        <v>15</v>
      </c>
      <c r="Y31" s="46">
        <f t="shared" si="13"/>
        <v>4</v>
      </c>
      <c r="Z31" s="46">
        <f t="shared" si="14"/>
        <v>17</v>
      </c>
      <c r="AA31" s="46">
        <f t="shared" si="15"/>
        <v>13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275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40</v>
      </c>
      <c r="N32" s="47" t="s">
        <v>33</v>
      </c>
      <c r="O32" s="47" t="s">
        <v>33</v>
      </c>
      <c r="P32" s="47" t="s">
        <v>38</v>
      </c>
      <c r="Q32" s="47" t="s">
        <v>39</v>
      </c>
      <c r="R32" s="47" t="s">
        <v>65</v>
      </c>
      <c r="S32" s="33" t="s">
        <v>37</v>
      </c>
      <c r="U32" s="46">
        <f t="shared" si="9"/>
        <v>12</v>
      </c>
      <c r="V32" s="46">
        <f t="shared" si="10"/>
        <v>11</v>
      </c>
      <c r="W32" s="46">
        <f t="shared" si="11"/>
        <v>11</v>
      </c>
      <c r="X32" s="46">
        <f t="shared" si="12"/>
        <v>15</v>
      </c>
      <c r="Y32" s="46">
        <f t="shared" si="13"/>
        <v>5</v>
      </c>
      <c r="Z32" s="46">
        <f t="shared" si="14"/>
        <v>17</v>
      </c>
      <c r="AA32" s="46">
        <f t="shared" si="15"/>
        <v>13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277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96" t="s">
        <v>72</v>
      </c>
      <c r="C33" s="204">
        <v>0</v>
      </c>
      <c r="D33" s="204">
        <v>390</v>
      </c>
      <c r="E33" s="204">
        <v>390</v>
      </c>
      <c r="F33" s="204">
        <v>185</v>
      </c>
      <c r="G33" s="204">
        <v>120</v>
      </c>
      <c r="H33" s="204">
        <v>0</v>
      </c>
      <c r="J33" s="15"/>
      <c r="L33" s="18">
        <v>29</v>
      </c>
      <c r="M33" s="47" t="s">
        <v>40</v>
      </c>
      <c r="N33" s="47" t="s">
        <v>33</v>
      </c>
      <c r="O33" s="47" t="s">
        <v>236</v>
      </c>
      <c r="P33" s="47" t="s">
        <v>65</v>
      </c>
      <c r="Q33" s="47" t="s">
        <v>39</v>
      </c>
      <c r="R33" s="47" t="s">
        <v>40</v>
      </c>
      <c r="S33" s="33" t="s">
        <v>25</v>
      </c>
      <c r="U33" s="46">
        <f t="shared" si="9"/>
        <v>12</v>
      </c>
      <c r="V33" s="46">
        <f t="shared" si="10"/>
        <v>11</v>
      </c>
      <c r="W33" s="46">
        <f t="shared" si="11"/>
        <v>0</v>
      </c>
      <c r="X33" s="46">
        <f t="shared" si="12"/>
        <v>17</v>
      </c>
      <c r="Y33" s="46">
        <f t="shared" si="13"/>
        <v>5</v>
      </c>
      <c r="Z33" s="46">
        <f t="shared" si="14"/>
        <v>12</v>
      </c>
      <c r="AA33" s="46">
        <f t="shared" si="15"/>
        <v>5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390</v>
      </c>
      <c r="E34" s="10">
        <v>390</v>
      </c>
      <c r="F34" s="10">
        <v>185</v>
      </c>
      <c r="G34" s="10">
        <v>120</v>
      </c>
      <c r="H34" s="10">
        <v>0</v>
      </c>
      <c r="L34" s="19">
        <v>30</v>
      </c>
      <c r="M34" s="47" t="s">
        <v>39</v>
      </c>
      <c r="N34" s="47" t="s">
        <v>34</v>
      </c>
      <c r="O34" s="47" t="s">
        <v>238</v>
      </c>
      <c r="P34" s="47" t="s">
        <v>65</v>
      </c>
      <c r="Q34" s="47" t="s">
        <v>33</v>
      </c>
      <c r="R34" s="47" t="s">
        <v>65</v>
      </c>
      <c r="S34" s="47" t="s">
        <v>25</v>
      </c>
      <c r="U34" s="46">
        <f t="shared" si="9"/>
        <v>5</v>
      </c>
      <c r="V34" s="46">
        <f t="shared" si="10"/>
        <v>16</v>
      </c>
      <c r="W34" s="46">
        <f t="shared" si="11"/>
        <v>0</v>
      </c>
      <c r="X34" s="46">
        <f t="shared" si="12"/>
        <v>17</v>
      </c>
      <c r="Y34" s="46">
        <f t="shared" si="13"/>
        <v>11</v>
      </c>
      <c r="Z34" s="46">
        <f t="shared" si="14"/>
        <v>17</v>
      </c>
      <c r="AA34" s="46">
        <f t="shared" si="15"/>
        <v>5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0</v>
      </c>
      <c r="AM34" s="46">
        <v>0</v>
      </c>
      <c r="AN34" s="46">
        <v>0</v>
      </c>
      <c r="AO34" s="46">
        <v>0</v>
      </c>
      <c r="AP34" s="46">
        <v>0</v>
      </c>
      <c r="AQ34" s="46">
        <v>0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2035</v>
      </c>
      <c r="E35" s="10">
        <v>2010</v>
      </c>
      <c r="F35" s="10">
        <v>1125</v>
      </c>
      <c r="G35" s="10">
        <v>860</v>
      </c>
      <c r="H35" s="10">
        <v>0</v>
      </c>
      <c r="L35" s="18">
        <v>31</v>
      </c>
      <c r="M35" s="47" t="s">
        <v>37</v>
      </c>
      <c r="N35" s="47" t="s">
        <v>34</v>
      </c>
      <c r="O35" s="47" t="s">
        <v>34</v>
      </c>
      <c r="P35" s="47" t="s">
        <v>25</v>
      </c>
      <c r="Q35" s="47" t="s">
        <v>90</v>
      </c>
      <c r="R35" s="47" t="s">
        <v>65</v>
      </c>
      <c r="S35" s="33" t="s">
        <v>32</v>
      </c>
      <c r="U35" s="46">
        <f t="shared" si="9"/>
        <v>13</v>
      </c>
      <c r="V35" s="46">
        <f t="shared" si="10"/>
        <v>16</v>
      </c>
      <c r="W35" s="46">
        <f t="shared" si="11"/>
        <v>16</v>
      </c>
      <c r="X35" s="46">
        <f t="shared" si="12"/>
        <v>5</v>
      </c>
      <c r="Y35" s="46">
        <f t="shared" si="13"/>
        <v>6</v>
      </c>
      <c r="Z35" s="46">
        <f t="shared" si="14"/>
        <v>17</v>
      </c>
      <c r="AA35" s="46">
        <f t="shared" si="15"/>
        <v>4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203" t="s">
        <v>20</v>
      </c>
      <c r="AL35" s="203">
        <v>8</v>
      </c>
      <c r="AM35" s="203">
        <v>8</v>
      </c>
      <c r="AN35" s="203">
        <v>8</v>
      </c>
      <c r="AO35" s="203">
        <v>8</v>
      </c>
      <c r="AP35" s="203">
        <v>8</v>
      </c>
      <c r="AQ35" s="203">
        <v>8</v>
      </c>
      <c r="AR35" s="203">
        <v>8</v>
      </c>
      <c r="AS35" s="200">
        <v>2</v>
      </c>
    </row>
    <row r="36" spans="1:45" ht="16.5" customHeight="1">
      <c r="B36" s="5" t="s">
        <v>76</v>
      </c>
      <c r="C36" s="10">
        <v>0</v>
      </c>
      <c r="D36" s="10">
        <v>2035</v>
      </c>
      <c r="E36" s="10">
        <v>2010</v>
      </c>
      <c r="F36" s="10">
        <v>1125</v>
      </c>
      <c r="G36" s="10">
        <v>860</v>
      </c>
      <c r="H36" s="10">
        <v>0</v>
      </c>
      <c r="L36" s="19">
        <v>32</v>
      </c>
      <c r="M36" s="47" t="s">
        <v>37</v>
      </c>
      <c r="N36" s="47" t="s">
        <v>25</v>
      </c>
      <c r="O36" s="47" t="s">
        <v>25</v>
      </c>
      <c r="P36" s="47" t="s">
        <v>33</v>
      </c>
      <c r="Q36" s="47" t="s">
        <v>90</v>
      </c>
      <c r="R36" s="47" t="s">
        <v>38</v>
      </c>
      <c r="S36" s="33" t="s">
        <v>32</v>
      </c>
      <c r="U36" s="46">
        <f t="shared" si="9"/>
        <v>13</v>
      </c>
      <c r="V36" s="46">
        <f t="shared" si="10"/>
        <v>5</v>
      </c>
      <c r="W36" s="46">
        <f t="shared" si="11"/>
        <v>5</v>
      </c>
      <c r="X36" s="46">
        <f t="shared" si="12"/>
        <v>11</v>
      </c>
      <c r="Y36" s="46">
        <f t="shared" si="13"/>
        <v>6</v>
      </c>
      <c r="Z36" s="46">
        <f t="shared" si="14"/>
        <v>15</v>
      </c>
      <c r="AA36" s="46">
        <f t="shared" si="15"/>
        <v>4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203" t="s">
        <v>21</v>
      </c>
      <c r="AL36" s="203">
        <v>10</v>
      </c>
      <c r="AM36" s="203">
        <v>13</v>
      </c>
      <c r="AN36" s="203">
        <v>10</v>
      </c>
      <c r="AO36" s="203">
        <v>5</v>
      </c>
      <c r="AP36" s="203">
        <v>20</v>
      </c>
      <c r="AQ36" s="203">
        <v>5</v>
      </c>
      <c r="AR36" s="203">
        <v>10</v>
      </c>
      <c r="AS36" s="200">
        <v>3</v>
      </c>
    </row>
    <row r="37" spans="1:45" ht="16.5" customHeight="1">
      <c r="B37" s="5" t="s">
        <v>74</v>
      </c>
      <c r="C37" s="10">
        <v>0</v>
      </c>
      <c r="D37" s="10">
        <v>290</v>
      </c>
      <c r="E37" s="10">
        <v>283</v>
      </c>
      <c r="F37" s="10">
        <v>803</v>
      </c>
      <c r="G37" s="10">
        <v>520</v>
      </c>
      <c r="H37" s="10">
        <v>0</v>
      </c>
      <c r="L37" s="18">
        <v>33</v>
      </c>
      <c r="M37" s="47" t="s">
        <v>90</v>
      </c>
      <c r="N37" s="47" t="s">
        <v>25</v>
      </c>
      <c r="O37" s="47" t="s">
        <v>39</v>
      </c>
      <c r="P37" s="47" t="s">
        <v>33</v>
      </c>
      <c r="Q37" s="47" t="s">
        <v>65</v>
      </c>
      <c r="R37" s="47" t="s">
        <v>90</v>
      </c>
      <c r="S37" s="33" t="s">
        <v>33</v>
      </c>
      <c r="U37" s="46">
        <f t="shared" si="9"/>
        <v>6</v>
      </c>
      <c r="V37" s="46">
        <f t="shared" si="10"/>
        <v>5</v>
      </c>
      <c r="W37" s="46">
        <f t="shared" si="11"/>
        <v>5</v>
      </c>
      <c r="X37" s="46">
        <f t="shared" si="12"/>
        <v>11</v>
      </c>
      <c r="Y37" s="46">
        <f t="shared" si="13"/>
        <v>17</v>
      </c>
      <c r="Z37" s="46">
        <f t="shared" si="14"/>
        <v>6</v>
      </c>
      <c r="AA37" s="46">
        <f t="shared" si="15"/>
        <v>11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203" t="s">
        <v>17</v>
      </c>
      <c r="AL37" s="203">
        <v>15</v>
      </c>
      <c r="AM37" s="203">
        <v>10</v>
      </c>
      <c r="AN37" s="203">
        <v>15</v>
      </c>
      <c r="AO37" s="203">
        <v>5</v>
      </c>
      <c r="AP37" s="203">
        <v>18</v>
      </c>
      <c r="AQ37" s="203">
        <v>20</v>
      </c>
      <c r="AR37" s="203">
        <v>10</v>
      </c>
      <c r="AS37" s="200">
        <v>4</v>
      </c>
    </row>
    <row r="38" spans="1:45" ht="16.5" customHeight="1">
      <c r="B38" s="5" t="s">
        <v>77</v>
      </c>
      <c r="C38" s="10">
        <v>0</v>
      </c>
      <c r="D38" s="10">
        <v>290</v>
      </c>
      <c r="E38" s="10">
        <v>283</v>
      </c>
      <c r="F38" s="10">
        <v>803</v>
      </c>
      <c r="G38" s="10">
        <v>520</v>
      </c>
      <c r="H38" s="10">
        <v>0</v>
      </c>
      <c r="L38" s="19">
        <v>34</v>
      </c>
      <c r="M38" s="47" t="s">
        <v>40</v>
      </c>
      <c r="N38" s="47" t="s">
        <v>65</v>
      </c>
      <c r="O38" s="47" t="s">
        <v>90</v>
      </c>
      <c r="P38" s="47" t="s">
        <v>65</v>
      </c>
      <c r="Q38" s="47" t="s">
        <v>35</v>
      </c>
      <c r="R38" s="47" t="s">
        <v>40</v>
      </c>
      <c r="S38" s="33" t="s">
        <v>33</v>
      </c>
      <c r="U38" s="46">
        <f t="shared" si="9"/>
        <v>12</v>
      </c>
      <c r="V38" s="46">
        <f t="shared" si="10"/>
        <v>17</v>
      </c>
      <c r="W38" s="46">
        <f t="shared" si="11"/>
        <v>6</v>
      </c>
      <c r="X38" s="46">
        <f t="shared" si="12"/>
        <v>17</v>
      </c>
      <c r="Y38" s="46">
        <f t="shared" si="13"/>
        <v>15</v>
      </c>
      <c r="Z38" s="46">
        <f t="shared" si="14"/>
        <v>12</v>
      </c>
      <c r="AA38" s="46">
        <f t="shared" si="15"/>
        <v>11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203" t="s">
        <v>18</v>
      </c>
      <c r="AL38" s="203">
        <v>10</v>
      </c>
      <c r="AM38" s="203">
        <v>20</v>
      </c>
      <c r="AN38" s="203">
        <v>20</v>
      </c>
      <c r="AO38" s="203">
        <v>20</v>
      </c>
      <c r="AP38" s="203">
        <v>10</v>
      </c>
      <c r="AQ38" s="203">
        <v>20</v>
      </c>
      <c r="AR38" s="203">
        <v>10</v>
      </c>
      <c r="AS38" s="200">
        <v>5</v>
      </c>
    </row>
    <row r="39" spans="1:45" ht="16.5" customHeight="1">
      <c r="B39" s="5" t="s">
        <v>78</v>
      </c>
      <c r="C39" s="10">
        <v>0</v>
      </c>
      <c r="D39" s="10">
        <v>290</v>
      </c>
      <c r="E39" s="10">
        <v>283</v>
      </c>
      <c r="F39" s="10">
        <v>803</v>
      </c>
      <c r="G39" s="10">
        <v>520</v>
      </c>
      <c r="H39" s="10">
        <v>0</v>
      </c>
      <c r="L39" s="18">
        <v>35</v>
      </c>
      <c r="M39" s="47" t="s">
        <v>40</v>
      </c>
      <c r="N39" s="47" t="s">
        <v>40</v>
      </c>
      <c r="O39" s="47" t="s">
        <v>37</v>
      </c>
      <c r="P39" s="47" t="s">
        <v>25</v>
      </c>
      <c r="Q39" s="47" t="s">
        <v>236</v>
      </c>
      <c r="R39" s="47" t="s">
        <v>40</v>
      </c>
      <c r="S39" s="33" t="s">
        <v>40</v>
      </c>
      <c r="U39" s="46">
        <f t="shared" si="9"/>
        <v>12</v>
      </c>
      <c r="V39" s="46">
        <f t="shared" si="10"/>
        <v>12</v>
      </c>
      <c r="W39" s="46">
        <f t="shared" si="11"/>
        <v>13</v>
      </c>
      <c r="X39" s="46">
        <f t="shared" si="12"/>
        <v>5</v>
      </c>
      <c r="Y39" s="46">
        <f t="shared" si="13"/>
        <v>0</v>
      </c>
      <c r="Z39" s="46">
        <f t="shared" si="14"/>
        <v>12</v>
      </c>
      <c r="AA39" s="46">
        <f t="shared" si="15"/>
        <v>12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203" t="s">
        <v>64</v>
      </c>
      <c r="AL39" s="203">
        <v>50</v>
      </c>
      <c r="AM39" s="203">
        <v>50</v>
      </c>
      <c r="AN39" s="203">
        <v>50</v>
      </c>
      <c r="AO39" s="203">
        <v>50</v>
      </c>
      <c r="AP39" s="203">
        <v>50</v>
      </c>
      <c r="AQ39" s="203">
        <v>50</v>
      </c>
      <c r="AR39" s="203">
        <v>10</v>
      </c>
      <c r="AS39" s="200">
        <v>6</v>
      </c>
    </row>
    <row r="40" spans="1:45" ht="16.5" customHeight="1">
      <c r="B40" s="5" t="s">
        <v>79</v>
      </c>
      <c r="C40" s="10">
        <v>0</v>
      </c>
      <c r="D40" s="10">
        <v>880</v>
      </c>
      <c r="E40" s="10">
        <v>830</v>
      </c>
      <c r="F40" s="10">
        <v>850</v>
      </c>
      <c r="G40" s="10">
        <v>1250</v>
      </c>
      <c r="H40" s="10">
        <v>0</v>
      </c>
      <c r="L40" s="19">
        <v>36</v>
      </c>
      <c r="M40" s="46" t="s">
        <v>35</v>
      </c>
      <c r="N40" s="46" t="s">
        <v>40</v>
      </c>
      <c r="O40" s="46" t="s">
        <v>34</v>
      </c>
      <c r="P40" s="46" t="s">
        <v>25</v>
      </c>
      <c r="Q40" s="46" t="s">
        <v>39</v>
      </c>
      <c r="R40" s="46" t="s">
        <v>40</v>
      </c>
      <c r="S40" s="46" t="s">
        <v>34</v>
      </c>
      <c r="U40" s="46">
        <f t="shared" si="9"/>
        <v>15</v>
      </c>
      <c r="V40" s="46">
        <f t="shared" si="10"/>
        <v>12</v>
      </c>
      <c r="W40" s="46">
        <f t="shared" si="11"/>
        <v>16</v>
      </c>
      <c r="X40" s="46">
        <f t="shared" si="12"/>
        <v>5</v>
      </c>
      <c r="Y40" s="46">
        <f t="shared" si="13"/>
        <v>5</v>
      </c>
      <c r="Z40" s="46">
        <f t="shared" si="14"/>
        <v>12</v>
      </c>
      <c r="AA40" s="46">
        <f t="shared" si="15"/>
        <v>16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203" t="s">
        <v>89</v>
      </c>
      <c r="AL40" s="203">
        <v>50</v>
      </c>
      <c r="AM40" s="203">
        <v>50</v>
      </c>
      <c r="AN40" s="203">
        <v>50</v>
      </c>
      <c r="AO40" s="203">
        <v>50</v>
      </c>
      <c r="AP40" s="203">
        <v>50</v>
      </c>
      <c r="AQ40" s="203">
        <v>50</v>
      </c>
      <c r="AR40" s="203">
        <v>10</v>
      </c>
      <c r="AS40" s="200">
        <v>7</v>
      </c>
    </row>
    <row r="41" spans="1:45" ht="16.5" customHeight="1">
      <c r="B41" s="5" t="s">
        <v>80</v>
      </c>
      <c r="C41" s="10">
        <v>0</v>
      </c>
      <c r="D41" s="10">
        <v>880</v>
      </c>
      <c r="E41" s="10">
        <v>830</v>
      </c>
      <c r="F41" s="10">
        <v>850</v>
      </c>
      <c r="G41" s="10">
        <v>1250</v>
      </c>
      <c r="H41" s="10">
        <v>0</v>
      </c>
      <c r="L41" s="18">
        <v>37</v>
      </c>
      <c r="M41" s="47" t="s">
        <v>34</v>
      </c>
      <c r="N41" s="47" t="s">
        <v>254</v>
      </c>
      <c r="O41" s="47" t="s">
        <v>34</v>
      </c>
      <c r="P41" s="47" t="s">
        <v>38</v>
      </c>
      <c r="Q41" s="47" t="s">
        <v>39</v>
      </c>
      <c r="R41" s="47" t="s">
        <v>65</v>
      </c>
      <c r="S41" s="33" t="s">
        <v>34</v>
      </c>
      <c r="U41" s="46">
        <f t="shared" si="9"/>
        <v>16</v>
      </c>
      <c r="V41" s="46">
        <f t="shared" si="10"/>
        <v>0</v>
      </c>
      <c r="W41" s="46">
        <f t="shared" si="11"/>
        <v>16</v>
      </c>
      <c r="X41" s="46">
        <f t="shared" si="12"/>
        <v>15</v>
      </c>
      <c r="Y41" s="46">
        <f t="shared" si="13"/>
        <v>5</v>
      </c>
      <c r="Z41" s="46">
        <f t="shared" si="14"/>
        <v>17</v>
      </c>
      <c r="AA41" s="46">
        <f t="shared" si="15"/>
        <v>16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10</v>
      </c>
      <c r="AM41" s="46">
        <v>10</v>
      </c>
      <c r="AN41" s="46">
        <v>40</v>
      </c>
      <c r="AO41" s="46">
        <v>1</v>
      </c>
      <c r="AP41" s="46">
        <v>40</v>
      </c>
      <c r="AQ41" s="46">
        <v>1</v>
      </c>
      <c r="AR41" s="46">
        <v>10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880</v>
      </c>
      <c r="E42" s="10">
        <v>830</v>
      </c>
      <c r="F42" s="10">
        <v>850</v>
      </c>
      <c r="G42" s="10">
        <v>1250</v>
      </c>
      <c r="H42" s="10">
        <v>0</v>
      </c>
      <c r="L42" s="19">
        <v>38</v>
      </c>
      <c r="M42" s="47" t="s">
        <v>34</v>
      </c>
      <c r="N42" s="47" t="s">
        <v>90</v>
      </c>
      <c r="O42" s="47" t="s">
        <v>244</v>
      </c>
      <c r="P42" s="47" t="s">
        <v>38</v>
      </c>
      <c r="Q42" s="47" t="s">
        <v>37</v>
      </c>
      <c r="R42" s="47" t="s">
        <v>65</v>
      </c>
      <c r="S42" s="33" t="s">
        <v>34</v>
      </c>
      <c r="U42" s="46">
        <f t="shared" si="9"/>
        <v>16</v>
      </c>
      <c r="V42" s="46">
        <f t="shared" si="10"/>
        <v>6</v>
      </c>
      <c r="W42" s="46">
        <f t="shared" si="11"/>
        <v>0</v>
      </c>
      <c r="X42" s="46">
        <f t="shared" si="12"/>
        <v>15</v>
      </c>
      <c r="Y42" s="46">
        <f t="shared" si="13"/>
        <v>13</v>
      </c>
      <c r="Z42" s="46">
        <f t="shared" si="14"/>
        <v>17</v>
      </c>
      <c r="AA42" s="46">
        <f t="shared" si="15"/>
        <v>16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40</v>
      </c>
      <c r="AM42" s="46">
        <v>8</v>
      </c>
      <c r="AN42" s="46">
        <v>25</v>
      </c>
      <c r="AO42" s="46">
        <v>10</v>
      </c>
      <c r="AP42" s="46">
        <v>1</v>
      </c>
      <c r="AQ42" s="46">
        <v>40</v>
      </c>
      <c r="AR42" s="46">
        <v>10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292</v>
      </c>
      <c r="E43" s="10">
        <v>305</v>
      </c>
      <c r="F43" s="10">
        <v>514</v>
      </c>
      <c r="G43" s="10">
        <v>608</v>
      </c>
      <c r="H43" s="10">
        <v>0</v>
      </c>
      <c r="L43" s="18">
        <v>39</v>
      </c>
      <c r="M43" s="47" t="s">
        <v>65</v>
      </c>
      <c r="N43" s="47" t="s">
        <v>35</v>
      </c>
      <c r="O43" s="47" t="s">
        <v>90</v>
      </c>
      <c r="P43" s="47" t="s">
        <v>35</v>
      </c>
      <c r="Q43" s="47" t="s">
        <v>37</v>
      </c>
      <c r="R43" s="47" t="s">
        <v>38</v>
      </c>
      <c r="S43" s="33" t="s">
        <v>65</v>
      </c>
      <c r="U43" s="46">
        <f t="shared" si="9"/>
        <v>17</v>
      </c>
      <c r="V43" s="46">
        <f t="shared" si="10"/>
        <v>15</v>
      </c>
      <c r="W43" s="46">
        <f t="shared" si="11"/>
        <v>6</v>
      </c>
      <c r="X43" s="46">
        <f t="shared" si="12"/>
        <v>15</v>
      </c>
      <c r="Y43" s="46">
        <f t="shared" si="13"/>
        <v>13</v>
      </c>
      <c r="Z43" s="46">
        <f t="shared" si="14"/>
        <v>15</v>
      </c>
      <c r="AA43" s="46">
        <f t="shared" si="15"/>
        <v>17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10</v>
      </c>
      <c r="AM43" s="46">
        <v>40</v>
      </c>
      <c r="AN43" s="46">
        <v>40</v>
      </c>
      <c r="AO43" s="46">
        <v>10</v>
      </c>
      <c r="AP43" s="46">
        <v>40</v>
      </c>
      <c r="AQ43" s="46">
        <v>1</v>
      </c>
      <c r="AR43" s="46">
        <v>10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292</v>
      </c>
      <c r="E44" s="10">
        <v>305</v>
      </c>
      <c r="F44" s="10">
        <v>514</v>
      </c>
      <c r="G44" s="10">
        <v>608</v>
      </c>
      <c r="H44" s="10">
        <v>0</v>
      </c>
      <c r="L44" s="19">
        <v>40</v>
      </c>
      <c r="M44" s="47" t="s">
        <v>90</v>
      </c>
      <c r="N44" s="47" t="s">
        <v>240</v>
      </c>
      <c r="O44" s="47" t="s">
        <v>40</v>
      </c>
      <c r="P44" s="47" t="s">
        <v>35</v>
      </c>
      <c r="Q44" s="47" t="s">
        <v>34</v>
      </c>
      <c r="R44" s="47" t="s">
        <v>25</v>
      </c>
      <c r="S44" s="33" t="s">
        <v>65</v>
      </c>
      <c r="U44" s="46">
        <f t="shared" si="9"/>
        <v>6</v>
      </c>
      <c r="V44" s="46">
        <f t="shared" si="10"/>
        <v>0</v>
      </c>
      <c r="W44" s="46">
        <f t="shared" si="11"/>
        <v>12</v>
      </c>
      <c r="X44" s="46">
        <f t="shared" si="12"/>
        <v>15</v>
      </c>
      <c r="Y44" s="46">
        <f t="shared" si="13"/>
        <v>16</v>
      </c>
      <c r="Z44" s="46">
        <f t="shared" si="14"/>
        <v>5</v>
      </c>
      <c r="AA44" s="46">
        <f t="shared" si="15"/>
        <v>17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40</v>
      </c>
      <c r="AM44" s="46">
        <v>40</v>
      </c>
      <c r="AN44" s="46">
        <v>40</v>
      </c>
      <c r="AO44" s="46">
        <v>1</v>
      </c>
      <c r="AP44" s="46">
        <v>1</v>
      </c>
      <c r="AQ44" s="46">
        <v>1</v>
      </c>
      <c r="AR44" s="46">
        <v>10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292</v>
      </c>
      <c r="E45" s="10">
        <v>305</v>
      </c>
      <c r="F45" s="10">
        <v>514</v>
      </c>
      <c r="G45" s="10">
        <v>608</v>
      </c>
      <c r="H45" s="10">
        <v>0</v>
      </c>
      <c r="L45" s="18">
        <v>41</v>
      </c>
      <c r="M45" s="47" t="s">
        <v>39</v>
      </c>
      <c r="N45" s="47" t="s">
        <v>65</v>
      </c>
      <c r="O45" s="47" t="s">
        <v>65</v>
      </c>
      <c r="P45" s="47" t="s">
        <v>37</v>
      </c>
      <c r="Q45" s="47" t="s">
        <v>34</v>
      </c>
      <c r="R45" s="47" t="s">
        <v>65</v>
      </c>
      <c r="S45" s="33" t="s">
        <v>65</v>
      </c>
      <c r="U45" s="46">
        <f t="shared" si="9"/>
        <v>5</v>
      </c>
      <c r="V45" s="46">
        <f t="shared" si="10"/>
        <v>17</v>
      </c>
      <c r="W45" s="46">
        <f t="shared" si="11"/>
        <v>17</v>
      </c>
      <c r="X45" s="46">
        <f t="shared" si="12"/>
        <v>13</v>
      </c>
      <c r="Y45" s="46">
        <f t="shared" si="13"/>
        <v>16</v>
      </c>
      <c r="Z45" s="46">
        <f t="shared" si="14"/>
        <v>17</v>
      </c>
      <c r="AA45" s="46">
        <f t="shared" si="15"/>
        <v>17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5</v>
      </c>
      <c r="AM45" s="46">
        <v>40</v>
      </c>
      <c r="AN45" s="46">
        <v>20</v>
      </c>
      <c r="AO45" s="46">
        <v>1</v>
      </c>
      <c r="AP45" s="46">
        <v>1</v>
      </c>
      <c r="AQ45" s="46">
        <v>1</v>
      </c>
      <c r="AR45" s="46">
        <v>10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292</v>
      </c>
      <c r="E46" s="10">
        <v>305</v>
      </c>
      <c r="F46" s="10">
        <v>514</v>
      </c>
      <c r="G46" s="10">
        <v>608</v>
      </c>
      <c r="H46" s="10">
        <v>0</v>
      </c>
      <c r="L46" s="19">
        <v>42</v>
      </c>
      <c r="M46" s="47" t="s">
        <v>39</v>
      </c>
      <c r="N46" s="47" t="s">
        <v>90</v>
      </c>
      <c r="O46" s="47" t="s">
        <v>35</v>
      </c>
      <c r="P46" s="47" t="s">
        <v>37</v>
      </c>
      <c r="Q46" s="47" t="s">
        <v>90</v>
      </c>
      <c r="R46" s="47" t="s">
        <v>33</v>
      </c>
      <c r="S46" s="33" t="s">
        <v>34</v>
      </c>
      <c r="U46" s="46">
        <f t="shared" si="9"/>
        <v>5</v>
      </c>
      <c r="V46" s="46">
        <f t="shared" si="10"/>
        <v>6</v>
      </c>
      <c r="W46" s="46">
        <f t="shared" si="11"/>
        <v>15</v>
      </c>
      <c r="X46" s="46">
        <f t="shared" si="12"/>
        <v>13</v>
      </c>
      <c r="Y46" s="46">
        <f t="shared" si="13"/>
        <v>6</v>
      </c>
      <c r="Z46" s="46">
        <f t="shared" si="14"/>
        <v>11</v>
      </c>
      <c r="AA46" s="46">
        <f t="shared" si="15"/>
        <v>16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203" t="s">
        <v>234</v>
      </c>
      <c r="AL46" s="203">
        <v>0</v>
      </c>
      <c r="AM46" s="203">
        <v>3</v>
      </c>
      <c r="AN46" s="203">
        <v>3</v>
      </c>
      <c r="AO46" s="203">
        <v>3</v>
      </c>
      <c r="AP46" s="203">
        <v>3</v>
      </c>
      <c r="AQ46" s="203">
        <v>0</v>
      </c>
      <c r="AR46" s="203">
        <v>0</v>
      </c>
      <c r="AS46" s="200">
        <v>12</v>
      </c>
    </row>
    <row r="47" spans="1:45" ht="16.5" customHeight="1">
      <c r="B47" s="5" t="s">
        <v>86</v>
      </c>
      <c r="C47" s="10">
        <v>1</v>
      </c>
      <c r="D47" s="10">
        <v>470</v>
      </c>
      <c r="E47" s="10">
        <v>640</v>
      </c>
      <c r="F47" s="10">
        <v>360</v>
      </c>
      <c r="G47" s="10">
        <v>290</v>
      </c>
      <c r="H47" s="10">
        <v>1</v>
      </c>
      <c r="L47" s="18">
        <v>43</v>
      </c>
      <c r="M47" s="47" t="s">
        <v>34</v>
      </c>
      <c r="N47" s="47" t="s">
        <v>38</v>
      </c>
      <c r="O47" s="47" t="s">
        <v>240</v>
      </c>
      <c r="P47" s="47" t="s">
        <v>65</v>
      </c>
      <c r="Q47" s="47" t="s">
        <v>90</v>
      </c>
      <c r="R47" s="47" t="s">
        <v>33</v>
      </c>
      <c r="S47" s="33" t="s">
        <v>34</v>
      </c>
      <c r="U47" s="46">
        <f t="shared" si="9"/>
        <v>16</v>
      </c>
      <c r="V47" s="46">
        <f t="shared" si="10"/>
        <v>15</v>
      </c>
      <c r="W47" s="46">
        <f t="shared" si="11"/>
        <v>0</v>
      </c>
      <c r="X47" s="46">
        <f t="shared" si="12"/>
        <v>17</v>
      </c>
      <c r="Y47" s="46">
        <f t="shared" si="13"/>
        <v>6</v>
      </c>
      <c r="Z47" s="46">
        <f t="shared" si="14"/>
        <v>11</v>
      </c>
      <c r="AA47" s="46">
        <f t="shared" si="15"/>
        <v>16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203" t="s">
        <v>236</v>
      </c>
      <c r="AL47" s="203">
        <v>0</v>
      </c>
      <c r="AM47" s="203">
        <v>4</v>
      </c>
      <c r="AN47" s="203">
        <v>4</v>
      </c>
      <c r="AO47" s="203">
        <v>2</v>
      </c>
      <c r="AP47" s="203">
        <v>2</v>
      </c>
      <c r="AQ47" s="203">
        <v>0</v>
      </c>
      <c r="AR47" s="203">
        <v>0</v>
      </c>
      <c r="AS47" s="200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34</v>
      </c>
      <c r="N48" s="47" t="s">
        <v>250</v>
      </c>
      <c r="O48" s="47" t="s">
        <v>101</v>
      </c>
      <c r="P48" s="47" t="s">
        <v>25</v>
      </c>
      <c r="Q48" s="47" t="s">
        <v>90</v>
      </c>
      <c r="R48" s="47" t="s">
        <v>38</v>
      </c>
      <c r="S48" s="33" t="s">
        <v>34</v>
      </c>
      <c r="U48" s="46">
        <f t="shared" si="9"/>
        <v>16</v>
      </c>
      <c r="V48" s="46">
        <f t="shared" si="10"/>
        <v>0</v>
      </c>
      <c r="W48" s="46">
        <f t="shared" si="11"/>
        <v>2</v>
      </c>
      <c r="X48" s="46">
        <f t="shared" si="12"/>
        <v>5</v>
      </c>
      <c r="Y48" s="46">
        <f t="shared" si="13"/>
        <v>6</v>
      </c>
      <c r="Z48" s="46">
        <f t="shared" si="14"/>
        <v>15</v>
      </c>
      <c r="AA48" s="46">
        <f t="shared" si="15"/>
        <v>16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203" t="s">
        <v>238</v>
      </c>
      <c r="AL48" s="203">
        <v>0</v>
      </c>
      <c r="AM48" s="203">
        <v>5</v>
      </c>
      <c r="AN48" s="203">
        <v>5</v>
      </c>
      <c r="AO48" s="203">
        <v>2</v>
      </c>
      <c r="AP48" s="203">
        <v>2</v>
      </c>
      <c r="AQ48" s="203">
        <v>0</v>
      </c>
      <c r="AR48" s="203">
        <v>0</v>
      </c>
      <c r="AS48" s="200">
        <v>14</v>
      </c>
    </row>
    <row r="49" spans="2:45" ht="16.5" customHeight="1">
      <c r="L49" s="18">
        <v>45</v>
      </c>
      <c r="M49" s="47" t="s">
        <v>90</v>
      </c>
      <c r="N49" s="47" t="s">
        <v>244</v>
      </c>
      <c r="O49" s="47" t="s">
        <v>33</v>
      </c>
      <c r="P49" s="47" t="s">
        <v>40</v>
      </c>
      <c r="Q49" s="47" t="s">
        <v>35</v>
      </c>
      <c r="R49" s="47" t="s">
        <v>38</v>
      </c>
      <c r="S49" s="33" t="s">
        <v>90</v>
      </c>
      <c r="U49" s="46">
        <f t="shared" si="9"/>
        <v>6</v>
      </c>
      <c r="V49" s="46">
        <f t="shared" si="10"/>
        <v>0</v>
      </c>
      <c r="W49" s="46">
        <f t="shared" si="11"/>
        <v>11</v>
      </c>
      <c r="X49" s="46">
        <f t="shared" si="12"/>
        <v>12</v>
      </c>
      <c r="Y49" s="46">
        <f t="shared" si="13"/>
        <v>15</v>
      </c>
      <c r="Z49" s="46">
        <f t="shared" si="14"/>
        <v>15</v>
      </c>
      <c r="AA49" s="46">
        <f t="shared" si="15"/>
        <v>6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203" t="s">
        <v>240</v>
      </c>
      <c r="AL49" s="203">
        <v>0</v>
      </c>
      <c r="AM49" s="203">
        <v>5</v>
      </c>
      <c r="AN49" s="203">
        <v>5</v>
      </c>
      <c r="AO49" s="203">
        <v>5</v>
      </c>
      <c r="AP49" s="203">
        <v>8</v>
      </c>
      <c r="AQ49" s="203">
        <v>0</v>
      </c>
      <c r="AR49" s="203">
        <v>0</v>
      </c>
      <c r="AS49" s="200">
        <v>15</v>
      </c>
    </row>
    <row r="50" spans="2:45" ht="16.5" customHeight="1">
      <c r="B50" s="214" t="s">
        <v>105</v>
      </c>
      <c r="C50" s="211" t="s">
        <v>271</v>
      </c>
      <c r="L50" s="19">
        <v>46</v>
      </c>
      <c r="M50" s="47" t="s">
        <v>25</v>
      </c>
      <c r="N50" s="47" t="s">
        <v>90</v>
      </c>
      <c r="O50" s="47" t="s">
        <v>90</v>
      </c>
      <c r="P50" s="47" t="s">
        <v>35</v>
      </c>
      <c r="Q50" s="47" t="s">
        <v>38</v>
      </c>
      <c r="R50" s="47" t="s">
        <v>38</v>
      </c>
      <c r="S50" s="33" t="s">
        <v>65</v>
      </c>
      <c r="U50" s="46">
        <f t="shared" si="9"/>
        <v>5</v>
      </c>
      <c r="V50" s="46">
        <f t="shared" si="10"/>
        <v>6</v>
      </c>
      <c r="W50" s="46">
        <f t="shared" si="11"/>
        <v>6</v>
      </c>
      <c r="X50" s="46">
        <f t="shared" si="12"/>
        <v>15</v>
      </c>
      <c r="Y50" s="46">
        <f t="shared" si="13"/>
        <v>15</v>
      </c>
      <c r="Z50" s="46">
        <f t="shared" si="14"/>
        <v>15</v>
      </c>
      <c r="AA50" s="46">
        <f t="shared" si="15"/>
        <v>17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203" t="s">
        <v>242</v>
      </c>
      <c r="AL50" s="203">
        <v>0</v>
      </c>
      <c r="AM50" s="203">
        <v>15</v>
      </c>
      <c r="AN50" s="203">
        <v>15</v>
      </c>
      <c r="AO50" s="203">
        <v>10</v>
      </c>
      <c r="AP50" s="203">
        <v>15</v>
      </c>
      <c r="AQ50" s="203">
        <v>0</v>
      </c>
      <c r="AR50" s="203">
        <v>0</v>
      </c>
      <c r="AS50" s="200">
        <v>16</v>
      </c>
    </row>
    <row r="51" spans="2:45" ht="16.5" customHeight="1">
      <c r="B51" s="212" t="s">
        <v>68</v>
      </c>
      <c r="C51" s="210">
        <v>0</v>
      </c>
      <c r="L51" s="18">
        <v>47</v>
      </c>
      <c r="M51" s="47" t="s">
        <v>65</v>
      </c>
      <c r="N51" s="47" t="s">
        <v>25</v>
      </c>
      <c r="O51" s="47" t="s">
        <v>242</v>
      </c>
      <c r="P51" s="47" t="s">
        <v>35</v>
      </c>
      <c r="Q51" s="47" t="s">
        <v>35</v>
      </c>
      <c r="R51" s="47" t="s">
        <v>65</v>
      </c>
      <c r="S51" s="33" t="s">
        <v>33</v>
      </c>
      <c r="U51" s="46">
        <f t="shared" si="9"/>
        <v>17</v>
      </c>
      <c r="V51" s="46">
        <f t="shared" si="10"/>
        <v>5</v>
      </c>
      <c r="W51" s="46">
        <f t="shared" si="11"/>
        <v>0</v>
      </c>
      <c r="X51" s="46">
        <f t="shared" si="12"/>
        <v>15</v>
      </c>
      <c r="Y51" s="46">
        <f t="shared" si="13"/>
        <v>15</v>
      </c>
      <c r="Z51" s="46">
        <f t="shared" si="14"/>
        <v>17</v>
      </c>
      <c r="AA51" s="46">
        <f t="shared" si="15"/>
        <v>11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203" t="s">
        <v>244</v>
      </c>
      <c r="AL51" s="203">
        <v>0</v>
      </c>
      <c r="AM51" s="203">
        <v>10</v>
      </c>
      <c r="AN51" s="203">
        <v>15</v>
      </c>
      <c r="AO51" s="203">
        <v>15</v>
      </c>
      <c r="AP51" s="203">
        <v>10</v>
      </c>
      <c r="AQ51" s="203">
        <v>0</v>
      </c>
      <c r="AR51" s="203">
        <v>0</v>
      </c>
      <c r="AS51" s="200">
        <v>17</v>
      </c>
    </row>
    <row r="52" spans="2:45" ht="16.5" customHeight="1">
      <c r="B52" s="213" t="s">
        <v>19</v>
      </c>
      <c r="C52" s="208">
        <v>0</v>
      </c>
      <c r="L52" s="19">
        <v>48</v>
      </c>
      <c r="M52" s="47" t="s">
        <v>40</v>
      </c>
      <c r="N52" s="47" t="s">
        <v>40</v>
      </c>
      <c r="O52" s="47" t="s">
        <v>244</v>
      </c>
      <c r="P52" s="47" t="s">
        <v>40</v>
      </c>
      <c r="Q52" s="47" t="s">
        <v>34</v>
      </c>
      <c r="R52" s="47" t="s">
        <v>38</v>
      </c>
      <c r="S52" s="33" t="s">
        <v>40</v>
      </c>
      <c r="U52" s="46">
        <f t="shared" si="9"/>
        <v>12</v>
      </c>
      <c r="V52" s="46">
        <f t="shared" si="10"/>
        <v>12</v>
      </c>
      <c r="W52" s="46">
        <f t="shared" si="11"/>
        <v>0</v>
      </c>
      <c r="X52" s="46">
        <f t="shared" si="12"/>
        <v>12</v>
      </c>
      <c r="Y52" s="46">
        <f t="shared" si="13"/>
        <v>16</v>
      </c>
      <c r="Z52" s="46">
        <f t="shared" si="14"/>
        <v>15</v>
      </c>
      <c r="AA52" s="46">
        <f t="shared" si="15"/>
        <v>12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246</v>
      </c>
      <c r="AL52" s="46">
        <v>0</v>
      </c>
      <c r="AM52" s="46">
        <v>12</v>
      </c>
      <c r="AN52" s="46">
        <v>12</v>
      </c>
      <c r="AO52" s="46">
        <v>4</v>
      </c>
      <c r="AP52" s="46">
        <v>6</v>
      </c>
      <c r="AQ52" s="46">
        <v>0</v>
      </c>
      <c r="AR52" s="46">
        <v>0</v>
      </c>
      <c r="AS52" s="5">
        <v>17</v>
      </c>
    </row>
    <row r="53" spans="2:45" ht="16.5" customHeight="1">
      <c r="B53" s="213" t="s">
        <v>20</v>
      </c>
      <c r="C53" s="208">
        <v>2</v>
      </c>
      <c r="L53" s="18">
        <v>49</v>
      </c>
      <c r="M53" s="47" t="s">
        <v>34</v>
      </c>
      <c r="N53" s="47" t="s">
        <v>40</v>
      </c>
      <c r="O53" s="47" t="s">
        <v>90</v>
      </c>
      <c r="P53" s="47" t="s">
        <v>25</v>
      </c>
      <c r="Q53" s="47" t="s">
        <v>34</v>
      </c>
      <c r="R53" s="47" t="s">
        <v>38</v>
      </c>
      <c r="S53" s="33" t="s">
        <v>40</v>
      </c>
      <c r="U53" s="46">
        <f t="shared" si="9"/>
        <v>16</v>
      </c>
      <c r="V53" s="46">
        <f t="shared" si="10"/>
        <v>12</v>
      </c>
      <c r="W53" s="46">
        <f t="shared" si="11"/>
        <v>6</v>
      </c>
      <c r="X53" s="46">
        <f t="shared" si="12"/>
        <v>5</v>
      </c>
      <c r="Y53" s="46">
        <f t="shared" si="13"/>
        <v>16</v>
      </c>
      <c r="Z53" s="46">
        <f t="shared" si="14"/>
        <v>15</v>
      </c>
      <c r="AA53" s="46">
        <f t="shared" si="15"/>
        <v>12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248</v>
      </c>
      <c r="AL53" s="46">
        <v>0</v>
      </c>
      <c r="AM53" s="46">
        <v>8</v>
      </c>
      <c r="AN53" s="46">
        <v>12</v>
      </c>
      <c r="AO53" s="46">
        <v>4</v>
      </c>
      <c r="AP53" s="46">
        <v>4</v>
      </c>
      <c r="AQ53" s="46">
        <v>0</v>
      </c>
      <c r="AR53" s="46">
        <v>0</v>
      </c>
      <c r="AS53" s="5">
        <v>18</v>
      </c>
    </row>
    <row r="54" spans="2:45" ht="16.5" customHeight="1">
      <c r="B54" s="213" t="s">
        <v>21</v>
      </c>
      <c r="C54" s="208">
        <v>3</v>
      </c>
      <c r="L54" s="19">
        <v>50</v>
      </c>
      <c r="M54" s="47" t="s">
        <v>34</v>
      </c>
      <c r="N54" s="47" t="s">
        <v>38</v>
      </c>
      <c r="O54" s="47" t="s">
        <v>39</v>
      </c>
      <c r="P54" s="47" t="s">
        <v>65</v>
      </c>
      <c r="Q54" s="47" t="s">
        <v>254</v>
      </c>
      <c r="R54" s="47" t="s">
        <v>65</v>
      </c>
      <c r="S54" s="33" t="s">
        <v>40</v>
      </c>
      <c r="U54" s="46">
        <f t="shared" si="9"/>
        <v>16</v>
      </c>
      <c r="V54" s="46">
        <f t="shared" si="10"/>
        <v>15</v>
      </c>
      <c r="W54" s="46">
        <f t="shared" si="11"/>
        <v>5</v>
      </c>
      <c r="X54" s="46">
        <f t="shared" si="12"/>
        <v>17</v>
      </c>
      <c r="Y54" s="46">
        <f t="shared" si="13"/>
        <v>0</v>
      </c>
      <c r="Z54" s="46">
        <f t="shared" si="14"/>
        <v>17</v>
      </c>
      <c r="AA54" s="46">
        <f t="shared" si="15"/>
        <v>12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250</v>
      </c>
      <c r="AL54" s="46">
        <v>0</v>
      </c>
      <c r="AM54" s="46">
        <v>10</v>
      </c>
      <c r="AN54" s="46">
        <v>6</v>
      </c>
      <c r="AO54" s="46">
        <v>2</v>
      </c>
      <c r="AP54" s="46">
        <v>8</v>
      </c>
      <c r="AQ54" s="46">
        <v>0</v>
      </c>
      <c r="AR54" s="46">
        <v>0</v>
      </c>
      <c r="AS54" s="5">
        <v>19</v>
      </c>
    </row>
    <row r="55" spans="2:45" ht="16.5" customHeight="1">
      <c r="B55" s="213" t="s">
        <v>17</v>
      </c>
      <c r="C55" s="208">
        <v>5</v>
      </c>
      <c r="L55" s="18">
        <v>51</v>
      </c>
      <c r="M55" s="47" t="s">
        <v>33</v>
      </c>
      <c r="N55" s="47" t="s">
        <v>25</v>
      </c>
      <c r="O55" s="47" t="s">
        <v>33</v>
      </c>
      <c r="P55" s="47" t="s">
        <v>33</v>
      </c>
      <c r="Q55" s="47" t="s">
        <v>40</v>
      </c>
      <c r="R55" s="47" t="s">
        <v>65</v>
      </c>
      <c r="S55" s="33" t="s">
        <v>90</v>
      </c>
      <c r="U55" s="46">
        <f t="shared" si="9"/>
        <v>11</v>
      </c>
      <c r="V55" s="46">
        <f t="shared" si="10"/>
        <v>5</v>
      </c>
      <c r="W55" s="46">
        <f t="shared" si="11"/>
        <v>11</v>
      </c>
      <c r="X55" s="46">
        <f t="shared" si="12"/>
        <v>11</v>
      </c>
      <c r="Y55" s="46">
        <f t="shared" si="13"/>
        <v>12</v>
      </c>
      <c r="Z55" s="46">
        <f t="shared" si="14"/>
        <v>17</v>
      </c>
      <c r="AA55" s="46">
        <f t="shared" si="15"/>
        <v>6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252</v>
      </c>
      <c r="AL55" s="46">
        <v>0</v>
      </c>
      <c r="AM55" s="46">
        <v>5</v>
      </c>
      <c r="AN55" s="46">
        <v>6</v>
      </c>
      <c r="AO55" s="46">
        <v>2</v>
      </c>
      <c r="AP55" s="46">
        <v>4</v>
      </c>
      <c r="AQ55" s="46">
        <v>0</v>
      </c>
      <c r="AR55" s="46">
        <v>0</v>
      </c>
      <c r="AS55" s="5">
        <v>20</v>
      </c>
    </row>
    <row r="56" spans="2:45" ht="16.5" customHeight="1">
      <c r="B56" s="213" t="s">
        <v>18</v>
      </c>
      <c r="C56" s="208">
        <v>8</v>
      </c>
      <c r="L56" s="19">
        <v>52</v>
      </c>
      <c r="M56" s="47" t="s">
        <v>40</v>
      </c>
      <c r="N56" s="47" t="s">
        <v>35</v>
      </c>
      <c r="O56" s="47" t="s">
        <v>38</v>
      </c>
      <c r="P56" s="47" t="s">
        <v>250</v>
      </c>
      <c r="Q56" s="47" t="s">
        <v>40</v>
      </c>
      <c r="R56" s="47" t="s">
        <v>38</v>
      </c>
      <c r="S56" s="33" t="s">
        <v>35</v>
      </c>
      <c r="U56" s="46">
        <f t="shared" si="9"/>
        <v>12</v>
      </c>
      <c r="V56" s="46">
        <f t="shared" si="10"/>
        <v>15</v>
      </c>
      <c r="W56" s="46">
        <f t="shared" si="11"/>
        <v>15</v>
      </c>
      <c r="X56" s="46">
        <f t="shared" si="12"/>
        <v>0</v>
      </c>
      <c r="Y56" s="46">
        <f t="shared" si="13"/>
        <v>12</v>
      </c>
      <c r="Z56" s="46">
        <f t="shared" si="14"/>
        <v>15</v>
      </c>
      <c r="AA56" s="46">
        <f t="shared" si="15"/>
        <v>15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254</v>
      </c>
      <c r="AL56" s="46">
        <v>0</v>
      </c>
      <c r="AM56" s="46">
        <v>4</v>
      </c>
      <c r="AN56" s="46">
        <v>6</v>
      </c>
      <c r="AO56" s="46">
        <v>2</v>
      </c>
      <c r="AP56" s="46">
        <v>4</v>
      </c>
      <c r="AQ56" s="46">
        <v>0</v>
      </c>
      <c r="AR56" s="46">
        <v>0</v>
      </c>
      <c r="AS56" s="5">
        <v>21</v>
      </c>
    </row>
    <row r="57" spans="2:45" ht="16.5" customHeight="1">
      <c r="B57" s="213" t="s">
        <v>64</v>
      </c>
      <c r="C57" s="208">
        <v>12</v>
      </c>
      <c r="L57" s="18">
        <v>53</v>
      </c>
      <c r="M57" s="47" t="s">
        <v>39</v>
      </c>
      <c r="N57" s="47" t="s">
        <v>35</v>
      </c>
      <c r="O57" s="47" t="s">
        <v>250</v>
      </c>
      <c r="P57" s="47" t="s">
        <v>65</v>
      </c>
      <c r="Q57" s="47" t="s">
        <v>39</v>
      </c>
      <c r="R57" s="47" t="s">
        <v>65</v>
      </c>
      <c r="S57" s="33" t="s">
        <v>35</v>
      </c>
      <c r="U57" s="46">
        <f t="shared" si="9"/>
        <v>5</v>
      </c>
      <c r="V57" s="46">
        <f t="shared" si="10"/>
        <v>15</v>
      </c>
      <c r="W57" s="46">
        <f t="shared" si="11"/>
        <v>0</v>
      </c>
      <c r="X57" s="46">
        <f t="shared" si="12"/>
        <v>17</v>
      </c>
      <c r="Y57" s="46">
        <f t="shared" si="13"/>
        <v>5</v>
      </c>
      <c r="Z57" s="46">
        <f t="shared" si="14"/>
        <v>17</v>
      </c>
      <c r="AA57" s="46">
        <f t="shared" si="15"/>
        <v>15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203" t="s">
        <v>101</v>
      </c>
      <c r="AL57" s="203">
        <v>0</v>
      </c>
      <c r="AM57" s="203">
        <v>10</v>
      </c>
      <c r="AN57" s="203">
        <v>10</v>
      </c>
      <c r="AO57" s="203">
        <v>10</v>
      </c>
      <c r="AP57" s="203">
        <v>10</v>
      </c>
      <c r="AQ57" s="203">
        <v>0</v>
      </c>
      <c r="AR57" s="203">
        <v>0</v>
      </c>
      <c r="AS57" s="200">
        <v>24</v>
      </c>
    </row>
    <row r="58" spans="2:45" ht="16.5" customHeight="1">
      <c r="B58" s="213" t="s">
        <v>95</v>
      </c>
      <c r="C58" s="208">
        <v>10</v>
      </c>
      <c r="L58" s="19">
        <v>54</v>
      </c>
      <c r="M58" s="47" t="s">
        <v>34</v>
      </c>
      <c r="N58" s="47" t="s">
        <v>252</v>
      </c>
      <c r="O58" s="47" t="s">
        <v>39</v>
      </c>
      <c r="P58" s="47" t="s">
        <v>65</v>
      </c>
      <c r="Q58" s="47" t="s">
        <v>35</v>
      </c>
      <c r="R58" s="47" t="s">
        <v>40</v>
      </c>
      <c r="S58" s="33" t="s">
        <v>35</v>
      </c>
      <c r="U58" s="46">
        <f t="shared" si="9"/>
        <v>16</v>
      </c>
      <c r="V58" s="46">
        <f t="shared" si="10"/>
        <v>0</v>
      </c>
      <c r="W58" s="46">
        <f t="shared" si="11"/>
        <v>5</v>
      </c>
      <c r="X58" s="46">
        <f t="shared" si="12"/>
        <v>17</v>
      </c>
      <c r="Y58" s="46">
        <f t="shared" si="13"/>
        <v>15</v>
      </c>
      <c r="Z58" s="46">
        <f t="shared" si="14"/>
        <v>12</v>
      </c>
      <c r="AA58" s="46">
        <f t="shared" si="15"/>
        <v>15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2</v>
      </c>
      <c r="AK58" s="203" t="s">
        <v>269</v>
      </c>
      <c r="AL58" s="203">
        <v>0</v>
      </c>
      <c r="AM58" s="203">
        <v>1</v>
      </c>
      <c r="AN58" s="203">
        <v>1</v>
      </c>
      <c r="AO58" s="203">
        <v>1</v>
      </c>
      <c r="AP58" s="203">
        <v>1</v>
      </c>
      <c r="AQ58" s="203">
        <v>0</v>
      </c>
      <c r="AR58" s="203">
        <v>0</v>
      </c>
      <c r="AS58" s="200">
        <v>25</v>
      </c>
    </row>
    <row r="59" spans="2:45" ht="16.5" customHeight="1">
      <c r="B59" s="213" t="s">
        <v>96</v>
      </c>
      <c r="C59" s="208">
        <v>10</v>
      </c>
      <c r="L59" s="18">
        <v>55</v>
      </c>
      <c r="M59" s="47" t="s">
        <v>34</v>
      </c>
      <c r="N59" s="47" t="s">
        <v>248</v>
      </c>
      <c r="O59" s="47" t="s">
        <v>39</v>
      </c>
      <c r="P59" s="47" t="s">
        <v>25</v>
      </c>
      <c r="Q59" s="47" t="s">
        <v>35</v>
      </c>
      <c r="R59" s="47" t="s">
        <v>40</v>
      </c>
      <c r="S59" s="33" t="s">
        <v>25</v>
      </c>
      <c r="U59" s="46">
        <f t="shared" si="9"/>
        <v>16</v>
      </c>
      <c r="V59" s="46">
        <f t="shared" si="10"/>
        <v>0</v>
      </c>
      <c r="W59" s="46">
        <f t="shared" si="11"/>
        <v>5</v>
      </c>
      <c r="X59" s="46">
        <f t="shared" si="12"/>
        <v>5</v>
      </c>
      <c r="Y59" s="46">
        <f t="shared" si="13"/>
        <v>15</v>
      </c>
      <c r="Z59" s="46">
        <f t="shared" si="14"/>
        <v>12</v>
      </c>
      <c r="AA59" s="46">
        <f t="shared" si="15"/>
        <v>5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209">
        <v>10</v>
      </c>
      <c r="L60" s="19">
        <v>56</v>
      </c>
      <c r="M60" s="47" t="s">
        <v>38</v>
      </c>
      <c r="N60" s="47" t="s">
        <v>37</v>
      </c>
      <c r="O60" s="47" t="s">
        <v>39</v>
      </c>
      <c r="P60" s="47" t="s">
        <v>25</v>
      </c>
      <c r="Q60" s="47" t="s">
        <v>39</v>
      </c>
      <c r="R60" s="47" t="s">
        <v>40</v>
      </c>
      <c r="S60" s="33" t="s">
        <v>65</v>
      </c>
      <c r="U60" s="46">
        <f t="shared" si="9"/>
        <v>15</v>
      </c>
      <c r="V60" s="46">
        <f t="shared" si="10"/>
        <v>13</v>
      </c>
      <c r="W60" s="46">
        <f t="shared" si="11"/>
        <v>5</v>
      </c>
      <c r="X60" s="46">
        <f t="shared" si="12"/>
        <v>5</v>
      </c>
      <c r="Y60" s="46">
        <f t="shared" si="13"/>
        <v>5</v>
      </c>
      <c r="Z60" s="46">
        <f t="shared" si="14"/>
        <v>12</v>
      </c>
      <c r="AA60" s="46">
        <f t="shared" si="15"/>
        <v>17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272</v>
      </c>
    </row>
    <row r="61" spans="2:45">
      <c r="B61" s="5" t="s">
        <v>38</v>
      </c>
      <c r="C61" s="209">
        <v>10</v>
      </c>
      <c r="L61" s="18">
        <v>57</v>
      </c>
      <c r="M61" s="47" t="s">
        <v>40</v>
      </c>
      <c r="N61" s="47" t="s">
        <v>37</v>
      </c>
      <c r="O61" s="47" t="s">
        <v>90</v>
      </c>
      <c r="P61" s="47" t="s">
        <v>25</v>
      </c>
      <c r="Q61" s="47" t="s">
        <v>35</v>
      </c>
      <c r="R61" s="47" t="s">
        <v>25</v>
      </c>
      <c r="S61" s="33" t="s">
        <v>65</v>
      </c>
      <c r="U61" s="46">
        <f t="shared" si="9"/>
        <v>12</v>
      </c>
      <c r="V61" s="46">
        <f t="shared" si="10"/>
        <v>13</v>
      </c>
      <c r="W61" s="46">
        <f t="shared" si="11"/>
        <v>6</v>
      </c>
      <c r="X61" s="46">
        <f t="shared" si="12"/>
        <v>5</v>
      </c>
      <c r="Y61" s="46">
        <f t="shared" si="13"/>
        <v>15</v>
      </c>
      <c r="Z61" s="46">
        <f t="shared" si="14"/>
        <v>5</v>
      </c>
      <c r="AA61" s="46">
        <f t="shared" si="15"/>
        <v>17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277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209">
        <v>10</v>
      </c>
      <c r="L62" s="19">
        <v>58</v>
      </c>
      <c r="M62" s="47" t="s">
        <v>90</v>
      </c>
      <c r="N62" s="47" t="s">
        <v>65</v>
      </c>
      <c r="O62" s="47" t="s">
        <v>90</v>
      </c>
      <c r="P62" s="47" t="s">
        <v>90</v>
      </c>
      <c r="Q62" s="47" t="s">
        <v>39</v>
      </c>
      <c r="R62" s="47" t="s">
        <v>65</v>
      </c>
      <c r="S62" s="33" t="s">
        <v>39</v>
      </c>
      <c r="U62" s="46">
        <f t="shared" si="9"/>
        <v>6</v>
      </c>
      <c r="V62" s="46">
        <f t="shared" si="10"/>
        <v>17</v>
      </c>
      <c r="W62" s="46">
        <f t="shared" si="11"/>
        <v>6</v>
      </c>
      <c r="X62" s="46">
        <f t="shared" si="12"/>
        <v>6</v>
      </c>
      <c r="Y62" s="46">
        <f t="shared" si="13"/>
        <v>5</v>
      </c>
      <c r="Z62" s="46">
        <f t="shared" si="14"/>
        <v>17</v>
      </c>
      <c r="AA62" s="46">
        <f t="shared" si="15"/>
        <v>5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209">
        <v>10</v>
      </c>
      <c r="L63" s="18">
        <v>59</v>
      </c>
      <c r="M63" s="47" t="s">
        <v>90</v>
      </c>
      <c r="N63" s="47" t="s">
        <v>254</v>
      </c>
      <c r="O63" s="47" t="s">
        <v>37</v>
      </c>
      <c r="P63" s="47" t="s">
        <v>90</v>
      </c>
      <c r="Q63" s="47" t="s">
        <v>40</v>
      </c>
      <c r="R63" s="47" t="s">
        <v>65</v>
      </c>
      <c r="S63" s="47" t="s">
        <v>38</v>
      </c>
      <c r="U63" s="46">
        <f t="shared" si="9"/>
        <v>6</v>
      </c>
      <c r="V63" s="46">
        <f t="shared" si="10"/>
        <v>0</v>
      </c>
      <c r="W63" s="46">
        <f t="shared" si="11"/>
        <v>13</v>
      </c>
      <c r="X63" s="46">
        <f t="shared" si="12"/>
        <v>6</v>
      </c>
      <c r="Y63" s="46">
        <f t="shared" si="13"/>
        <v>12</v>
      </c>
      <c r="Z63" s="46">
        <f t="shared" si="14"/>
        <v>17</v>
      </c>
      <c r="AA63" s="46">
        <f t="shared" si="15"/>
        <v>15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0</v>
      </c>
      <c r="AM63" s="46">
        <v>0</v>
      </c>
      <c r="AN63" s="46">
        <v>0</v>
      </c>
      <c r="AO63" s="46">
        <v>0</v>
      </c>
      <c r="AP63" s="46">
        <v>0</v>
      </c>
      <c r="AQ63" s="46">
        <v>0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39</v>
      </c>
      <c r="N64" s="47" t="s">
        <v>40</v>
      </c>
      <c r="O64" s="47" t="s">
        <v>65</v>
      </c>
      <c r="P64" s="47" t="s">
        <v>25</v>
      </c>
      <c r="Q64" s="47" t="s">
        <v>40</v>
      </c>
      <c r="R64" s="47" t="s">
        <v>25</v>
      </c>
      <c r="S64" s="33" t="s">
        <v>38</v>
      </c>
      <c r="U64" s="46">
        <f t="shared" si="9"/>
        <v>5</v>
      </c>
      <c r="V64" s="46">
        <f t="shared" si="10"/>
        <v>12</v>
      </c>
      <c r="W64" s="46">
        <f t="shared" si="11"/>
        <v>17</v>
      </c>
      <c r="X64" s="46">
        <f t="shared" si="12"/>
        <v>5</v>
      </c>
      <c r="Y64" s="46">
        <f t="shared" si="13"/>
        <v>12</v>
      </c>
      <c r="Z64" s="46">
        <f t="shared" si="14"/>
        <v>5</v>
      </c>
      <c r="AA64" s="46">
        <f t="shared" si="15"/>
        <v>15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203" t="s">
        <v>20</v>
      </c>
      <c r="AL64" s="203">
        <v>6</v>
      </c>
      <c r="AM64" s="203">
        <v>6</v>
      </c>
      <c r="AN64" s="203">
        <v>6</v>
      </c>
      <c r="AO64" s="203">
        <v>6</v>
      </c>
      <c r="AP64" s="203">
        <v>6</v>
      </c>
      <c r="AQ64" s="203">
        <v>6</v>
      </c>
      <c r="AR64" s="203">
        <v>4</v>
      </c>
      <c r="AS64" s="200">
        <v>2</v>
      </c>
    </row>
    <row r="65" spans="2:45" ht="16.5" customHeight="1">
      <c r="L65" s="18">
        <v>61</v>
      </c>
      <c r="M65" s="47" t="s">
        <v>25</v>
      </c>
      <c r="N65" s="47" t="s">
        <v>40</v>
      </c>
      <c r="O65" s="47" t="s">
        <v>65</v>
      </c>
      <c r="P65" s="47" t="s">
        <v>38</v>
      </c>
      <c r="Q65" s="47" t="s">
        <v>90</v>
      </c>
      <c r="R65" s="47" t="s">
        <v>25</v>
      </c>
      <c r="S65" s="33" t="s">
        <v>38</v>
      </c>
      <c r="U65" s="46">
        <f t="shared" si="9"/>
        <v>5</v>
      </c>
      <c r="V65" s="46">
        <f t="shared" si="10"/>
        <v>12</v>
      </c>
      <c r="W65" s="46">
        <f t="shared" si="11"/>
        <v>17</v>
      </c>
      <c r="X65" s="46">
        <f t="shared" si="12"/>
        <v>15</v>
      </c>
      <c r="Y65" s="46">
        <f t="shared" si="13"/>
        <v>6</v>
      </c>
      <c r="Z65" s="46">
        <f t="shared" si="14"/>
        <v>5</v>
      </c>
      <c r="AA65" s="46">
        <f t="shared" si="15"/>
        <v>15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203" t="s">
        <v>21</v>
      </c>
      <c r="AL65" s="203">
        <v>10</v>
      </c>
      <c r="AM65" s="203">
        <v>13</v>
      </c>
      <c r="AN65" s="203">
        <v>10</v>
      </c>
      <c r="AO65" s="203">
        <v>5</v>
      </c>
      <c r="AP65" s="203">
        <v>20</v>
      </c>
      <c r="AQ65" s="203">
        <v>5</v>
      </c>
      <c r="AR65" s="203">
        <v>10</v>
      </c>
      <c r="AS65" s="200">
        <v>3</v>
      </c>
    </row>
    <row r="66" spans="2:45" ht="16.5" customHeight="1">
      <c r="B66" s="214" t="s">
        <v>102</v>
      </c>
      <c r="C66" s="211" t="s">
        <v>271</v>
      </c>
      <c r="L66" s="19">
        <v>62</v>
      </c>
      <c r="M66" s="47" t="s">
        <v>25</v>
      </c>
      <c r="N66" s="47" t="s">
        <v>37</v>
      </c>
      <c r="O66" s="47" t="s">
        <v>40</v>
      </c>
      <c r="P66" s="47" t="s">
        <v>40</v>
      </c>
      <c r="Q66" s="47" t="s">
        <v>90</v>
      </c>
      <c r="R66" s="47" t="s">
        <v>38</v>
      </c>
      <c r="S66" s="33" t="s">
        <v>39</v>
      </c>
      <c r="U66" s="46">
        <f t="shared" si="9"/>
        <v>5</v>
      </c>
      <c r="V66" s="46">
        <f t="shared" si="10"/>
        <v>13</v>
      </c>
      <c r="W66" s="46">
        <f t="shared" si="11"/>
        <v>12</v>
      </c>
      <c r="X66" s="46">
        <f t="shared" si="12"/>
        <v>12</v>
      </c>
      <c r="Y66" s="46">
        <f t="shared" si="13"/>
        <v>6</v>
      </c>
      <c r="Z66" s="46">
        <f t="shared" si="14"/>
        <v>15</v>
      </c>
      <c r="AA66" s="46">
        <f t="shared" si="15"/>
        <v>5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203" t="s">
        <v>17</v>
      </c>
      <c r="AL66" s="203">
        <v>12</v>
      </c>
      <c r="AM66" s="203">
        <v>10</v>
      </c>
      <c r="AN66" s="203">
        <v>15</v>
      </c>
      <c r="AO66" s="203">
        <v>5</v>
      </c>
      <c r="AP66" s="203">
        <v>18</v>
      </c>
      <c r="AQ66" s="203">
        <v>20</v>
      </c>
      <c r="AR66" s="203">
        <v>10</v>
      </c>
      <c r="AS66" s="200">
        <v>4</v>
      </c>
    </row>
    <row r="67" spans="2:45" ht="16.5" customHeight="1">
      <c r="B67" s="212">
        <v>0</v>
      </c>
      <c r="C67" s="210">
        <v>1000</v>
      </c>
      <c r="L67" s="18">
        <v>63</v>
      </c>
      <c r="M67" s="47" t="s">
        <v>101</v>
      </c>
      <c r="N67" s="47" t="s">
        <v>101</v>
      </c>
      <c r="O67" s="47" t="s">
        <v>101</v>
      </c>
      <c r="P67" s="47" t="s">
        <v>101</v>
      </c>
      <c r="Q67" s="47" t="s">
        <v>101</v>
      </c>
      <c r="R67" s="47" t="s">
        <v>101</v>
      </c>
      <c r="S67" s="33" t="s">
        <v>101</v>
      </c>
      <c r="U67" s="46">
        <f t="shared" si="9"/>
        <v>2</v>
      </c>
      <c r="V67" s="46">
        <f t="shared" si="10"/>
        <v>2</v>
      </c>
      <c r="W67" s="46">
        <f t="shared" si="11"/>
        <v>2</v>
      </c>
      <c r="X67" s="46">
        <f t="shared" si="12"/>
        <v>2</v>
      </c>
      <c r="Y67" s="46">
        <f t="shared" si="13"/>
        <v>2</v>
      </c>
      <c r="Z67" s="46">
        <f t="shared" si="14"/>
        <v>2</v>
      </c>
      <c r="AA67" s="46">
        <f t="shared" si="15"/>
        <v>2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203" t="s">
        <v>18</v>
      </c>
      <c r="AL67" s="203">
        <v>10</v>
      </c>
      <c r="AM67" s="203">
        <v>20</v>
      </c>
      <c r="AN67" s="203">
        <v>20</v>
      </c>
      <c r="AO67" s="203">
        <v>20</v>
      </c>
      <c r="AP67" s="203">
        <v>10</v>
      </c>
      <c r="AQ67" s="203">
        <v>20</v>
      </c>
      <c r="AR67" s="203">
        <v>10</v>
      </c>
      <c r="AS67" s="200">
        <v>5</v>
      </c>
    </row>
    <row r="68" spans="2:45" ht="16.5" customHeight="1">
      <c r="B68" s="213">
        <v>1</v>
      </c>
      <c r="C68" s="208">
        <v>50</v>
      </c>
      <c r="L68" s="19">
        <v>64</v>
      </c>
      <c r="M68" s="47" t="s">
        <v>101</v>
      </c>
      <c r="N68" s="47" t="s">
        <v>101</v>
      </c>
      <c r="O68" s="47" t="s">
        <v>101</v>
      </c>
      <c r="P68" s="47" t="s">
        <v>101</v>
      </c>
      <c r="Q68" s="47" t="s">
        <v>101</v>
      </c>
      <c r="R68" s="47" t="s">
        <v>101</v>
      </c>
      <c r="S68" s="33" t="s">
        <v>101</v>
      </c>
      <c r="U68" s="46">
        <f t="shared" si="9"/>
        <v>2</v>
      </c>
      <c r="V68" s="46">
        <f t="shared" si="10"/>
        <v>2</v>
      </c>
      <c r="W68" s="46">
        <f t="shared" si="11"/>
        <v>2</v>
      </c>
      <c r="X68" s="46">
        <f t="shared" si="12"/>
        <v>2</v>
      </c>
      <c r="Y68" s="46">
        <f t="shared" si="13"/>
        <v>2</v>
      </c>
      <c r="Z68" s="46">
        <f t="shared" si="14"/>
        <v>2</v>
      </c>
      <c r="AA68" s="46">
        <f t="shared" si="15"/>
        <v>2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203" t="s">
        <v>64</v>
      </c>
      <c r="AL68" s="203">
        <v>50</v>
      </c>
      <c r="AM68" s="203">
        <v>50</v>
      </c>
      <c r="AN68" s="203">
        <v>50</v>
      </c>
      <c r="AO68" s="203">
        <v>50</v>
      </c>
      <c r="AP68" s="203">
        <v>50</v>
      </c>
      <c r="AQ68" s="203">
        <v>50</v>
      </c>
      <c r="AR68" s="203">
        <v>10</v>
      </c>
      <c r="AS68" s="200">
        <v>6</v>
      </c>
    </row>
    <row r="69" spans="2:45" ht="16.5" customHeight="1">
      <c r="B69" s="213">
        <v>2</v>
      </c>
      <c r="C69" s="208">
        <v>20</v>
      </c>
      <c r="L69" s="18">
        <v>65</v>
      </c>
      <c r="M69" s="47" t="s">
        <v>90</v>
      </c>
      <c r="N69" s="47" t="s">
        <v>65</v>
      </c>
      <c r="O69" s="47" t="s">
        <v>38</v>
      </c>
      <c r="P69" s="47" t="s">
        <v>65</v>
      </c>
      <c r="Q69" s="47" t="s">
        <v>25</v>
      </c>
      <c r="R69" s="47" t="s">
        <v>65</v>
      </c>
      <c r="S69" s="33" t="s">
        <v>38</v>
      </c>
      <c r="U69" s="46">
        <f t="shared" ref="U69:U124" si="17">VLOOKUP(M69, $A$4:$J$29, 9, 0)</f>
        <v>6</v>
      </c>
      <c r="V69" s="46">
        <f t="shared" ref="V69:V124" si="18">VLOOKUP(N69, $A$4:$J$29, 9, 0)</f>
        <v>17</v>
      </c>
      <c r="W69" s="46">
        <f t="shared" ref="W69:W124" si="19">VLOOKUP(O69, $A$4:$J$29, 9, 0)</f>
        <v>15</v>
      </c>
      <c r="X69" s="46">
        <f t="shared" ref="X69:X124" si="20">VLOOKUP(P69, $A$4:$J$29, 9, 0)</f>
        <v>17</v>
      </c>
      <c r="Y69" s="46">
        <f t="shared" ref="Y69:Y124" si="21">VLOOKUP(Q69, $A$4:$J$29, 9, 0)</f>
        <v>5</v>
      </c>
      <c r="Z69" s="46">
        <f t="shared" ref="Z69:Z124" si="22">VLOOKUP(R69, $A$4:$J$29, 9, 0)</f>
        <v>17</v>
      </c>
      <c r="AA69" s="46">
        <f t="shared" ref="AA69:AA124" si="23">VLOOKUP(S69, $A$4:$J$29, 9, 0)</f>
        <v>15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203" t="s">
        <v>89</v>
      </c>
      <c r="AL69" s="203">
        <v>50</v>
      </c>
      <c r="AM69" s="203">
        <v>50</v>
      </c>
      <c r="AN69" s="203">
        <v>50</v>
      </c>
      <c r="AO69" s="203">
        <v>50</v>
      </c>
      <c r="AP69" s="203">
        <v>50</v>
      </c>
      <c r="AQ69" s="203">
        <v>50</v>
      </c>
      <c r="AR69" s="203">
        <v>10</v>
      </c>
      <c r="AS69" s="200">
        <v>7</v>
      </c>
    </row>
    <row r="70" spans="2:45" ht="16.5" customHeight="1">
      <c r="B70" s="213">
        <v>3</v>
      </c>
      <c r="C70" s="208">
        <v>10</v>
      </c>
      <c r="L70" s="19">
        <v>66</v>
      </c>
      <c r="M70" s="47" t="s">
        <v>25</v>
      </c>
      <c r="N70" s="47" t="s">
        <v>38</v>
      </c>
      <c r="O70" s="47" t="s">
        <v>39</v>
      </c>
      <c r="P70" s="47" t="s">
        <v>65</v>
      </c>
      <c r="Q70" s="47" t="s">
        <v>37</v>
      </c>
      <c r="R70" s="47" t="s">
        <v>25</v>
      </c>
      <c r="S70" s="33" t="s">
        <v>38</v>
      </c>
      <c r="U70" s="46">
        <f t="shared" si="17"/>
        <v>5</v>
      </c>
      <c r="V70" s="46">
        <f t="shared" si="18"/>
        <v>15</v>
      </c>
      <c r="W70" s="46">
        <f t="shared" si="19"/>
        <v>5</v>
      </c>
      <c r="X70" s="46">
        <f t="shared" si="20"/>
        <v>17</v>
      </c>
      <c r="Y70" s="46">
        <f t="shared" si="21"/>
        <v>13</v>
      </c>
      <c r="Z70" s="46">
        <f t="shared" si="22"/>
        <v>5</v>
      </c>
      <c r="AA70" s="46">
        <f t="shared" si="23"/>
        <v>15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10</v>
      </c>
      <c r="AM70" s="46">
        <v>10</v>
      </c>
      <c r="AN70" s="46">
        <v>40</v>
      </c>
      <c r="AO70" s="46">
        <v>1</v>
      </c>
      <c r="AP70" s="46">
        <v>40</v>
      </c>
      <c r="AQ70" s="46">
        <v>1</v>
      </c>
      <c r="AR70" s="46">
        <v>10</v>
      </c>
      <c r="AS70" s="5">
        <v>8</v>
      </c>
    </row>
    <row r="71" spans="2:45" ht="16.5" customHeight="1">
      <c r="B71" s="213">
        <v>4</v>
      </c>
      <c r="C71" s="208">
        <v>1</v>
      </c>
      <c r="L71" s="18">
        <v>67</v>
      </c>
      <c r="M71" s="47" t="s">
        <v>37</v>
      </c>
      <c r="N71" s="47" t="s">
        <v>268</v>
      </c>
      <c r="O71" s="47" t="s">
        <v>268</v>
      </c>
      <c r="P71" s="47" t="s">
        <v>268</v>
      </c>
      <c r="Q71" s="47" t="s">
        <v>268</v>
      </c>
      <c r="R71" s="47" t="s">
        <v>25</v>
      </c>
      <c r="S71" s="33" t="s">
        <v>35</v>
      </c>
      <c r="U71" s="46">
        <f t="shared" si="17"/>
        <v>13</v>
      </c>
      <c r="V71" s="46">
        <f t="shared" si="18"/>
        <v>0</v>
      </c>
      <c r="W71" s="46">
        <f t="shared" si="19"/>
        <v>0</v>
      </c>
      <c r="X71" s="46">
        <f t="shared" si="20"/>
        <v>0</v>
      </c>
      <c r="Y71" s="46">
        <f t="shared" si="21"/>
        <v>0</v>
      </c>
      <c r="Z71" s="46">
        <f t="shared" si="22"/>
        <v>5</v>
      </c>
      <c r="AA71" s="46">
        <f t="shared" si="23"/>
        <v>15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40</v>
      </c>
      <c r="AM71" s="46">
        <v>8</v>
      </c>
      <c r="AN71" s="46">
        <v>25</v>
      </c>
      <c r="AO71" s="46">
        <v>10</v>
      </c>
      <c r="AP71" s="46">
        <v>1</v>
      </c>
      <c r="AQ71" s="46">
        <v>40</v>
      </c>
      <c r="AR71" s="46">
        <v>10</v>
      </c>
      <c r="AS71" s="5">
        <v>9</v>
      </c>
    </row>
    <row r="72" spans="2:45" ht="16.5" customHeight="1">
      <c r="B72" s="213">
        <v>5</v>
      </c>
      <c r="C72" s="208">
        <v>0</v>
      </c>
      <c r="L72" s="19">
        <v>68</v>
      </c>
      <c r="M72" s="47" t="s">
        <v>37</v>
      </c>
      <c r="N72" s="47" t="s">
        <v>40</v>
      </c>
      <c r="O72" s="47" t="s">
        <v>25</v>
      </c>
      <c r="P72" s="47" t="s">
        <v>39</v>
      </c>
      <c r="Q72" s="47" t="s">
        <v>34</v>
      </c>
      <c r="R72" s="47" t="s">
        <v>65</v>
      </c>
      <c r="S72" s="33" t="s">
        <v>35</v>
      </c>
      <c r="U72" s="46">
        <f t="shared" si="17"/>
        <v>13</v>
      </c>
      <c r="V72" s="46">
        <f t="shared" si="18"/>
        <v>12</v>
      </c>
      <c r="W72" s="46">
        <f t="shared" si="19"/>
        <v>5</v>
      </c>
      <c r="X72" s="46">
        <f t="shared" si="20"/>
        <v>5</v>
      </c>
      <c r="Y72" s="46">
        <f t="shared" si="21"/>
        <v>16</v>
      </c>
      <c r="Z72" s="46">
        <f t="shared" si="22"/>
        <v>17</v>
      </c>
      <c r="AA72" s="46">
        <f t="shared" si="23"/>
        <v>15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10</v>
      </c>
      <c r="AM72" s="46">
        <v>30</v>
      </c>
      <c r="AN72" s="46">
        <v>30</v>
      </c>
      <c r="AO72" s="46">
        <v>10</v>
      </c>
      <c r="AP72" s="46">
        <v>40</v>
      </c>
      <c r="AQ72" s="46">
        <v>1</v>
      </c>
      <c r="AR72" s="46">
        <v>10</v>
      </c>
      <c r="AS72" s="5">
        <v>10</v>
      </c>
    </row>
    <row r="73" spans="2:45" ht="16.5" customHeight="1">
      <c r="B73" s="213">
        <v>6</v>
      </c>
      <c r="C73" s="208">
        <v>0</v>
      </c>
      <c r="L73" s="18">
        <v>69</v>
      </c>
      <c r="M73" s="47" t="s">
        <v>40</v>
      </c>
      <c r="N73" s="47" t="s">
        <v>65</v>
      </c>
      <c r="O73" s="47" t="s">
        <v>25</v>
      </c>
      <c r="P73" s="47" t="s">
        <v>25</v>
      </c>
      <c r="Q73" s="47" t="s">
        <v>39</v>
      </c>
      <c r="R73" s="47" t="s">
        <v>25</v>
      </c>
      <c r="S73" s="33" t="s">
        <v>35</v>
      </c>
      <c r="U73" s="46">
        <f t="shared" si="17"/>
        <v>12</v>
      </c>
      <c r="V73" s="46">
        <f t="shared" si="18"/>
        <v>17</v>
      </c>
      <c r="W73" s="46">
        <f t="shared" si="19"/>
        <v>5</v>
      </c>
      <c r="X73" s="46">
        <f t="shared" si="20"/>
        <v>5</v>
      </c>
      <c r="Y73" s="46">
        <f t="shared" si="21"/>
        <v>5</v>
      </c>
      <c r="Z73" s="46">
        <f t="shared" si="22"/>
        <v>5</v>
      </c>
      <c r="AA73" s="46">
        <f t="shared" si="23"/>
        <v>15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40</v>
      </c>
      <c r="AM73" s="46">
        <v>30</v>
      </c>
      <c r="AN73" s="46">
        <v>30</v>
      </c>
      <c r="AO73" s="46">
        <v>1</v>
      </c>
      <c r="AP73" s="46">
        <v>1</v>
      </c>
      <c r="AQ73" s="46">
        <v>1</v>
      </c>
      <c r="AR73" s="46">
        <v>10</v>
      </c>
      <c r="AS73" s="5">
        <v>11</v>
      </c>
    </row>
    <row r="74" spans="2:45" ht="16.5" customHeight="1">
      <c r="B74" s="213">
        <v>7</v>
      </c>
      <c r="C74" s="208">
        <v>0</v>
      </c>
      <c r="L74" s="19">
        <v>70</v>
      </c>
      <c r="M74" s="47" t="s">
        <v>32</v>
      </c>
      <c r="N74" s="47" t="s">
        <v>242</v>
      </c>
      <c r="O74" s="47" t="s">
        <v>35</v>
      </c>
      <c r="P74" s="47" t="s">
        <v>65</v>
      </c>
      <c r="Q74" s="47" t="s">
        <v>35</v>
      </c>
      <c r="R74" s="47" t="s">
        <v>25</v>
      </c>
      <c r="S74" s="33" t="s">
        <v>65</v>
      </c>
      <c r="U74" s="46">
        <f t="shared" si="17"/>
        <v>4</v>
      </c>
      <c r="V74" s="46">
        <f t="shared" si="18"/>
        <v>0</v>
      </c>
      <c r="W74" s="46">
        <f t="shared" si="19"/>
        <v>15</v>
      </c>
      <c r="X74" s="46">
        <f t="shared" si="20"/>
        <v>17</v>
      </c>
      <c r="Y74" s="46">
        <f t="shared" si="21"/>
        <v>15</v>
      </c>
      <c r="Z74" s="46">
        <f t="shared" si="22"/>
        <v>5</v>
      </c>
      <c r="AA74" s="46">
        <f t="shared" si="23"/>
        <v>17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5</v>
      </c>
      <c r="AM74" s="46">
        <v>40</v>
      </c>
      <c r="AN74" s="46">
        <v>20</v>
      </c>
      <c r="AO74" s="46">
        <v>1</v>
      </c>
      <c r="AP74" s="46">
        <v>1</v>
      </c>
      <c r="AQ74" s="46">
        <v>1</v>
      </c>
      <c r="AR74" s="46">
        <v>10</v>
      </c>
      <c r="AS74" s="5">
        <v>12</v>
      </c>
    </row>
    <row r="75" spans="2:45" ht="16.5" customHeight="1">
      <c r="L75" s="18">
        <v>71</v>
      </c>
      <c r="M75" s="47" t="s">
        <v>35</v>
      </c>
      <c r="N75" s="47" t="s">
        <v>38</v>
      </c>
      <c r="O75" s="47" t="s">
        <v>90</v>
      </c>
      <c r="P75" s="47" t="s">
        <v>33</v>
      </c>
      <c r="Q75" s="47" t="s">
        <v>39</v>
      </c>
      <c r="R75" s="47" t="s">
        <v>33</v>
      </c>
      <c r="S75" s="33" t="s">
        <v>65</v>
      </c>
      <c r="U75" s="46">
        <f t="shared" si="17"/>
        <v>15</v>
      </c>
      <c r="V75" s="46">
        <f t="shared" si="18"/>
        <v>15</v>
      </c>
      <c r="W75" s="46">
        <f t="shared" si="19"/>
        <v>6</v>
      </c>
      <c r="X75" s="46">
        <f t="shared" si="20"/>
        <v>11</v>
      </c>
      <c r="Y75" s="46">
        <f t="shared" si="21"/>
        <v>5</v>
      </c>
      <c r="Z75" s="46">
        <f t="shared" si="22"/>
        <v>11</v>
      </c>
      <c r="AA75" s="46">
        <f t="shared" si="23"/>
        <v>17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203" t="s">
        <v>234</v>
      </c>
      <c r="AL75" s="203">
        <v>0</v>
      </c>
      <c r="AM75" s="203">
        <v>1</v>
      </c>
      <c r="AN75" s="203">
        <v>1</v>
      </c>
      <c r="AO75" s="203">
        <v>1</v>
      </c>
      <c r="AP75" s="203">
        <v>1</v>
      </c>
      <c r="AQ75" s="203">
        <v>0</v>
      </c>
      <c r="AR75" s="203">
        <v>0</v>
      </c>
      <c r="AS75" s="200">
        <v>13</v>
      </c>
    </row>
    <row r="76" spans="2:45" ht="16.5" customHeight="1">
      <c r="L76" s="19">
        <v>72</v>
      </c>
      <c r="M76" s="47" t="s">
        <v>39</v>
      </c>
      <c r="N76" s="47" t="s">
        <v>35</v>
      </c>
      <c r="O76" s="47" t="s">
        <v>90</v>
      </c>
      <c r="P76" s="47" t="s">
        <v>35</v>
      </c>
      <c r="Q76" s="47" t="s">
        <v>39</v>
      </c>
      <c r="R76" s="47" t="s">
        <v>34</v>
      </c>
      <c r="S76" s="33" t="s">
        <v>65</v>
      </c>
      <c r="U76" s="46">
        <f t="shared" si="17"/>
        <v>5</v>
      </c>
      <c r="V76" s="46">
        <f t="shared" si="18"/>
        <v>15</v>
      </c>
      <c r="W76" s="46">
        <f t="shared" si="19"/>
        <v>6</v>
      </c>
      <c r="X76" s="46">
        <f t="shared" si="20"/>
        <v>15</v>
      </c>
      <c r="Y76" s="46">
        <f t="shared" si="21"/>
        <v>5</v>
      </c>
      <c r="Z76" s="46">
        <f t="shared" si="22"/>
        <v>16</v>
      </c>
      <c r="AA76" s="46">
        <f t="shared" si="23"/>
        <v>17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203" t="s">
        <v>236</v>
      </c>
      <c r="AL76" s="203">
        <v>0</v>
      </c>
      <c r="AM76" s="203">
        <v>4</v>
      </c>
      <c r="AN76" s="203">
        <v>4</v>
      </c>
      <c r="AO76" s="203">
        <v>2</v>
      </c>
      <c r="AP76" s="203">
        <v>2</v>
      </c>
      <c r="AQ76" s="203">
        <v>0</v>
      </c>
      <c r="AR76" s="203">
        <v>0</v>
      </c>
      <c r="AS76" s="200">
        <v>14</v>
      </c>
    </row>
    <row r="77" spans="2:45" ht="16.5" customHeight="1">
      <c r="L77" s="18">
        <v>73</v>
      </c>
      <c r="M77" s="47" t="s">
        <v>39</v>
      </c>
      <c r="N77" s="47" t="s">
        <v>90</v>
      </c>
      <c r="O77" s="47" t="s">
        <v>90</v>
      </c>
      <c r="P77" s="47" t="s">
        <v>32</v>
      </c>
      <c r="Q77" s="47" t="s">
        <v>248</v>
      </c>
      <c r="R77" s="47" t="s">
        <v>25</v>
      </c>
      <c r="S77" s="33" t="s">
        <v>37</v>
      </c>
      <c r="U77" s="46">
        <f t="shared" si="17"/>
        <v>5</v>
      </c>
      <c r="V77" s="46">
        <f t="shared" si="18"/>
        <v>6</v>
      </c>
      <c r="W77" s="46">
        <f t="shared" si="19"/>
        <v>6</v>
      </c>
      <c r="X77" s="46">
        <f t="shared" si="20"/>
        <v>4</v>
      </c>
      <c r="Y77" s="46">
        <f t="shared" si="21"/>
        <v>0</v>
      </c>
      <c r="Z77" s="46">
        <f t="shared" si="22"/>
        <v>5</v>
      </c>
      <c r="AA77" s="46">
        <f t="shared" si="23"/>
        <v>13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203" t="s">
        <v>238</v>
      </c>
      <c r="AL77" s="203">
        <v>0</v>
      </c>
      <c r="AM77" s="203">
        <v>5</v>
      </c>
      <c r="AN77" s="203">
        <v>5</v>
      </c>
      <c r="AO77" s="203">
        <v>2</v>
      </c>
      <c r="AP77" s="203">
        <v>2</v>
      </c>
      <c r="AQ77" s="203">
        <v>0</v>
      </c>
      <c r="AR77" s="203">
        <v>0</v>
      </c>
      <c r="AS77" s="200">
        <v>15</v>
      </c>
    </row>
    <row r="78" spans="2:45" ht="16.5" customHeight="1">
      <c r="L78" s="19">
        <v>74</v>
      </c>
      <c r="M78" s="47" t="s">
        <v>65</v>
      </c>
      <c r="N78" s="47" t="s">
        <v>25</v>
      </c>
      <c r="O78" s="47" t="s">
        <v>39</v>
      </c>
      <c r="P78" s="47" t="s">
        <v>65</v>
      </c>
      <c r="Q78" s="47" t="s">
        <v>37</v>
      </c>
      <c r="R78" s="47" t="s">
        <v>25</v>
      </c>
      <c r="S78" s="33" t="s">
        <v>34</v>
      </c>
      <c r="U78" s="46">
        <f t="shared" si="17"/>
        <v>17</v>
      </c>
      <c r="V78" s="46">
        <f t="shared" si="18"/>
        <v>5</v>
      </c>
      <c r="W78" s="46">
        <f t="shared" si="19"/>
        <v>5</v>
      </c>
      <c r="X78" s="46">
        <f t="shared" si="20"/>
        <v>17</v>
      </c>
      <c r="Y78" s="46">
        <f t="shared" si="21"/>
        <v>13</v>
      </c>
      <c r="Z78" s="46">
        <f t="shared" si="22"/>
        <v>5</v>
      </c>
      <c r="AA78" s="46">
        <f t="shared" si="23"/>
        <v>16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203" t="s">
        <v>240</v>
      </c>
      <c r="AL78" s="203">
        <v>0</v>
      </c>
      <c r="AM78" s="203">
        <v>5</v>
      </c>
      <c r="AN78" s="203">
        <v>5</v>
      </c>
      <c r="AO78" s="203">
        <v>5</v>
      </c>
      <c r="AP78" s="203">
        <v>8</v>
      </c>
      <c r="AQ78" s="203">
        <v>0</v>
      </c>
      <c r="AR78" s="203">
        <v>0</v>
      </c>
      <c r="AS78" s="200">
        <v>16</v>
      </c>
    </row>
    <row r="79" spans="2:45" ht="16.5" customHeight="1">
      <c r="L79" s="18">
        <v>75</v>
      </c>
      <c r="M79" s="47" t="s">
        <v>25</v>
      </c>
      <c r="N79" s="47" t="s">
        <v>40</v>
      </c>
      <c r="O79" s="47" t="s">
        <v>65</v>
      </c>
      <c r="P79" s="47" t="s">
        <v>90</v>
      </c>
      <c r="Q79" s="47" t="s">
        <v>37</v>
      </c>
      <c r="R79" s="47" t="s">
        <v>65</v>
      </c>
      <c r="S79" s="33" t="s">
        <v>38</v>
      </c>
      <c r="U79" s="46">
        <f t="shared" si="17"/>
        <v>5</v>
      </c>
      <c r="V79" s="46">
        <f t="shared" si="18"/>
        <v>12</v>
      </c>
      <c r="W79" s="46">
        <f t="shared" si="19"/>
        <v>17</v>
      </c>
      <c r="X79" s="46">
        <f t="shared" si="20"/>
        <v>6</v>
      </c>
      <c r="Y79" s="46">
        <f t="shared" si="21"/>
        <v>13</v>
      </c>
      <c r="Z79" s="46">
        <f t="shared" si="22"/>
        <v>17</v>
      </c>
      <c r="AA79" s="46">
        <f t="shared" si="23"/>
        <v>15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203" t="s">
        <v>242</v>
      </c>
      <c r="AL79" s="203">
        <v>0</v>
      </c>
      <c r="AM79" s="203">
        <v>8</v>
      </c>
      <c r="AN79" s="203">
        <v>8</v>
      </c>
      <c r="AO79" s="203">
        <v>5</v>
      </c>
      <c r="AP79" s="203">
        <v>8</v>
      </c>
      <c r="AQ79" s="203">
        <v>0</v>
      </c>
      <c r="AR79" s="203">
        <v>0</v>
      </c>
      <c r="AS79" s="200">
        <v>17</v>
      </c>
    </row>
    <row r="80" spans="2:45">
      <c r="L80" s="19">
        <v>76</v>
      </c>
      <c r="M80" s="47" t="s">
        <v>90</v>
      </c>
      <c r="N80" s="47" t="s">
        <v>40</v>
      </c>
      <c r="O80" s="47" t="s">
        <v>34</v>
      </c>
      <c r="P80" s="47" t="s">
        <v>248</v>
      </c>
      <c r="Q80" s="47" t="s">
        <v>40</v>
      </c>
      <c r="R80" s="47" t="s">
        <v>38</v>
      </c>
      <c r="S80" s="47" t="s">
        <v>38</v>
      </c>
      <c r="U80" s="46">
        <f t="shared" si="17"/>
        <v>6</v>
      </c>
      <c r="V80" s="46">
        <f t="shared" si="18"/>
        <v>12</v>
      </c>
      <c r="W80" s="46">
        <f t="shared" si="19"/>
        <v>16</v>
      </c>
      <c r="X80" s="46">
        <f t="shared" si="20"/>
        <v>0</v>
      </c>
      <c r="Y80" s="46">
        <f t="shared" si="21"/>
        <v>12</v>
      </c>
      <c r="Z80" s="46">
        <f t="shared" si="22"/>
        <v>15</v>
      </c>
      <c r="AA80" s="46">
        <f t="shared" si="23"/>
        <v>15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203" t="s">
        <v>244</v>
      </c>
      <c r="AL80" s="203">
        <v>0</v>
      </c>
      <c r="AM80" s="203">
        <v>5</v>
      </c>
      <c r="AN80" s="203">
        <v>12</v>
      </c>
      <c r="AO80" s="203">
        <v>12</v>
      </c>
      <c r="AP80" s="203">
        <v>5</v>
      </c>
      <c r="AQ80" s="203">
        <v>0</v>
      </c>
      <c r="AR80" s="203">
        <v>0</v>
      </c>
      <c r="AS80" s="200">
        <v>18</v>
      </c>
    </row>
    <row r="81" spans="12:45">
      <c r="L81" s="18">
        <v>77</v>
      </c>
      <c r="M81" s="47" t="s">
        <v>65</v>
      </c>
      <c r="N81" s="47" t="s">
        <v>244</v>
      </c>
      <c r="O81" s="47" t="s">
        <v>34</v>
      </c>
      <c r="P81" s="47" t="s">
        <v>37</v>
      </c>
      <c r="Q81" s="47" t="s">
        <v>40</v>
      </c>
      <c r="R81" s="47" t="s">
        <v>38</v>
      </c>
      <c r="S81" s="33" t="s">
        <v>35</v>
      </c>
      <c r="U81" s="46">
        <f t="shared" si="17"/>
        <v>17</v>
      </c>
      <c r="V81" s="46">
        <f t="shared" si="18"/>
        <v>0</v>
      </c>
      <c r="W81" s="46">
        <f t="shared" si="19"/>
        <v>16</v>
      </c>
      <c r="X81" s="46">
        <f t="shared" si="20"/>
        <v>13</v>
      </c>
      <c r="Y81" s="46">
        <f t="shared" si="21"/>
        <v>12</v>
      </c>
      <c r="Z81" s="46">
        <f t="shared" si="22"/>
        <v>15</v>
      </c>
      <c r="AA81" s="46">
        <f t="shared" si="23"/>
        <v>15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246</v>
      </c>
      <c r="AL81" s="46">
        <v>0</v>
      </c>
      <c r="AM81" s="46">
        <v>6</v>
      </c>
      <c r="AN81" s="46">
        <v>6</v>
      </c>
      <c r="AO81" s="46">
        <v>4</v>
      </c>
      <c r="AP81" s="46">
        <v>6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35</v>
      </c>
      <c r="N82" s="47" t="s">
        <v>65</v>
      </c>
      <c r="O82" s="47" t="s">
        <v>37</v>
      </c>
      <c r="P82" s="47" t="s">
        <v>65</v>
      </c>
      <c r="Q82" s="47" t="s">
        <v>35</v>
      </c>
      <c r="R82" s="47" t="s">
        <v>25</v>
      </c>
      <c r="S82" s="33" t="s">
        <v>38</v>
      </c>
      <c r="U82" s="46">
        <f t="shared" si="17"/>
        <v>15</v>
      </c>
      <c r="V82" s="46">
        <f t="shared" si="18"/>
        <v>17</v>
      </c>
      <c r="W82" s="46">
        <f t="shared" si="19"/>
        <v>13</v>
      </c>
      <c r="X82" s="46">
        <f t="shared" si="20"/>
        <v>17</v>
      </c>
      <c r="Y82" s="46">
        <f t="shared" si="21"/>
        <v>15</v>
      </c>
      <c r="Z82" s="46">
        <f t="shared" si="22"/>
        <v>5</v>
      </c>
      <c r="AA82" s="46">
        <f t="shared" si="23"/>
        <v>15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248</v>
      </c>
      <c r="AL82" s="46">
        <v>0</v>
      </c>
      <c r="AM82" s="46">
        <v>8</v>
      </c>
      <c r="AN82" s="46">
        <v>6</v>
      </c>
      <c r="AO82" s="46">
        <v>4</v>
      </c>
      <c r="AP82" s="46">
        <v>4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37</v>
      </c>
      <c r="N83" s="47" t="s">
        <v>65</v>
      </c>
      <c r="O83" s="47" t="s">
        <v>38</v>
      </c>
      <c r="P83" s="47" t="s">
        <v>250</v>
      </c>
      <c r="Q83" s="47" t="s">
        <v>240</v>
      </c>
      <c r="R83" s="47" t="s">
        <v>25</v>
      </c>
      <c r="S83" s="33" t="s">
        <v>38</v>
      </c>
      <c r="U83" s="46">
        <f t="shared" si="17"/>
        <v>13</v>
      </c>
      <c r="V83" s="46">
        <f t="shared" si="18"/>
        <v>17</v>
      </c>
      <c r="W83" s="46">
        <f t="shared" si="19"/>
        <v>15</v>
      </c>
      <c r="X83" s="46">
        <f t="shared" si="20"/>
        <v>0</v>
      </c>
      <c r="Y83" s="46">
        <f t="shared" si="21"/>
        <v>0</v>
      </c>
      <c r="Z83" s="46">
        <f t="shared" si="22"/>
        <v>5</v>
      </c>
      <c r="AA83" s="46">
        <f t="shared" si="23"/>
        <v>15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250</v>
      </c>
      <c r="AL83" s="46">
        <v>0</v>
      </c>
      <c r="AM83" s="46">
        <v>10</v>
      </c>
      <c r="AN83" s="46">
        <v>6</v>
      </c>
      <c r="AO83" s="46">
        <v>2</v>
      </c>
      <c r="AP83" s="46">
        <v>8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37</v>
      </c>
      <c r="N84" s="47" t="s">
        <v>242</v>
      </c>
      <c r="O84" s="47" t="s">
        <v>248</v>
      </c>
      <c r="P84" s="47" t="s">
        <v>38</v>
      </c>
      <c r="Q84" s="47" t="s">
        <v>37</v>
      </c>
      <c r="R84" s="47" t="s">
        <v>37</v>
      </c>
      <c r="S84" s="33" t="s">
        <v>38</v>
      </c>
      <c r="U84" s="46">
        <f t="shared" si="17"/>
        <v>13</v>
      </c>
      <c r="V84" s="46">
        <f t="shared" si="18"/>
        <v>0</v>
      </c>
      <c r="W84" s="46">
        <f t="shared" si="19"/>
        <v>0</v>
      </c>
      <c r="X84" s="46">
        <f t="shared" si="20"/>
        <v>15</v>
      </c>
      <c r="Y84" s="46">
        <f t="shared" si="21"/>
        <v>13</v>
      </c>
      <c r="Z84" s="46">
        <f t="shared" si="22"/>
        <v>13</v>
      </c>
      <c r="AA84" s="46">
        <f t="shared" si="23"/>
        <v>15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252</v>
      </c>
      <c r="AL84" s="46">
        <v>0</v>
      </c>
      <c r="AM84" s="46">
        <v>5</v>
      </c>
      <c r="AN84" s="46">
        <v>6</v>
      </c>
      <c r="AO84" s="46">
        <v>2</v>
      </c>
      <c r="AP84" s="46">
        <v>4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40</v>
      </c>
      <c r="N85" s="47" t="s">
        <v>25</v>
      </c>
      <c r="O85" s="47" t="s">
        <v>39</v>
      </c>
      <c r="P85" s="47" t="s">
        <v>38</v>
      </c>
      <c r="Q85" s="47" t="s">
        <v>37</v>
      </c>
      <c r="R85" s="47" t="s">
        <v>33</v>
      </c>
      <c r="S85" s="33" t="s">
        <v>33</v>
      </c>
      <c r="U85" s="46">
        <f t="shared" si="17"/>
        <v>12</v>
      </c>
      <c r="V85" s="46">
        <f t="shared" si="18"/>
        <v>5</v>
      </c>
      <c r="W85" s="46">
        <f t="shared" si="19"/>
        <v>5</v>
      </c>
      <c r="X85" s="46">
        <f t="shared" si="20"/>
        <v>15</v>
      </c>
      <c r="Y85" s="46">
        <f t="shared" si="21"/>
        <v>13</v>
      </c>
      <c r="Z85" s="46">
        <f t="shared" si="22"/>
        <v>11</v>
      </c>
      <c r="AA85" s="46">
        <f t="shared" si="23"/>
        <v>11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254</v>
      </c>
      <c r="AL85" s="46">
        <v>0</v>
      </c>
      <c r="AM85" s="46">
        <v>4</v>
      </c>
      <c r="AN85" s="46">
        <v>6</v>
      </c>
      <c r="AO85" s="46">
        <v>2</v>
      </c>
      <c r="AP85" s="46">
        <v>4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40</v>
      </c>
      <c r="N86" s="47" t="s">
        <v>37</v>
      </c>
      <c r="O86" s="47" t="s">
        <v>32</v>
      </c>
      <c r="P86" s="47" t="s">
        <v>25</v>
      </c>
      <c r="Q86" s="47" t="s">
        <v>25</v>
      </c>
      <c r="R86" s="47" t="s">
        <v>33</v>
      </c>
      <c r="S86" s="33" t="s">
        <v>35</v>
      </c>
      <c r="U86" s="46">
        <f t="shared" si="17"/>
        <v>12</v>
      </c>
      <c r="V86" s="46">
        <f t="shared" si="18"/>
        <v>13</v>
      </c>
      <c r="W86" s="46">
        <f t="shared" si="19"/>
        <v>4</v>
      </c>
      <c r="X86" s="46">
        <f t="shared" si="20"/>
        <v>5</v>
      </c>
      <c r="Y86" s="46">
        <f t="shared" si="21"/>
        <v>5</v>
      </c>
      <c r="Z86" s="46">
        <f t="shared" si="22"/>
        <v>11</v>
      </c>
      <c r="AA86" s="46">
        <f t="shared" si="23"/>
        <v>15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203" t="s">
        <v>101</v>
      </c>
      <c r="AL86" s="203">
        <v>0</v>
      </c>
      <c r="AM86" s="203">
        <v>5</v>
      </c>
      <c r="AN86" s="203">
        <v>5</v>
      </c>
      <c r="AO86" s="203">
        <v>5</v>
      </c>
      <c r="AP86" s="203">
        <v>5</v>
      </c>
      <c r="AQ86" s="203">
        <v>0</v>
      </c>
      <c r="AR86" s="203">
        <v>0</v>
      </c>
      <c r="AS86" s="200">
        <v>24</v>
      </c>
    </row>
    <row r="87" spans="12:45">
      <c r="L87" s="18">
        <v>83</v>
      </c>
      <c r="M87" s="47" t="s">
        <v>37</v>
      </c>
      <c r="N87" s="47" t="s">
        <v>35</v>
      </c>
      <c r="O87" s="47" t="s">
        <v>32</v>
      </c>
      <c r="P87" s="47" t="s">
        <v>38</v>
      </c>
      <c r="Q87" s="47" t="s">
        <v>90</v>
      </c>
      <c r="R87" s="47" t="s">
        <v>65</v>
      </c>
      <c r="S87" s="33" t="s">
        <v>33</v>
      </c>
      <c r="U87" s="46">
        <f t="shared" si="17"/>
        <v>13</v>
      </c>
      <c r="V87" s="46">
        <f t="shared" si="18"/>
        <v>15</v>
      </c>
      <c r="W87" s="46">
        <f t="shared" si="19"/>
        <v>4</v>
      </c>
      <c r="X87" s="46">
        <f t="shared" si="20"/>
        <v>15</v>
      </c>
      <c r="Y87" s="46">
        <f t="shared" si="21"/>
        <v>6</v>
      </c>
      <c r="Z87" s="46">
        <f t="shared" si="22"/>
        <v>17</v>
      </c>
      <c r="AA87" s="46">
        <f t="shared" si="23"/>
        <v>11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3</v>
      </c>
      <c r="AK87" s="203" t="s">
        <v>269</v>
      </c>
      <c r="AL87" s="203">
        <v>0</v>
      </c>
      <c r="AM87" s="203">
        <v>1</v>
      </c>
      <c r="AN87" s="203">
        <v>1</v>
      </c>
      <c r="AO87" s="203">
        <v>1</v>
      </c>
      <c r="AP87" s="203">
        <v>1</v>
      </c>
      <c r="AQ87" s="203">
        <v>0</v>
      </c>
      <c r="AR87" s="203">
        <v>0</v>
      </c>
      <c r="AS87" s="200">
        <v>25</v>
      </c>
    </row>
    <row r="88" spans="12:45">
      <c r="L88" s="19">
        <v>84</v>
      </c>
      <c r="M88" s="47" t="s">
        <v>37</v>
      </c>
      <c r="N88" s="47" t="s">
        <v>246</v>
      </c>
      <c r="O88" s="47" t="s">
        <v>65</v>
      </c>
      <c r="P88" s="47" t="s">
        <v>38</v>
      </c>
      <c r="Q88" s="47" t="s">
        <v>90</v>
      </c>
      <c r="R88" s="47" t="s">
        <v>25</v>
      </c>
      <c r="S88" s="33" t="s">
        <v>90</v>
      </c>
      <c r="U88" s="46">
        <f t="shared" si="17"/>
        <v>13</v>
      </c>
      <c r="V88" s="46">
        <f t="shared" si="18"/>
        <v>0</v>
      </c>
      <c r="W88" s="46">
        <f t="shared" si="19"/>
        <v>17</v>
      </c>
      <c r="X88" s="46">
        <f t="shared" si="20"/>
        <v>15</v>
      </c>
      <c r="Y88" s="46">
        <f t="shared" si="21"/>
        <v>6</v>
      </c>
      <c r="Z88" s="46">
        <f t="shared" si="22"/>
        <v>5</v>
      </c>
      <c r="AA88" s="46">
        <f t="shared" si="23"/>
        <v>6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35</v>
      </c>
      <c r="N89" s="47" t="s">
        <v>25</v>
      </c>
      <c r="O89" s="47" t="s">
        <v>37</v>
      </c>
      <c r="P89" s="47" t="s">
        <v>246</v>
      </c>
      <c r="Q89" s="47" t="s">
        <v>39</v>
      </c>
      <c r="R89" s="47" t="s">
        <v>25</v>
      </c>
      <c r="S89" s="33" t="s">
        <v>90</v>
      </c>
      <c r="U89" s="46">
        <f t="shared" si="17"/>
        <v>15</v>
      </c>
      <c r="V89" s="46">
        <f t="shared" si="18"/>
        <v>5</v>
      </c>
      <c r="W89" s="46">
        <f t="shared" si="19"/>
        <v>13</v>
      </c>
      <c r="X89" s="46">
        <f t="shared" si="20"/>
        <v>0</v>
      </c>
      <c r="Y89" s="46">
        <f t="shared" si="21"/>
        <v>5</v>
      </c>
      <c r="Z89" s="46">
        <f t="shared" si="22"/>
        <v>5</v>
      </c>
      <c r="AA89" s="46">
        <f t="shared" si="23"/>
        <v>6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273</v>
      </c>
    </row>
    <row r="90" spans="12:45">
      <c r="L90" s="19">
        <v>86</v>
      </c>
      <c r="M90" s="47" t="s">
        <v>25</v>
      </c>
      <c r="N90" s="47" t="s">
        <v>25</v>
      </c>
      <c r="O90" s="47" t="s">
        <v>40</v>
      </c>
      <c r="P90" s="47" t="s">
        <v>25</v>
      </c>
      <c r="Q90" s="47" t="s">
        <v>39</v>
      </c>
      <c r="R90" s="47" t="s">
        <v>25</v>
      </c>
      <c r="S90" s="33" t="s">
        <v>65</v>
      </c>
      <c r="U90" s="46">
        <f t="shared" si="17"/>
        <v>5</v>
      </c>
      <c r="V90" s="46">
        <f t="shared" si="18"/>
        <v>5</v>
      </c>
      <c r="W90" s="46">
        <f t="shared" si="19"/>
        <v>12</v>
      </c>
      <c r="X90" s="46">
        <f t="shared" si="20"/>
        <v>5</v>
      </c>
      <c r="Y90" s="46">
        <f t="shared" si="21"/>
        <v>5</v>
      </c>
      <c r="Z90" s="46">
        <f t="shared" si="22"/>
        <v>5</v>
      </c>
      <c r="AA90" s="46">
        <f t="shared" si="23"/>
        <v>17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277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25</v>
      </c>
      <c r="N91" s="47" t="s">
        <v>65</v>
      </c>
      <c r="O91" s="47" t="s">
        <v>39</v>
      </c>
      <c r="P91" s="47" t="s">
        <v>25</v>
      </c>
      <c r="Q91" s="47" t="s">
        <v>35</v>
      </c>
      <c r="R91" s="47" t="s">
        <v>40</v>
      </c>
      <c r="S91" s="33" t="s">
        <v>37</v>
      </c>
      <c r="U91" s="46">
        <f t="shared" si="17"/>
        <v>5</v>
      </c>
      <c r="V91" s="46">
        <f t="shared" si="18"/>
        <v>17</v>
      </c>
      <c r="W91" s="46">
        <f t="shared" si="19"/>
        <v>5</v>
      </c>
      <c r="X91" s="46">
        <f t="shared" si="20"/>
        <v>5</v>
      </c>
      <c r="Y91" s="46">
        <f t="shared" si="21"/>
        <v>15</v>
      </c>
      <c r="Z91" s="46">
        <f t="shared" si="22"/>
        <v>12</v>
      </c>
      <c r="AA91" s="46">
        <f t="shared" si="23"/>
        <v>13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35</v>
      </c>
      <c r="N92" s="47" t="s">
        <v>65</v>
      </c>
      <c r="O92" s="47" t="s">
        <v>25</v>
      </c>
      <c r="P92" s="47" t="s">
        <v>38</v>
      </c>
      <c r="Q92" s="47" t="s">
        <v>90</v>
      </c>
      <c r="R92" s="47" t="s">
        <v>25</v>
      </c>
      <c r="S92" s="33" t="s">
        <v>34</v>
      </c>
      <c r="U92" s="46">
        <f t="shared" si="17"/>
        <v>15</v>
      </c>
      <c r="V92" s="46">
        <f t="shared" si="18"/>
        <v>17</v>
      </c>
      <c r="W92" s="46">
        <f t="shared" si="19"/>
        <v>5</v>
      </c>
      <c r="X92" s="46">
        <f t="shared" si="20"/>
        <v>15</v>
      </c>
      <c r="Y92" s="46">
        <f t="shared" si="21"/>
        <v>6</v>
      </c>
      <c r="Z92" s="46">
        <f t="shared" si="22"/>
        <v>5</v>
      </c>
      <c r="AA92" s="46">
        <f t="shared" si="23"/>
        <v>16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0</v>
      </c>
      <c r="AM92" s="46">
        <v>0</v>
      </c>
      <c r="AN92" s="46">
        <v>0</v>
      </c>
      <c r="AO92" s="46">
        <v>0</v>
      </c>
      <c r="AP92" s="46">
        <v>0</v>
      </c>
      <c r="AQ92" s="46">
        <v>0</v>
      </c>
      <c r="AR92" s="46">
        <v>0</v>
      </c>
      <c r="AS92" s="5">
        <v>1</v>
      </c>
    </row>
    <row r="93" spans="12:45">
      <c r="L93" s="18">
        <v>89</v>
      </c>
      <c r="M93" s="47" t="s">
        <v>35</v>
      </c>
      <c r="N93" s="47" t="s">
        <v>90</v>
      </c>
      <c r="O93" s="47" t="s">
        <v>25</v>
      </c>
      <c r="P93" s="47" t="s">
        <v>38</v>
      </c>
      <c r="Q93" s="47" t="s">
        <v>39</v>
      </c>
      <c r="R93" s="47" t="s">
        <v>25</v>
      </c>
      <c r="S93" s="33" t="s">
        <v>34</v>
      </c>
      <c r="U93" s="46">
        <f t="shared" si="17"/>
        <v>15</v>
      </c>
      <c r="V93" s="46">
        <f t="shared" si="18"/>
        <v>6</v>
      </c>
      <c r="W93" s="46">
        <f t="shared" si="19"/>
        <v>5</v>
      </c>
      <c r="X93" s="46">
        <f t="shared" si="20"/>
        <v>15</v>
      </c>
      <c r="Y93" s="46">
        <f t="shared" si="21"/>
        <v>5</v>
      </c>
      <c r="Z93" s="46">
        <f t="shared" si="22"/>
        <v>5</v>
      </c>
      <c r="AA93" s="46">
        <f t="shared" si="23"/>
        <v>16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203" t="s">
        <v>20</v>
      </c>
      <c r="AL93" s="203">
        <v>4</v>
      </c>
      <c r="AM93" s="203">
        <v>4</v>
      </c>
      <c r="AN93" s="203">
        <v>4</v>
      </c>
      <c r="AO93" s="203">
        <v>4</v>
      </c>
      <c r="AP93" s="203">
        <v>4</v>
      </c>
      <c r="AQ93" s="203">
        <v>4</v>
      </c>
      <c r="AR93" s="203">
        <v>3</v>
      </c>
      <c r="AS93" s="200">
        <v>2</v>
      </c>
    </row>
    <row r="94" spans="12:45">
      <c r="L94" s="19">
        <v>90</v>
      </c>
      <c r="M94" s="47" t="s">
        <v>25</v>
      </c>
      <c r="N94" s="47" t="s">
        <v>37</v>
      </c>
      <c r="O94" s="47" t="s">
        <v>35</v>
      </c>
      <c r="P94" s="47" t="s">
        <v>40</v>
      </c>
      <c r="Q94" s="47" t="s">
        <v>39</v>
      </c>
      <c r="R94" s="47" t="s">
        <v>25</v>
      </c>
      <c r="S94" s="33" t="s">
        <v>65</v>
      </c>
      <c r="U94" s="46">
        <f t="shared" si="17"/>
        <v>5</v>
      </c>
      <c r="V94" s="46">
        <f t="shared" si="18"/>
        <v>13</v>
      </c>
      <c r="W94" s="46">
        <f t="shared" si="19"/>
        <v>15</v>
      </c>
      <c r="X94" s="46">
        <f t="shared" si="20"/>
        <v>12</v>
      </c>
      <c r="Y94" s="46">
        <f t="shared" si="21"/>
        <v>5</v>
      </c>
      <c r="Z94" s="46">
        <f t="shared" si="22"/>
        <v>5</v>
      </c>
      <c r="AA94" s="46">
        <f t="shared" si="23"/>
        <v>17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203" t="s">
        <v>21</v>
      </c>
      <c r="AL94" s="203">
        <v>5</v>
      </c>
      <c r="AM94" s="203">
        <v>13</v>
      </c>
      <c r="AN94" s="203">
        <v>5</v>
      </c>
      <c r="AO94" s="203">
        <v>5</v>
      </c>
      <c r="AP94" s="203">
        <v>10</v>
      </c>
      <c r="AQ94" s="203">
        <v>5</v>
      </c>
      <c r="AR94" s="203">
        <v>10</v>
      </c>
      <c r="AS94" s="200">
        <v>3</v>
      </c>
    </row>
    <row r="95" spans="12:45">
      <c r="L95" s="18">
        <v>91</v>
      </c>
      <c r="M95" s="47" t="s">
        <v>35</v>
      </c>
      <c r="N95" s="47" t="s">
        <v>65</v>
      </c>
      <c r="O95" s="47" t="s">
        <v>35</v>
      </c>
      <c r="P95" s="47" t="s">
        <v>33</v>
      </c>
      <c r="Q95" s="47" t="s">
        <v>252</v>
      </c>
      <c r="R95" s="47" t="s">
        <v>39</v>
      </c>
      <c r="S95" s="33" t="s">
        <v>90</v>
      </c>
      <c r="U95" s="46">
        <f t="shared" si="17"/>
        <v>15</v>
      </c>
      <c r="V95" s="46">
        <f t="shared" si="18"/>
        <v>17</v>
      </c>
      <c r="W95" s="46">
        <f t="shared" si="19"/>
        <v>15</v>
      </c>
      <c r="X95" s="46">
        <f t="shared" si="20"/>
        <v>11</v>
      </c>
      <c r="Y95" s="46">
        <f t="shared" si="21"/>
        <v>0</v>
      </c>
      <c r="Z95" s="46">
        <f t="shared" si="22"/>
        <v>5</v>
      </c>
      <c r="AA95" s="46">
        <f t="shared" si="23"/>
        <v>6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203" t="s">
        <v>17</v>
      </c>
      <c r="AL95" s="203">
        <v>12</v>
      </c>
      <c r="AM95" s="203">
        <v>5</v>
      </c>
      <c r="AN95" s="203">
        <v>12</v>
      </c>
      <c r="AO95" s="203">
        <v>5</v>
      </c>
      <c r="AP95" s="203">
        <v>12</v>
      </c>
      <c r="AQ95" s="203">
        <v>10</v>
      </c>
      <c r="AR95" s="203">
        <v>10</v>
      </c>
      <c r="AS95" s="200">
        <v>4</v>
      </c>
    </row>
    <row r="96" spans="12:45">
      <c r="L96" s="19">
        <v>92</v>
      </c>
      <c r="M96" s="47" t="s">
        <v>39</v>
      </c>
      <c r="N96" s="47" t="s">
        <v>38</v>
      </c>
      <c r="O96" s="47" t="s">
        <v>37</v>
      </c>
      <c r="P96" s="47" t="s">
        <v>33</v>
      </c>
      <c r="Q96" s="47" t="s">
        <v>40</v>
      </c>
      <c r="R96" s="47" t="s">
        <v>39</v>
      </c>
      <c r="S96" s="33" t="s">
        <v>90</v>
      </c>
      <c r="U96" s="46">
        <f t="shared" si="17"/>
        <v>5</v>
      </c>
      <c r="V96" s="46">
        <f t="shared" si="18"/>
        <v>15</v>
      </c>
      <c r="W96" s="46">
        <f t="shared" si="19"/>
        <v>13</v>
      </c>
      <c r="X96" s="46">
        <f t="shared" si="20"/>
        <v>11</v>
      </c>
      <c r="Y96" s="46">
        <f t="shared" si="21"/>
        <v>12</v>
      </c>
      <c r="Z96" s="46">
        <f t="shared" si="22"/>
        <v>5</v>
      </c>
      <c r="AA96" s="46">
        <f t="shared" si="23"/>
        <v>6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203" t="s">
        <v>18</v>
      </c>
      <c r="AL96" s="203">
        <v>5</v>
      </c>
      <c r="AM96" s="203">
        <v>20</v>
      </c>
      <c r="AN96" s="203">
        <v>10</v>
      </c>
      <c r="AO96" s="203">
        <v>5</v>
      </c>
      <c r="AP96" s="203">
        <v>5</v>
      </c>
      <c r="AQ96" s="203">
        <v>10</v>
      </c>
      <c r="AR96" s="203">
        <v>10</v>
      </c>
      <c r="AS96" s="200">
        <v>5</v>
      </c>
    </row>
    <row r="97" spans="12:45">
      <c r="L97" s="18">
        <v>93</v>
      </c>
      <c r="M97" s="47" t="s">
        <v>40</v>
      </c>
      <c r="N97" s="47" t="s">
        <v>38</v>
      </c>
      <c r="O97" s="47" t="s">
        <v>35</v>
      </c>
      <c r="P97" s="47" t="s">
        <v>33</v>
      </c>
      <c r="Q97" s="47" t="s">
        <v>39</v>
      </c>
      <c r="R97" s="47" t="s">
        <v>32</v>
      </c>
      <c r="S97" s="33" t="s">
        <v>37</v>
      </c>
      <c r="U97" s="46">
        <f t="shared" si="17"/>
        <v>12</v>
      </c>
      <c r="V97" s="46">
        <f t="shared" si="18"/>
        <v>15</v>
      </c>
      <c r="W97" s="46">
        <f t="shared" si="19"/>
        <v>15</v>
      </c>
      <c r="X97" s="46">
        <f t="shared" si="20"/>
        <v>11</v>
      </c>
      <c r="Y97" s="46">
        <f t="shared" si="21"/>
        <v>5</v>
      </c>
      <c r="Z97" s="46">
        <f t="shared" si="22"/>
        <v>4</v>
      </c>
      <c r="AA97" s="46">
        <f t="shared" si="23"/>
        <v>13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203" t="s">
        <v>64</v>
      </c>
      <c r="AL97" s="203">
        <v>25</v>
      </c>
      <c r="AM97" s="203">
        <v>12</v>
      </c>
      <c r="AN97" s="203">
        <v>25</v>
      </c>
      <c r="AO97" s="203">
        <v>12</v>
      </c>
      <c r="AP97" s="203">
        <v>25</v>
      </c>
      <c r="AQ97" s="203">
        <v>20</v>
      </c>
      <c r="AR97" s="203">
        <v>10</v>
      </c>
      <c r="AS97" s="200">
        <v>6</v>
      </c>
    </row>
    <row r="98" spans="12:45">
      <c r="L98" s="19">
        <v>94</v>
      </c>
      <c r="M98" s="47" t="s">
        <v>90</v>
      </c>
      <c r="N98" s="47" t="s">
        <v>38</v>
      </c>
      <c r="O98" s="47" t="s">
        <v>35</v>
      </c>
      <c r="P98" s="47" t="s">
        <v>40</v>
      </c>
      <c r="Q98" s="47" t="s">
        <v>39</v>
      </c>
      <c r="R98" s="47" t="s">
        <v>32</v>
      </c>
      <c r="S98" s="33" t="s">
        <v>37</v>
      </c>
      <c r="U98" s="46">
        <f t="shared" si="17"/>
        <v>6</v>
      </c>
      <c r="V98" s="46">
        <f t="shared" si="18"/>
        <v>15</v>
      </c>
      <c r="W98" s="46">
        <f t="shared" si="19"/>
        <v>15</v>
      </c>
      <c r="X98" s="46">
        <f t="shared" si="20"/>
        <v>12</v>
      </c>
      <c r="Y98" s="46">
        <f t="shared" si="21"/>
        <v>5</v>
      </c>
      <c r="Z98" s="46">
        <f t="shared" si="22"/>
        <v>4</v>
      </c>
      <c r="AA98" s="46">
        <f t="shared" si="23"/>
        <v>13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203" t="s">
        <v>89</v>
      </c>
      <c r="AL98" s="203">
        <v>25</v>
      </c>
      <c r="AM98" s="203">
        <v>12</v>
      </c>
      <c r="AN98" s="203">
        <v>25</v>
      </c>
      <c r="AO98" s="203">
        <v>12</v>
      </c>
      <c r="AP98" s="203">
        <v>25</v>
      </c>
      <c r="AQ98" s="203">
        <v>20</v>
      </c>
      <c r="AR98" s="203">
        <v>10</v>
      </c>
      <c r="AS98" s="200">
        <v>7</v>
      </c>
    </row>
    <row r="99" spans="12:45">
      <c r="L99" s="18">
        <v>95</v>
      </c>
      <c r="M99" s="47" t="s">
        <v>40</v>
      </c>
      <c r="N99" s="47" t="s">
        <v>65</v>
      </c>
      <c r="O99" s="47" t="s">
        <v>35</v>
      </c>
      <c r="P99" s="47" t="s">
        <v>40</v>
      </c>
      <c r="Q99" s="47" t="s">
        <v>90</v>
      </c>
      <c r="R99" s="47" t="s">
        <v>37</v>
      </c>
      <c r="S99" s="33" t="s">
        <v>37</v>
      </c>
      <c r="U99" s="46">
        <f t="shared" si="17"/>
        <v>12</v>
      </c>
      <c r="V99" s="46">
        <f t="shared" si="18"/>
        <v>17</v>
      </c>
      <c r="W99" s="46">
        <f t="shared" si="19"/>
        <v>15</v>
      </c>
      <c r="X99" s="46">
        <f t="shared" si="20"/>
        <v>12</v>
      </c>
      <c r="Y99" s="46">
        <f t="shared" si="21"/>
        <v>6</v>
      </c>
      <c r="Z99" s="46">
        <f t="shared" si="22"/>
        <v>13</v>
      </c>
      <c r="AA99" s="46">
        <f t="shared" si="23"/>
        <v>13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10</v>
      </c>
      <c r="AM99" s="46">
        <v>10</v>
      </c>
      <c r="AN99" s="46">
        <v>40</v>
      </c>
      <c r="AO99" s="46">
        <v>1</v>
      </c>
      <c r="AP99" s="46">
        <v>40</v>
      </c>
      <c r="AQ99" s="46">
        <v>1</v>
      </c>
      <c r="AR99" s="46">
        <v>10</v>
      </c>
      <c r="AS99" s="5">
        <v>8</v>
      </c>
    </row>
    <row r="100" spans="12:45">
      <c r="L100" s="19">
        <v>96</v>
      </c>
      <c r="M100" s="47" t="s">
        <v>37</v>
      </c>
      <c r="N100" s="47" t="s">
        <v>242</v>
      </c>
      <c r="O100" s="47" t="s">
        <v>25</v>
      </c>
      <c r="P100" s="47" t="s">
        <v>39</v>
      </c>
      <c r="Q100" s="47" t="s">
        <v>39</v>
      </c>
      <c r="R100" s="47" t="s">
        <v>37</v>
      </c>
      <c r="S100" s="33" t="s">
        <v>39</v>
      </c>
      <c r="U100" s="46">
        <f t="shared" si="17"/>
        <v>13</v>
      </c>
      <c r="V100" s="46">
        <f t="shared" si="18"/>
        <v>0</v>
      </c>
      <c r="W100" s="46">
        <f t="shared" si="19"/>
        <v>5</v>
      </c>
      <c r="X100" s="46">
        <f t="shared" si="20"/>
        <v>5</v>
      </c>
      <c r="Y100" s="46">
        <f t="shared" si="21"/>
        <v>5</v>
      </c>
      <c r="Z100" s="46">
        <f t="shared" si="22"/>
        <v>13</v>
      </c>
      <c r="AA100" s="46">
        <f t="shared" si="23"/>
        <v>5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40</v>
      </c>
      <c r="AM100" s="46">
        <v>8</v>
      </c>
      <c r="AN100" s="46">
        <v>25</v>
      </c>
      <c r="AO100" s="46">
        <v>10</v>
      </c>
      <c r="AP100" s="46">
        <v>1</v>
      </c>
      <c r="AQ100" s="46">
        <v>40</v>
      </c>
      <c r="AR100" s="46">
        <v>10</v>
      </c>
      <c r="AS100" s="5">
        <v>9</v>
      </c>
    </row>
    <row r="101" spans="12:45">
      <c r="L101" s="18">
        <v>97</v>
      </c>
      <c r="M101" s="47" t="s">
        <v>39</v>
      </c>
      <c r="N101" s="47" t="s">
        <v>244</v>
      </c>
      <c r="O101" s="47" t="s">
        <v>25</v>
      </c>
      <c r="P101" s="47" t="s">
        <v>37</v>
      </c>
      <c r="Q101" s="47" t="s">
        <v>65</v>
      </c>
      <c r="R101" s="47" t="s">
        <v>40</v>
      </c>
      <c r="S101" s="33" t="s">
        <v>39</v>
      </c>
      <c r="U101" s="46">
        <f t="shared" si="17"/>
        <v>5</v>
      </c>
      <c r="V101" s="46">
        <f t="shared" si="18"/>
        <v>0</v>
      </c>
      <c r="W101" s="46">
        <f t="shared" si="19"/>
        <v>5</v>
      </c>
      <c r="X101" s="46">
        <f t="shared" si="20"/>
        <v>13</v>
      </c>
      <c r="Y101" s="46">
        <f t="shared" si="21"/>
        <v>17</v>
      </c>
      <c r="Z101" s="46">
        <f t="shared" si="22"/>
        <v>12</v>
      </c>
      <c r="AA101" s="46">
        <f t="shared" si="23"/>
        <v>5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10</v>
      </c>
      <c r="AM101" s="46">
        <v>30</v>
      </c>
      <c r="AN101" s="46">
        <v>30</v>
      </c>
      <c r="AO101" s="46">
        <v>10</v>
      </c>
      <c r="AP101" s="46">
        <v>40</v>
      </c>
      <c r="AQ101" s="46">
        <v>1</v>
      </c>
      <c r="AR101" s="46">
        <v>10</v>
      </c>
      <c r="AS101" s="5">
        <v>10</v>
      </c>
    </row>
    <row r="102" spans="12:45">
      <c r="L102" s="19">
        <v>98</v>
      </c>
      <c r="M102" s="47" t="s">
        <v>39</v>
      </c>
      <c r="N102" s="47" t="s">
        <v>38</v>
      </c>
      <c r="O102" s="47" t="s">
        <v>246</v>
      </c>
      <c r="P102" s="47" t="s">
        <v>37</v>
      </c>
      <c r="Q102" s="47" t="s">
        <v>37</v>
      </c>
      <c r="R102" s="47" t="s">
        <v>40</v>
      </c>
      <c r="S102" s="33" t="s">
        <v>39</v>
      </c>
      <c r="U102" s="46">
        <f t="shared" si="17"/>
        <v>5</v>
      </c>
      <c r="V102" s="46">
        <f t="shared" si="18"/>
        <v>15</v>
      </c>
      <c r="W102" s="46">
        <f t="shared" si="19"/>
        <v>0</v>
      </c>
      <c r="X102" s="46">
        <f t="shared" si="20"/>
        <v>13</v>
      </c>
      <c r="Y102" s="46">
        <f t="shared" si="21"/>
        <v>13</v>
      </c>
      <c r="Z102" s="46">
        <f t="shared" si="22"/>
        <v>12</v>
      </c>
      <c r="AA102" s="46">
        <f t="shared" si="23"/>
        <v>5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30</v>
      </c>
      <c r="AM102" s="46">
        <v>30</v>
      </c>
      <c r="AN102" s="46">
        <v>30</v>
      </c>
      <c r="AO102" s="46">
        <v>1</v>
      </c>
      <c r="AP102" s="46">
        <v>1</v>
      </c>
      <c r="AQ102" s="46">
        <v>1</v>
      </c>
      <c r="AR102" s="46">
        <v>10</v>
      </c>
      <c r="AS102" s="5">
        <v>11</v>
      </c>
    </row>
    <row r="103" spans="12:45">
      <c r="L103" s="18">
        <v>99</v>
      </c>
      <c r="M103" s="47" t="s">
        <v>37</v>
      </c>
      <c r="N103" s="47" t="s">
        <v>38</v>
      </c>
      <c r="O103" s="47" t="s">
        <v>252</v>
      </c>
      <c r="P103" s="47" t="s">
        <v>242</v>
      </c>
      <c r="Q103" s="47" t="s">
        <v>90</v>
      </c>
      <c r="R103" s="47" t="s">
        <v>37</v>
      </c>
      <c r="S103" s="33" t="s">
        <v>35</v>
      </c>
      <c r="U103" s="46">
        <f t="shared" si="17"/>
        <v>13</v>
      </c>
      <c r="V103" s="46">
        <f t="shared" si="18"/>
        <v>15</v>
      </c>
      <c r="W103" s="46">
        <f t="shared" si="19"/>
        <v>0</v>
      </c>
      <c r="X103" s="46">
        <f t="shared" si="20"/>
        <v>0</v>
      </c>
      <c r="Y103" s="46">
        <f t="shared" si="21"/>
        <v>6</v>
      </c>
      <c r="Z103" s="46">
        <f t="shared" si="22"/>
        <v>13</v>
      </c>
      <c r="AA103" s="46">
        <f t="shared" si="23"/>
        <v>15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5</v>
      </c>
      <c r="AM103" s="46">
        <v>30</v>
      </c>
      <c r="AN103" s="46">
        <v>20</v>
      </c>
      <c r="AO103" s="46">
        <v>1</v>
      </c>
      <c r="AP103" s="46">
        <v>1</v>
      </c>
      <c r="AQ103" s="46">
        <v>1</v>
      </c>
      <c r="AR103" s="46">
        <v>10</v>
      </c>
      <c r="AS103" s="5">
        <v>12</v>
      </c>
    </row>
    <row r="104" spans="12:45">
      <c r="L104" s="19">
        <v>100</v>
      </c>
      <c r="M104" s="47" t="s">
        <v>37</v>
      </c>
      <c r="N104" s="47" t="s">
        <v>38</v>
      </c>
      <c r="O104" s="47" t="s">
        <v>39</v>
      </c>
      <c r="P104" s="47" t="s">
        <v>65</v>
      </c>
      <c r="Q104" s="47" t="s">
        <v>90</v>
      </c>
      <c r="R104" s="47" t="s">
        <v>25</v>
      </c>
      <c r="S104" s="33" t="s">
        <v>35</v>
      </c>
      <c r="U104" s="46">
        <f t="shared" si="17"/>
        <v>13</v>
      </c>
      <c r="V104" s="46">
        <f t="shared" si="18"/>
        <v>15</v>
      </c>
      <c r="W104" s="46">
        <f t="shared" si="19"/>
        <v>5</v>
      </c>
      <c r="X104" s="46">
        <f t="shared" si="20"/>
        <v>17</v>
      </c>
      <c r="Y104" s="46">
        <f t="shared" si="21"/>
        <v>6</v>
      </c>
      <c r="Z104" s="46">
        <f t="shared" si="22"/>
        <v>5</v>
      </c>
      <c r="AA104" s="46">
        <f t="shared" si="23"/>
        <v>15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203" t="s">
        <v>234</v>
      </c>
      <c r="AL104" s="203">
        <v>0</v>
      </c>
      <c r="AM104" s="203">
        <v>1</v>
      </c>
      <c r="AN104" s="203">
        <v>1</v>
      </c>
      <c r="AO104" s="203">
        <v>1</v>
      </c>
      <c r="AP104" s="203">
        <v>1</v>
      </c>
      <c r="AQ104" s="203">
        <v>0</v>
      </c>
      <c r="AR104" s="203">
        <v>0</v>
      </c>
      <c r="AS104" s="200">
        <v>13</v>
      </c>
    </row>
    <row r="105" spans="12:45">
      <c r="L105" s="18">
        <v>101</v>
      </c>
      <c r="M105" s="47" t="s">
        <v>39</v>
      </c>
      <c r="N105" s="47" t="s">
        <v>90</v>
      </c>
      <c r="O105" s="47" t="s">
        <v>25</v>
      </c>
      <c r="P105" s="47" t="s">
        <v>65</v>
      </c>
      <c r="Q105" s="47" t="s">
        <v>37</v>
      </c>
      <c r="R105" s="47" t="s">
        <v>38</v>
      </c>
      <c r="S105" s="33" t="s">
        <v>35</v>
      </c>
      <c r="U105" s="46">
        <f t="shared" si="17"/>
        <v>5</v>
      </c>
      <c r="V105" s="46">
        <f t="shared" si="18"/>
        <v>6</v>
      </c>
      <c r="W105" s="46">
        <f t="shared" si="19"/>
        <v>5</v>
      </c>
      <c r="X105" s="46">
        <f t="shared" si="20"/>
        <v>17</v>
      </c>
      <c r="Y105" s="46">
        <f t="shared" si="21"/>
        <v>13</v>
      </c>
      <c r="Z105" s="46">
        <f t="shared" si="22"/>
        <v>15</v>
      </c>
      <c r="AA105" s="46">
        <f t="shared" si="23"/>
        <v>15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203" t="s">
        <v>236</v>
      </c>
      <c r="AL105" s="203">
        <v>0</v>
      </c>
      <c r="AM105" s="203">
        <v>1</v>
      </c>
      <c r="AN105" s="203">
        <v>1</v>
      </c>
      <c r="AO105" s="203">
        <v>1</v>
      </c>
      <c r="AP105" s="203">
        <v>1</v>
      </c>
      <c r="AQ105" s="203">
        <v>0</v>
      </c>
      <c r="AR105" s="203">
        <v>0</v>
      </c>
      <c r="AS105" s="200">
        <v>14</v>
      </c>
    </row>
    <row r="106" spans="12:45">
      <c r="L106" s="19">
        <v>102</v>
      </c>
      <c r="M106" s="47" t="s">
        <v>38</v>
      </c>
      <c r="N106" s="47" t="s">
        <v>39</v>
      </c>
      <c r="O106" s="47" t="s">
        <v>33</v>
      </c>
      <c r="P106" s="47" t="s">
        <v>35</v>
      </c>
      <c r="Q106" s="47" t="s">
        <v>37</v>
      </c>
      <c r="R106" s="47" t="s">
        <v>25</v>
      </c>
      <c r="S106" s="33" t="s">
        <v>65</v>
      </c>
      <c r="U106" s="46">
        <f t="shared" si="17"/>
        <v>15</v>
      </c>
      <c r="V106" s="46">
        <f t="shared" si="18"/>
        <v>5</v>
      </c>
      <c r="W106" s="46">
        <f t="shared" si="19"/>
        <v>11</v>
      </c>
      <c r="X106" s="46">
        <f t="shared" si="20"/>
        <v>15</v>
      </c>
      <c r="Y106" s="46">
        <f t="shared" si="21"/>
        <v>13</v>
      </c>
      <c r="Z106" s="46">
        <f t="shared" si="22"/>
        <v>5</v>
      </c>
      <c r="AA106" s="46">
        <f t="shared" si="23"/>
        <v>17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203" t="s">
        <v>238</v>
      </c>
      <c r="AL106" s="203">
        <v>0</v>
      </c>
      <c r="AM106" s="203">
        <v>1</v>
      </c>
      <c r="AN106" s="203">
        <v>1</v>
      </c>
      <c r="AO106" s="203">
        <v>1</v>
      </c>
      <c r="AP106" s="203">
        <v>1</v>
      </c>
      <c r="AQ106" s="203">
        <v>0</v>
      </c>
      <c r="AR106" s="203">
        <v>0</v>
      </c>
      <c r="AS106" s="200">
        <v>15</v>
      </c>
    </row>
    <row r="107" spans="12:45">
      <c r="L107" s="18">
        <v>103</v>
      </c>
      <c r="M107" s="47" t="s">
        <v>65</v>
      </c>
      <c r="N107" s="47" t="s">
        <v>25</v>
      </c>
      <c r="O107" s="47" t="s">
        <v>33</v>
      </c>
      <c r="P107" s="47" t="s">
        <v>40</v>
      </c>
      <c r="Q107" s="47" t="s">
        <v>37</v>
      </c>
      <c r="R107" s="47" t="s">
        <v>25</v>
      </c>
      <c r="S107" s="33" t="s">
        <v>25</v>
      </c>
      <c r="U107" s="46">
        <f t="shared" si="17"/>
        <v>17</v>
      </c>
      <c r="V107" s="46">
        <f t="shared" si="18"/>
        <v>5</v>
      </c>
      <c r="W107" s="46">
        <f t="shared" si="19"/>
        <v>11</v>
      </c>
      <c r="X107" s="46">
        <f t="shared" si="20"/>
        <v>12</v>
      </c>
      <c r="Y107" s="46">
        <f t="shared" si="21"/>
        <v>13</v>
      </c>
      <c r="Z107" s="46">
        <f t="shared" si="22"/>
        <v>5</v>
      </c>
      <c r="AA107" s="46">
        <f t="shared" si="23"/>
        <v>5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203" t="s">
        <v>240</v>
      </c>
      <c r="AL107" s="203">
        <v>0</v>
      </c>
      <c r="AM107" s="203">
        <v>1</v>
      </c>
      <c r="AN107" s="203">
        <v>1</v>
      </c>
      <c r="AO107" s="203">
        <v>1</v>
      </c>
      <c r="AP107" s="203">
        <v>1</v>
      </c>
      <c r="AQ107" s="203">
        <v>0</v>
      </c>
      <c r="AR107" s="203">
        <v>0</v>
      </c>
      <c r="AS107" s="200">
        <v>16</v>
      </c>
    </row>
    <row r="108" spans="12:45">
      <c r="L108" s="19">
        <v>104</v>
      </c>
      <c r="M108" s="47" t="s">
        <v>40</v>
      </c>
      <c r="N108" s="47" t="s">
        <v>25</v>
      </c>
      <c r="O108" s="47" t="s">
        <v>33</v>
      </c>
      <c r="P108" s="47" t="s">
        <v>40</v>
      </c>
      <c r="Q108" s="47" t="s">
        <v>39</v>
      </c>
      <c r="R108" s="47" t="s">
        <v>25</v>
      </c>
      <c r="S108" s="33" t="s">
        <v>65</v>
      </c>
      <c r="U108" s="46">
        <f t="shared" si="17"/>
        <v>12</v>
      </c>
      <c r="V108" s="46">
        <f t="shared" si="18"/>
        <v>5</v>
      </c>
      <c r="W108" s="46">
        <f t="shared" si="19"/>
        <v>11</v>
      </c>
      <c r="X108" s="46">
        <f t="shared" si="20"/>
        <v>12</v>
      </c>
      <c r="Y108" s="46">
        <f t="shared" si="21"/>
        <v>5</v>
      </c>
      <c r="Z108" s="46">
        <f t="shared" si="22"/>
        <v>5</v>
      </c>
      <c r="AA108" s="46">
        <f t="shared" si="23"/>
        <v>17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203" t="s">
        <v>242</v>
      </c>
      <c r="AL108" s="203">
        <v>0</v>
      </c>
      <c r="AM108" s="203">
        <v>5</v>
      </c>
      <c r="AN108" s="203">
        <v>5</v>
      </c>
      <c r="AO108" s="203">
        <v>5</v>
      </c>
      <c r="AP108" s="203">
        <v>5</v>
      </c>
      <c r="AQ108" s="203">
        <v>0</v>
      </c>
      <c r="AR108" s="203">
        <v>0</v>
      </c>
      <c r="AS108" s="200">
        <v>17</v>
      </c>
    </row>
    <row r="109" spans="12:45">
      <c r="L109" s="18">
        <v>105</v>
      </c>
      <c r="M109" s="47" t="s">
        <v>37</v>
      </c>
      <c r="N109" s="47" t="s">
        <v>25</v>
      </c>
      <c r="O109" s="47" t="s">
        <v>35</v>
      </c>
      <c r="P109" s="47" t="s">
        <v>38</v>
      </c>
      <c r="Q109" s="47" t="s">
        <v>90</v>
      </c>
      <c r="R109" s="47" t="s">
        <v>35</v>
      </c>
      <c r="S109" s="33" t="s">
        <v>65</v>
      </c>
      <c r="U109" s="46">
        <f t="shared" si="17"/>
        <v>13</v>
      </c>
      <c r="V109" s="46">
        <f t="shared" si="18"/>
        <v>5</v>
      </c>
      <c r="W109" s="46">
        <f t="shared" si="19"/>
        <v>15</v>
      </c>
      <c r="X109" s="46">
        <f t="shared" si="20"/>
        <v>15</v>
      </c>
      <c r="Y109" s="46">
        <f t="shared" si="21"/>
        <v>6</v>
      </c>
      <c r="Z109" s="46">
        <f t="shared" si="22"/>
        <v>15</v>
      </c>
      <c r="AA109" s="46">
        <f t="shared" si="23"/>
        <v>17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203" t="s">
        <v>244</v>
      </c>
      <c r="AL109" s="203">
        <v>0</v>
      </c>
      <c r="AM109" s="203">
        <v>5</v>
      </c>
      <c r="AN109" s="203">
        <v>5</v>
      </c>
      <c r="AO109" s="203">
        <v>5</v>
      </c>
      <c r="AP109" s="203">
        <v>5</v>
      </c>
      <c r="AQ109" s="203">
        <v>0</v>
      </c>
      <c r="AR109" s="203">
        <v>0</v>
      </c>
      <c r="AS109" s="200">
        <v>18</v>
      </c>
    </row>
    <row r="110" spans="12:45">
      <c r="L110" s="19">
        <v>106</v>
      </c>
      <c r="M110" s="47" t="s">
        <v>35</v>
      </c>
      <c r="N110" s="47" t="s">
        <v>40</v>
      </c>
      <c r="O110" s="47" t="s">
        <v>35</v>
      </c>
      <c r="P110" s="47" t="s">
        <v>38</v>
      </c>
      <c r="Q110" s="47" t="s">
        <v>90</v>
      </c>
      <c r="R110" s="47" t="s">
        <v>25</v>
      </c>
      <c r="S110" s="33" t="s">
        <v>65</v>
      </c>
      <c r="U110" s="46">
        <f t="shared" si="17"/>
        <v>15</v>
      </c>
      <c r="V110" s="46">
        <f t="shared" si="18"/>
        <v>12</v>
      </c>
      <c r="W110" s="46">
        <f t="shared" si="19"/>
        <v>15</v>
      </c>
      <c r="X110" s="46">
        <f t="shared" si="20"/>
        <v>15</v>
      </c>
      <c r="Y110" s="46">
        <f t="shared" si="21"/>
        <v>6</v>
      </c>
      <c r="Z110" s="46">
        <f t="shared" si="22"/>
        <v>5</v>
      </c>
      <c r="AA110" s="46">
        <f t="shared" si="23"/>
        <v>17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246</v>
      </c>
      <c r="AL110" s="46">
        <v>0</v>
      </c>
      <c r="AM110" s="46">
        <v>6</v>
      </c>
      <c r="AN110" s="46">
        <v>6</v>
      </c>
      <c r="AO110" s="46">
        <v>2</v>
      </c>
      <c r="AP110" s="46">
        <v>2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35</v>
      </c>
      <c r="N111" s="47" t="s">
        <v>40</v>
      </c>
      <c r="O111" s="47" t="s">
        <v>65</v>
      </c>
      <c r="P111" s="47" t="s">
        <v>65</v>
      </c>
      <c r="Q111" s="47" t="s">
        <v>39</v>
      </c>
      <c r="R111" s="47" t="s">
        <v>25</v>
      </c>
      <c r="S111" s="33" t="s">
        <v>38</v>
      </c>
      <c r="U111" s="46">
        <f t="shared" si="17"/>
        <v>15</v>
      </c>
      <c r="V111" s="46">
        <f t="shared" si="18"/>
        <v>12</v>
      </c>
      <c r="W111" s="46">
        <f t="shared" si="19"/>
        <v>17</v>
      </c>
      <c r="X111" s="46">
        <f t="shared" si="20"/>
        <v>17</v>
      </c>
      <c r="Y111" s="46">
        <f t="shared" si="21"/>
        <v>5</v>
      </c>
      <c r="Z111" s="46">
        <f t="shared" si="22"/>
        <v>5</v>
      </c>
      <c r="AA111" s="46">
        <f t="shared" si="23"/>
        <v>15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248</v>
      </c>
      <c r="AL111" s="46">
        <v>0</v>
      </c>
      <c r="AM111" s="46">
        <v>4</v>
      </c>
      <c r="AN111" s="46">
        <v>6</v>
      </c>
      <c r="AO111" s="46">
        <v>2</v>
      </c>
      <c r="AP111" s="46">
        <v>2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39</v>
      </c>
      <c r="N112" s="47" t="s">
        <v>40</v>
      </c>
      <c r="O112" s="47" t="s">
        <v>65</v>
      </c>
      <c r="P112" s="47" t="s">
        <v>65</v>
      </c>
      <c r="Q112" s="47" t="s">
        <v>39</v>
      </c>
      <c r="R112" s="47" t="s">
        <v>34</v>
      </c>
      <c r="S112" s="33" t="s">
        <v>32</v>
      </c>
      <c r="U112" s="46">
        <f t="shared" si="17"/>
        <v>5</v>
      </c>
      <c r="V112" s="46">
        <f t="shared" si="18"/>
        <v>12</v>
      </c>
      <c r="W112" s="46">
        <f t="shared" si="19"/>
        <v>17</v>
      </c>
      <c r="X112" s="46">
        <f t="shared" si="20"/>
        <v>17</v>
      </c>
      <c r="Y112" s="46">
        <f t="shared" si="21"/>
        <v>5</v>
      </c>
      <c r="Z112" s="46">
        <f t="shared" si="22"/>
        <v>16</v>
      </c>
      <c r="AA112" s="46">
        <f t="shared" si="23"/>
        <v>4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250</v>
      </c>
      <c r="AL112" s="46">
        <v>0</v>
      </c>
      <c r="AM112" s="46">
        <v>5</v>
      </c>
      <c r="AN112" s="46">
        <v>3</v>
      </c>
      <c r="AO112" s="46">
        <v>1</v>
      </c>
      <c r="AP112" s="46">
        <v>4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34</v>
      </c>
      <c r="N113" s="47" t="s">
        <v>25</v>
      </c>
      <c r="O113" s="47" t="s">
        <v>65</v>
      </c>
      <c r="P113" s="47" t="s">
        <v>65</v>
      </c>
      <c r="Q113" s="47" t="s">
        <v>90</v>
      </c>
      <c r="R113" s="47" t="s">
        <v>25</v>
      </c>
      <c r="S113" s="47" t="s">
        <v>32</v>
      </c>
      <c r="U113" s="46">
        <f t="shared" si="17"/>
        <v>16</v>
      </c>
      <c r="V113" s="46">
        <f t="shared" si="18"/>
        <v>5</v>
      </c>
      <c r="W113" s="46">
        <f t="shared" si="19"/>
        <v>17</v>
      </c>
      <c r="X113" s="46">
        <f t="shared" si="20"/>
        <v>17</v>
      </c>
      <c r="Y113" s="46">
        <f t="shared" si="21"/>
        <v>6</v>
      </c>
      <c r="Z113" s="46">
        <f t="shared" si="22"/>
        <v>5</v>
      </c>
      <c r="AA113" s="46">
        <f t="shared" si="23"/>
        <v>4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252</v>
      </c>
      <c r="AL113" s="46">
        <v>0</v>
      </c>
      <c r="AM113" s="46">
        <v>2</v>
      </c>
      <c r="AN113" s="46">
        <v>2</v>
      </c>
      <c r="AO113" s="46">
        <v>2</v>
      </c>
      <c r="AP113" s="46">
        <v>2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25</v>
      </c>
      <c r="N114" s="47" t="s">
        <v>25</v>
      </c>
      <c r="O114" s="47" t="s">
        <v>37</v>
      </c>
      <c r="P114" s="47" t="s">
        <v>244</v>
      </c>
      <c r="Q114" s="47" t="s">
        <v>35</v>
      </c>
      <c r="R114" s="47" t="s">
        <v>25</v>
      </c>
      <c r="S114" s="33" t="s">
        <v>34</v>
      </c>
      <c r="U114" s="46">
        <f t="shared" si="17"/>
        <v>5</v>
      </c>
      <c r="V114" s="46">
        <f t="shared" si="18"/>
        <v>5</v>
      </c>
      <c r="W114" s="46">
        <f t="shared" si="19"/>
        <v>13</v>
      </c>
      <c r="X114" s="46">
        <f t="shared" si="20"/>
        <v>0</v>
      </c>
      <c r="Y114" s="46">
        <f t="shared" si="21"/>
        <v>15</v>
      </c>
      <c r="Z114" s="46">
        <f t="shared" si="22"/>
        <v>5</v>
      </c>
      <c r="AA114" s="46">
        <f t="shared" si="23"/>
        <v>16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254</v>
      </c>
      <c r="AL114" s="46">
        <v>0</v>
      </c>
      <c r="AM114" s="46">
        <v>2</v>
      </c>
      <c r="AN114" s="46">
        <v>2</v>
      </c>
      <c r="AO114" s="46">
        <v>2</v>
      </c>
      <c r="AP114" s="46">
        <v>2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40</v>
      </c>
      <c r="N115" s="47" t="s">
        <v>25</v>
      </c>
      <c r="O115" s="47" t="s">
        <v>39</v>
      </c>
      <c r="P115" s="47" t="s">
        <v>90</v>
      </c>
      <c r="Q115" s="47" t="s">
        <v>35</v>
      </c>
      <c r="R115" s="47" t="s">
        <v>40</v>
      </c>
      <c r="S115" s="33" t="s">
        <v>38</v>
      </c>
      <c r="U115" s="46">
        <f t="shared" si="17"/>
        <v>12</v>
      </c>
      <c r="V115" s="46">
        <f t="shared" si="18"/>
        <v>5</v>
      </c>
      <c r="W115" s="46">
        <f t="shared" si="19"/>
        <v>5</v>
      </c>
      <c r="X115" s="46">
        <f t="shared" si="20"/>
        <v>6</v>
      </c>
      <c r="Y115" s="46">
        <f t="shared" si="21"/>
        <v>15</v>
      </c>
      <c r="Z115" s="46">
        <f t="shared" si="22"/>
        <v>12</v>
      </c>
      <c r="AA115" s="46">
        <f t="shared" si="23"/>
        <v>15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203" t="s">
        <v>101</v>
      </c>
      <c r="AL115" s="203">
        <v>0</v>
      </c>
      <c r="AM115" s="203">
        <v>2</v>
      </c>
      <c r="AN115" s="203">
        <v>2</v>
      </c>
      <c r="AO115" s="203">
        <v>2</v>
      </c>
      <c r="AP115" s="203">
        <v>2</v>
      </c>
      <c r="AQ115" s="203">
        <v>0</v>
      </c>
      <c r="AR115" s="203">
        <v>0</v>
      </c>
      <c r="AS115" s="200">
        <v>24</v>
      </c>
    </row>
    <row r="116" spans="12:46">
      <c r="L116" s="19">
        <v>112</v>
      </c>
      <c r="M116" s="47" t="s">
        <v>39</v>
      </c>
      <c r="N116" s="47" t="s">
        <v>37</v>
      </c>
      <c r="O116" s="47" t="s">
        <v>39</v>
      </c>
      <c r="P116" s="47" t="s">
        <v>90</v>
      </c>
      <c r="Q116" s="47" t="s">
        <v>65</v>
      </c>
      <c r="R116" s="47" t="s">
        <v>39</v>
      </c>
      <c r="S116" s="33" t="s">
        <v>38</v>
      </c>
      <c r="U116" s="46">
        <f t="shared" si="17"/>
        <v>5</v>
      </c>
      <c r="V116" s="46">
        <f t="shared" si="18"/>
        <v>13</v>
      </c>
      <c r="W116" s="46">
        <f t="shared" si="19"/>
        <v>5</v>
      </c>
      <c r="X116" s="46">
        <f t="shared" si="20"/>
        <v>6</v>
      </c>
      <c r="Y116" s="46">
        <f t="shared" si="21"/>
        <v>17</v>
      </c>
      <c r="Z116" s="46">
        <f t="shared" si="22"/>
        <v>5</v>
      </c>
      <c r="AA116" s="46">
        <f t="shared" si="23"/>
        <v>15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203" t="s">
        <v>269</v>
      </c>
      <c r="AL116" s="203">
        <v>0</v>
      </c>
      <c r="AM116" s="203">
        <v>1</v>
      </c>
      <c r="AN116" s="203">
        <v>1</v>
      </c>
      <c r="AO116" s="203">
        <v>1</v>
      </c>
      <c r="AP116" s="203">
        <v>1</v>
      </c>
      <c r="AQ116" s="203">
        <v>0</v>
      </c>
      <c r="AR116" s="203">
        <v>0</v>
      </c>
      <c r="AS116" s="200">
        <v>25</v>
      </c>
    </row>
    <row r="117" spans="12:46">
      <c r="L117" s="18">
        <v>113</v>
      </c>
      <c r="M117" s="47" t="s">
        <v>90</v>
      </c>
      <c r="N117" s="47" t="s">
        <v>38</v>
      </c>
      <c r="O117" s="47" t="s">
        <v>39</v>
      </c>
      <c r="P117" s="47" t="s">
        <v>25</v>
      </c>
      <c r="Q117" s="47" t="s">
        <v>39</v>
      </c>
      <c r="R117" s="47" t="s">
        <v>39</v>
      </c>
      <c r="S117" s="33" t="s">
        <v>38</v>
      </c>
      <c r="U117" s="46">
        <f t="shared" si="17"/>
        <v>6</v>
      </c>
      <c r="V117" s="46">
        <f t="shared" si="18"/>
        <v>15</v>
      </c>
      <c r="W117" s="46">
        <f t="shared" si="19"/>
        <v>5</v>
      </c>
      <c r="X117" s="46">
        <f t="shared" si="20"/>
        <v>5</v>
      </c>
      <c r="Y117" s="46">
        <f t="shared" si="21"/>
        <v>5</v>
      </c>
      <c r="Z117" s="46">
        <f t="shared" si="22"/>
        <v>5</v>
      </c>
      <c r="AA117" s="46">
        <f t="shared" si="23"/>
        <v>15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34</v>
      </c>
      <c r="N118" s="47" t="s">
        <v>33</v>
      </c>
      <c r="O118" s="47" t="s">
        <v>34</v>
      </c>
      <c r="P118" s="47" t="s">
        <v>40</v>
      </c>
      <c r="Q118" s="47" t="s">
        <v>39</v>
      </c>
      <c r="R118" s="47" t="s">
        <v>38</v>
      </c>
      <c r="S118" s="33" t="s">
        <v>34</v>
      </c>
      <c r="U118" s="46">
        <f t="shared" si="17"/>
        <v>16</v>
      </c>
      <c r="V118" s="46">
        <f t="shared" si="18"/>
        <v>11</v>
      </c>
      <c r="W118" s="46">
        <f t="shared" si="19"/>
        <v>16</v>
      </c>
      <c r="X118" s="46">
        <f t="shared" si="20"/>
        <v>12</v>
      </c>
      <c r="Y118" s="46">
        <f t="shared" si="21"/>
        <v>5</v>
      </c>
      <c r="Z118" s="46">
        <f t="shared" si="22"/>
        <v>15</v>
      </c>
      <c r="AA118" s="46">
        <f t="shared" si="23"/>
        <v>16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274</v>
      </c>
    </row>
    <row r="119" spans="12:46">
      <c r="L119" s="18">
        <v>115</v>
      </c>
      <c r="M119" s="47" t="s">
        <v>39</v>
      </c>
      <c r="N119" s="47" t="s">
        <v>33</v>
      </c>
      <c r="O119" s="47" t="s">
        <v>34</v>
      </c>
      <c r="P119" s="47" t="s">
        <v>40</v>
      </c>
      <c r="Q119" s="47" t="s">
        <v>35</v>
      </c>
      <c r="R119" s="47" t="s">
        <v>38</v>
      </c>
      <c r="S119" s="33" t="s">
        <v>34</v>
      </c>
      <c r="U119" s="46">
        <f t="shared" si="17"/>
        <v>5</v>
      </c>
      <c r="V119" s="46">
        <f t="shared" si="18"/>
        <v>11</v>
      </c>
      <c r="W119" s="46">
        <f t="shared" si="19"/>
        <v>16</v>
      </c>
      <c r="X119" s="46">
        <f t="shared" si="20"/>
        <v>12</v>
      </c>
      <c r="Y119" s="46">
        <f t="shared" si="21"/>
        <v>15</v>
      </c>
      <c r="Z119" s="46">
        <f t="shared" si="22"/>
        <v>15</v>
      </c>
      <c r="AA119" s="46">
        <f t="shared" si="23"/>
        <v>16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277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65</v>
      </c>
      <c r="N120" s="47" t="s">
        <v>33</v>
      </c>
      <c r="O120" s="47" t="s">
        <v>38</v>
      </c>
      <c r="P120" s="47" t="s">
        <v>40</v>
      </c>
      <c r="Q120" s="47" t="s">
        <v>35</v>
      </c>
      <c r="R120" s="47" t="s">
        <v>40</v>
      </c>
      <c r="S120" s="33" t="s">
        <v>34</v>
      </c>
      <c r="U120" s="46">
        <f t="shared" si="17"/>
        <v>17</v>
      </c>
      <c r="V120" s="46">
        <f t="shared" si="18"/>
        <v>11</v>
      </c>
      <c r="W120" s="46">
        <f t="shared" si="19"/>
        <v>15</v>
      </c>
      <c r="X120" s="46">
        <f t="shared" si="20"/>
        <v>12</v>
      </c>
      <c r="Y120" s="46">
        <f t="shared" si="21"/>
        <v>15</v>
      </c>
      <c r="Z120" s="46">
        <f t="shared" si="22"/>
        <v>12</v>
      </c>
      <c r="AA120" s="46">
        <f t="shared" si="23"/>
        <v>16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65</v>
      </c>
      <c r="N121" s="47" t="s">
        <v>38</v>
      </c>
      <c r="O121" s="47" t="s">
        <v>254</v>
      </c>
      <c r="P121" s="47" t="s">
        <v>25</v>
      </c>
      <c r="Q121" s="47" t="s">
        <v>35</v>
      </c>
      <c r="R121" s="47" t="s">
        <v>38</v>
      </c>
      <c r="S121" s="33" t="s">
        <v>40</v>
      </c>
      <c r="U121" s="46">
        <f t="shared" si="17"/>
        <v>17</v>
      </c>
      <c r="V121" s="46">
        <f t="shared" si="18"/>
        <v>15</v>
      </c>
      <c r="W121" s="46">
        <f t="shared" si="19"/>
        <v>0</v>
      </c>
      <c r="X121" s="46">
        <f t="shared" si="20"/>
        <v>5</v>
      </c>
      <c r="Y121" s="46">
        <f t="shared" si="21"/>
        <v>15</v>
      </c>
      <c r="Z121" s="46">
        <f t="shared" si="22"/>
        <v>15</v>
      </c>
      <c r="AA121" s="46">
        <f t="shared" si="23"/>
        <v>12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0</v>
      </c>
      <c r="AM121" s="46">
        <v>0</v>
      </c>
      <c r="AN121" s="46">
        <v>0</v>
      </c>
      <c r="AO121" s="46">
        <v>0</v>
      </c>
      <c r="AP121" s="46">
        <v>0</v>
      </c>
      <c r="AQ121" s="46">
        <v>0</v>
      </c>
      <c r="AR121" s="46">
        <v>0</v>
      </c>
      <c r="AS121" s="5">
        <v>1</v>
      </c>
    </row>
    <row r="122" spans="12:46">
      <c r="L122" s="19">
        <v>118</v>
      </c>
      <c r="M122" s="47" t="s">
        <v>25</v>
      </c>
      <c r="N122" s="47" t="s">
        <v>90</v>
      </c>
      <c r="O122" s="47" t="s">
        <v>40</v>
      </c>
      <c r="P122" s="47" t="s">
        <v>33</v>
      </c>
      <c r="Q122" s="47" t="s">
        <v>65</v>
      </c>
      <c r="R122" s="47" t="s">
        <v>34</v>
      </c>
      <c r="S122" s="33" t="s">
        <v>40</v>
      </c>
      <c r="U122" s="46">
        <f t="shared" si="17"/>
        <v>5</v>
      </c>
      <c r="V122" s="46">
        <f t="shared" si="18"/>
        <v>6</v>
      </c>
      <c r="W122" s="46">
        <f t="shared" si="19"/>
        <v>12</v>
      </c>
      <c r="X122" s="46">
        <f t="shared" si="20"/>
        <v>11</v>
      </c>
      <c r="Y122" s="46">
        <f t="shared" si="21"/>
        <v>17</v>
      </c>
      <c r="Z122" s="46">
        <f t="shared" si="22"/>
        <v>16</v>
      </c>
      <c r="AA122" s="46">
        <f t="shared" si="23"/>
        <v>12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203" t="s">
        <v>20</v>
      </c>
      <c r="AL122" s="203">
        <v>1</v>
      </c>
      <c r="AM122" s="203">
        <v>1</v>
      </c>
      <c r="AN122" s="203">
        <v>1</v>
      </c>
      <c r="AO122" s="203">
        <v>1</v>
      </c>
      <c r="AP122" s="203">
        <v>1</v>
      </c>
      <c r="AQ122" s="203">
        <v>1</v>
      </c>
      <c r="AR122" s="203">
        <v>0</v>
      </c>
      <c r="AS122" s="200">
        <v>2</v>
      </c>
    </row>
    <row r="123" spans="12:46">
      <c r="L123" s="18">
        <v>119</v>
      </c>
      <c r="M123" s="47" t="s">
        <v>39</v>
      </c>
      <c r="N123" s="47" t="s">
        <v>90</v>
      </c>
      <c r="O123" s="47" t="s">
        <v>34</v>
      </c>
      <c r="P123" s="47" t="s">
        <v>39</v>
      </c>
      <c r="Q123" s="47" t="s">
        <v>40</v>
      </c>
      <c r="R123" s="47" t="s">
        <v>25</v>
      </c>
      <c r="S123" s="33" t="s">
        <v>40</v>
      </c>
      <c r="U123" s="46">
        <f t="shared" si="17"/>
        <v>5</v>
      </c>
      <c r="V123" s="46">
        <f t="shared" si="18"/>
        <v>6</v>
      </c>
      <c r="W123" s="46">
        <f t="shared" si="19"/>
        <v>16</v>
      </c>
      <c r="X123" s="46">
        <f t="shared" si="20"/>
        <v>5</v>
      </c>
      <c r="Y123" s="46">
        <f t="shared" si="21"/>
        <v>12</v>
      </c>
      <c r="Z123" s="46">
        <f t="shared" si="22"/>
        <v>5</v>
      </c>
      <c r="AA123" s="46">
        <f t="shared" si="23"/>
        <v>12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203" t="s">
        <v>21</v>
      </c>
      <c r="AL123" s="203">
        <v>1</v>
      </c>
      <c r="AM123" s="203">
        <v>70</v>
      </c>
      <c r="AN123" s="203">
        <v>1</v>
      </c>
      <c r="AO123" s="203">
        <v>70</v>
      </c>
      <c r="AP123" s="203">
        <v>1</v>
      </c>
      <c r="AQ123" s="203">
        <v>1</v>
      </c>
      <c r="AR123" s="203">
        <v>0</v>
      </c>
      <c r="AS123" s="200">
        <v>3</v>
      </c>
    </row>
    <row r="124" spans="12:46">
      <c r="L124" s="19">
        <v>120</v>
      </c>
      <c r="M124" s="47" t="s">
        <v>39</v>
      </c>
      <c r="N124" s="47" t="s">
        <v>37</v>
      </c>
      <c r="O124" s="47" t="s">
        <v>35</v>
      </c>
      <c r="P124" s="47" t="s">
        <v>39</v>
      </c>
      <c r="Q124" s="47" t="s">
        <v>40</v>
      </c>
      <c r="R124" s="47" t="s">
        <v>25</v>
      </c>
      <c r="S124" s="33" t="s">
        <v>37</v>
      </c>
      <c r="U124" s="46">
        <f t="shared" si="17"/>
        <v>5</v>
      </c>
      <c r="V124" s="46">
        <f t="shared" si="18"/>
        <v>13</v>
      </c>
      <c r="W124" s="46">
        <f t="shared" si="19"/>
        <v>15</v>
      </c>
      <c r="X124" s="46">
        <f t="shared" si="20"/>
        <v>5</v>
      </c>
      <c r="Y124" s="46">
        <f t="shared" si="21"/>
        <v>12</v>
      </c>
      <c r="Z124" s="46">
        <f t="shared" si="22"/>
        <v>5</v>
      </c>
      <c r="AA124" s="46">
        <f t="shared" si="23"/>
        <v>13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203" t="s">
        <v>17</v>
      </c>
      <c r="AL124" s="203">
        <v>1</v>
      </c>
      <c r="AM124" s="203">
        <v>1</v>
      </c>
      <c r="AN124" s="203">
        <v>5</v>
      </c>
      <c r="AO124" s="203">
        <v>1</v>
      </c>
      <c r="AP124" s="203">
        <v>1</v>
      </c>
      <c r="AQ124" s="203">
        <v>70</v>
      </c>
      <c r="AR124" s="203">
        <v>1</v>
      </c>
      <c r="AS124" s="200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203" t="s">
        <v>18</v>
      </c>
      <c r="AL125" s="203">
        <v>1</v>
      </c>
      <c r="AM125" s="203">
        <v>70</v>
      </c>
      <c r="AN125" s="203">
        <v>1</v>
      </c>
      <c r="AO125" s="203">
        <v>1</v>
      </c>
      <c r="AP125" s="203">
        <v>1</v>
      </c>
      <c r="AQ125" s="203">
        <v>70</v>
      </c>
      <c r="AR125" s="203">
        <v>1</v>
      </c>
      <c r="AS125" s="200">
        <v>5</v>
      </c>
    </row>
    <row r="126" spans="12:46">
      <c r="AK126" s="203" t="s">
        <v>64</v>
      </c>
      <c r="AL126" s="203">
        <v>5</v>
      </c>
      <c r="AM126" s="203">
        <v>1</v>
      </c>
      <c r="AN126" s="203">
        <v>70</v>
      </c>
      <c r="AO126" s="203">
        <v>1</v>
      </c>
      <c r="AP126" s="203">
        <v>70</v>
      </c>
      <c r="AQ126" s="203">
        <v>1</v>
      </c>
      <c r="AR126" s="203">
        <v>1</v>
      </c>
      <c r="AS126" s="200">
        <v>6</v>
      </c>
    </row>
    <row r="127" spans="12:46">
      <c r="AK127" s="203" t="s">
        <v>89</v>
      </c>
      <c r="AL127" s="203">
        <v>1</v>
      </c>
      <c r="AM127" s="203">
        <v>70</v>
      </c>
      <c r="AN127" s="203">
        <v>1</v>
      </c>
      <c r="AO127" s="203">
        <v>1</v>
      </c>
      <c r="AP127" s="203">
        <v>1</v>
      </c>
      <c r="AQ127" s="203">
        <v>70</v>
      </c>
      <c r="AR127" s="203">
        <v>1</v>
      </c>
      <c r="AS127" s="200">
        <v>7</v>
      </c>
    </row>
    <row r="128" spans="12:46">
      <c r="AK128" s="46" t="s">
        <v>24</v>
      </c>
      <c r="AL128" s="46">
        <v>1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1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203" t="s">
        <v>234</v>
      </c>
      <c r="AL133" s="203">
        <v>0</v>
      </c>
      <c r="AM133" s="203">
        <v>0</v>
      </c>
      <c r="AN133" s="203">
        <v>0</v>
      </c>
      <c r="AO133" s="203">
        <v>0</v>
      </c>
      <c r="AP133" s="203">
        <v>0</v>
      </c>
      <c r="AQ133" s="203">
        <v>0</v>
      </c>
      <c r="AR133" s="203">
        <v>0</v>
      </c>
      <c r="AS133" s="200">
        <v>13</v>
      </c>
      <c r="AT133" s="11"/>
    </row>
    <row r="134" spans="37:46">
      <c r="AK134" s="203" t="s">
        <v>236</v>
      </c>
      <c r="AL134" s="203">
        <v>0</v>
      </c>
      <c r="AM134" s="203">
        <v>1</v>
      </c>
      <c r="AN134" s="203">
        <v>1</v>
      </c>
      <c r="AO134" s="203">
        <v>1</v>
      </c>
      <c r="AP134" s="203">
        <v>1</v>
      </c>
      <c r="AQ134" s="203">
        <v>0</v>
      </c>
      <c r="AR134" s="203">
        <v>0</v>
      </c>
      <c r="AS134" s="200">
        <v>14</v>
      </c>
      <c r="AT134" s="11"/>
    </row>
    <row r="135" spans="37:46">
      <c r="AK135" s="203" t="s">
        <v>238</v>
      </c>
      <c r="AL135" s="203">
        <v>0</v>
      </c>
      <c r="AM135" s="203">
        <v>1</v>
      </c>
      <c r="AN135" s="203">
        <v>1</v>
      </c>
      <c r="AO135" s="203">
        <v>1</v>
      </c>
      <c r="AP135" s="203">
        <v>1</v>
      </c>
      <c r="AQ135" s="203">
        <v>0</v>
      </c>
      <c r="AR135" s="203">
        <v>0</v>
      </c>
      <c r="AS135" s="200">
        <v>15</v>
      </c>
      <c r="AT135" s="11"/>
    </row>
    <row r="136" spans="37:46">
      <c r="AK136" s="203" t="s">
        <v>240</v>
      </c>
      <c r="AL136" s="203">
        <v>0</v>
      </c>
      <c r="AM136" s="203">
        <v>1</v>
      </c>
      <c r="AN136" s="203">
        <v>1</v>
      </c>
      <c r="AO136" s="203">
        <v>1</v>
      </c>
      <c r="AP136" s="203">
        <v>1</v>
      </c>
      <c r="AQ136" s="203">
        <v>0</v>
      </c>
      <c r="AR136" s="203">
        <v>0</v>
      </c>
      <c r="AS136" s="200">
        <v>16</v>
      </c>
      <c r="AT136" s="11"/>
    </row>
    <row r="137" spans="37:46">
      <c r="AK137" s="203" t="s">
        <v>242</v>
      </c>
      <c r="AL137" s="203">
        <v>0</v>
      </c>
      <c r="AM137" s="203">
        <v>1</v>
      </c>
      <c r="AN137" s="203">
        <v>1</v>
      </c>
      <c r="AO137" s="203">
        <v>1</v>
      </c>
      <c r="AP137" s="203">
        <v>2</v>
      </c>
      <c r="AQ137" s="203">
        <v>0</v>
      </c>
      <c r="AR137" s="203">
        <v>0</v>
      </c>
      <c r="AS137" s="200">
        <v>17</v>
      </c>
      <c r="AT137" s="11"/>
    </row>
    <row r="138" spans="37:46">
      <c r="AK138" s="203" t="s">
        <v>244</v>
      </c>
      <c r="AL138" s="203">
        <v>0</v>
      </c>
      <c r="AM138" s="203">
        <v>1</v>
      </c>
      <c r="AN138" s="203">
        <v>1</v>
      </c>
      <c r="AO138" s="203">
        <v>1</v>
      </c>
      <c r="AP138" s="203">
        <v>1</v>
      </c>
      <c r="AQ138" s="203">
        <v>0</v>
      </c>
      <c r="AR138" s="203">
        <v>0</v>
      </c>
      <c r="AS138" s="200">
        <v>18</v>
      </c>
      <c r="AT138" s="11"/>
    </row>
    <row r="139" spans="37:46">
      <c r="AK139" s="46" t="s">
        <v>246</v>
      </c>
      <c r="AL139" s="46">
        <v>0</v>
      </c>
      <c r="AM139" s="46">
        <v>1</v>
      </c>
      <c r="AN139" s="46">
        <v>1</v>
      </c>
      <c r="AO139" s="46">
        <v>1</v>
      </c>
      <c r="AP139" s="46">
        <v>1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248</v>
      </c>
      <c r="AL140" s="46">
        <v>0</v>
      </c>
      <c r="AM140" s="46">
        <v>1</v>
      </c>
      <c r="AN140" s="46">
        <v>1</v>
      </c>
      <c r="AO140" s="46">
        <v>1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250</v>
      </c>
      <c r="AL141" s="46">
        <v>0</v>
      </c>
      <c r="AM141" s="46">
        <v>1</v>
      </c>
      <c r="AN141" s="46">
        <v>1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252</v>
      </c>
      <c r="AL142" s="46">
        <v>0</v>
      </c>
      <c r="AM142" s="46">
        <v>1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254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203" t="s">
        <v>101</v>
      </c>
      <c r="AL144" s="203">
        <v>0</v>
      </c>
      <c r="AM144" s="203">
        <v>0</v>
      </c>
      <c r="AN144" s="203">
        <v>0</v>
      </c>
      <c r="AO144" s="203">
        <v>0</v>
      </c>
      <c r="AP144" s="203">
        <v>0</v>
      </c>
      <c r="AQ144" s="203">
        <v>0</v>
      </c>
      <c r="AR144" s="203">
        <v>0</v>
      </c>
      <c r="AS144" s="200">
        <v>24</v>
      </c>
      <c r="AT144" s="11"/>
    </row>
    <row r="145" spans="37:46">
      <c r="AK145" s="203" t="s">
        <v>269</v>
      </c>
      <c r="AL145" s="203">
        <v>0</v>
      </c>
      <c r="AM145" s="203">
        <v>1</v>
      </c>
      <c r="AN145" s="203">
        <v>1</v>
      </c>
      <c r="AO145" s="203">
        <v>1</v>
      </c>
      <c r="AP145" s="203">
        <v>1</v>
      </c>
      <c r="AQ145" s="203">
        <v>0</v>
      </c>
      <c r="AR145" s="203">
        <v>0</v>
      </c>
      <c r="AS145" s="200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99"/>
      <c r="N304" s="199"/>
      <c r="O304" s="199"/>
      <c r="P304" s="199"/>
      <c r="Q304" s="199"/>
      <c r="R304" s="199"/>
      <c r="S304" s="199"/>
      <c r="T304" s="1"/>
      <c r="U304" s="1"/>
      <c r="V304" s="197"/>
      <c r="W304" s="197"/>
      <c r="X304" s="197"/>
      <c r="Y304" s="197"/>
      <c r="Z304" s="197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1" spans="37:45">
      <c r="AK321" s="28"/>
      <c r="AL321" s="28"/>
      <c r="AM321" s="28"/>
      <c r="AN321" s="28"/>
      <c r="AO321" s="28"/>
      <c r="AP321" s="28"/>
      <c r="AQ321" s="28"/>
      <c r="AR321" s="28"/>
      <c r="AS321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120" priority="1" operator="equal">
      <formula>"C1"</formula>
    </cfRule>
    <cfRule type="cellIs" dxfId="119" priority="2" operator="equal">
      <formula>"G6"</formula>
    </cfRule>
    <cfRule type="cellIs" dxfId="118" priority="3" operator="equal">
      <formula>"G5"</formula>
    </cfRule>
    <cfRule type="cellIs" dxfId="117" priority="4" operator="equal">
      <formula>"G4"</formula>
    </cfRule>
    <cfRule type="cellIs" dxfId="116" priority="5" operator="equal">
      <formula>"G3"</formula>
    </cfRule>
    <cfRule type="cellIs" dxfId="115" priority="6" operator="equal">
      <formula>"G2"</formula>
    </cfRule>
    <cfRule type="cellIs" dxfId="114" priority="7" operator="equal">
      <formula>"G1"</formula>
    </cfRule>
    <cfRule type="cellIs" dxfId="113" priority="8" operator="equal">
      <formula>"M5"</formula>
    </cfRule>
    <cfRule type="cellIs" dxfId="112" priority="9" operator="equal">
      <formula>"M4"</formula>
    </cfRule>
    <cfRule type="cellIs" dxfId="111" priority="10" operator="equal">
      <formula>"M3"</formula>
    </cfRule>
    <cfRule type="cellIs" dxfId="110" priority="11" operator="equal">
      <formula>"M6"</formula>
    </cfRule>
    <cfRule type="cellIs" dxfId="109" priority="12" operator="equal">
      <formula>"M2"</formula>
    </cfRule>
    <cfRule type="cellIs" dxfId="10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>
    <tabColor theme="3" tint="0.59999389629810485"/>
  </sheetPr>
  <dimension ref="A2:AT405"/>
  <sheetViews>
    <sheetView topLeftCell="A2"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99" customWidth="1"/>
    <col min="20" max="20" width="8.88671875" style="1" customWidth="1"/>
    <col min="21" max="21" width="5.5546875" style="1" customWidth="1"/>
    <col min="22" max="26" width="5.5546875" style="19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5" width="5.33203125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231</v>
      </c>
      <c r="AC2" s="11" t="s">
        <v>232</v>
      </c>
      <c r="AD2" s="215"/>
      <c r="AE2" s="215"/>
      <c r="AF2" s="215"/>
      <c r="AG2" s="215"/>
      <c r="AH2" s="215"/>
      <c r="AI2" s="215"/>
      <c r="AK2" s="49" t="s">
        <v>276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99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52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98" t="str" cm="1">
        <f t="array" ref="A4:B29">Overview!$A$42:$B$67</f>
        <v>WW</v>
      </c>
      <c r="B4" s="198" t="str">
        <v>Wild</v>
      </c>
      <c r="C4" s="101">
        <f t="shared" ref="C4:C29" si="0">COUNTIF(M$4:M$304,$A4)</f>
        <v>0</v>
      </c>
      <c r="D4" s="101">
        <f t="shared" ref="D4:I19" si="1">COUNTIF(N$4:N$304,$A4)</f>
        <v>0</v>
      </c>
      <c r="E4" s="101">
        <f t="shared" si="1"/>
        <v>0</v>
      </c>
      <c r="F4" s="101">
        <f t="shared" si="1"/>
        <v>0</v>
      </c>
      <c r="G4" s="101">
        <f t="shared" si="1"/>
        <v>0</v>
      </c>
      <c r="H4" s="101">
        <f t="shared" si="1"/>
        <v>0</v>
      </c>
      <c r="I4" s="101">
        <f t="shared" si="1"/>
        <v>0</v>
      </c>
      <c r="J4" s="198">
        <v>0</v>
      </c>
      <c r="K4" s="43"/>
      <c r="L4" s="19">
        <v>0</v>
      </c>
      <c r="M4" s="205" t="s">
        <v>89</v>
      </c>
      <c r="N4" s="205" t="s">
        <v>89</v>
      </c>
      <c r="O4" s="205" t="s">
        <v>26</v>
      </c>
      <c r="P4" s="205" t="s">
        <v>64</v>
      </c>
      <c r="Q4" s="205" t="s">
        <v>18</v>
      </c>
      <c r="R4" s="205" t="s">
        <v>24</v>
      </c>
      <c r="S4" s="206" t="s">
        <v>24</v>
      </c>
      <c r="U4" s="207">
        <f t="shared" ref="U4:AA19" si="2">VLOOKUP(M4, $A$4:$J$29, 9, 0)</f>
        <v>7</v>
      </c>
      <c r="V4" s="207">
        <f t="shared" si="2"/>
        <v>7</v>
      </c>
      <c r="W4" s="207">
        <f t="shared" si="2"/>
        <v>7</v>
      </c>
      <c r="X4" s="207">
        <f t="shared" si="2"/>
        <v>14</v>
      </c>
      <c r="Y4" s="207">
        <f t="shared" si="2"/>
        <v>10</v>
      </c>
      <c r="Z4" s="207">
        <f t="shared" si="2"/>
        <v>11</v>
      </c>
      <c r="AA4" s="207">
        <f t="shared" si="2"/>
        <v>11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98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si="0"/>
        <v>0</v>
      </c>
      <c r="D5" s="12">
        <f t="shared" si="1"/>
        <v>0</v>
      </c>
      <c r="E5" s="12">
        <f t="shared" si="1"/>
        <v>0</v>
      </c>
      <c r="F5" s="12">
        <f t="shared" si="1"/>
        <v>0</v>
      </c>
      <c r="G5" s="12">
        <f t="shared" si="1"/>
        <v>0</v>
      </c>
      <c r="H5" s="12">
        <f t="shared" si="1"/>
        <v>0</v>
      </c>
      <c r="I5" s="12">
        <f t="shared" si="1"/>
        <v>0</v>
      </c>
      <c r="J5" s="5">
        <v>1</v>
      </c>
      <c r="K5" s="43"/>
      <c r="L5" s="18">
        <v>1</v>
      </c>
      <c r="M5" s="47" t="s">
        <v>26</v>
      </c>
      <c r="N5" s="47" t="s">
        <v>28</v>
      </c>
      <c r="O5" s="47" t="s">
        <v>26</v>
      </c>
      <c r="P5" s="47" t="s">
        <v>24</v>
      </c>
      <c r="Q5" s="47" t="s">
        <v>240</v>
      </c>
      <c r="R5" s="47" t="s">
        <v>26</v>
      </c>
      <c r="S5" s="33" t="s">
        <v>24</v>
      </c>
      <c r="U5" s="46">
        <f t="shared" si="2"/>
        <v>7</v>
      </c>
      <c r="V5" s="46">
        <f t="shared" si="2"/>
        <v>15</v>
      </c>
      <c r="W5" s="46">
        <f t="shared" si="2"/>
        <v>7</v>
      </c>
      <c r="X5" s="46">
        <f t="shared" si="2"/>
        <v>11</v>
      </c>
      <c r="Y5" s="46">
        <f t="shared" si="2"/>
        <v>0</v>
      </c>
      <c r="Z5" s="46">
        <f t="shared" si="2"/>
        <v>7</v>
      </c>
      <c r="AA5" s="46">
        <f t="shared" si="2"/>
        <v>11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10</v>
      </c>
      <c r="AM5" s="46">
        <v>10</v>
      </c>
      <c r="AN5" s="46">
        <v>10</v>
      </c>
      <c r="AO5" s="46">
        <v>10</v>
      </c>
      <c r="AP5" s="46">
        <v>10</v>
      </c>
      <c r="AQ5" s="46">
        <v>10</v>
      </c>
      <c r="AR5" s="46">
        <v>5</v>
      </c>
      <c r="AS5" s="5">
        <v>1</v>
      </c>
    </row>
    <row r="6" spans="1:45" ht="15.9" customHeight="1">
      <c r="A6" s="200" t="str">
        <v>M1</v>
      </c>
      <c r="B6" s="200" t="str">
        <v>M1</v>
      </c>
      <c r="C6" s="202">
        <f t="shared" si="0"/>
        <v>0</v>
      </c>
      <c r="D6" s="202">
        <f t="shared" si="1"/>
        <v>0</v>
      </c>
      <c r="E6" s="202">
        <f t="shared" si="1"/>
        <v>0</v>
      </c>
      <c r="F6" s="202">
        <f t="shared" si="1"/>
        <v>0</v>
      </c>
      <c r="G6" s="202">
        <f t="shared" si="1"/>
        <v>0</v>
      </c>
      <c r="H6" s="202">
        <f t="shared" si="1"/>
        <v>0</v>
      </c>
      <c r="I6" s="202">
        <f t="shared" si="1"/>
        <v>0</v>
      </c>
      <c r="J6" s="200">
        <v>2</v>
      </c>
      <c r="L6" s="19">
        <v>2</v>
      </c>
      <c r="M6" s="47" t="s">
        <v>28</v>
      </c>
      <c r="N6" s="47" t="s">
        <v>29</v>
      </c>
      <c r="O6" s="47" t="s">
        <v>21</v>
      </c>
      <c r="P6" s="47" t="s">
        <v>24</v>
      </c>
      <c r="Q6" s="47" t="s">
        <v>64</v>
      </c>
      <c r="R6" s="47" t="s">
        <v>64</v>
      </c>
      <c r="S6" s="33" t="s">
        <v>24</v>
      </c>
      <c r="U6" s="46">
        <f t="shared" si="2"/>
        <v>15</v>
      </c>
      <c r="V6" s="46">
        <f t="shared" si="2"/>
        <v>19</v>
      </c>
      <c r="W6" s="46">
        <f t="shared" si="2"/>
        <v>12</v>
      </c>
      <c r="X6" s="46">
        <f t="shared" si="2"/>
        <v>11</v>
      </c>
      <c r="Y6" s="46">
        <f t="shared" si="2"/>
        <v>14</v>
      </c>
      <c r="Z6" s="46">
        <f t="shared" si="2"/>
        <v>14</v>
      </c>
      <c r="AA6" s="46">
        <f t="shared" si="2"/>
        <v>11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203" t="s">
        <v>20</v>
      </c>
      <c r="AL6" s="203">
        <v>8</v>
      </c>
      <c r="AM6" s="203">
        <v>8</v>
      </c>
      <c r="AN6" s="203">
        <v>8</v>
      </c>
      <c r="AO6" s="203">
        <v>8</v>
      </c>
      <c r="AP6" s="203">
        <v>8</v>
      </c>
      <c r="AQ6" s="203">
        <v>8</v>
      </c>
      <c r="AR6" s="203">
        <v>8</v>
      </c>
      <c r="AS6" s="200">
        <v>2</v>
      </c>
    </row>
    <row r="7" spans="1:45" ht="15.9" customHeight="1">
      <c r="A7" s="200" t="str">
        <v>M2</v>
      </c>
      <c r="B7" s="200" t="str">
        <v>M2</v>
      </c>
      <c r="C7" s="202">
        <f t="shared" si="0"/>
        <v>1</v>
      </c>
      <c r="D7" s="202">
        <f t="shared" si="1"/>
        <v>12</v>
      </c>
      <c r="E7" s="202">
        <f t="shared" si="1"/>
        <v>7</v>
      </c>
      <c r="F7" s="202">
        <f t="shared" si="1"/>
        <v>3</v>
      </c>
      <c r="G7" s="202">
        <f t="shared" si="1"/>
        <v>9</v>
      </c>
      <c r="H7" s="202">
        <f t="shared" si="1"/>
        <v>0</v>
      </c>
      <c r="I7" s="202">
        <f t="shared" si="1"/>
        <v>12</v>
      </c>
      <c r="J7" s="200">
        <v>3</v>
      </c>
      <c r="L7" s="18">
        <v>3</v>
      </c>
      <c r="M7" s="47" t="s">
        <v>29</v>
      </c>
      <c r="N7" s="47" t="s">
        <v>27</v>
      </c>
      <c r="O7" s="47" t="s">
        <v>24</v>
      </c>
      <c r="P7" s="47" t="s">
        <v>24</v>
      </c>
      <c r="Q7" s="47" t="s">
        <v>64</v>
      </c>
      <c r="R7" s="47" t="s">
        <v>29</v>
      </c>
      <c r="S7" s="33" t="s">
        <v>24</v>
      </c>
      <c r="U7" s="46">
        <f t="shared" si="2"/>
        <v>19</v>
      </c>
      <c r="V7" s="46">
        <f t="shared" si="2"/>
        <v>12</v>
      </c>
      <c r="W7" s="46">
        <f t="shared" si="2"/>
        <v>11</v>
      </c>
      <c r="X7" s="46">
        <f t="shared" si="2"/>
        <v>11</v>
      </c>
      <c r="Y7" s="46">
        <f t="shared" si="2"/>
        <v>14</v>
      </c>
      <c r="Z7" s="46">
        <f t="shared" si="2"/>
        <v>19</v>
      </c>
      <c r="AA7" s="46">
        <f t="shared" si="2"/>
        <v>11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203" t="s">
        <v>21</v>
      </c>
      <c r="AL7" s="203">
        <v>10</v>
      </c>
      <c r="AM7" s="203">
        <v>13</v>
      </c>
      <c r="AN7" s="203">
        <v>10</v>
      </c>
      <c r="AO7" s="203">
        <v>5</v>
      </c>
      <c r="AP7" s="203">
        <v>20</v>
      </c>
      <c r="AQ7" s="203">
        <v>5</v>
      </c>
      <c r="AR7" s="203">
        <v>10</v>
      </c>
      <c r="AS7" s="200">
        <v>3</v>
      </c>
    </row>
    <row r="8" spans="1:45" ht="15.9" customHeight="1">
      <c r="A8" s="200" t="str">
        <v>M3</v>
      </c>
      <c r="B8" s="200" t="str">
        <v>M3</v>
      </c>
      <c r="C8" s="202">
        <f t="shared" si="0"/>
        <v>3</v>
      </c>
      <c r="D8" s="202">
        <f t="shared" si="1"/>
        <v>1</v>
      </c>
      <c r="E8" s="202">
        <f t="shared" si="1"/>
        <v>3</v>
      </c>
      <c r="F8" s="202">
        <f t="shared" si="1"/>
        <v>8</v>
      </c>
      <c r="G8" s="202">
        <f t="shared" si="1"/>
        <v>3</v>
      </c>
      <c r="H8" s="202">
        <f t="shared" si="1"/>
        <v>3</v>
      </c>
      <c r="I8" s="202">
        <f t="shared" si="1"/>
        <v>14</v>
      </c>
      <c r="J8" s="200">
        <v>4</v>
      </c>
      <c r="L8" s="19">
        <v>4</v>
      </c>
      <c r="M8" s="47" t="s">
        <v>26</v>
      </c>
      <c r="N8" s="47" t="s">
        <v>29</v>
      </c>
      <c r="O8" s="47" t="s">
        <v>238</v>
      </c>
      <c r="P8" s="47" t="s">
        <v>27</v>
      </c>
      <c r="Q8" s="47" t="s">
        <v>26</v>
      </c>
      <c r="R8" s="47" t="s">
        <v>29</v>
      </c>
      <c r="S8" s="33" t="s">
        <v>21</v>
      </c>
      <c r="U8" s="46">
        <f t="shared" si="2"/>
        <v>7</v>
      </c>
      <c r="V8" s="46">
        <f t="shared" si="2"/>
        <v>19</v>
      </c>
      <c r="W8" s="46">
        <f t="shared" si="2"/>
        <v>0</v>
      </c>
      <c r="X8" s="46">
        <f t="shared" si="2"/>
        <v>12</v>
      </c>
      <c r="Y8" s="46">
        <f t="shared" si="2"/>
        <v>7</v>
      </c>
      <c r="Z8" s="46">
        <f t="shared" si="2"/>
        <v>19</v>
      </c>
      <c r="AA8" s="46">
        <f t="shared" si="2"/>
        <v>12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203" t="s">
        <v>17</v>
      </c>
      <c r="AL8" s="203">
        <v>15</v>
      </c>
      <c r="AM8" s="203">
        <v>10</v>
      </c>
      <c r="AN8" s="203">
        <v>15</v>
      </c>
      <c r="AO8" s="203">
        <v>5</v>
      </c>
      <c r="AP8" s="203">
        <v>18</v>
      </c>
      <c r="AQ8" s="203">
        <v>20</v>
      </c>
      <c r="AR8" s="203">
        <v>10</v>
      </c>
      <c r="AS8" s="200">
        <v>4</v>
      </c>
    </row>
    <row r="9" spans="1:45" ht="15.9" customHeight="1">
      <c r="A9" s="200" t="str">
        <v>M4</v>
      </c>
      <c r="B9" s="200" t="str">
        <v>M4</v>
      </c>
      <c r="C9" s="202">
        <f t="shared" si="0"/>
        <v>8</v>
      </c>
      <c r="D9" s="202">
        <f t="shared" si="1"/>
        <v>1</v>
      </c>
      <c r="E9" s="202">
        <f t="shared" si="1"/>
        <v>16</v>
      </c>
      <c r="F9" s="202">
        <f t="shared" si="1"/>
        <v>3</v>
      </c>
      <c r="G9" s="202">
        <f t="shared" si="1"/>
        <v>15</v>
      </c>
      <c r="H9" s="202">
        <f t="shared" si="1"/>
        <v>5</v>
      </c>
      <c r="I9" s="202">
        <f t="shared" si="1"/>
        <v>10</v>
      </c>
      <c r="J9" s="200">
        <v>5</v>
      </c>
      <c r="L9" s="18">
        <v>5</v>
      </c>
      <c r="M9" s="47" t="s">
        <v>28</v>
      </c>
      <c r="N9" s="47" t="s">
        <v>21</v>
      </c>
      <c r="O9" s="47" t="s">
        <v>17</v>
      </c>
      <c r="P9" s="47" t="s">
        <v>27</v>
      </c>
      <c r="Q9" s="47" t="s">
        <v>26</v>
      </c>
      <c r="R9" s="47" t="s">
        <v>64</v>
      </c>
      <c r="S9" s="33" t="s">
        <v>21</v>
      </c>
      <c r="U9" s="46">
        <f t="shared" si="2"/>
        <v>15</v>
      </c>
      <c r="V9" s="46">
        <f t="shared" si="2"/>
        <v>12</v>
      </c>
      <c r="W9" s="46">
        <f t="shared" si="2"/>
        <v>14</v>
      </c>
      <c r="X9" s="46">
        <f t="shared" si="2"/>
        <v>12</v>
      </c>
      <c r="Y9" s="46">
        <f t="shared" si="2"/>
        <v>7</v>
      </c>
      <c r="Z9" s="46">
        <f t="shared" si="2"/>
        <v>14</v>
      </c>
      <c r="AA9" s="46">
        <f t="shared" si="2"/>
        <v>12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203" t="s">
        <v>18</v>
      </c>
      <c r="AL9" s="203">
        <v>10</v>
      </c>
      <c r="AM9" s="203">
        <v>20</v>
      </c>
      <c r="AN9" s="203">
        <v>20</v>
      </c>
      <c r="AO9" s="203">
        <v>20</v>
      </c>
      <c r="AP9" s="203">
        <v>10</v>
      </c>
      <c r="AQ9" s="203">
        <v>20</v>
      </c>
      <c r="AR9" s="203">
        <v>10</v>
      </c>
      <c r="AS9" s="200">
        <v>5</v>
      </c>
    </row>
    <row r="10" spans="1:45" ht="15.9" customHeight="1">
      <c r="A10" s="200" t="str">
        <v>M5</v>
      </c>
      <c r="B10" s="200" t="str">
        <v>M5</v>
      </c>
      <c r="C10" s="202">
        <f t="shared" si="0"/>
        <v>8</v>
      </c>
      <c r="D10" s="202">
        <f t="shared" si="1"/>
        <v>17</v>
      </c>
      <c r="E10" s="202">
        <f t="shared" si="1"/>
        <v>1</v>
      </c>
      <c r="F10" s="202">
        <f t="shared" si="1"/>
        <v>26</v>
      </c>
      <c r="G10" s="202">
        <f t="shared" si="1"/>
        <v>6</v>
      </c>
      <c r="H10" s="202">
        <f t="shared" si="1"/>
        <v>27</v>
      </c>
      <c r="I10" s="202">
        <f t="shared" si="1"/>
        <v>14</v>
      </c>
      <c r="J10" s="200">
        <v>6</v>
      </c>
      <c r="L10" s="19">
        <v>6</v>
      </c>
      <c r="M10" s="47" t="s">
        <v>26</v>
      </c>
      <c r="N10" s="47" t="s">
        <v>21</v>
      </c>
      <c r="O10" s="47" t="s">
        <v>24</v>
      </c>
      <c r="P10" s="47" t="s">
        <v>27</v>
      </c>
      <c r="Q10" s="47" t="s">
        <v>89</v>
      </c>
      <c r="R10" s="47" t="s">
        <v>64</v>
      </c>
      <c r="S10" s="33" t="s">
        <v>21</v>
      </c>
      <c r="U10" s="46">
        <f t="shared" si="2"/>
        <v>7</v>
      </c>
      <c r="V10" s="46">
        <f t="shared" si="2"/>
        <v>12</v>
      </c>
      <c r="W10" s="46">
        <f t="shared" si="2"/>
        <v>11</v>
      </c>
      <c r="X10" s="46">
        <f t="shared" si="2"/>
        <v>12</v>
      </c>
      <c r="Y10" s="46">
        <f t="shared" si="2"/>
        <v>7</v>
      </c>
      <c r="Z10" s="46">
        <f t="shared" si="2"/>
        <v>14</v>
      </c>
      <c r="AA10" s="46">
        <f t="shared" si="2"/>
        <v>12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203" t="s">
        <v>64</v>
      </c>
      <c r="AL10" s="203">
        <v>50</v>
      </c>
      <c r="AM10" s="203">
        <v>50</v>
      </c>
      <c r="AN10" s="203">
        <v>50</v>
      </c>
      <c r="AO10" s="203">
        <v>50</v>
      </c>
      <c r="AP10" s="203">
        <v>50</v>
      </c>
      <c r="AQ10" s="203">
        <v>50</v>
      </c>
      <c r="AR10" s="203">
        <v>10</v>
      </c>
      <c r="AS10" s="200">
        <v>6</v>
      </c>
    </row>
    <row r="11" spans="1:45" ht="15.9" customHeight="1">
      <c r="A11" s="200" t="str">
        <v>M6</v>
      </c>
      <c r="B11" s="200" t="str">
        <v>M6</v>
      </c>
      <c r="C11" s="202">
        <f t="shared" si="0"/>
        <v>13</v>
      </c>
      <c r="D11" s="202">
        <f t="shared" si="1"/>
        <v>10</v>
      </c>
      <c r="E11" s="202">
        <f t="shared" si="1"/>
        <v>1</v>
      </c>
      <c r="F11" s="202">
        <f t="shared" si="1"/>
        <v>3</v>
      </c>
      <c r="G11" s="202">
        <f t="shared" si="1"/>
        <v>28</v>
      </c>
      <c r="H11" s="202">
        <f t="shared" si="1"/>
        <v>3</v>
      </c>
      <c r="I11" s="202">
        <f t="shared" si="1"/>
        <v>7</v>
      </c>
      <c r="J11" s="200">
        <v>7</v>
      </c>
      <c r="L11" s="18">
        <v>7</v>
      </c>
      <c r="M11" s="47" t="s">
        <v>29</v>
      </c>
      <c r="N11" s="47" t="s">
        <v>89</v>
      </c>
      <c r="O11" s="47" t="s">
        <v>26</v>
      </c>
      <c r="P11" s="47" t="s">
        <v>29</v>
      </c>
      <c r="Q11" s="47" t="s">
        <v>28</v>
      </c>
      <c r="R11" s="47" t="s">
        <v>64</v>
      </c>
      <c r="S11" s="33" t="s">
        <v>21</v>
      </c>
      <c r="U11" s="46">
        <f t="shared" si="2"/>
        <v>19</v>
      </c>
      <c r="V11" s="46">
        <f t="shared" si="2"/>
        <v>7</v>
      </c>
      <c r="W11" s="46">
        <f t="shared" si="2"/>
        <v>7</v>
      </c>
      <c r="X11" s="46">
        <f t="shared" si="2"/>
        <v>19</v>
      </c>
      <c r="Y11" s="46">
        <f t="shared" si="2"/>
        <v>15</v>
      </c>
      <c r="Z11" s="46">
        <f t="shared" si="2"/>
        <v>14</v>
      </c>
      <c r="AA11" s="46">
        <f t="shared" si="2"/>
        <v>12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203" t="s">
        <v>89</v>
      </c>
      <c r="AL11" s="203">
        <v>50</v>
      </c>
      <c r="AM11" s="203">
        <v>50</v>
      </c>
      <c r="AN11" s="203">
        <v>50</v>
      </c>
      <c r="AO11" s="203">
        <v>50</v>
      </c>
      <c r="AP11" s="203">
        <v>50</v>
      </c>
      <c r="AQ11" s="203">
        <v>50</v>
      </c>
      <c r="AR11" s="203">
        <v>10</v>
      </c>
      <c r="AS11" s="200">
        <v>7</v>
      </c>
    </row>
    <row r="12" spans="1:45" ht="15.9" customHeight="1">
      <c r="A12" s="33" t="str">
        <v>A</v>
      </c>
      <c r="B12" s="46" t="str">
        <v>A</v>
      </c>
      <c r="C12" s="12">
        <f t="shared" si="0"/>
        <v>2</v>
      </c>
      <c r="D12" s="12">
        <f t="shared" si="1"/>
        <v>12</v>
      </c>
      <c r="E12" s="12">
        <f t="shared" si="1"/>
        <v>21</v>
      </c>
      <c r="F12" s="12">
        <f t="shared" si="1"/>
        <v>10</v>
      </c>
      <c r="G12" s="12">
        <f t="shared" si="1"/>
        <v>3</v>
      </c>
      <c r="H12" s="12">
        <f t="shared" si="1"/>
        <v>29</v>
      </c>
      <c r="I12" s="12">
        <f t="shared" si="1"/>
        <v>11</v>
      </c>
      <c r="J12" s="5">
        <v>8</v>
      </c>
      <c r="L12" s="19">
        <v>8</v>
      </c>
      <c r="M12" s="47" t="s">
        <v>64</v>
      </c>
      <c r="N12" s="47" t="s">
        <v>89</v>
      </c>
      <c r="O12" s="47" t="s">
        <v>26</v>
      </c>
      <c r="P12" s="47" t="s">
        <v>64</v>
      </c>
      <c r="Q12" s="47" t="s">
        <v>28</v>
      </c>
      <c r="R12" s="47" t="s">
        <v>89</v>
      </c>
      <c r="S12" s="33" t="s">
        <v>17</v>
      </c>
      <c r="U12" s="46">
        <f t="shared" si="2"/>
        <v>14</v>
      </c>
      <c r="V12" s="46">
        <f t="shared" si="2"/>
        <v>7</v>
      </c>
      <c r="W12" s="46">
        <f t="shared" si="2"/>
        <v>7</v>
      </c>
      <c r="X12" s="46">
        <f t="shared" si="2"/>
        <v>14</v>
      </c>
      <c r="Y12" s="46">
        <f t="shared" si="2"/>
        <v>15</v>
      </c>
      <c r="Z12" s="46">
        <f t="shared" si="2"/>
        <v>7</v>
      </c>
      <c r="AA12" s="46">
        <f t="shared" si="2"/>
        <v>14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10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0"/>
        <v>19</v>
      </c>
      <c r="D13" s="12">
        <f t="shared" si="1"/>
        <v>2</v>
      </c>
      <c r="E13" s="12">
        <f t="shared" si="1"/>
        <v>19</v>
      </c>
      <c r="F13" s="12">
        <f t="shared" si="1"/>
        <v>4</v>
      </c>
      <c r="G13" s="12">
        <f t="shared" si="1"/>
        <v>16</v>
      </c>
      <c r="H13" s="12">
        <f t="shared" si="1"/>
        <v>7</v>
      </c>
      <c r="I13" s="12">
        <f t="shared" si="1"/>
        <v>7</v>
      </c>
      <c r="J13" s="5">
        <v>9</v>
      </c>
      <c r="L13" s="18">
        <v>9</v>
      </c>
      <c r="M13" s="47" t="s">
        <v>28</v>
      </c>
      <c r="N13" s="47" t="s">
        <v>242</v>
      </c>
      <c r="O13" s="47" t="s">
        <v>17</v>
      </c>
      <c r="P13" s="47" t="s">
        <v>27</v>
      </c>
      <c r="Q13" s="47" t="s">
        <v>89</v>
      </c>
      <c r="R13" s="47" t="s">
        <v>64</v>
      </c>
      <c r="S13" s="33" t="s">
        <v>17</v>
      </c>
      <c r="U13" s="46">
        <f t="shared" si="2"/>
        <v>15</v>
      </c>
      <c r="V13" s="46">
        <f t="shared" si="2"/>
        <v>0</v>
      </c>
      <c r="W13" s="46">
        <f t="shared" si="2"/>
        <v>14</v>
      </c>
      <c r="X13" s="46">
        <f t="shared" si="2"/>
        <v>12</v>
      </c>
      <c r="Y13" s="46">
        <f t="shared" si="2"/>
        <v>7</v>
      </c>
      <c r="Z13" s="46">
        <f t="shared" si="2"/>
        <v>14</v>
      </c>
      <c r="AA13" s="46">
        <f t="shared" si="2"/>
        <v>14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10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0"/>
        <v>14</v>
      </c>
      <c r="D14" s="12">
        <f t="shared" si="1"/>
        <v>27</v>
      </c>
      <c r="E14" s="12">
        <f t="shared" si="1"/>
        <v>2</v>
      </c>
      <c r="F14" s="12">
        <f t="shared" si="1"/>
        <v>25</v>
      </c>
      <c r="G14" s="12">
        <f t="shared" si="1"/>
        <v>7</v>
      </c>
      <c r="H14" s="12">
        <f t="shared" si="1"/>
        <v>24</v>
      </c>
      <c r="I14" s="12">
        <f t="shared" si="1"/>
        <v>12</v>
      </c>
      <c r="J14" s="5">
        <v>10</v>
      </c>
      <c r="L14" s="19">
        <v>10</v>
      </c>
      <c r="M14" s="47" t="s">
        <v>28</v>
      </c>
      <c r="N14" s="47" t="s">
        <v>64</v>
      </c>
      <c r="O14" s="47" t="s">
        <v>28</v>
      </c>
      <c r="P14" s="47" t="s">
        <v>242</v>
      </c>
      <c r="Q14" s="47" t="s">
        <v>89</v>
      </c>
      <c r="R14" s="47" t="s">
        <v>64</v>
      </c>
      <c r="S14" s="33" t="s">
        <v>17</v>
      </c>
      <c r="U14" s="46">
        <f t="shared" si="2"/>
        <v>15</v>
      </c>
      <c r="V14" s="46">
        <f t="shared" si="2"/>
        <v>14</v>
      </c>
      <c r="W14" s="46">
        <f t="shared" si="2"/>
        <v>15</v>
      </c>
      <c r="X14" s="46">
        <f t="shared" si="2"/>
        <v>0</v>
      </c>
      <c r="Y14" s="46">
        <f t="shared" si="2"/>
        <v>7</v>
      </c>
      <c r="Z14" s="46">
        <f t="shared" si="2"/>
        <v>14</v>
      </c>
      <c r="AA14" s="46">
        <f t="shared" si="2"/>
        <v>14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10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0"/>
        <v>23</v>
      </c>
      <c r="D15" s="12">
        <f t="shared" si="1"/>
        <v>5</v>
      </c>
      <c r="E15" s="12">
        <f t="shared" si="1"/>
        <v>35</v>
      </c>
      <c r="F15" s="12">
        <f t="shared" si="1"/>
        <v>6</v>
      </c>
      <c r="G15" s="12">
        <f t="shared" si="1"/>
        <v>20</v>
      </c>
      <c r="H15" s="12">
        <f t="shared" si="1"/>
        <v>2</v>
      </c>
      <c r="I15" s="12">
        <f t="shared" si="1"/>
        <v>15</v>
      </c>
      <c r="J15" s="5">
        <v>11</v>
      </c>
      <c r="L15" s="18">
        <v>11</v>
      </c>
      <c r="M15" s="47" t="s">
        <v>29</v>
      </c>
      <c r="N15" s="47" t="s">
        <v>64</v>
      </c>
      <c r="O15" s="47" t="s">
        <v>28</v>
      </c>
      <c r="P15" s="47" t="s">
        <v>246</v>
      </c>
      <c r="Q15" s="47" t="s">
        <v>26</v>
      </c>
      <c r="R15" s="47" t="s">
        <v>89</v>
      </c>
      <c r="S15" s="33" t="s">
        <v>17</v>
      </c>
      <c r="U15" s="46">
        <f t="shared" si="2"/>
        <v>19</v>
      </c>
      <c r="V15" s="46">
        <f t="shared" si="2"/>
        <v>14</v>
      </c>
      <c r="W15" s="46">
        <f t="shared" si="2"/>
        <v>15</v>
      </c>
      <c r="X15" s="46">
        <f t="shared" si="2"/>
        <v>0</v>
      </c>
      <c r="Y15" s="46">
        <f t="shared" si="2"/>
        <v>7</v>
      </c>
      <c r="Z15" s="46">
        <f t="shared" si="2"/>
        <v>7</v>
      </c>
      <c r="AA15" s="46">
        <f t="shared" si="2"/>
        <v>14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10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0"/>
        <v>30</v>
      </c>
      <c r="D16" s="12">
        <f t="shared" si="1"/>
        <v>16</v>
      </c>
      <c r="E16" s="12">
        <f t="shared" si="1"/>
        <v>5</v>
      </c>
      <c r="F16" s="12">
        <f t="shared" si="1"/>
        <v>19</v>
      </c>
      <c r="G16" s="12">
        <f t="shared" si="1"/>
        <v>5</v>
      </c>
      <c r="H16" s="12">
        <f t="shared" si="1"/>
        <v>21</v>
      </c>
      <c r="I16" s="12">
        <f t="shared" si="1"/>
        <v>19</v>
      </c>
      <c r="J16" s="5">
        <v>12</v>
      </c>
      <c r="L16" s="19">
        <v>12</v>
      </c>
      <c r="M16" s="47" t="s">
        <v>29</v>
      </c>
      <c r="N16" s="47" t="s">
        <v>27</v>
      </c>
      <c r="O16" s="47" t="s">
        <v>236</v>
      </c>
      <c r="P16" s="47" t="s">
        <v>24</v>
      </c>
      <c r="Q16" s="47" t="s">
        <v>26</v>
      </c>
      <c r="R16" s="47" t="s">
        <v>89</v>
      </c>
      <c r="S16" s="33" t="s">
        <v>18</v>
      </c>
      <c r="U16" s="46">
        <f t="shared" si="2"/>
        <v>19</v>
      </c>
      <c r="V16" s="46">
        <f t="shared" si="2"/>
        <v>12</v>
      </c>
      <c r="W16" s="46">
        <f t="shared" si="2"/>
        <v>0</v>
      </c>
      <c r="X16" s="46">
        <f t="shared" si="2"/>
        <v>11</v>
      </c>
      <c r="Y16" s="46">
        <f t="shared" si="2"/>
        <v>7</v>
      </c>
      <c r="Z16" s="46">
        <f t="shared" si="2"/>
        <v>7</v>
      </c>
      <c r="AA16" s="46">
        <f t="shared" si="2"/>
        <v>10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10</v>
      </c>
      <c r="AS16" s="5">
        <v>12</v>
      </c>
    </row>
    <row r="17" spans="1:45" ht="15.9" customHeight="1">
      <c r="A17" s="203" t="str">
        <v>G1</v>
      </c>
      <c r="B17" s="200" t="str">
        <v>Golden M1</v>
      </c>
      <c r="C17" s="202">
        <f t="shared" si="0"/>
        <v>0</v>
      </c>
      <c r="D17" s="202">
        <f t="shared" si="1"/>
        <v>0</v>
      </c>
      <c r="E17" s="202">
        <f t="shared" si="1"/>
        <v>0</v>
      </c>
      <c r="F17" s="202">
        <f t="shared" si="1"/>
        <v>0</v>
      </c>
      <c r="G17" s="202">
        <f t="shared" si="1"/>
        <v>0</v>
      </c>
      <c r="H17" s="202">
        <f t="shared" si="1"/>
        <v>0</v>
      </c>
      <c r="I17" s="202">
        <f t="shared" si="1"/>
        <v>0</v>
      </c>
      <c r="J17" s="200">
        <v>13</v>
      </c>
      <c r="L17" s="18">
        <v>13</v>
      </c>
      <c r="M17" s="47" t="s">
        <v>26</v>
      </c>
      <c r="N17" s="47" t="s">
        <v>27</v>
      </c>
      <c r="O17" s="47" t="s">
        <v>250</v>
      </c>
      <c r="P17" s="47" t="s">
        <v>24</v>
      </c>
      <c r="Q17" s="47" t="s">
        <v>89</v>
      </c>
      <c r="R17" s="47" t="s">
        <v>64</v>
      </c>
      <c r="S17" s="33" t="s">
        <v>18</v>
      </c>
      <c r="U17" s="46">
        <f t="shared" si="2"/>
        <v>7</v>
      </c>
      <c r="V17" s="46">
        <f t="shared" si="2"/>
        <v>12</v>
      </c>
      <c r="W17" s="46">
        <f t="shared" si="2"/>
        <v>0</v>
      </c>
      <c r="X17" s="46">
        <f t="shared" si="2"/>
        <v>11</v>
      </c>
      <c r="Y17" s="46">
        <f t="shared" si="2"/>
        <v>7</v>
      </c>
      <c r="Z17" s="46">
        <f t="shared" si="2"/>
        <v>14</v>
      </c>
      <c r="AA17" s="46">
        <f t="shared" si="2"/>
        <v>10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203" t="s">
        <v>234</v>
      </c>
      <c r="AL17" s="203">
        <v>0</v>
      </c>
      <c r="AM17" s="203">
        <v>3</v>
      </c>
      <c r="AN17" s="203">
        <v>3</v>
      </c>
      <c r="AO17" s="203">
        <v>3</v>
      </c>
      <c r="AP17" s="203">
        <v>3</v>
      </c>
      <c r="AQ17" s="203">
        <v>0</v>
      </c>
      <c r="AR17" s="203">
        <v>0</v>
      </c>
      <c r="AS17" s="200">
        <v>13</v>
      </c>
    </row>
    <row r="18" spans="1:45" s="199" customFormat="1" ht="15.9" customHeight="1">
      <c r="A18" s="203" t="str">
        <v>G2</v>
      </c>
      <c r="B18" s="200" t="str">
        <v>Golden M2</v>
      </c>
      <c r="C18" s="202">
        <f t="shared" si="0"/>
        <v>0</v>
      </c>
      <c r="D18" s="202">
        <f t="shared" si="1"/>
        <v>2</v>
      </c>
      <c r="E18" s="202">
        <f t="shared" si="1"/>
        <v>1</v>
      </c>
      <c r="F18" s="202">
        <f t="shared" si="1"/>
        <v>1</v>
      </c>
      <c r="G18" s="202">
        <f t="shared" si="1"/>
        <v>1</v>
      </c>
      <c r="H18" s="202">
        <f t="shared" si="1"/>
        <v>0</v>
      </c>
      <c r="I18" s="202">
        <f t="shared" si="1"/>
        <v>0</v>
      </c>
      <c r="J18" s="200">
        <v>14</v>
      </c>
      <c r="K18" s="41"/>
      <c r="L18" s="19">
        <v>14</v>
      </c>
      <c r="M18" s="47" t="s">
        <v>89</v>
      </c>
      <c r="N18" s="47" t="s">
        <v>244</v>
      </c>
      <c r="O18" s="47" t="s">
        <v>27</v>
      </c>
      <c r="P18" s="47" t="s">
        <v>89</v>
      </c>
      <c r="Q18" s="47" t="s">
        <v>89</v>
      </c>
      <c r="R18" s="47" t="s">
        <v>27</v>
      </c>
      <c r="S18" s="33" t="s">
        <v>18</v>
      </c>
      <c r="U18" s="46">
        <f t="shared" si="2"/>
        <v>7</v>
      </c>
      <c r="V18" s="46">
        <f t="shared" si="2"/>
        <v>0</v>
      </c>
      <c r="W18" s="46">
        <f t="shared" si="2"/>
        <v>12</v>
      </c>
      <c r="X18" s="46">
        <f t="shared" si="2"/>
        <v>7</v>
      </c>
      <c r="Y18" s="46">
        <f t="shared" si="2"/>
        <v>7</v>
      </c>
      <c r="Z18" s="46">
        <f t="shared" si="2"/>
        <v>12</v>
      </c>
      <c r="AA18" s="46">
        <f t="shared" si="2"/>
        <v>10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203" t="s">
        <v>236</v>
      </c>
      <c r="AL18" s="203">
        <v>0</v>
      </c>
      <c r="AM18" s="203">
        <v>4</v>
      </c>
      <c r="AN18" s="203">
        <v>4</v>
      </c>
      <c r="AO18" s="203">
        <v>2</v>
      </c>
      <c r="AP18" s="203">
        <v>2</v>
      </c>
      <c r="AQ18" s="203">
        <v>0</v>
      </c>
      <c r="AR18" s="203">
        <v>0</v>
      </c>
      <c r="AS18" s="200">
        <v>14</v>
      </c>
    </row>
    <row r="19" spans="1:45" ht="15.9" customHeight="1">
      <c r="A19" s="203" t="str">
        <v>G3</v>
      </c>
      <c r="B19" s="200" t="str">
        <v>Golden M3</v>
      </c>
      <c r="C19" s="202">
        <f t="shared" si="0"/>
        <v>0</v>
      </c>
      <c r="D19" s="202">
        <f t="shared" si="1"/>
        <v>0</v>
      </c>
      <c r="E19" s="202">
        <f t="shared" si="1"/>
        <v>1</v>
      </c>
      <c r="F19" s="202">
        <f t="shared" si="1"/>
        <v>1</v>
      </c>
      <c r="G19" s="202">
        <f t="shared" si="1"/>
        <v>1</v>
      </c>
      <c r="H19" s="202">
        <f t="shared" si="1"/>
        <v>0</v>
      </c>
      <c r="I19" s="202">
        <f t="shared" si="1"/>
        <v>0</v>
      </c>
      <c r="J19" s="200">
        <v>15</v>
      </c>
      <c r="K19" s="52"/>
      <c r="L19" s="18">
        <v>15</v>
      </c>
      <c r="M19" s="47" t="s">
        <v>28</v>
      </c>
      <c r="N19" s="47" t="s">
        <v>89</v>
      </c>
      <c r="O19" s="47" t="s">
        <v>18</v>
      </c>
      <c r="P19" s="47" t="s">
        <v>244</v>
      </c>
      <c r="Q19" s="47" t="s">
        <v>246</v>
      </c>
      <c r="R19" s="47" t="s">
        <v>64</v>
      </c>
      <c r="S19" s="33" t="s">
        <v>18</v>
      </c>
      <c r="U19" s="46">
        <f t="shared" si="2"/>
        <v>15</v>
      </c>
      <c r="V19" s="46">
        <f t="shared" si="2"/>
        <v>7</v>
      </c>
      <c r="W19" s="46">
        <f t="shared" si="2"/>
        <v>10</v>
      </c>
      <c r="X19" s="46">
        <f t="shared" si="2"/>
        <v>0</v>
      </c>
      <c r="Y19" s="46">
        <f t="shared" si="2"/>
        <v>0</v>
      </c>
      <c r="Z19" s="46">
        <f t="shared" si="2"/>
        <v>14</v>
      </c>
      <c r="AA19" s="46">
        <f t="shared" si="2"/>
        <v>10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203" t="s">
        <v>238</v>
      </c>
      <c r="AL19" s="203">
        <v>0</v>
      </c>
      <c r="AM19" s="203">
        <v>5</v>
      </c>
      <c r="AN19" s="203">
        <v>5</v>
      </c>
      <c r="AO19" s="203">
        <v>2</v>
      </c>
      <c r="AP19" s="203">
        <v>2</v>
      </c>
      <c r="AQ19" s="203">
        <v>0</v>
      </c>
      <c r="AR19" s="203">
        <v>0</v>
      </c>
      <c r="AS19" s="200">
        <v>15</v>
      </c>
    </row>
    <row r="20" spans="1:45" ht="15.9" customHeight="1">
      <c r="A20" s="203" t="str">
        <v>G4</v>
      </c>
      <c r="B20" s="200" t="str">
        <v>Golden M4</v>
      </c>
      <c r="C20" s="202">
        <f t="shared" si="0"/>
        <v>0</v>
      </c>
      <c r="D20" s="202">
        <f t="shared" ref="D20:D29" si="3">COUNTIF(N$4:N$304,$A20)</f>
        <v>1</v>
      </c>
      <c r="E20" s="202">
        <f t="shared" ref="E20:E29" si="4">COUNTIF(O$4:O$304,$A20)</f>
        <v>2</v>
      </c>
      <c r="F20" s="202">
        <f t="shared" ref="F20:F29" si="5">COUNTIF(P$4:P$304,$A20)</f>
        <v>1</v>
      </c>
      <c r="G20" s="202">
        <f t="shared" ref="G20:G29" si="6">COUNTIF(Q$4:Q$304,$A20)</f>
        <v>1</v>
      </c>
      <c r="H20" s="202">
        <f t="shared" ref="H20:H29" si="7">COUNTIF(R$4:R$304,$A20)</f>
        <v>0</v>
      </c>
      <c r="I20" s="202">
        <f t="shared" ref="I20:I29" si="8">COUNTIF(S$4:S$304,$A20)</f>
        <v>0</v>
      </c>
      <c r="J20" s="200">
        <v>16</v>
      </c>
      <c r="L20" s="19">
        <v>16</v>
      </c>
      <c r="M20" s="47" t="s">
        <v>29</v>
      </c>
      <c r="N20" s="47" t="s">
        <v>64</v>
      </c>
      <c r="O20" s="47" t="s">
        <v>18</v>
      </c>
      <c r="P20" s="47" t="s">
        <v>27</v>
      </c>
      <c r="Q20" s="47" t="s">
        <v>27</v>
      </c>
      <c r="R20" s="47" t="s">
        <v>64</v>
      </c>
      <c r="S20" s="33" t="s">
        <v>24</v>
      </c>
      <c r="U20" s="46">
        <f t="shared" ref="U20:AA56" si="9">VLOOKUP(M20, $A$4:$J$29, 9, 0)</f>
        <v>19</v>
      </c>
      <c r="V20" s="46">
        <f t="shared" si="9"/>
        <v>14</v>
      </c>
      <c r="W20" s="46">
        <f t="shared" si="9"/>
        <v>10</v>
      </c>
      <c r="X20" s="46">
        <f t="shared" si="9"/>
        <v>12</v>
      </c>
      <c r="Y20" s="46">
        <f t="shared" si="9"/>
        <v>12</v>
      </c>
      <c r="Z20" s="46">
        <f t="shared" si="9"/>
        <v>14</v>
      </c>
      <c r="AA20" s="46">
        <f t="shared" si="9"/>
        <v>11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203" t="s">
        <v>240</v>
      </c>
      <c r="AL20" s="203">
        <v>0</v>
      </c>
      <c r="AM20" s="203">
        <v>5</v>
      </c>
      <c r="AN20" s="203">
        <v>5</v>
      </c>
      <c r="AO20" s="203">
        <v>5</v>
      </c>
      <c r="AP20" s="203">
        <v>8</v>
      </c>
      <c r="AQ20" s="203">
        <v>0</v>
      </c>
      <c r="AR20" s="203">
        <v>0</v>
      </c>
      <c r="AS20" s="200">
        <v>16</v>
      </c>
    </row>
    <row r="21" spans="1:45" ht="15.9" customHeight="1">
      <c r="A21" s="203" t="str">
        <v>G5</v>
      </c>
      <c r="B21" s="200" t="str">
        <v>Golden M5</v>
      </c>
      <c r="C21" s="202">
        <f t="shared" si="0"/>
        <v>0</v>
      </c>
      <c r="D21" s="202">
        <f t="shared" si="3"/>
        <v>3</v>
      </c>
      <c r="E21" s="202">
        <f t="shared" si="4"/>
        <v>0</v>
      </c>
      <c r="F21" s="202">
        <f t="shared" si="5"/>
        <v>4</v>
      </c>
      <c r="G21" s="202">
        <f t="shared" si="6"/>
        <v>1</v>
      </c>
      <c r="H21" s="202">
        <f t="shared" si="7"/>
        <v>0</v>
      </c>
      <c r="I21" s="202">
        <f t="shared" si="8"/>
        <v>0</v>
      </c>
      <c r="J21" s="200">
        <v>17</v>
      </c>
      <c r="L21" s="18">
        <v>17</v>
      </c>
      <c r="M21" s="47" t="s">
        <v>64</v>
      </c>
      <c r="N21" s="47" t="s">
        <v>64</v>
      </c>
      <c r="O21" s="47" t="s">
        <v>240</v>
      </c>
      <c r="P21" s="47" t="s">
        <v>236</v>
      </c>
      <c r="Q21" s="47" t="s">
        <v>89</v>
      </c>
      <c r="R21" s="47" t="s">
        <v>64</v>
      </c>
      <c r="S21" s="33" t="s">
        <v>24</v>
      </c>
      <c r="U21" s="46">
        <f t="shared" si="9"/>
        <v>14</v>
      </c>
      <c r="V21" s="46">
        <f t="shared" si="9"/>
        <v>14</v>
      </c>
      <c r="W21" s="46">
        <f t="shared" si="9"/>
        <v>0</v>
      </c>
      <c r="X21" s="46">
        <f t="shared" si="9"/>
        <v>0</v>
      </c>
      <c r="Y21" s="46">
        <f t="shared" si="9"/>
        <v>7</v>
      </c>
      <c r="Z21" s="46">
        <f t="shared" si="9"/>
        <v>14</v>
      </c>
      <c r="AA21" s="46">
        <f t="shared" si="9"/>
        <v>11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203" t="s">
        <v>242</v>
      </c>
      <c r="AL21" s="203">
        <v>0</v>
      </c>
      <c r="AM21" s="203">
        <v>15</v>
      </c>
      <c r="AN21" s="203">
        <v>15</v>
      </c>
      <c r="AO21" s="203">
        <v>10</v>
      </c>
      <c r="AP21" s="203">
        <v>15</v>
      </c>
      <c r="AQ21" s="203">
        <v>0</v>
      </c>
      <c r="AR21" s="203">
        <v>0</v>
      </c>
      <c r="AS21" s="200">
        <v>17</v>
      </c>
    </row>
    <row r="22" spans="1:45" ht="15.9" customHeight="1">
      <c r="A22" s="203" t="str">
        <v>G6</v>
      </c>
      <c r="B22" s="200" t="str">
        <v>Golden M6</v>
      </c>
      <c r="C22" s="202">
        <f t="shared" si="0"/>
        <v>0</v>
      </c>
      <c r="D22" s="202">
        <f t="shared" si="3"/>
        <v>3</v>
      </c>
      <c r="E22" s="202">
        <f t="shared" si="4"/>
        <v>1</v>
      </c>
      <c r="F22" s="202">
        <f t="shared" si="5"/>
        <v>2</v>
      </c>
      <c r="G22" s="202">
        <f t="shared" si="6"/>
        <v>2</v>
      </c>
      <c r="H22" s="202">
        <f t="shared" si="7"/>
        <v>0</v>
      </c>
      <c r="I22" s="202">
        <f t="shared" si="8"/>
        <v>0</v>
      </c>
      <c r="J22" s="200">
        <v>18</v>
      </c>
      <c r="L22" s="19">
        <v>18</v>
      </c>
      <c r="M22" s="47" t="s">
        <v>29</v>
      </c>
      <c r="N22" s="47" t="s">
        <v>254</v>
      </c>
      <c r="O22" s="47" t="s">
        <v>26</v>
      </c>
      <c r="P22" s="47" t="s">
        <v>17</v>
      </c>
      <c r="Q22" s="47" t="s">
        <v>26</v>
      </c>
      <c r="R22" s="47" t="s">
        <v>18</v>
      </c>
      <c r="S22" s="47" t="s">
        <v>24</v>
      </c>
      <c r="U22" s="46">
        <f t="shared" si="9"/>
        <v>19</v>
      </c>
      <c r="V22" s="46">
        <f t="shared" si="9"/>
        <v>0</v>
      </c>
      <c r="W22" s="46">
        <f t="shared" si="9"/>
        <v>7</v>
      </c>
      <c r="X22" s="46">
        <f t="shared" si="9"/>
        <v>14</v>
      </c>
      <c r="Y22" s="46">
        <f t="shared" si="9"/>
        <v>7</v>
      </c>
      <c r="Z22" s="46">
        <f t="shared" si="9"/>
        <v>10</v>
      </c>
      <c r="AA22" s="46">
        <f t="shared" si="9"/>
        <v>11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203" t="s">
        <v>244</v>
      </c>
      <c r="AL22" s="203">
        <v>0</v>
      </c>
      <c r="AM22" s="203">
        <v>10</v>
      </c>
      <c r="AN22" s="203">
        <v>15</v>
      </c>
      <c r="AO22" s="203">
        <v>15</v>
      </c>
      <c r="AP22" s="203">
        <v>10</v>
      </c>
      <c r="AQ22" s="203">
        <v>0</v>
      </c>
      <c r="AR22" s="203">
        <v>0</v>
      </c>
      <c r="AS22" s="200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0"/>
        <v>0</v>
      </c>
      <c r="D23" s="12">
        <f t="shared" si="3"/>
        <v>1</v>
      </c>
      <c r="E23" s="12">
        <f t="shared" si="4"/>
        <v>2</v>
      </c>
      <c r="F23" s="12">
        <f t="shared" si="5"/>
        <v>1</v>
      </c>
      <c r="G23" s="12">
        <f t="shared" si="6"/>
        <v>1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89</v>
      </c>
      <c r="N23" s="47" t="s">
        <v>27</v>
      </c>
      <c r="O23" s="47" t="s">
        <v>24</v>
      </c>
      <c r="P23" s="47" t="s">
        <v>17</v>
      </c>
      <c r="Q23" s="47" t="s">
        <v>27</v>
      </c>
      <c r="R23" s="47" t="s">
        <v>29</v>
      </c>
      <c r="S23" s="33" t="s">
        <v>24</v>
      </c>
      <c r="U23" s="46">
        <f t="shared" si="9"/>
        <v>7</v>
      </c>
      <c r="V23" s="46">
        <f t="shared" si="9"/>
        <v>12</v>
      </c>
      <c r="W23" s="46">
        <f t="shared" si="9"/>
        <v>11</v>
      </c>
      <c r="X23" s="46">
        <f t="shared" si="9"/>
        <v>14</v>
      </c>
      <c r="Y23" s="46">
        <f t="shared" si="9"/>
        <v>12</v>
      </c>
      <c r="Z23" s="46">
        <f t="shared" si="9"/>
        <v>19</v>
      </c>
      <c r="AA23" s="46">
        <f t="shared" si="9"/>
        <v>11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246</v>
      </c>
      <c r="AL23" s="46">
        <v>0</v>
      </c>
      <c r="AM23" s="46">
        <v>12</v>
      </c>
      <c r="AN23" s="46">
        <v>12</v>
      </c>
      <c r="AO23" s="46">
        <v>4</v>
      </c>
      <c r="AP23" s="46">
        <v>6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0"/>
        <v>0</v>
      </c>
      <c r="D24" s="12">
        <f t="shared" si="3"/>
        <v>1</v>
      </c>
      <c r="E24" s="12">
        <f t="shared" si="4"/>
        <v>1</v>
      </c>
      <c r="F24" s="12">
        <f t="shared" si="5"/>
        <v>1</v>
      </c>
      <c r="G24" s="12">
        <f t="shared" si="6"/>
        <v>1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21</v>
      </c>
      <c r="N24" s="47" t="s">
        <v>27</v>
      </c>
      <c r="O24" s="47" t="s">
        <v>246</v>
      </c>
      <c r="P24" s="47" t="s">
        <v>27</v>
      </c>
      <c r="Q24" s="47" t="s">
        <v>26</v>
      </c>
      <c r="R24" s="47" t="s">
        <v>29</v>
      </c>
      <c r="S24" s="33" t="s">
        <v>27</v>
      </c>
      <c r="U24" s="46">
        <f t="shared" si="9"/>
        <v>12</v>
      </c>
      <c r="V24" s="46">
        <f t="shared" si="9"/>
        <v>12</v>
      </c>
      <c r="W24" s="46">
        <f t="shared" si="9"/>
        <v>0</v>
      </c>
      <c r="X24" s="46">
        <f t="shared" si="9"/>
        <v>12</v>
      </c>
      <c r="Y24" s="46">
        <f t="shared" si="9"/>
        <v>7</v>
      </c>
      <c r="Z24" s="46">
        <f t="shared" si="9"/>
        <v>19</v>
      </c>
      <c r="AA24" s="46">
        <f t="shared" si="9"/>
        <v>12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248</v>
      </c>
      <c r="AL24" s="46">
        <v>0</v>
      </c>
      <c r="AM24" s="46">
        <v>8</v>
      </c>
      <c r="AN24" s="46">
        <v>12</v>
      </c>
      <c r="AO24" s="46">
        <v>4</v>
      </c>
      <c r="AP24" s="46">
        <v>4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0"/>
        <v>0</v>
      </c>
      <c r="D25" s="12">
        <f t="shared" si="3"/>
        <v>1</v>
      </c>
      <c r="E25" s="12">
        <f t="shared" si="4"/>
        <v>1</v>
      </c>
      <c r="F25" s="12">
        <f t="shared" si="5"/>
        <v>1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27</v>
      </c>
      <c r="N25" s="47" t="s">
        <v>27</v>
      </c>
      <c r="O25" s="47" t="s">
        <v>18</v>
      </c>
      <c r="P25" s="47" t="s">
        <v>29</v>
      </c>
      <c r="Q25" s="47" t="s">
        <v>89</v>
      </c>
      <c r="R25" s="47" t="s">
        <v>29</v>
      </c>
      <c r="S25" s="33" t="s">
        <v>27</v>
      </c>
      <c r="U25" s="46">
        <f t="shared" si="9"/>
        <v>12</v>
      </c>
      <c r="V25" s="46">
        <f t="shared" si="9"/>
        <v>12</v>
      </c>
      <c r="W25" s="46">
        <f t="shared" si="9"/>
        <v>10</v>
      </c>
      <c r="X25" s="46">
        <f t="shared" si="9"/>
        <v>19</v>
      </c>
      <c r="Y25" s="46">
        <f t="shared" si="9"/>
        <v>7</v>
      </c>
      <c r="Z25" s="46">
        <f t="shared" si="9"/>
        <v>19</v>
      </c>
      <c r="AA25" s="46">
        <f t="shared" si="9"/>
        <v>12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250</v>
      </c>
      <c r="AL25" s="46">
        <v>0</v>
      </c>
      <c r="AM25" s="46">
        <v>10</v>
      </c>
      <c r="AN25" s="46">
        <v>6</v>
      </c>
      <c r="AO25" s="46">
        <v>2</v>
      </c>
      <c r="AP25" s="46">
        <v>8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0"/>
        <v>0</v>
      </c>
      <c r="D26" s="12">
        <f t="shared" si="3"/>
        <v>1</v>
      </c>
      <c r="E26" s="12">
        <f t="shared" si="4"/>
        <v>1</v>
      </c>
      <c r="F26" s="12">
        <f t="shared" si="5"/>
        <v>1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27</v>
      </c>
      <c r="N26" s="47" t="s">
        <v>29</v>
      </c>
      <c r="O26" s="47" t="s">
        <v>18</v>
      </c>
      <c r="P26" s="47" t="s">
        <v>29</v>
      </c>
      <c r="Q26" s="47" t="s">
        <v>29</v>
      </c>
      <c r="R26" s="47" t="s">
        <v>18</v>
      </c>
      <c r="S26" s="33" t="s">
        <v>27</v>
      </c>
      <c r="U26" s="46">
        <f t="shared" si="9"/>
        <v>12</v>
      </c>
      <c r="V26" s="46">
        <f t="shared" si="9"/>
        <v>19</v>
      </c>
      <c r="W26" s="46">
        <f t="shared" si="9"/>
        <v>10</v>
      </c>
      <c r="X26" s="46">
        <f t="shared" si="9"/>
        <v>19</v>
      </c>
      <c r="Y26" s="46">
        <f t="shared" si="9"/>
        <v>19</v>
      </c>
      <c r="Z26" s="46">
        <f t="shared" si="9"/>
        <v>10</v>
      </c>
      <c r="AA26" s="46">
        <f t="shared" si="9"/>
        <v>12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252</v>
      </c>
      <c r="AL26" s="46">
        <v>0</v>
      </c>
      <c r="AM26" s="46">
        <v>5</v>
      </c>
      <c r="AN26" s="46">
        <v>6</v>
      </c>
      <c r="AO26" s="46">
        <v>2</v>
      </c>
      <c r="AP26" s="46">
        <v>4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0"/>
        <v>0</v>
      </c>
      <c r="D27" s="12">
        <f t="shared" si="3"/>
        <v>1</v>
      </c>
      <c r="E27" s="12">
        <f t="shared" si="4"/>
        <v>1</v>
      </c>
      <c r="F27" s="12">
        <f t="shared" si="5"/>
        <v>1</v>
      </c>
      <c r="G27" s="12">
        <f t="shared" si="6"/>
        <v>0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18</v>
      </c>
      <c r="N27" s="47" t="s">
        <v>29</v>
      </c>
      <c r="O27" s="47" t="s">
        <v>18</v>
      </c>
      <c r="P27" s="47" t="s">
        <v>29</v>
      </c>
      <c r="Q27" s="47" t="s">
        <v>18</v>
      </c>
      <c r="R27" s="47" t="s">
        <v>18</v>
      </c>
      <c r="S27" s="33" t="s">
        <v>27</v>
      </c>
      <c r="U27" s="46">
        <f t="shared" si="9"/>
        <v>10</v>
      </c>
      <c r="V27" s="46">
        <f t="shared" si="9"/>
        <v>19</v>
      </c>
      <c r="W27" s="46">
        <f t="shared" si="9"/>
        <v>10</v>
      </c>
      <c r="X27" s="46">
        <f t="shared" si="9"/>
        <v>19</v>
      </c>
      <c r="Y27" s="46">
        <f t="shared" si="9"/>
        <v>10</v>
      </c>
      <c r="Z27" s="46">
        <f t="shared" si="9"/>
        <v>10</v>
      </c>
      <c r="AA27" s="46">
        <f t="shared" si="9"/>
        <v>12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254</v>
      </c>
      <c r="AL27" s="46">
        <v>0</v>
      </c>
      <c r="AM27" s="46">
        <v>4</v>
      </c>
      <c r="AN27" s="46">
        <v>6</v>
      </c>
      <c r="AO27" s="46">
        <v>2</v>
      </c>
      <c r="AP27" s="46">
        <v>4</v>
      </c>
      <c r="AQ27" s="46">
        <v>0</v>
      </c>
      <c r="AR27" s="46">
        <v>0</v>
      </c>
      <c r="AS27" s="5">
        <v>23</v>
      </c>
    </row>
    <row r="28" spans="1:45" ht="16.5" customHeight="1">
      <c r="A28" s="203" t="str">
        <v>MY</v>
      </c>
      <c r="B28" s="203" t="str">
        <v>Mystery</v>
      </c>
      <c r="C28" s="202">
        <f t="shared" si="0"/>
        <v>0</v>
      </c>
      <c r="D28" s="202">
        <f t="shared" si="3"/>
        <v>3</v>
      </c>
      <c r="E28" s="202">
        <f t="shared" si="4"/>
        <v>0</v>
      </c>
      <c r="F28" s="202">
        <f t="shared" si="5"/>
        <v>0</v>
      </c>
      <c r="G28" s="202">
        <f t="shared" si="6"/>
        <v>0</v>
      </c>
      <c r="H28" s="202">
        <f t="shared" si="7"/>
        <v>0</v>
      </c>
      <c r="I28" s="202">
        <f t="shared" si="8"/>
        <v>0</v>
      </c>
      <c r="J28" s="200">
        <v>24</v>
      </c>
      <c r="L28" s="19">
        <v>24</v>
      </c>
      <c r="M28" s="47" t="s">
        <v>18</v>
      </c>
      <c r="N28" s="47" t="s">
        <v>29</v>
      </c>
      <c r="O28" s="47" t="s">
        <v>28</v>
      </c>
      <c r="P28" s="47" t="s">
        <v>64</v>
      </c>
      <c r="Q28" s="47" t="s">
        <v>17</v>
      </c>
      <c r="R28" s="47" t="s">
        <v>24</v>
      </c>
      <c r="S28" s="33" t="s">
        <v>29</v>
      </c>
      <c r="U28" s="46">
        <f t="shared" si="9"/>
        <v>10</v>
      </c>
      <c r="V28" s="46">
        <f t="shared" si="9"/>
        <v>19</v>
      </c>
      <c r="W28" s="46">
        <f t="shared" si="9"/>
        <v>15</v>
      </c>
      <c r="X28" s="46">
        <f t="shared" si="9"/>
        <v>14</v>
      </c>
      <c r="Y28" s="46">
        <f t="shared" si="9"/>
        <v>14</v>
      </c>
      <c r="Z28" s="46">
        <f t="shared" si="9"/>
        <v>11</v>
      </c>
      <c r="AA28" s="46">
        <f t="shared" si="9"/>
        <v>19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203" t="s">
        <v>101</v>
      </c>
      <c r="AL28" s="203">
        <v>0</v>
      </c>
      <c r="AM28" s="203">
        <v>10</v>
      </c>
      <c r="AN28" s="203">
        <v>10</v>
      </c>
      <c r="AO28" s="203">
        <v>10</v>
      </c>
      <c r="AP28" s="203">
        <v>10</v>
      </c>
      <c r="AQ28" s="203">
        <v>0</v>
      </c>
      <c r="AR28" s="203">
        <v>0</v>
      </c>
      <c r="AS28" s="200">
        <v>24</v>
      </c>
    </row>
    <row r="29" spans="1:45" ht="16.5" customHeight="1">
      <c r="A29" s="203" t="str">
        <v>GM</v>
      </c>
      <c r="B29" s="203" t="str">
        <v>Golden Mystery</v>
      </c>
      <c r="C29" s="202">
        <f t="shared" si="0"/>
        <v>0</v>
      </c>
      <c r="D29" s="202">
        <f t="shared" si="3"/>
        <v>1</v>
      </c>
      <c r="E29" s="202">
        <f t="shared" si="4"/>
        <v>0</v>
      </c>
      <c r="F29" s="202">
        <f t="shared" si="5"/>
        <v>0</v>
      </c>
      <c r="G29" s="202">
        <f t="shared" si="6"/>
        <v>0</v>
      </c>
      <c r="H29" s="202">
        <f t="shared" si="7"/>
        <v>0</v>
      </c>
      <c r="I29" s="202">
        <f t="shared" si="8"/>
        <v>0</v>
      </c>
      <c r="J29" s="200">
        <v>25</v>
      </c>
      <c r="L29" s="18">
        <v>25</v>
      </c>
      <c r="M29" s="47" t="s">
        <v>89</v>
      </c>
      <c r="N29" s="47" t="s">
        <v>89</v>
      </c>
      <c r="O29" s="47" t="s">
        <v>28</v>
      </c>
      <c r="P29" s="47" t="s">
        <v>64</v>
      </c>
      <c r="Q29" s="47" t="s">
        <v>29</v>
      </c>
      <c r="R29" s="47" t="s">
        <v>64</v>
      </c>
      <c r="S29" s="33" t="s">
        <v>29</v>
      </c>
      <c r="U29" s="46">
        <f t="shared" si="9"/>
        <v>7</v>
      </c>
      <c r="V29" s="46">
        <f t="shared" si="9"/>
        <v>7</v>
      </c>
      <c r="W29" s="46">
        <f t="shared" si="9"/>
        <v>15</v>
      </c>
      <c r="X29" s="46">
        <f t="shared" si="9"/>
        <v>14</v>
      </c>
      <c r="Y29" s="46">
        <f t="shared" si="9"/>
        <v>19</v>
      </c>
      <c r="Z29" s="46">
        <f t="shared" si="9"/>
        <v>14</v>
      </c>
      <c r="AA29" s="46">
        <f t="shared" si="9"/>
        <v>19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203" t="s">
        <v>268</v>
      </c>
      <c r="AL29" s="203">
        <v>0</v>
      </c>
      <c r="AM29" s="203">
        <v>1</v>
      </c>
      <c r="AN29" s="203">
        <v>1</v>
      </c>
      <c r="AO29" s="203">
        <v>1</v>
      </c>
      <c r="AP29" s="203">
        <v>1</v>
      </c>
      <c r="AQ29" s="203">
        <v>0</v>
      </c>
      <c r="AR29" s="203">
        <v>0</v>
      </c>
      <c r="AS29" s="200">
        <v>25</v>
      </c>
    </row>
    <row r="30" spans="1:45" ht="16.5" customHeight="1">
      <c r="A30" s="199"/>
      <c r="B30" s="199"/>
      <c r="C30" s="219">
        <f>SUM(C4:C29)</f>
        <v>121</v>
      </c>
      <c r="D30" s="219">
        <f t="shared" ref="D30:I30" si="10">SUM(D4:D29)</f>
        <v>121</v>
      </c>
      <c r="E30" s="219">
        <f t="shared" si="10"/>
        <v>121</v>
      </c>
      <c r="F30" s="219">
        <f t="shared" si="10"/>
        <v>121</v>
      </c>
      <c r="G30" s="219">
        <f t="shared" si="10"/>
        <v>121</v>
      </c>
      <c r="H30" s="219">
        <f t="shared" si="10"/>
        <v>121</v>
      </c>
      <c r="I30" s="219">
        <f t="shared" si="10"/>
        <v>121</v>
      </c>
      <c r="J30" s="15"/>
      <c r="L30" s="19">
        <v>26</v>
      </c>
      <c r="M30" s="47" t="s">
        <v>28</v>
      </c>
      <c r="N30" s="47" t="s">
        <v>89</v>
      </c>
      <c r="O30" s="47" t="s">
        <v>89</v>
      </c>
      <c r="P30" s="47" t="s">
        <v>27</v>
      </c>
      <c r="Q30" s="47" t="s">
        <v>27</v>
      </c>
      <c r="R30" s="47" t="s">
        <v>27</v>
      </c>
      <c r="S30" s="33" t="s">
        <v>29</v>
      </c>
      <c r="U30" s="46">
        <f t="shared" si="9"/>
        <v>15</v>
      </c>
      <c r="V30" s="46">
        <f t="shared" si="9"/>
        <v>7</v>
      </c>
      <c r="W30" s="46">
        <f t="shared" si="9"/>
        <v>7</v>
      </c>
      <c r="X30" s="46">
        <f t="shared" si="9"/>
        <v>12</v>
      </c>
      <c r="Y30" s="46">
        <f t="shared" si="9"/>
        <v>12</v>
      </c>
      <c r="Z30" s="46">
        <f t="shared" si="9"/>
        <v>12</v>
      </c>
      <c r="AA30" s="46">
        <f t="shared" si="9"/>
        <v>19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84"/>
      <c r="E31" s="84"/>
      <c r="F31" s="84"/>
      <c r="G31" s="84"/>
      <c r="J31" s="15"/>
      <c r="L31" s="18">
        <v>27</v>
      </c>
      <c r="M31" s="47" t="s">
        <v>28</v>
      </c>
      <c r="N31" s="47" t="s">
        <v>24</v>
      </c>
      <c r="O31" s="47" t="s">
        <v>17</v>
      </c>
      <c r="P31" s="47" t="s">
        <v>27</v>
      </c>
      <c r="Q31" s="47" t="s">
        <v>27</v>
      </c>
      <c r="R31" s="47" t="s">
        <v>64</v>
      </c>
      <c r="S31" s="33" t="s">
        <v>29</v>
      </c>
      <c r="U31" s="46">
        <f t="shared" si="9"/>
        <v>15</v>
      </c>
      <c r="V31" s="46">
        <f t="shared" si="9"/>
        <v>11</v>
      </c>
      <c r="W31" s="46">
        <f t="shared" si="9"/>
        <v>14</v>
      </c>
      <c r="X31" s="46">
        <f t="shared" si="9"/>
        <v>12</v>
      </c>
      <c r="Y31" s="46">
        <f t="shared" si="9"/>
        <v>12</v>
      </c>
      <c r="Z31" s="46">
        <f t="shared" si="9"/>
        <v>14</v>
      </c>
      <c r="AA31" s="46">
        <f t="shared" si="9"/>
        <v>19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275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27</v>
      </c>
      <c r="N32" s="47" t="s">
        <v>24</v>
      </c>
      <c r="O32" s="47" t="s">
        <v>240</v>
      </c>
      <c r="P32" s="47" t="s">
        <v>238</v>
      </c>
      <c r="Q32" s="47" t="s">
        <v>89</v>
      </c>
      <c r="R32" s="47" t="s">
        <v>24</v>
      </c>
      <c r="S32" s="33" t="s">
        <v>28</v>
      </c>
      <c r="U32" s="46">
        <f t="shared" si="9"/>
        <v>12</v>
      </c>
      <c r="V32" s="46">
        <f t="shared" si="9"/>
        <v>11</v>
      </c>
      <c r="W32" s="46">
        <f t="shared" si="9"/>
        <v>0</v>
      </c>
      <c r="X32" s="46">
        <f t="shared" si="9"/>
        <v>0</v>
      </c>
      <c r="Y32" s="46">
        <f t="shared" si="9"/>
        <v>7</v>
      </c>
      <c r="Z32" s="46">
        <f t="shared" si="9"/>
        <v>11</v>
      </c>
      <c r="AA32" s="46">
        <f t="shared" si="9"/>
        <v>15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52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98" t="s">
        <v>72</v>
      </c>
      <c r="C33" s="204">
        <v>0</v>
      </c>
      <c r="D33" s="204">
        <v>390</v>
      </c>
      <c r="E33" s="204">
        <v>390</v>
      </c>
      <c r="F33" s="204">
        <v>185</v>
      </c>
      <c r="G33" s="204">
        <v>120</v>
      </c>
      <c r="H33" s="204">
        <v>0</v>
      </c>
      <c r="J33" s="15"/>
      <c r="L33" s="18">
        <v>29</v>
      </c>
      <c r="M33" s="47" t="s">
        <v>27</v>
      </c>
      <c r="N33" s="47" t="s">
        <v>24</v>
      </c>
      <c r="O33" s="47" t="s">
        <v>18</v>
      </c>
      <c r="P33" s="47" t="s">
        <v>27</v>
      </c>
      <c r="Q33" s="47" t="s">
        <v>89</v>
      </c>
      <c r="R33" s="47" t="s">
        <v>27</v>
      </c>
      <c r="S33" s="33" t="s">
        <v>28</v>
      </c>
      <c r="U33" s="46">
        <f t="shared" si="9"/>
        <v>12</v>
      </c>
      <c r="V33" s="46">
        <f t="shared" si="9"/>
        <v>11</v>
      </c>
      <c r="W33" s="46">
        <f t="shared" si="9"/>
        <v>10</v>
      </c>
      <c r="X33" s="46">
        <f t="shared" si="9"/>
        <v>12</v>
      </c>
      <c r="Y33" s="46">
        <f t="shared" si="9"/>
        <v>7</v>
      </c>
      <c r="Z33" s="46">
        <f t="shared" si="9"/>
        <v>12</v>
      </c>
      <c r="AA33" s="46">
        <f t="shared" si="9"/>
        <v>15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390</v>
      </c>
      <c r="E34" s="10">
        <v>390</v>
      </c>
      <c r="F34" s="10">
        <v>185</v>
      </c>
      <c r="G34" s="10">
        <v>120</v>
      </c>
      <c r="H34" s="10">
        <v>0</v>
      </c>
      <c r="L34" s="19">
        <v>30</v>
      </c>
      <c r="M34" s="47" t="s">
        <v>18</v>
      </c>
      <c r="N34" s="47" t="s">
        <v>28</v>
      </c>
      <c r="O34" s="47" t="s">
        <v>28</v>
      </c>
      <c r="P34" s="47" t="s">
        <v>26</v>
      </c>
      <c r="Q34" s="47" t="s">
        <v>26</v>
      </c>
      <c r="R34" s="47" t="s">
        <v>27</v>
      </c>
      <c r="S34" s="47" t="s">
        <v>28</v>
      </c>
      <c r="U34" s="46">
        <f t="shared" si="9"/>
        <v>10</v>
      </c>
      <c r="V34" s="46">
        <f t="shared" si="9"/>
        <v>15</v>
      </c>
      <c r="W34" s="46">
        <f t="shared" si="9"/>
        <v>15</v>
      </c>
      <c r="X34" s="46">
        <f t="shared" si="9"/>
        <v>7</v>
      </c>
      <c r="Y34" s="46">
        <f t="shared" si="9"/>
        <v>7</v>
      </c>
      <c r="Z34" s="46">
        <f t="shared" si="9"/>
        <v>12</v>
      </c>
      <c r="AA34" s="46">
        <f t="shared" si="9"/>
        <v>15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0</v>
      </c>
      <c r="AM34" s="46">
        <v>0</v>
      </c>
      <c r="AN34" s="46">
        <v>0</v>
      </c>
      <c r="AO34" s="46">
        <v>0</v>
      </c>
      <c r="AP34" s="46">
        <v>0</v>
      </c>
      <c r="AQ34" s="46">
        <v>0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2035</v>
      </c>
      <c r="E35" s="10">
        <v>2010</v>
      </c>
      <c r="F35" s="10">
        <v>1125</v>
      </c>
      <c r="G35" s="10">
        <v>860</v>
      </c>
      <c r="H35" s="10">
        <v>0</v>
      </c>
      <c r="L35" s="18">
        <v>31</v>
      </c>
      <c r="M35" s="47" t="s">
        <v>89</v>
      </c>
      <c r="N35" s="47" t="s">
        <v>27</v>
      </c>
      <c r="O35" s="47" t="s">
        <v>28</v>
      </c>
      <c r="P35" s="47" t="s">
        <v>248</v>
      </c>
      <c r="Q35" s="47" t="s">
        <v>29</v>
      </c>
      <c r="R35" s="47" t="s">
        <v>29</v>
      </c>
      <c r="S35" s="33" t="s">
        <v>28</v>
      </c>
      <c r="U35" s="46">
        <f t="shared" si="9"/>
        <v>7</v>
      </c>
      <c r="V35" s="46">
        <f t="shared" si="9"/>
        <v>12</v>
      </c>
      <c r="W35" s="46">
        <f t="shared" si="9"/>
        <v>15</v>
      </c>
      <c r="X35" s="46">
        <f t="shared" si="9"/>
        <v>0</v>
      </c>
      <c r="Y35" s="46">
        <f t="shared" si="9"/>
        <v>19</v>
      </c>
      <c r="Z35" s="46">
        <f t="shared" si="9"/>
        <v>19</v>
      </c>
      <c r="AA35" s="46">
        <f t="shared" si="9"/>
        <v>15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203" t="s">
        <v>20</v>
      </c>
      <c r="AL35" s="203">
        <v>1</v>
      </c>
      <c r="AM35" s="203">
        <v>1</v>
      </c>
      <c r="AN35" s="203">
        <v>1</v>
      </c>
      <c r="AO35" s="203">
        <v>1</v>
      </c>
      <c r="AP35" s="203">
        <v>1</v>
      </c>
      <c r="AQ35" s="203">
        <v>1</v>
      </c>
      <c r="AR35" s="203">
        <v>0</v>
      </c>
      <c r="AS35" s="200">
        <v>2</v>
      </c>
    </row>
    <row r="36" spans="1:45" ht="16.5" customHeight="1">
      <c r="B36" s="5" t="s">
        <v>76</v>
      </c>
      <c r="C36" s="10">
        <v>0</v>
      </c>
      <c r="D36" s="10">
        <v>2035</v>
      </c>
      <c r="E36" s="10">
        <v>2010</v>
      </c>
      <c r="F36" s="10">
        <v>1125</v>
      </c>
      <c r="G36" s="10">
        <v>860</v>
      </c>
      <c r="H36" s="10">
        <v>0</v>
      </c>
      <c r="L36" s="19">
        <v>32</v>
      </c>
      <c r="M36" s="47" t="s">
        <v>89</v>
      </c>
      <c r="N36" s="47" t="s">
        <v>27</v>
      </c>
      <c r="O36" s="47" t="s">
        <v>24</v>
      </c>
      <c r="P36" s="47" t="s">
        <v>24</v>
      </c>
      <c r="Q36" s="47" t="s">
        <v>29</v>
      </c>
      <c r="R36" s="47" t="s">
        <v>28</v>
      </c>
      <c r="S36" s="33" t="s">
        <v>64</v>
      </c>
      <c r="U36" s="46">
        <f t="shared" si="9"/>
        <v>7</v>
      </c>
      <c r="V36" s="46">
        <f t="shared" si="9"/>
        <v>12</v>
      </c>
      <c r="W36" s="46">
        <f t="shared" si="9"/>
        <v>11</v>
      </c>
      <c r="X36" s="46">
        <f t="shared" si="9"/>
        <v>11</v>
      </c>
      <c r="Y36" s="46">
        <f t="shared" si="9"/>
        <v>19</v>
      </c>
      <c r="Z36" s="46">
        <f t="shared" si="9"/>
        <v>15</v>
      </c>
      <c r="AA36" s="46">
        <f t="shared" si="9"/>
        <v>14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203" t="s">
        <v>21</v>
      </c>
      <c r="AL36" s="203">
        <v>1</v>
      </c>
      <c r="AM36" s="203">
        <v>70</v>
      </c>
      <c r="AN36" s="203">
        <v>1</v>
      </c>
      <c r="AO36" s="203">
        <v>70</v>
      </c>
      <c r="AP36" s="203">
        <v>1</v>
      </c>
      <c r="AQ36" s="203">
        <v>1</v>
      </c>
      <c r="AR36" s="203">
        <v>0</v>
      </c>
      <c r="AS36" s="200">
        <v>3</v>
      </c>
    </row>
    <row r="37" spans="1:45" ht="16.5" customHeight="1">
      <c r="B37" s="5" t="s">
        <v>74</v>
      </c>
      <c r="C37" s="10">
        <v>0</v>
      </c>
      <c r="D37" s="10">
        <v>290</v>
      </c>
      <c r="E37" s="10">
        <v>283</v>
      </c>
      <c r="F37" s="10">
        <v>803</v>
      </c>
      <c r="G37" s="10">
        <v>520</v>
      </c>
      <c r="H37" s="10">
        <v>0</v>
      </c>
      <c r="L37" s="18">
        <v>33</v>
      </c>
      <c r="M37" s="47" t="s">
        <v>28</v>
      </c>
      <c r="N37" s="47" t="s">
        <v>27</v>
      </c>
      <c r="O37" s="47" t="s">
        <v>28</v>
      </c>
      <c r="P37" s="47" t="s">
        <v>27</v>
      </c>
      <c r="Q37" s="47" t="s">
        <v>26</v>
      </c>
      <c r="R37" s="47" t="s">
        <v>24</v>
      </c>
      <c r="S37" s="33" t="s">
        <v>64</v>
      </c>
      <c r="U37" s="46">
        <f t="shared" si="9"/>
        <v>15</v>
      </c>
      <c r="V37" s="46">
        <f t="shared" si="9"/>
        <v>12</v>
      </c>
      <c r="W37" s="46">
        <f t="shared" si="9"/>
        <v>15</v>
      </c>
      <c r="X37" s="46">
        <f t="shared" si="9"/>
        <v>12</v>
      </c>
      <c r="Y37" s="46">
        <f t="shared" si="9"/>
        <v>7</v>
      </c>
      <c r="Z37" s="46">
        <f t="shared" si="9"/>
        <v>11</v>
      </c>
      <c r="AA37" s="46">
        <f t="shared" si="9"/>
        <v>14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203" t="s">
        <v>17</v>
      </c>
      <c r="AL37" s="203">
        <v>1</v>
      </c>
      <c r="AM37" s="203">
        <v>1</v>
      </c>
      <c r="AN37" s="203">
        <v>5</v>
      </c>
      <c r="AO37" s="203">
        <v>1</v>
      </c>
      <c r="AP37" s="203">
        <v>1</v>
      </c>
      <c r="AQ37" s="203">
        <v>70</v>
      </c>
      <c r="AR37" s="203">
        <v>1</v>
      </c>
      <c r="AS37" s="200">
        <v>4</v>
      </c>
    </row>
    <row r="38" spans="1:45" ht="16.5" customHeight="1">
      <c r="B38" s="5" t="s">
        <v>77</v>
      </c>
      <c r="C38" s="10">
        <v>0</v>
      </c>
      <c r="D38" s="10">
        <v>290</v>
      </c>
      <c r="E38" s="10">
        <v>283</v>
      </c>
      <c r="F38" s="10">
        <v>803</v>
      </c>
      <c r="G38" s="10">
        <v>520</v>
      </c>
      <c r="H38" s="10">
        <v>0</v>
      </c>
      <c r="L38" s="19">
        <v>34</v>
      </c>
      <c r="M38" s="47" t="s">
        <v>26</v>
      </c>
      <c r="N38" s="47" t="s">
        <v>64</v>
      </c>
      <c r="O38" s="47" t="s">
        <v>18</v>
      </c>
      <c r="P38" s="47" t="s">
        <v>29</v>
      </c>
      <c r="Q38" s="47" t="s">
        <v>26</v>
      </c>
      <c r="R38" s="47" t="s">
        <v>24</v>
      </c>
      <c r="S38" s="33" t="s">
        <v>64</v>
      </c>
      <c r="U38" s="46">
        <f t="shared" si="9"/>
        <v>7</v>
      </c>
      <c r="V38" s="46">
        <f t="shared" si="9"/>
        <v>14</v>
      </c>
      <c r="W38" s="46">
        <f t="shared" si="9"/>
        <v>10</v>
      </c>
      <c r="X38" s="46">
        <f t="shared" si="9"/>
        <v>19</v>
      </c>
      <c r="Y38" s="46">
        <f t="shared" si="9"/>
        <v>7</v>
      </c>
      <c r="Z38" s="46">
        <f t="shared" si="9"/>
        <v>11</v>
      </c>
      <c r="AA38" s="46">
        <f t="shared" si="9"/>
        <v>14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203" t="s">
        <v>18</v>
      </c>
      <c r="AL38" s="203">
        <v>1</v>
      </c>
      <c r="AM38" s="203">
        <v>70</v>
      </c>
      <c r="AN38" s="203">
        <v>1</v>
      </c>
      <c r="AO38" s="203">
        <v>1</v>
      </c>
      <c r="AP38" s="203">
        <v>1</v>
      </c>
      <c r="AQ38" s="203">
        <v>70</v>
      </c>
      <c r="AR38" s="203">
        <v>1</v>
      </c>
      <c r="AS38" s="200">
        <v>5</v>
      </c>
    </row>
    <row r="39" spans="1:45" ht="16.5" customHeight="1">
      <c r="B39" s="5" t="s">
        <v>78</v>
      </c>
      <c r="C39" s="10">
        <v>0</v>
      </c>
      <c r="D39" s="10">
        <v>290</v>
      </c>
      <c r="E39" s="10">
        <v>283</v>
      </c>
      <c r="F39" s="10">
        <v>803</v>
      </c>
      <c r="G39" s="10">
        <v>520</v>
      </c>
      <c r="H39" s="10">
        <v>0</v>
      </c>
      <c r="L39" s="18">
        <v>35</v>
      </c>
      <c r="M39" s="47" t="s">
        <v>64</v>
      </c>
      <c r="N39" s="47" t="s">
        <v>248</v>
      </c>
      <c r="O39" s="47" t="s">
        <v>18</v>
      </c>
      <c r="P39" s="47" t="s">
        <v>64</v>
      </c>
      <c r="Q39" s="47" t="s">
        <v>89</v>
      </c>
      <c r="R39" s="47" t="s">
        <v>24</v>
      </c>
      <c r="S39" s="33" t="s">
        <v>64</v>
      </c>
      <c r="U39" s="46">
        <f t="shared" si="9"/>
        <v>14</v>
      </c>
      <c r="V39" s="46">
        <f t="shared" si="9"/>
        <v>0</v>
      </c>
      <c r="W39" s="46">
        <f t="shared" si="9"/>
        <v>10</v>
      </c>
      <c r="X39" s="46">
        <f t="shared" si="9"/>
        <v>14</v>
      </c>
      <c r="Y39" s="46">
        <f t="shared" si="9"/>
        <v>7</v>
      </c>
      <c r="Z39" s="46">
        <f t="shared" si="9"/>
        <v>11</v>
      </c>
      <c r="AA39" s="46">
        <f t="shared" si="9"/>
        <v>14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203" t="s">
        <v>64</v>
      </c>
      <c r="AL39" s="203">
        <v>5</v>
      </c>
      <c r="AM39" s="203">
        <v>1</v>
      </c>
      <c r="AN39" s="203">
        <v>70</v>
      </c>
      <c r="AO39" s="203">
        <v>1</v>
      </c>
      <c r="AP39" s="203">
        <v>70</v>
      </c>
      <c r="AQ39" s="203">
        <v>1</v>
      </c>
      <c r="AR39" s="203">
        <v>1</v>
      </c>
      <c r="AS39" s="200">
        <v>6</v>
      </c>
    </row>
    <row r="40" spans="1:45" ht="16.5" customHeight="1">
      <c r="B40" s="5" t="s">
        <v>79</v>
      </c>
      <c r="C40" s="10">
        <v>0</v>
      </c>
      <c r="D40" s="10">
        <v>880</v>
      </c>
      <c r="E40" s="10">
        <v>830</v>
      </c>
      <c r="F40" s="10">
        <v>850</v>
      </c>
      <c r="G40" s="10">
        <v>1250</v>
      </c>
      <c r="H40" s="10">
        <v>0</v>
      </c>
      <c r="L40" s="19">
        <v>36</v>
      </c>
      <c r="M40" s="46" t="s">
        <v>29</v>
      </c>
      <c r="N40" s="46" t="s">
        <v>29</v>
      </c>
      <c r="O40" s="46" t="s">
        <v>28</v>
      </c>
      <c r="P40" s="46" t="s">
        <v>64</v>
      </c>
      <c r="Q40" s="46" t="s">
        <v>18</v>
      </c>
      <c r="R40" s="46" t="s">
        <v>26</v>
      </c>
      <c r="S40" s="46" t="s">
        <v>89</v>
      </c>
      <c r="U40" s="46">
        <f t="shared" si="9"/>
        <v>19</v>
      </c>
      <c r="V40" s="46">
        <f t="shared" si="9"/>
        <v>19</v>
      </c>
      <c r="W40" s="46">
        <f t="shared" si="9"/>
        <v>15</v>
      </c>
      <c r="X40" s="46">
        <f t="shared" si="9"/>
        <v>14</v>
      </c>
      <c r="Y40" s="46">
        <f t="shared" si="9"/>
        <v>10</v>
      </c>
      <c r="Z40" s="46">
        <f t="shared" si="9"/>
        <v>7</v>
      </c>
      <c r="AA40" s="46">
        <f t="shared" si="9"/>
        <v>7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203" t="s">
        <v>89</v>
      </c>
      <c r="AL40" s="203">
        <v>1</v>
      </c>
      <c r="AM40" s="203">
        <v>70</v>
      </c>
      <c r="AN40" s="203">
        <v>1</v>
      </c>
      <c r="AO40" s="203">
        <v>1</v>
      </c>
      <c r="AP40" s="203">
        <v>1</v>
      </c>
      <c r="AQ40" s="203">
        <v>70</v>
      </c>
      <c r="AR40" s="203">
        <v>1</v>
      </c>
      <c r="AS40" s="200">
        <v>7</v>
      </c>
    </row>
    <row r="41" spans="1:45" ht="16.5" customHeight="1">
      <c r="B41" s="5" t="s">
        <v>80</v>
      </c>
      <c r="C41" s="10">
        <v>0</v>
      </c>
      <c r="D41" s="10">
        <v>880</v>
      </c>
      <c r="E41" s="10">
        <v>830</v>
      </c>
      <c r="F41" s="10">
        <v>850</v>
      </c>
      <c r="G41" s="10">
        <v>1250</v>
      </c>
      <c r="H41" s="10">
        <v>0</v>
      </c>
      <c r="L41" s="18">
        <v>37</v>
      </c>
      <c r="M41" s="47" t="s">
        <v>89</v>
      </c>
      <c r="N41" s="47" t="s">
        <v>29</v>
      </c>
      <c r="O41" s="47" t="s">
        <v>28</v>
      </c>
      <c r="P41" s="47" t="s">
        <v>64</v>
      </c>
      <c r="Q41" s="47" t="s">
        <v>28</v>
      </c>
      <c r="R41" s="47" t="s">
        <v>26</v>
      </c>
      <c r="S41" s="33" t="s">
        <v>89</v>
      </c>
      <c r="U41" s="46">
        <f t="shared" si="9"/>
        <v>7</v>
      </c>
      <c r="V41" s="46">
        <f t="shared" si="9"/>
        <v>19</v>
      </c>
      <c r="W41" s="46">
        <f t="shared" si="9"/>
        <v>15</v>
      </c>
      <c r="X41" s="46">
        <f t="shared" si="9"/>
        <v>14</v>
      </c>
      <c r="Y41" s="46">
        <f t="shared" si="9"/>
        <v>15</v>
      </c>
      <c r="Z41" s="46">
        <f t="shared" si="9"/>
        <v>7</v>
      </c>
      <c r="AA41" s="46">
        <f t="shared" si="9"/>
        <v>7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1</v>
      </c>
      <c r="AM41" s="46">
        <v>1</v>
      </c>
      <c r="AN41" s="46">
        <v>1</v>
      </c>
      <c r="AO41" s="46">
        <v>1</v>
      </c>
      <c r="AP41" s="46">
        <v>70</v>
      </c>
      <c r="AQ41" s="46">
        <v>1</v>
      </c>
      <c r="AR41" s="46">
        <v>1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880</v>
      </c>
      <c r="E42" s="10">
        <v>830</v>
      </c>
      <c r="F42" s="10">
        <v>850</v>
      </c>
      <c r="G42" s="10">
        <v>1250</v>
      </c>
      <c r="H42" s="10">
        <v>0</v>
      </c>
      <c r="L42" s="19">
        <v>38</v>
      </c>
      <c r="M42" s="47" t="s">
        <v>89</v>
      </c>
      <c r="N42" s="47" t="s">
        <v>29</v>
      </c>
      <c r="O42" s="47" t="s">
        <v>18</v>
      </c>
      <c r="P42" s="47" t="s">
        <v>27</v>
      </c>
      <c r="Q42" s="47" t="s">
        <v>28</v>
      </c>
      <c r="R42" s="47" t="s">
        <v>24</v>
      </c>
      <c r="S42" s="33" t="s">
        <v>89</v>
      </c>
      <c r="U42" s="46">
        <f t="shared" si="9"/>
        <v>7</v>
      </c>
      <c r="V42" s="46">
        <f t="shared" si="9"/>
        <v>19</v>
      </c>
      <c r="W42" s="46">
        <f t="shared" si="9"/>
        <v>10</v>
      </c>
      <c r="X42" s="46">
        <f t="shared" si="9"/>
        <v>12</v>
      </c>
      <c r="Y42" s="46">
        <f t="shared" si="9"/>
        <v>15</v>
      </c>
      <c r="Z42" s="46">
        <f t="shared" si="9"/>
        <v>11</v>
      </c>
      <c r="AA42" s="46">
        <f t="shared" si="9"/>
        <v>7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1</v>
      </c>
      <c r="AM42" s="46">
        <v>1</v>
      </c>
      <c r="AN42" s="46">
        <v>1</v>
      </c>
      <c r="AO42" s="46">
        <v>70</v>
      </c>
      <c r="AP42" s="46">
        <v>1</v>
      </c>
      <c r="AQ42" s="46">
        <v>70</v>
      </c>
      <c r="AR42" s="46">
        <v>1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292</v>
      </c>
      <c r="E43" s="10">
        <v>305</v>
      </c>
      <c r="F43" s="10">
        <v>514</v>
      </c>
      <c r="G43" s="10">
        <v>608</v>
      </c>
      <c r="H43" s="10">
        <v>0</v>
      </c>
      <c r="L43" s="18">
        <v>39</v>
      </c>
      <c r="M43" s="47" t="s">
        <v>28</v>
      </c>
      <c r="N43" s="47" t="s">
        <v>246</v>
      </c>
      <c r="O43" s="47" t="s">
        <v>29</v>
      </c>
      <c r="P43" s="47" t="s">
        <v>64</v>
      </c>
      <c r="Q43" s="47" t="s">
        <v>18</v>
      </c>
      <c r="R43" s="47" t="s">
        <v>24</v>
      </c>
      <c r="S43" s="33" t="s">
        <v>89</v>
      </c>
      <c r="U43" s="46">
        <f t="shared" si="9"/>
        <v>15</v>
      </c>
      <c r="V43" s="46">
        <f t="shared" si="9"/>
        <v>0</v>
      </c>
      <c r="W43" s="46">
        <f t="shared" si="9"/>
        <v>19</v>
      </c>
      <c r="X43" s="46">
        <f t="shared" si="9"/>
        <v>14</v>
      </c>
      <c r="Y43" s="46">
        <f t="shared" si="9"/>
        <v>10</v>
      </c>
      <c r="Z43" s="46">
        <f t="shared" si="9"/>
        <v>11</v>
      </c>
      <c r="AA43" s="46">
        <f t="shared" si="9"/>
        <v>7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1</v>
      </c>
      <c r="AM43" s="46">
        <v>1</v>
      </c>
      <c r="AN43" s="46">
        <v>5</v>
      </c>
      <c r="AO43" s="46">
        <v>1</v>
      </c>
      <c r="AP43" s="46">
        <v>1</v>
      </c>
      <c r="AQ43" s="46">
        <v>1</v>
      </c>
      <c r="AR43" s="46">
        <v>3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292</v>
      </c>
      <c r="E44" s="10">
        <v>305</v>
      </c>
      <c r="F44" s="10">
        <v>514</v>
      </c>
      <c r="G44" s="10">
        <v>608</v>
      </c>
      <c r="H44" s="10">
        <v>0</v>
      </c>
      <c r="L44" s="19">
        <v>40</v>
      </c>
      <c r="M44" s="47" t="s">
        <v>29</v>
      </c>
      <c r="N44" s="47" t="s">
        <v>24</v>
      </c>
      <c r="O44" s="47" t="s">
        <v>28</v>
      </c>
      <c r="P44" s="47" t="s">
        <v>29</v>
      </c>
      <c r="Q44" s="47" t="s">
        <v>18</v>
      </c>
      <c r="R44" s="47" t="s">
        <v>27</v>
      </c>
      <c r="S44" s="33" t="s">
        <v>64</v>
      </c>
      <c r="U44" s="46">
        <f t="shared" si="9"/>
        <v>19</v>
      </c>
      <c r="V44" s="46">
        <f t="shared" si="9"/>
        <v>11</v>
      </c>
      <c r="W44" s="46">
        <f t="shared" si="9"/>
        <v>15</v>
      </c>
      <c r="X44" s="46">
        <f t="shared" si="9"/>
        <v>19</v>
      </c>
      <c r="Y44" s="46">
        <f t="shared" si="9"/>
        <v>10</v>
      </c>
      <c r="Z44" s="46">
        <f t="shared" si="9"/>
        <v>12</v>
      </c>
      <c r="AA44" s="46">
        <f t="shared" si="9"/>
        <v>14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1</v>
      </c>
      <c r="AM44" s="46">
        <v>70</v>
      </c>
      <c r="AN44" s="46">
        <v>1</v>
      </c>
      <c r="AO44" s="46">
        <v>1</v>
      </c>
      <c r="AP44" s="46">
        <v>1</v>
      </c>
      <c r="AQ44" s="46">
        <v>1</v>
      </c>
      <c r="AR44" s="46">
        <v>1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292</v>
      </c>
      <c r="E45" s="10">
        <v>305</v>
      </c>
      <c r="F45" s="10">
        <v>514</v>
      </c>
      <c r="G45" s="10">
        <v>608</v>
      </c>
      <c r="H45" s="10">
        <v>0</v>
      </c>
      <c r="L45" s="18">
        <v>41</v>
      </c>
      <c r="M45" s="47" t="s">
        <v>18</v>
      </c>
      <c r="N45" s="47" t="s">
        <v>24</v>
      </c>
      <c r="O45" s="47" t="s">
        <v>28</v>
      </c>
      <c r="P45" s="47" t="s">
        <v>29</v>
      </c>
      <c r="Q45" s="47" t="s">
        <v>64</v>
      </c>
      <c r="R45" s="47" t="s">
        <v>27</v>
      </c>
      <c r="S45" s="33" t="s">
        <v>64</v>
      </c>
      <c r="U45" s="46">
        <f t="shared" si="9"/>
        <v>10</v>
      </c>
      <c r="V45" s="46">
        <f t="shared" si="9"/>
        <v>11</v>
      </c>
      <c r="W45" s="46">
        <f t="shared" si="9"/>
        <v>15</v>
      </c>
      <c r="X45" s="46">
        <f t="shared" si="9"/>
        <v>19</v>
      </c>
      <c r="Y45" s="46">
        <f t="shared" si="9"/>
        <v>14</v>
      </c>
      <c r="Z45" s="46">
        <f t="shared" si="9"/>
        <v>12</v>
      </c>
      <c r="AA45" s="46">
        <f t="shared" si="9"/>
        <v>14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70</v>
      </c>
      <c r="AM45" s="46">
        <v>1</v>
      </c>
      <c r="AN45" s="46">
        <v>1</v>
      </c>
      <c r="AO45" s="46">
        <v>1</v>
      </c>
      <c r="AP45" s="46">
        <v>1</v>
      </c>
      <c r="AQ45" s="46">
        <v>1</v>
      </c>
      <c r="AR45" s="46">
        <v>1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292</v>
      </c>
      <c r="E46" s="10">
        <v>305</v>
      </c>
      <c r="F46" s="10">
        <v>514</v>
      </c>
      <c r="G46" s="10">
        <v>608</v>
      </c>
      <c r="H46" s="10">
        <v>0</v>
      </c>
      <c r="L46" s="19">
        <v>42</v>
      </c>
      <c r="M46" s="47" t="s">
        <v>27</v>
      </c>
      <c r="N46" s="47" t="s">
        <v>21</v>
      </c>
      <c r="O46" s="47" t="s">
        <v>244</v>
      </c>
      <c r="P46" s="47" t="s">
        <v>29</v>
      </c>
      <c r="Q46" s="47" t="s">
        <v>21</v>
      </c>
      <c r="R46" s="47" t="s">
        <v>24</v>
      </c>
      <c r="S46" s="33" t="s">
        <v>64</v>
      </c>
      <c r="U46" s="46">
        <f t="shared" si="9"/>
        <v>12</v>
      </c>
      <c r="V46" s="46">
        <f t="shared" si="9"/>
        <v>12</v>
      </c>
      <c r="W46" s="46">
        <f t="shared" si="9"/>
        <v>0</v>
      </c>
      <c r="X46" s="46">
        <f t="shared" si="9"/>
        <v>19</v>
      </c>
      <c r="Y46" s="46">
        <f t="shared" si="9"/>
        <v>12</v>
      </c>
      <c r="Z46" s="46">
        <f t="shared" si="9"/>
        <v>11</v>
      </c>
      <c r="AA46" s="46">
        <f t="shared" si="9"/>
        <v>14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203" t="s">
        <v>234</v>
      </c>
      <c r="AL46" s="203">
        <v>0</v>
      </c>
      <c r="AM46" s="203">
        <v>0</v>
      </c>
      <c r="AN46" s="203">
        <v>0</v>
      </c>
      <c r="AO46" s="203">
        <v>0</v>
      </c>
      <c r="AP46" s="203">
        <v>0</v>
      </c>
      <c r="AQ46" s="203">
        <v>0</v>
      </c>
      <c r="AR46" s="203">
        <v>0</v>
      </c>
      <c r="AS46" s="200">
        <v>12</v>
      </c>
    </row>
    <row r="47" spans="1:45" ht="16.5" customHeight="1">
      <c r="B47" s="5" t="s">
        <v>86</v>
      </c>
      <c r="C47" s="10">
        <v>1</v>
      </c>
      <c r="D47" s="10">
        <v>470</v>
      </c>
      <c r="E47" s="10">
        <v>640</v>
      </c>
      <c r="F47" s="10">
        <v>360</v>
      </c>
      <c r="G47" s="10">
        <v>290</v>
      </c>
      <c r="H47" s="10">
        <v>1</v>
      </c>
      <c r="L47" s="18">
        <v>43</v>
      </c>
      <c r="M47" s="47" t="s">
        <v>29</v>
      </c>
      <c r="N47" s="47" t="s">
        <v>21</v>
      </c>
      <c r="O47" s="47" t="s">
        <v>24</v>
      </c>
      <c r="P47" s="47" t="s">
        <v>27</v>
      </c>
      <c r="Q47" s="47" t="s">
        <v>89</v>
      </c>
      <c r="R47" s="47" t="s">
        <v>24</v>
      </c>
      <c r="S47" s="33" t="s">
        <v>21</v>
      </c>
      <c r="U47" s="46">
        <f t="shared" si="9"/>
        <v>19</v>
      </c>
      <c r="V47" s="46">
        <f t="shared" si="9"/>
        <v>12</v>
      </c>
      <c r="W47" s="46">
        <f t="shared" si="9"/>
        <v>11</v>
      </c>
      <c r="X47" s="46">
        <f t="shared" si="9"/>
        <v>12</v>
      </c>
      <c r="Y47" s="46">
        <f t="shared" si="9"/>
        <v>7</v>
      </c>
      <c r="Z47" s="46">
        <f t="shared" si="9"/>
        <v>11</v>
      </c>
      <c r="AA47" s="46">
        <f t="shared" si="9"/>
        <v>12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203" t="s">
        <v>236</v>
      </c>
      <c r="AL47" s="203">
        <v>0</v>
      </c>
      <c r="AM47" s="203">
        <v>1</v>
      </c>
      <c r="AN47" s="203">
        <v>1</v>
      </c>
      <c r="AO47" s="203">
        <v>1</v>
      </c>
      <c r="AP47" s="203">
        <v>1</v>
      </c>
      <c r="AQ47" s="203">
        <v>0</v>
      </c>
      <c r="AR47" s="203">
        <v>0</v>
      </c>
      <c r="AS47" s="200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26</v>
      </c>
      <c r="N48" s="47" t="s">
        <v>240</v>
      </c>
      <c r="O48" s="47" t="s">
        <v>26</v>
      </c>
      <c r="P48" s="47" t="s">
        <v>27</v>
      </c>
      <c r="Q48" s="47" t="s">
        <v>89</v>
      </c>
      <c r="R48" s="47" t="s">
        <v>26</v>
      </c>
      <c r="S48" s="33" t="s">
        <v>21</v>
      </c>
      <c r="U48" s="46">
        <f t="shared" si="9"/>
        <v>7</v>
      </c>
      <c r="V48" s="46">
        <f t="shared" si="9"/>
        <v>0</v>
      </c>
      <c r="W48" s="46">
        <f t="shared" si="9"/>
        <v>7</v>
      </c>
      <c r="X48" s="46">
        <f t="shared" si="9"/>
        <v>12</v>
      </c>
      <c r="Y48" s="46">
        <f t="shared" si="9"/>
        <v>7</v>
      </c>
      <c r="Z48" s="46">
        <f t="shared" si="9"/>
        <v>7</v>
      </c>
      <c r="AA48" s="46">
        <f t="shared" si="9"/>
        <v>12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203" t="s">
        <v>238</v>
      </c>
      <c r="AL48" s="203">
        <v>0</v>
      </c>
      <c r="AM48" s="203">
        <v>1</v>
      </c>
      <c r="AN48" s="203">
        <v>1</v>
      </c>
      <c r="AO48" s="203">
        <v>1</v>
      </c>
      <c r="AP48" s="203">
        <v>1</v>
      </c>
      <c r="AQ48" s="203">
        <v>0</v>
      </c>
      <c r="AR48" s="203">
        <v>0</v>
      </c>
      <c r="AS48" s="200">
        <v>14</v>
      </c>
    </row>
    <row r="49" spans="2:45" ht="16.5" customHeight="1">
      <c r="L49" s="18">
        <v>45</v>
      </c>
      <c r="M49" s="47" t="s">
        <v>26</v>
      </c>
      <c r="N49" s="47" t="s">
        <v>27</v>
      </c>
      <c r="O49" s="47" t="s">
        <v>248</v>
      </c>
      <c r="P49" s="47" t="s">
        <v>21</v>
      </c>
      <c r="Q49" s="47" t="s">
        <v>28</v>
      </c>
      <c r="R49" s="47" t="s">
        <v>26</v>
      </c>
      <c r="S49" s="33" t="s">
        <v>18</v>
      </c>
      <c r="U49" s="46">
        <f t="shared" si="9"/>
        <v>7</v>
      </c>
      <c r="V49" s="46">
        <f t="shared" si="9"/>
        <v>12</v>
      </c>
      <c r="W49" s="46">
        <f t="shared" si="9"/>
        <v>0</v>
      </c>
      <c r="X49" s="46">
        <f t="shared" si="9"/>
        <v>12</v>
      </c>
      <c r="Y49" s="46">
        <f t="shared" si="9"/>
        <v>15</v>
      </c>
      <c r="Z49" s="46">
        <f t="shared" si="9"/>
        <v>7</v>
      </c>
      <c r="AA49" s="46">
        <f t="shared" si="9"/>
        <v>10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203" t="s">
        <v>240</v>
      </c>
      <c r="AL49" s="203">
        <v>0</v>
      </c>
      <c r="AM49" s="203">
        <v>1</v>
      </c>
      <c r="AN49" s="203">
        <v>1</v>
      </c>
      <c r="AO49" s="203">
        <v>1</v>
      </c>
      <c r="AP49" s="203">
        <v>1</v>
      </c>
      <c r="AQ49" s="203">
        <v>0</v>
      </c>
      <c r="AR49" s="203">
        <v>0</v>
      </c>
      <c r="AS49" s="200">
        <v>15</v>
      </c>
    </row>
    <row r="50" spans="2:45" ht="16.5" customHeight="1">
      <c r="B50" s="214" t="s">
        <v>105</v>
      </c>
      <c r="C50" s="211" t="s">
        <v>271</v>
      </c>
      <c r="L50" s="19">
        <v>46</v>
      </c>
      <c r="M50" s="47" t="s">
        <v>28</v>
      </c>
      <c r="N50" s="47" t="s">
        <v>24</v>
      </c>
      <c r="O50" s="47" t="s">
        <v>21</v>
      </c>
      <c r="P50" s="47" t="s">
        <v>21</v>
      </c>
      <c r="Q50" s="47" t="s">
        <v>28</v>
      </c>
      <c r="R50" s="47" t="s">
        <v>64</v>
      </c>
      <c r="S50" s="33" t="s">
        <v>18</v>
      </c>
      <c r="U50" s="46">
        <f t="shared" si="9"/>
        <v>15</v>
      </c>
      <c r="V50" s="46">
        <f t="shared" si="9"/>
        <v>11</v>
      </c>
      <c r="W50" s="46">
        <f t="shared" si="9"/>
        <v>12</v>
      </c>
      <c r="X50" s="46">
        <f t="shared" si="9"/>
        <v>12</v>
      </c>
      <c r="Y50" s="46">
        <f t="shared" si="9"/>
        <v>15</v>
      </c>
      <c r="Z50" s="46">
        <f t="shared" si="9"/>
        <v>14</v>
      </c>
      <c r="AA50" s="46">
        <f t="shared" si="9"/>
        <v>10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203" t="s">
        <v>242</v>
      </c>
      <c r="AL50" s="203">
        <v>0</v>
      </c>
      <c r="AM50" s="203">
        <v>1</v>
      </c>
      <c r="AN50" s="203">
        <v>1</v>
      </c>
      <c r="AO50" s="203">
        <v>1</v>
      </c>
      <c r="AP50" s="203">
        <v>2</v>
      </c>
      <c r="AQ50" s="203">
        <v>0</v>
      </c>
      <c r="AR50" s="203">
        <v>0</v>
      </c>
      <c r="AS50" s="200">
        <v>16</v>
      </c>
    </row>
    <row r="51" spans="2:45" ht="16.5" customHeight="1">
      <c r="B51" s="212" t="s">
        <v>68</v>
      </c>
      <c r="C51" s="210">
        <v>0</v>
      </c>
      <c r="L51" s="18">
        <v>47</v>
      </c>
      <c r="M51" s="47" t="s">
        <v>27</v>
      </c>
      <c r="N51" s="47" t="s">
        <v>27</v>
      </c>
      <c r="O51" s="47" t="s">
        <v>24</v>
      </c>
      <c r="P51" s="47" t="s">
        <v>21</v>
      </c>
      <c r="Q51" s="47" t="s">
        <v>89</v>
      </c>
      <c r="R51" s="47" t="s">
        <v>64</v>
      </c>
      <c r="S51" s="33" t="s">
        <v>18</v>
      </c>
      <c r="U51" s="46">
        <f t="shared" si="9"/>
        <v>12</v>
      </c>
      <c r="V51" s="46">
        <f t="shared" si="9"/>
        <v>12</v>
      </c>
      <c r="W51" s="46">
        <f t="shared" si="9"/>
        <v>11</v>
      </c>
      <c r="X51" s="46">
        <f t="shared" si="9"/>
        <v>12</v>
      </c>
      <c r="Y51" s="46">
        <f t="shared" si="9"/>
        <v>7</v>
      </c>
      <c r="Z51" s="46">
        <f t="shared" si="9"/>
        <v>14</v>
      </c>
      <c r="AA51" s="46">
        <f t="shared" si="9"/>
        <v>10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203" t="s">
        <v>244</v>
      </c>
      <c r="AL51" s="203">
        <v>0</v>
      </c>
      <c r="AM51" s="203">
        <v>1</v>
      </c>
      <c r="AN51" s="203">
        <v>1</v>
      </c>
      <c r="AO51" s="203">
        <v>1</v>
      </c>
      <c r="AP51" s="203">
        <v>1</v>
      </c>
      <c r="AQ51" s="203">
        <v>0</v>
      </c>
      <c r="AR51" s="203">
        <v>0</v>
      </c>
      <c r="AS51" s="200">
        <v>17</v>
      </c>
    </row>
    <row r="52" spans="2:45" ht="16.5" customHeight="1">
      <c r="B52" s="213" t="s">
        <v>19</v>
      </c>
      <c r="C52" s="208">
        <v>0</v>
      </c>
      <c r="L52" s="19">
        <v>48</v>
      </c>
      <c r="M52" s="47" t="s">
        <v>29</v>
      </c>
      <c r="N52" s="47" t="s">
        <v>27</v>
      </c>
      <c r="O52" s="47" t="s">
        <v>24</v>
      </c>
      <c r="P52" s="47" t="s">
        <v>64</v>
      </c>
      <c r="Q52" s="47" t="s">
        <v>89</v>
      </c>
      <c r="R52" s="47" t="s">
        <v>27</v>
      </c>
      <c r="S52" s="33" t="s">
        <v>17</v>
      </c>
      <c r="U52" s="46">
        <f t="shared" si="9"/>
        <v>19</v>
      </c>
      <c r="V52" s="46">
        <f t="shared" si="9"/>
        <v>12</v>
      </c>
      <c r="W52" s="46">
        <f t="shared" si="9"/>
        <v>11</v>
      </c>
      <c r="X52" s="46">
        <f t="shared" si="9"/>
        <v>14</v>
      </c>
      <c r="Y52" s="46">
        <f t="shared" si="9"/>
        <v>7</v>
      </c>
      <c r="Z52" s="46">
        <f t="shared" si="9"/>
        <v>12</v>
      </c>
      <c r="AA52" s="46">
        <f t="shared" si="9"/>
        <v>14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246</v>
      </c>
      <c r="AL52" s="46">
        <v>0</v>
      </c>
      <c r="AM52" s="46">
        <v>1</v>
      </c>
      <c r="AN52" s="46">
        <v>1</v>
      </c>
      <c r="AO52" s="46">
        <v>1</v>
      </c>
      <c r="AP52" s="46">
        <v>1</v>
      </c>
      <c r="AQ52" s="46">
        <v>0</v>
      </c>
      <c r="AR52" s="46">
        <v>0</v>
      </c>
      <c r="AS52" s="5">
        <v>17</v>
      </c>
    </row>
    <row r="53" spans="2:45" ht="16.5" customHeight="1">
      <c r="B53" s="213" t="s">
        <v>20</v>
      </c>
      <c r="C53" s="208">
        <v>2</v>
      </c>
      <c r="L53" s="18">
        <v>49</v>
      </c>
      <c r="M53" s="47" t="s">
        <v>28</v>
      </c>
      <c r="N53" s="47" t="s">
        <v>64</v>
      </c>
      <c r="O53" s="47" t="s">
        <v>28</v>
      </c>
      <c r="P53" s="47" t="s">
        <v>64</v>
      </c>
      <c r="Q53" s="47" t="s">
        <v>27</v>
      </c>
      <c r="R53" s="47" t="s">
        <v>27</v>
      </c>
      <c r="S53" s="33" t="s">
        <v>17</v>
      </c>
      <c r="U53" s="46">
        <f t="shared" si="9"/>
        <v>15</v>
      </c>
      <c r="V53" s="46">
        <f t="shared" si="9"/>
        <v>14</v>
      </c>
      <c r="W53" s="46">
        <f t="shared" si="9"/>
        <v>15</v>
      </c>
      <c r="X53" s="46">
        <f t="shared" si="9"/>
        <v>14</v>
      </c>
      <c r="Y53" s="46">
        <f t="shared" si="9"/>
        <v>12</v>
      </c>
      <c r="Z53" s="46">
        <f t="shared" si="9"/>
        <v>12</v>
      </c>
      <c r="AA53" s="46">
        <f t="shared" si="9"/>
        <v>14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248</v>
      </c>
      <c r="AL53" s="46">
        <v>0</v>
      </c>
      <c r="AM53" s="46">
        <v>1</v>
      </c>
      <c r="AN53" s="46">
        <v>1</v>
      </c>
      <c r="AO53" s="46">
        <v>1</v>
      </c>
      <c r="AP53" s="46">
        <v>1</v>
      </c>
      <c r="AQ53" s="46">
        <v>0</v>
      </c>
      <c r="AR53" s="46">
        <v>0</v>
      </c>
      <c r="AS53" s="5">
        <v>18</v>
      </c>
    </row>
    <row r="54" spans="2:45" ht="16.5" customHeight="1">
      <c r="B54" s="213" t="s">
        <v>21</v>
      </c>
      <c r="C54" s="208">
        <v>3</v>
      </c>
      <c r="L54" s="19">
        <v>50</v>
      </c>
      <c r="M54" s="47" t="s">
        <v>89</v>
      </c>
      <c r="N54" s="47" t="s">
        <v>64</v>
      </c>
      <c r="O54" s="47" t="s">
        <v>28</v>
      </c>
      <c r="P54" s="47" t="s">
        <v>17</v>
      </c>
      <c r="Q54" s="47" t="s">
        <v>21</v>
      </c>
      <c r="R54" s="47" t="s">
        <v>29</v>
      </c>
      <c r="S54" s="33" t="s">
        <v>17</v>
      </c>
      <c r="U54" s="46">
        <f t="shared" si="9"/>
        <v>7</v>
      </c>
      <c r="V54" s="46">
        <f t="shared" si="9"/>
        <v>14</v>
      </c>
      <c r="W54" s="46">
        <f t="shared" si="9"/>
        <v>15</v>
      </c>
      <c r="X54" s="46">
        <f t="shared" si="9"/>
        <v>14</v>
      </c>
      <c r="Y54" s="46">
        <f t="shared" si="9"/>
        <v>12</v>
      </c>
      <c r="Z54" s="46">
        <f t="shared" si="9"/>
        <v>19</v>
      </c>
      <c r="AA54" s="46">
        <f t="shared" si="9"/>
        <v>14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250</v>
      </c>
      <c r="AL54" s="46">
        <v>0</v>
      </c>
      <c r="AM54" s="46">
        <v>1</v>
      </c>
      <c r="AN54" s="46">
        <v>1</v>
      </c>
      <c r="AO54" s="46">
        <v>1</v>
      </c>
      <c r="AP54" s="46">
        <v>1</v>
      </c>
      <c r="AQ54" s="46">
        <v>0</v>
      </c>
      <c r="AR54" s="46">
        <v>0</v>
      </c>
      <c r="AS54" s="5">
        <v>19</v>
      </c>
    </row>
    <row r="55" spans="2:45" ht="16.5" customHeight="1">
      <c r="B55" s="213" t="s">
        <v>17</v>
      </c>
      <c r="C55" s="208">
        <v>5</v>
      </c>
      <c r="L55" s="18">
        <v>51</v>
      </c>
      <c r="M55" s="47" t="s">
        <v>26</v>
      </c>
      <c r="N55" s="47" t="s">
        <v>242</v>
      </c>
      <c r="O55" s="47" t="s">
        <v>64</v>
      </c>
      <c r="P55" s="47" t="s">
        <v>17</v>
      </c>
      <c r="Q55" s="47" t="s">
        <v>21</v>
      </c>
      <c r="R55" s="47" t="s">
        <v>29</v>
      </c>
      <c r="S55" s="33" t="s">
        <v>64</v>
      </c>
      <c r="U55" s="46">
        <f t="shared" si="9"/>
        <v>7</v>
      </c>
      <c r="V55" s="46">
        <f t="shared" si="9"/>
        <v>0</v>
      </c>
      <c r="W55" s="46">
        <f t="shared" si="9"/>
        <v>14</v>
      </c>
      <c r="X55" s="46">
        <f t="shared" si="9"/>
        <v>14</v>
      </c>
      <c r="Y55" s="46">
        <f t="shared" si="9"/>
        <v>12</v>
      </c>
      <c r="Z55" s="46">
        <f t="shared" si="9"/>
        <v>19</v>
      </c>
      <c r="AA55" s="46">
        <f t="shared" si="9"/>
        <v>14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252</v>
      </c>
      <c r="AL55" s="46">
        <v>0</v>
      </c>
      <c r="AM55" s="46">
        <v>1</v>
      </c>
      <c r="AN55" s="46">
        <v>1</v>
      </c>
      <c r="AO55" s="46">
        <v>1</v>
      </c>
      <c r="AP55" s="46">
        <v>1</v>
      </c>
      <c r="AQ55" s="46">
        <v>0</v>
      </c>
      <c r="AR55" s="46">
        <v>0</v>
      </c>
      <c r="AS55" s="5">
        <v>20</v>
      </c>
    </row>
    <row r="56" spans="2:45" ht="16.5" customHeight="1">
      <c r="B56" s="213" t="s">
        <v>18</v>
      </c>
      <c r="C56" s="208">
        <v>8</v>
      </c>
      <c r="L56" s="19">
        <v>52</v>
      </c>
      <c r="M56" s="47" t="s">
        <v>28</v>
      </c>
      <c r="N56" s="47" t="s">
        <v>27</v>
      </c>
      <c r="O56" s="47" t="s">
        <v>26</v>
      </c>
      <c r="P56" s="47" t="s">
        <v>28</v>
      </c>
      <c r="Q56" s="47" t="s">
        <v>28</v>
      </c>
      <c r="R56" s="47" t="s">
        <v>24</v>
      </c>
      <c r="S56" s="33" t="s">
        <v>64</v>
      </c>
      <c r="U56" s="46">
        <f t="shared" si="9"/>
        <v>15</v>
      </c>
      <c r="V56" s="46">
        <f t="shared" si="9"/>
        <v>12</v>
      </c>
      <c r="W56" s="46">
        <f t="shared" si="9"/>
        <v>7</v>
      </c>
      <c r="X56" s="46">
        <f t="shared" ref="X56:AA119" si="11">VLOOKUP(P56, $A$4:$J$29, 9, 0)</f>
        <v>15</v>
      </c>
      <c r="Y56" s="46">
        <f t="shared" si="11"/>
        <v>15</v>
      </c>
      <c r="Z56" s="46">
        <f t="shared" si="11"/>
        <v>11</v>
      </c>
      <c r="AA56" s="46">
        <f t="shared" si="11"/>
        <v>14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254</v>
      </c>
      <c r="AL56" s="46">
        <v>0</v>
      </c>
      <c r="AM56" s="46">
        <v>1</v>
      </c>
      <c r="AN56" s="46">
        <v>1</v>
      </c>
      <c r="AO56" s="46">
        <v>1</v>
      </c>
      <c r="AP56" s="46">
        <v>1</v>
      </c>
      <c r="AQ56" s="46">
        <v>0</v>
      </c>
      <c r="AR56" s="46">
        <v>0</v>
      </c>
      <c r="AS56" s="5">
        <v>21</v>
      </c>
    </row>
    <row r="57" spans="2:45" ht="16.5" customHeight="1">
      <c r="B57" s="213" t="s">
        <v>64</v>
      </c>
      <c r="C57" s="208">
        <v>12</v>
      </c>
      <c r="L57" s="18">
        <v>53</v>
      </c>
      <c r="M57" s="47" t="s">
        <v>28</v>
      </c>
      <c r="N57" s="47" t="s">
        <v>27</v>
      </c>
      <c r="O57" s="47" t="s">
        <v>26</v>
      </c>
      <c r="P57" s="47" t="s">
        <v>28</v>
      </c>
      <c r="Q57" s="47" t="s">
        <v>24</v>
      </c>
      <c r="R57" s="47" t="s">
        <v>27</v>
      </c>
      <c r="S57" s="33" t="s">
        <v>64</v>
      </c>
      <c r="U57" s="46">
        <f t="shared" ref="U57:Z120" si="12">VLOOKUP(M57, $A$4:$J$29, 9, 0)</f>
        <v>15</v>
      </c>
      <c r="V57" s="46">
        <f t="shared" si="12"/>
        <v>12</v>
      </c>
      <c r="W57" s="46">
        <f t="shared" si="12"/>
        <v>7</v>
      </c>
      <c r="X57" s="46">
        <f t="shared" si="11"/>
        <v>15</v>
      </c>
      <c r="Y57" s="46">
        <f t="shared" si="11"/>
        <v>11</v>
      </c>
      <c r="Z57" s="46">
        <f t="shared" si="11"/>
        <v>12</v>
      </c>
      <c r="AA57" s="46">
        <f t="shared" si="11"/>
        <v>14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203" t="s">
        <v>101</v>
      </c>
      <c r="AL57" s="203">
        <v>0</v>
      </c>
      <c r="AM57" s="203">
        <v>0</v>
      </c>
      <c r="AN57" s="203">
        <v>0</v>
      </c>
      <c r="AO57" s="203">
        <v>0</v>
      </c>
      <c r="AP57" s="203">
        <v>0</v>
      </c>
      <c r="AQ57" s="203">
        <v>0</v>
      </c>
      <c r="AR57" s="203">
        <v>0</v>
      </c>
      <c r="AS57" s="200">
        <v>24</v>
      </c>
    </row>
    <row r="58" spans="2:45" ht="16.5" customHeight="1">
      <c r="B58" s="213" t="s">
        <v>95</v>
      </c>
      <c r="C58" s="208">
        <v>10</v>
      </c>
      <c r="L58" s="19">
        <v>54</v>
      </c>
      <c r="M58" s="47" t="s">
        <v>18</v>
      </c>
      <c r="N58" s="47" t="s">
        <v>29</v>
      </c>
      <c r="O58" s="47" t="s">
        <v>18</v>
      </c>
      <c r="P58" s="47" t="s">
        <v>64</v>
      </c>
      <c r="Q58" s="47" t="s">
        <v>24</v>
      </c>
      <c r="R58" s="47" t="s">
        <v>27</v>
      </c>
      <c r="S58" s="33" t="s">
        <v>89</v>
      </c>
      <c r="U58" s="46">
        <f t="shared" si="12"/>
        <v>10</v>
      </c>
      <c r="V58" s="46">
        <f t="shared" si="12"/>
        <v>19</v>
      </c>
      <c r="W58" s="46">
        <f t="shared" si="12"/>
        <v>10</v>
      </c>
      <c r="X58" s="46">
        <f t="shared" si="11"/>
        <v>14</v>
      </c>
      <c r="Y58" s="46">
        <f t="shared" si="11"/>
        <v>11</v>
      </c>
      <c r="Z58" s="46">
        <f t="shared" si="11"/>
        <v>12</v>
      </c>
      <c r="AA58" s="46">
        <f t="shared" si="11"/>
        <v>7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2</v>
      </c>
      <c r="AK58" s="203" t="s">
        <v>268</v>
      </c>
      <c r="AL58" s="203">
        <v>0</v>
      </c>
      <c r="AM58" s="203">
        <v>1</v>
      </c>
      <c r="AN58" s="203">
        <v>1</v>
      </c>
      <c r="AO58" s="203">
        <v>1</v>
      </c>
      <c r="AP58" s="203">
        <v>1</v>
      </c>
      <c r="AQ58" s="203">
        <v>0</v>
      </c>
      <c r="AR58" s="203">
        <v>0</v>
      </c>
      <c r="AS58" s="200">
        <v>25</v>
      </c>
    </row>
    <row r="59" spans="2:45" ht="16.5" customHeight="1">
      <c r="B59" s="213" t="s">
        <v>96</v>
      </c>
      <c r="C59" s="208">
        <v>10</v>
      </c>
      <c r="L59" s="18">
        <v>55</v>
      </c>
      <c r="M59" s="47" t="s">
        <v>18</v>
      </c>
      <c r="N59" s="47" t="s">
        <v>28</v>
      </c>
      <c r="O59" s="47" t="s">
        <v>28</v>
      </c>
      <c r="P59" s="47" t="s">
        <v>64</v>
      </c>
      <c r="Q59" s="47" t="s">
        <v>21</v>
      </c>
      <c r="R59" s="47" t="s">
        <v>64</v>
      </c>
      <c r="S59" s="33" t="s">
        <v>89</v>
      </c>
      <c r="U59" s="46">
        <f t="shared" si="12"/>
        <v>10</v>
      </c>
      <c r="V59" s="46">
        <f t="shared" si="12"/>
        <v>15</v>
      </c>
      <c r="W59" s="46">
        <f t="shared" si="12"/>
        <v>15</v>
      </c>
      <c r="X59" s="46">
        <f t="shared" si="11"/>
        <v>14</v>
      </c>
      <c r="Y59" s="46">
        <f t="shared" si="11"/>
        <v>12</v>
      </c>
      <c r="Z59" s="46">
        <f t="shared" si="11"/>
        <v>14</v>
      </c>
      <c r="AA59" s="46">
        <f t="shared" si="11"/>
        <v>7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209">
        <v>10</v>
      </c>
      <c r="L60" s="19">
        <v>56</v>
      </c>
      <c r="M60" s="47" t="s">
        <v>29</v>
      </c>
      <c r="N60" s="47" t="s">
        <v>28</v>
      </c>
      <c r="O60" s="47" t="s">
        <v>28</v>
      </c>
      <c r="P60" s="47" t="s">
        <v>242</v>
      </c>
      <c r="Q60" s="47" t="s">
        <v>21</v>
      </c>
      <c r="R60" s="47" t="s">
        <v>24</v>
      </c>
      <c r="S60" s="33" t="s">
        <v>89</v>
      </c>
      <c r="U60" s="46">
        <f t="shared" si="12"/>
        <v>19</v>
      </c>
      <c r="V60" s="46">
        <f t="shared" si="12"/>
        <v>15</v>
      </c>
      <c r="W60" s="46">
        <f t="shared" si="12"/>
        <v>15</v>
      </c>
      <c r="X60" s="46">
        <f t="shared" si="11"/>
        <v>0</v>
      </c>
      <c r="Y60" s="46">
        <f t="shared" si="11"/>
        <v>12</v>
      </c>
      <c r="Z60" s="46">
        <f t="shared" si="11"/>
        <v>11</v>
      </c>
      <c r="AA60" s="46">
        <f t="shared" si="11"/>
        <v>7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272</v>
      </c>
    </row>
    <row r="61" spans="2:45">
      <c r="B61" s="5" t="s">
        <v>38</v>
      </c>
      <c r="C61" s="209">
        <v>10</v>
      </c>
      <c r="L61" s="18">
        <v>57</v>
      </c>
      <c r="M61" s="47" t="s">
        <v>29</v>
      </c>
      <c r="N61" s="47" t="s">
        <v>27</v>
      </c>
      <c r="O61" s="47" t="s">
        <v>29</v>
      </c>
      <c r="P61" s="47" t="s">
        <v>18</v>
      </c>
      <c r="Q61" s="47" t="s">
        <v>28</v>
      </c>
      <c r="R61" s="47" t="s">
        <v>26</v>
      </c>
      <c r="S61" s="33" t="s">
        <v>26</v>
      </c>
      <c r="U61" s="46">
        <f t="shared" si="12"/>
        <v>19</v>
      </c>
      <c r="V61" s="46">
        <f t="shared" si="12"/>
        <v>12</v>
      </c>
      <c r="W61" s="46">
        <f t="shared" si="12"/>
        <v>19</v>
      </c>
      <c r="X61" s="46">
        <f t="shared" si="11"/>
        <v>10</v>
      </c>
      <c r="Y61" s="46">
        <f t="shared" si="11"/>
        <v>15</v>
      </c>
      <c r="Z61" s="46">
        <f t="shared" si="11"/>
        <v>7</v>
      </c>
      <c r="AA61" s="46">
        <f t="shared" si="11"/>
        <v>7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52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209">
        <v>10</v>
      </c>
      <c r="L62" s="19">
        <v>58</v>
      </c>
      <c r="M62" s="47" t="s">
        <v>89</v>
      </c>
      <c r="N62" s="47" t="s">
        <v>236</v>
      </c>
      <c r="O62" s="47" t="s">
        <v>24</v>
      </c>
      <c r="P62" s="47" t="s">
        <v>24</v>
      </c>
      <c r="Q62" s="47" t="s">
        <v>28</v>
      </c>
      <c r="R62" s="47" t="s">
        <v>24</v>
      </c>
      <c r="S62" s="33" t="s">
        <v>26</v>
      </c>
      <c r="U62" s="46">
        <f t="shared" si="12"/>
        <v>7</v>
      </c>
      <c r="V62" s="46">
        <f t="shared" si="12"/>
        <v>0</v>
      </c>
      <c r="W62" s="46">
        <f t="shared" si="12"/>
        <v>11</v>
      </c>
      <c r="X62" s="46">
        <f t="shared" si="11"/>
        <v>11</v>
      </c>
      <c r="Y62" s="46">
        <f t="shared" si="11"/>
        <v>15</v>
      </c>
      <c r="Z62" s="46">
        <f t="shared" si="11"/>
        <v>11</v>
      </c>
      <c r="AA62" s="46">
        <f t="shared" si="11"/>
        <v>7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209">
        <v>10</v>
      </c>
      <c r="L63" s="18">
        <v>59</v>
      </c>
      <c r="M63" s="47" t="s">
        <v>26</v>
      </c>
      <c r="N63" s="47" t="s">
        <v>64</v>
      </c>
      <c r="O63" s="47" t="s">
        <v>29</v>
      </c>
      <c r="P63" s="47" t="s">
        <v>17</v>
      </c>
      <c r="Q63" s="47" t="s">
        <v>89</v>
      </c>
      <c r="R63" s="47" t="s">
        <v>64</v>
      </c>
      <c r="S63" s="47" t="s">
        <v>17</v>
      </c>
      <c r="U63" s="46">
        <f t="shared" si="12"/>
        <v>7</v>
      </c>
      <c r="V63" s="46">
        <f t="shared" si="12"/>
        <v>14</v>
      </c>
      <c r="W63" s="46">
        <f t="shared" si="12"/>
        <v>19</v>
      </c>
      <c r="X63" s="46">
        <f t="shared" si="11"/>
        <v>14</v>
      </c>
      <c r="Y63" s="46">
        <f t="shared" si="11"/>
        <v>7</v>
      </c>
      <c r="Z63" s="46">
        <f t="shared" si="11"/>
        <v>14</v>
      </c>
      <c r="AA63" s="46">
        <f t="shared" si="11"/>
        <v>14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0</v>
      </c>
      <c r="AM63" s="46">
        <v>0</v>
      </c>
      <c r="AN63" s="46">
        <v>0</v>
      </c>
      <c r="AO63" s="46">
        <v>0</v>
      </c>
      <c r="AP63" s="46">
        <v>0</v>
      </c>
      <c r="AQ63" s="46">
        <v>0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26</v>
      </c>
      <c r="N64" s="47" t="s">
        <v>242</v>
      </c>
      <c r="O64" s="47" t="s">
        <v>254</v>
      </c>
      <c r="P64" s="47" t="s">
        <v>17</v>
      </c>
      <c r="Q64" s="47" t="s">
        <v>28</v>
      </c>
      <c r="R64" s="47" t="s">
        <v>24</v>
      </c>
      <c r="S64" s="33" t="s">
        <v>17</v>
      </c>
      <c r="U64" s="46">
        <f t="shared" si="12"/>
        <v>7</v>
      </c>
      <c r="V64" s="46">
        <f t="shared" si="12"/>
        <v>0</v>
      </c>
      <c r="W64" s="46">
        <f t="shared" si="12"/>
        <v>0</v>
      </c>
      <c r="X64" s="46">
        <f t="shared" si="11"/>
        <v>14</v>
      </c>
      <c r="Y64" s="46">
        <f t="shared" si="11"/>
        <v>15</v>
      </c>
      <c r="Z64" s="46">
        <f t="shared" si="11"/>
        <v>11</v>
      </c>
      <c r="AA64" s="46">
        <f t="shared" si="11"/>
        <v>14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203" t="s">
        <v>20</v>
      </c>
      <c r="AL64" s="203">
        <v>1</v>
      </c>
      <c r="AM64" s="203">
        <v>1</v>
      </c>
      <c r="AN64" s="203">
        <v>1</v>
      </c>
      <c r="AO64" s="203">
        <v>1</v>
      </c>
      <c r="AP64" s="203">
        <v>1</v>
      </c>
      <c r="AQ64" s="203">
        <v>1</v>
      </c>
      <c r="AR64" s="203">
        <v>0</v>
      </c>
      <c r="AS64" s="200">
        <v>2</v>
      </c>
    </row>
    <row r="65" spans="2:45" ht="16.5" customHeight="1">
      <c r="L65" s="18">
        <v>61</v>
      </c>
      <c r="M65" s="47" t="s">
        <v>28</v>
      </c>
      <c r="N65" s="47" t="s">
        <v>24</v>
      </c>
      <c r="O65" s="47" t="s">
        <v>26</v>
      </c>
      <c r="P65" s="47" t="s">
        <v>17</v>
      </c>
      <c r="Q65" s="47" t="s">
        <v>28</v>
      </c>
      <c r="R65" s="47" t="s">
        <v>24</v>
      </c>
      <c r="S65" s="33" t="s">
        <v>17</v>
      </c>
      <c r="U65" s="46">
        <f t="shared" si="12"/>
        <v>15</v>
      </c>
      <c r="V65" s="46">
        <f t="shared" si="12"/>
        <v>11</v>
      </c>
      <c r="W65" s="46">
        <f t="shared" si="12"/>
        <v>7</v>
      </c>
      <c r="X65" s="46">
        <f t="shared" si="11"/>
        <v>14</v>
      </c>
      <c r="Y65" s="46">
        <f t="shared" si="11"/>
        <v>15</v>
      </c>
      <c r="Z65" s="46">
        <f t="shared" si="11"/>
        <v>11</v>
      </c>
      <c r="AA65" s="46">
        <f t="shared" si="11"/>
        <v>14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203" t="s">
        <v>21</v>
      </c>
      <c r="AL65" s="203">
        <v>1</v>
      </c>
      <c r="AM65" s="203">
        <v>70</v>
      </c>
      <c r="AN65" s="203">
        <v>1</v>
      </c>
      <c r="AO65" s="203">
        <v>70</v>
      </c>
      <c r="AP65" s="203">
        <v>1</v>
      </c>
      <c r="AQ65" s="203">
        <v>1</v>
      </c>
      <c r="AR65" s="203">
        <v>0</v>
      </c>
      <c r="AS65" s="200">
        <v>3</v>
      </c>
    </row>
    <row r="66" spans="2:45" ht="16.5" customHeight="1">
      <c r="B66" s="214" t="s">
        <v>102</v>
      </c>
      <c r="C66" s="211" t="s">
        <v>271</v>
      </c>
      <c r="L66" s="19">
        <v>62</v>
      </c>
      <c r="M66" s="47" t="s">
        <v>26</v>
      </c>
      <c r="N66" s="47" t="s">
        <v>24</v>
      </c>
      <c r="O66" s="47" t="s">
        <v>26</v>
      </c>
      <c r="P66" s="47" t="s">
        <v>27</v>
      </c>
      <c r="Q66" s="47" t="s">
        <v>26</v>
      </c>
      <c r="R66" s="47" t="s">
        <v>26</v>
      </c>
      <c r="S66" s="33" t="s">
        <v>26</v>
      </c>
      <c r="U66" s="46">
        <f t="shared" si="12"/>
        <v>7</v>
      </c>
      <c r="V66" s="46">
        <f t="shared" si="12"/>
        <v>11</v>
      </c>
      <c r="W66" s="46">
        <f t="shared" si="12"/>
        <v>7</v>
      </c>
      <c r="X66" s="46">
        <f t="shared" si="11"/>
        <v>12</v>
      </c>
      <c r="Y66" s="46">
        <f t="shared" si="11"/>
        <v>7</v>
      </c>
      <c r="Z66" s="46">
        <f t="shared" si="11"/>
        <v>7</v>
      </c>
      <c r="AA66" s="46">
        <f t="shared" si="11"/>
        <v>7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203" t="s">
        <v>17</v>
      </c>
      <c r="AL66" s="203">
        <v>1</v>
      </c>
      <c r="AM66" s="203">
        <v>1</v>
      </c>
      <c r="AN66" s="203">
        <v>5</v>
      </c>
      <c r="AO66" s="203">
        <v>1</v>
      </c>
      <c r="AP66" s="203">
        <v>1</v>
      </c>
      <c r="AQ66" s="203">
        <v>70</v>
      </c>
      <c r="AR66" s="203">
        <v>1</v>
      </c>
      <c r="AS66" s="200">
        <v>4</v>
      </c>
    </row>
    <row r="67" spans="2:45" ht="16.5" customHeight="1">
      <c r="B67" s="212">
        <v>0</v>
      </c>
      <c r="C67" s="210">
        <v>100</v>
      </c>
      <c r="L67" s="18">
        <v>63</v>
      </c>
      <c r="M67" s="47" t="s">
        <v>29</v>
      </c>
      <c r="N67" s="47" t="s">
        <v>64</v>
      </c>
      <c r="O67" s="47" t="s">
        <v>26</v>
      </c>
      <c r="P67" s="47" t="s">
        <v>27</v>
      </c>
      <c r="Q67" s="47" t="s">
        <v>18</v>
      </c>
      <c r="R67" s="47" t="s">
        <v>29</v>
      </c>
      <c r="S67" s="33" t="s">
        <v>26</v>
      </c>
      <c r="U67" s="46">
        <f t="shared" si="12"/>
        <v>19</v>
      </c>
      <c r="V67" s="46">
        <f t="shared" si="12"/>
        <v>14</v>
      </c>
      <c r="W67" s="46">
        <f t="shared" si="12"/>
        <v>7</v>
      </c>
      <c r="X67" s="46">
        <f t="shared" si="11"/>
        <v>12</v>
      </c>
      <c r="Y67" s="46">
        <f t="shared" si="11"/>
        <v>10</v>
      </c>
      <c r="Z67" s="46">
        <f t="shared" si="11"/>
        <v>19</v>
      </c>
      <c r="AA67" s="46">
        <f t="shared" si="11"/>
        <v>7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203" t="s">
        <v>18</v>
      </c>
      <c r="AL67" s="203">
        <v>1</v>
      </c>
      <c r="AM67" s="203">
        <v>70</v>
      </c>
      <c r="AN67" s="203">
        <v>1</v>
      </c>
      <c r="AO67" s="203">
        <v>1</v>
      </c>
      <c r="AP67" s="203">
        <v>1</v>
      </c>
      <c r="AQ67" s="203">
        <v>70</v>
      </c>
      <c r="AR67" s="203">
        <v>1</v>
      </c>
      <c r="AS67" s="200">
        <v>5</v>
      </c>
    </row>
    <row r="68" spans="2:45" ht="16.5" customHeight="1">
      <c r="B68" s="213">
        <v>1</v>
      </c>
      <c r="C68" s="208">
        <v>0</v>
      </c>
      <c r="L68" s="19">
        <v>64</v>
      </c>
      <c r="M68" s="47" t="s">
        <v>17</v>
      </c>
      <c r="N68" s="47" t="s">
        <v>27</v>
      </c>
      <c r="O68" s="47" t="s">
        <v>18</v>
      </c>
      <c r="P68" s="47" t="s">
        <v>29</v>
      </c>
      <c r="Q68" s="47" t="s">
        <v>89</v>
      </c>
      <c r="R68" s="47" t="s">
        <v>29</v>
      </c>
      <c r="S68" s="33" t="s">
        <v>28</v>
      </c>
      <c r="U68" s="46">
        <f t="shared" si="12"/>
        <v>14</v>
      </c>
      <c r="V68" s="46">
        <f t="shared" si="12"/>
        <v>12</v>
      </c>
      <c r="W68" s="46">
        <f t="shared" si="12"/>
        <v>10</v>
      </c>
      <c r="X68" s="46">
        <f t="shared" si="11"/>
        <v>19</v>
      </c>
      <c r="Y68" s="46">
        <f t="shared" si="11"/>
        <v>7</v>
      </c>
      <c r="Z68" s="46">
        <f t="shared" si="11"/>
        <v>19</v>
      </c>
      <c r="AA68" s="46">
        <f t="shared" si="11"/>
        <v>15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203" t="s">
        <v>64</v>
      </c>
      <c r="AL68" s="203">
        <v>5</v>
      </c>
      <c r="AM68" s="203">
        <v>1</v>
      </c>
      <c r="AN68" s="203">
        <v>70</v>
      </c>
      <c r="AO68" s="203">
        <v>1</v>
      </c>
      <c r="AP68" s="203">
        <v>70</v>
      </c>
      <c r="AQ68" s="203">
        <v>1</v>
      </c>
      <c r="AR68" s="203">
        <v>1</v>
      </c>
      <c r="AS68" s="200">
        <v>6</v>
      </c>
    </row>
    <row r="69" spans="2:45" ht="16.5" customHeight="1">
      <c r="B69" s="213">
        <v>2</v>
      </c>
      <c r="C69" s="208">
        <v>20</v>
      </c>
      <c r="L69" s="18">
        <v>65</v>
      </c>
      <c r="M69" s="47" t="s">
        <v>27</v>
      </c>
      <c r="N69" s="47" t="s">
        <v>27</v>
      </c>
      <c r="O69" s="47" t="s">
        <v>24</v>
      </c>
      <c r="P69" s="47" t="s">
        <v>29</v>
      </c>
      <c r="Q69" s="47" t="s">
        <v>89</v>
      </c>
      <c r="R69" s="47" t="s">
        <v>27</v>
      </c>
      <c r="S69" s="33" t="s">
        <v>28</v>
      </c>
      <c r="U69" s="46">
        <f t="shared" si="12"/>
        <v>12</v>
      </c>
      <c r="V69" s="46">
        <f t="shared" si="12"/>
        <v>12</v>
      </c>
      <c r="W69" s="46">
        <f t="shared" si="12"/>
        <v>11</v>
      </c>
      <c r="X69" s="46">
        <f t="shared" si="11"/>
        <v>19</v>
      </c>
      <c r="Y69" s="46">
        <f t="shared" si="11"/>
        <v>7</v>
      </c>
      <c r="Z69" s="46">
        <f t="shared" si="11"/>
        <v>12</v>
      </c>
      <c r="AA69" s="46">
        <f t="shared" si="11"/>
        <v>15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203" t="s">
        <v>89</v>
      </c>
      <c r="AL69" s="203">
        <v>1</v>
      </c>
      <c r="AM69" s="203">
        <v>70</v>
      </c>
      <c r="AN69" s="203">
        <v>1</v>
      </c>
      <c r="AO69" s="203">
        <v>1</v>
      </c>
      <c r="AP69" s="203">
        <v>1</v>
      </c>
      <c r="AQ69" s="203">
        <v>70</v>
      </c>
      <c r="AR69" s="203">
        <v>1</v>
      </c>
      <c r="AS69" s="200">
        <v>7</v>
      </c>
    </row>
    <row r="70" spans="2:45" ht="16.5" customHeight="1">
      <c r="B70" s="213">
        <v>3</v>
      </c>
      <c r="C70" s="208">
        <v>100</v>
      </c>
      <c r="L70" s="19">
        <v>66</v>
      </c>
      <c r="M70" s="47" t="s">
        <v>27</v>
      </c>
      <c r="N70" s="47" t="s">
        <v>29</v>
      </c>
      <c r="O70" s="47" t="s">
        <v>24</v>
      </c>
      <c r="P70" s="47" t="s">
        <v>29</v>
      </c>
      <c r="Q70" s="47" t="s">
        <v>18</v>
      </c>
      <c r="R70" s="47" t="s">
        <v>24</v>
      </c>
      <c r="S70" s="33" t="s">
        <v>28</v>
      </c>
      <c r="U70" s="46">
        <f t="shared" si="12"/>
        <v>12</v>
      </c>
      <c r="V70" s="46">
        <f t="shared" si="12"/>
        <v>19</v>
      </c>
      <c r="W70" s="46">
        <f t="shared" si="12"/>
        <v>11</v>
      </c>
      <c r="X70" s="46">
        <f t="shared" si="11"/>
        <v>19</v>
      </c>
      <c r="Y70" s="46">
        <f t="shared" si="11"/>
        <v>10</v>
      </c>
      <c r="Z70" s="46">
        <f t="shared" si="11"/>
        <v>11</v>
      </c>
      <c r="AA70" s="46">
        <f t="shared" si="11"/>
        <v>15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</v>
      </c>
      <c r="AM70" s="46">
        <v>1</v>
      </c>
      <c r="AN70" s="46">
        <v>1</v>
      </c>
      <c r="AO70" s="46">
        <v>1</v>
      </c>
      <c r="AP70" s="46">
        <v>70</v>
      </c>
      <c r="AQ70" s="46">
        <v>1</v>
      </c>
      <c r="AR70" s="46">
        <v>1</v>
      </c>
      <c r="AS70" s="5">
        <v>8</v>
      </c>
    </row>
    <row r="71" spans="2:45" ht="16.5" customHeight="1">
      <c r="B71" s="213">
        <v>4</v>
      </c>
      <c r="C71" s="208">
        <v>5</v>
      </c>
      <c r="L71" s="18">
        <v>67</v>
      </c>
      <c r="M71" s="47" t="s">
        <v>18</v>
      </c>
      <c r="N71" s="47" t="s">
        <v>27</v>
      </c>
      <c r="O71" s="47" t="s">
        <v>24</v>
      </c>
      <c r="P71" s="47" t="s">
        <v>26</v>
      </c>
      <c r="Q71" s="47" t="s">
        <v>18</v>
      </c>
      <c r="R71" s="47" t="s">
        <v>64</v>
      </c>
      <c r="S71" s="33" t="s">
        <v>29</v>
      </c>
      <c r="U71" s="46">
        <f t="shared" si="12"/>
        <v>10</v>
      </c>
      <c r="V71" s="46">
        <f t="shared" si="12"/>
        <v>12</v>
      </c>
      <c r="W71" s="46">
        <f t="shared" si="12"/>
        <v>11</v>
      </c>
      <c r="X71" s="46">
        <f t="shared" si="11"/>
        <v>7</v>
      </c>
      <c r="Y71" s="46">
        <f t="shared" si="11"/>
        <v>10</v>
      </c>
      <c r="Z71" s="46">
        <f t="shared" si="11"/>
        <v>14</v>
      </c>
      <c r="AA71" s="46">
        <f t="shared" si="11"/>
        <v>19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1</v>
      </c>
      <c r="AM71" s="46">
        <v>1</v>
      </c>
      <c r="AN71" s="46">
        <v>1</v>
      </c>
      <c r="AO71" s="46">
        <v>70</v>
      </c>
      <c r="AP71" s="46">
        <v>1</v>
      </c>
      <c r="AQ71" s="46">
        <v>70</v>
      </c>
      <c r="AR71" s="46">
        <v>1</v>
      </c>
      <c r="AS71" s="5">
        <v>9</v>
      </c>
    </row>
    <row r="72" spans="2:45" ht="16.5" customHeight="1">
      <c r="B72" s="213">
        <v>5</v>
      </c>
      <c r="C72" s="208">
        <v>0</v>
      </c>
      <c r="L72" s="19">
        <v>68</v>
      </c>
      <c r="M72" s="47" t="s">
        <v>18</v>
      </c>
      <c r="N72" s="47" t="s">
        <v>27</v>
      </c>
      <c r="O72" s="47" t="s">
        <v>28</v>
      </c>
      <c r="P72" s="47" t="s">
        <v>242</v>
      </c>
      <c r="Q72" s="47" t="s">
        <v>242</v>
      </c>
      <c r="R72" s="47" t="s">
        <v>64</v>
      </c>
      <c r="S72" s="33" t="s">
        <v>21</v>
      </c>
      <c r="U72" s="46">
        <f t="shared" si="12"/>
        <v>10</v>
      </c>
      <c r="V72" s="46">
        <f t="shared" si="12"/>
        <v>12</v>
      </c>
      <c r="W72" s="46">
        <f t="shared" si="12"/>
        <v>15</v>
      </c>
      <c r="X72" s="46">
        <f t="shared" si="11"/>
        <v>0</v>
      </c>
      <c r="Y72" s="46">
        <f t="shared" si="11"/>
        <v>0</v>
      </c>
      <c r="Z72" s="46">
        <f t="shared" si="11"/>
        <v>14</v>
      </c>
      <c r="AA72" s="46">
        <f t="shared" si="11"/>
        <v>12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1</v>
      </c>
      <c r="AM72" s="46">
        <v>1</v>
      </c>
      <c r="AN72" s="46">
        <v>5</v>
      </c>
      <c r="AO72" s="46">
        <v>1</v>
      </c>
      <c r="AP72" s="46">
        <v>1</v>
      </c>
      <c r="AQ72" s="46">
        <v>1</v>
      </c>
      <c r="AR72" s="46">
        <v>3</v>
      </c>
      <c r="AS72" s="5">
        <v>10</v>
      </c>
    </row>
    <row r="73" spans="2:45" ht="16.5" customHeight="1">
      <c r="B73" s="213">
        <v>6</v>
      </c>
      <c r="C73" s="208">
        <v>0</v>
      </c>
      <c r="L73" s="18">
        <v>69</v>
      </c>
      <c r="M73" s="47" t="s">
        <v>26</v>
      </c>
      <c r="N73" s="47" t="s">
        <v>27</v>
      </c>
      <c r="O73" s="47" t="s">
        <v>28</v>
      </c>
      <c r="P73" s="47" t="s">
        <v>64</v>
      </c>
      <c r="Q73" s="47" t="s">
        <v>64</v>
      </c>
      <c r="R73" s="47" t="s">
        <v>29</v>
      </c>
      <c r="S73" s="33" t="s">
        <v>21</v>
      </c>
      <c r="U73" s="46">
        <f t="shared" si="12"/>
        <v>7</v>
      </c>
      <c r="V73" s="46">
        <f t="shared" si="12"/>
        <v>12</v>
      </c>
      <c r="W73" s="46">
        <f t="shared" si="12"/>
        <v>15</v>
      </c>
      <c r="X73" s="46">
        <f t="shared" si="11"/>
        <v>14</v>
      </c>
      <c r="Y73" s="46">
        <f t="shared" si="11"/>
        <v>14</v>
      </c>
      <c r="Z73" s="46">
        <f t="shared" si="11"/>
        <v>19</v>
      </c>
      <c r="AA73" s="46">
        <f t="shared" si="11"/>
        <v>12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1</v>
      </c>
      <c r="AM73" s="46">
        <v>70</v>
      </c>
      <c r="AN73" s="46">
        <v>1</v>
      </c>
      <c r="AO73" s="46">
        <v>1</v>
      </c>
      <c r="AP73" s="46">
        <v>1</v>
      </c>
      <c r="AQ73" s="46">
        <v>1</v>
      </c>
      <c r="AR73" s="46">
        <v>1</v>
      </c>
      <c r="AS73" s="5">
        <v>11</v>
      </c>
    </row>
    <row r="74" spans="2:45" ht="16.5" customHeight="1">
      <c r="B74" s="213">
        <v>7</v>
      </c>
      <c r="C74" s="208">
        <v>0</v>
      </c>
      <c r="L74" s="19">
        <v>70</v>
      </c>
      <c r="M74" s="47" t="s">
        <v>29</v>
      </c>
      <c r="N74" s="47" t="s">
        <v>252</v>
      </c>
      <c r="O74" s="47" t="s">
        <v>28</v>
      </c>
      <c r="P74" s="47" t="s">
        <v>64</v>
      </c>
      <c r="Q74" s="47" t="s">
        <v>18</v>
      </c>
      <c r="R74" s="47" t="s">
        <v>28</v>
      </c>
      <c r="S74" s="33" t="s">
        <v>17</v>
      </c>
      <c r="U74" s="46">
        <f t="shared" si="12"/>
        <v>19</v>
      </c>
      <c r="V74" s="46">
        <f t="shared" si="12"/>
        <v>0</v>
      </c>
      <c r="W74" s="46">
        <f t="shared" si="12"/>
        <v>15</v>
      </c>
      <c r="X74" s="46">
        <f t="shared" si="11"/>
        <v>14</v>
      </c>
      <c r="Y74" s="46">
        <f t="shared" si="11"/>
        <v>10</v>
      </c>
      <c r="Z74" s="46">
        <f t="shared" si="11"/>
        <v>15</v>
      </c>
      <c r="AA74" s="46">
        <f t="shared" si="11"/>
        <v>14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70</v>
      </c>
      <c r="AM74" s="46">
        <v>1</v>
      </c>
      <c r="AN74" s="46">
        <v>1</v>
      </c>
      <c r="AO74" s="46">
        <v>1</v>
      </c>
      <c r="AP74" s="46">
        <v>1</v>
      </c>
      <c r="AQ74" s="46">
        <v>1</v>
      </c>
      <c r="AR74" s="46">
        <v>1</v>
      </c>
      <c r="AS74" s="5">
        <v>12</v>
      </c>
    </row>
    <row r="75" spans="2:45" ht="16.5" customHeight="1">
      <c r="L75" s="18">
        <v>71</v>
      </c>
      <c r="M75" s="47" t="s">
        <v>29</v>
      </c>
      <c r="N75" s="47" t="s">
        <v>28</v>
      </c>
      <c r="O75" s="47" t="s">
        <v>26</v>
      </c>
      <c r="P75" s="47" t="s">
        <v>24</v>
      </c>
      <c r="Q75" s="47" t="s">
        <v>24</v>
      </c>
      <c r="R75" s="47" t="s">
        <v>24</v>
      </c>
      <c r="S75" s="33" t="s">
        <v>17</v>
      </c>
      <c r="U75" s="46">
        <f t="shared" si="12"/>
        <v>19</v>
      </c>
      <c r="V75" s="46">
        <f t="shared" si="12"/>
        <v>15</v>
      </c>
      <c r="W75" s="46">
        <f t="shared" si="12"/>
        <v>7</v>
      </c>
      <c r="X75" s="46">
        <f t="shared" si="11"/>
        <v>11</v>
      </c>
      <c r="Y75" s="46">
        <f t="shared" si="11"/>
        <v>11</v>
      </c>
      <c r="Z75" s="46">
        <f t="shared" si="11"/>
        <v>11</v>
      </c>
      <c r="AA75" s="46">
        <f t="shared" si="11"/>
        <v>14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203" t="s">
        <v>234</v>
      </c>
      <c r="AL75" s="203">
        <v>0</v>
      </c>
      <c r="AM75" s="203">
        <v>0</v>
      </c>
      <c r="AN75" s="203">
        <v>0</v>
      </c>
      <c r="AO75" s="203">
        <v>0</v>
      </c>
      <c r="AP75" s="203">
        <v>0</v>
      </c>
      <c r="AQ75" s="203">
        <v>0</v>
      </c>
      <c r="AR75" s="203">
        <v>0</v>
      </c>
      <c r="AS75" s="200">
        <v>13</v>
      </c>
    </row>
    <row r="76" spans="2:45" ht="16.5" customHeight="1">
      <c r="L76" s="19">
        <v>72</v>
      </c>
      <c r="M76" s="47" t="s">
        <v>26</v>
      </c>
      <c r="N76" s="47" t="s">
        <v>244</v>
      </c>
      <c r="O76" s="47" t="s">
        <v>18</v>
      </c>
      <c r="P76" s="47" t="s">
        <v>64</v>
      </c>
      <c r="Q76" s="47" t="s">
        <v>18</v>
      </c>
      <c r="R76" s="47" t="s">
        <v>24</v>
      </c>
      <c r="S76" s="33" t="s">
        <v>17</v>
      </c>
      <c r="U76" s="46">
        <f t="shared" si="12"/>
        <v>7</v>
      </c>
      <c r="V76" s="46">
        <f t="shared" si="12"/>
        <v>0</v>
      </c>
      <c r="W76" s="46">
        <f t="shared" si="12"/>
        <v>10</v>
      </c>
      <c r="X76" s="46">
        <f t="shared" si="11"/>
        <v>14</v>
      </c>
      <c r="Y76" s="46">
        <f t="shared" si="11"/>
        <v>10</v>
      </c>
      <c r="Z76" s="46">
        <f t="shared" si="11"/>
        <v>11</v>
      </c>
      <c r="AA76" s="46">
        <f t="shared" si="11"/>
        <v>14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203" t="s">
        <v>236</v>
      </c>
      <c r="AL76" s="203">
        <v>0</v>
      </c>
      <c r="AM76" s="203">
        <v>1</v>
      </c>
      <c r="AN76" s="203">
        <v>1</v>
      </c>
      <c r="AO76" s="203">
        <v>1</v>
      </c>
      <c r="AP76" s="203">
        <v>1</v>
      </c>
      <c r="AQ76" s="203">
        <v>0</v>
      </c>
      <c r="AR76" s="203">
        <v>0</v>
      </c>
      <c r="AS76" s="200">
        <v>14</v>
      </c>
    </row>
    <row r="77" spans="2:45" ht="16.5" customHeight="1">
      <c r="L77" s="18">
        <v>73</v>
      </c>
      <c r="M77" s="47" t="s">
        <v>28</v>
      </c>
      <c r="N77" s="47" t="s">
        <v>24</v>
      </c>
      <c r="O77" s="47" t="s">
        <v>28</v>
      </c>
      <c r="P77" s="47" t="s">
        <v>28</v>
      </c>
      <c r="Q77" s="47" t="s">
        <v>17</v>
      </c>
      <c r="R77" s="47" t="s">
        <v>17</v>
      </c>
      <c r="S77" s="33" t="s">
        <v>27</v>
      </c>
      <c r="U77" s="46">
        <f t="shared" si="12"/>
        <v>15</v>
      </c>
      <c r="V77" s="46">
        <f t="shared" si="12"/>
        <v>11</v>
      </c>
      <c r="W77" s="46">
        <f t="shared" si="12"/>
        <v>15</v>
      </c>
      <c r="X77" s="46">
        <f t="shared" si="11"/>
        <v>15</v>
      </c>
      <c r="Y77" s="46">
        <f t="shared" si="11"/>
        <v>14</v>
      </c>
      <c r="Z77" s="46">
        <f t="shared" si="11"/>
        <v>14</v>
      </c>
      <c r="AA77" s="46">
        <f t="shared" si="11"/>
        <v>12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203" t="s">
        <v>238</v>
      </c>
      <c r="AL77" s="203">
        <v>0</v>
      </c>
      <c r="AM77" s="203">
        <v>1</v>
      </c>
      <c r="AN77" s="203">
        <v>1</v>
      </c>
      <c r="AO77" s="203">
        <v>1</v>
      </c>
      <c r="AP77" s="203">
        <v>1</v>
      </c>
      <c r="AQ77" s="203">
        <v>0</v>
      </c>
      <c r="AR77" s="203">
        <v>0</v>
      </c>
      <c r="AS77" s="200">
        <v>15</v>
      </c>
    </row>
    <row r="78" spans="2:45" ht="16.5" customHeight="1">
      <c r="L78" s="19">
        <v>74</v>
      </c>
      <c r="M78" s="47" t="s">
        <v>64</v>
      </c>
      <c r="N78" s="47" t="s">
        <v>69</v>
      </c>
      <c r="O78" s="47" t="s">
        <v>28</v>
      </c>
      <c r="P78" s="47" t="s">
        <v>28</v>
      </c>
      <c r="Q78" s="47" t="s">
        <v>17</v>
      </c>
      <c r="R78" s="47" t="s">
        <v>17</v>
      </c>
      <c r="S78" s="33" t="s">
        <v>27</v>
      </c>
      <c r="U78" s="46">
        <f t="shared" si="12"/>
        <v>14</v>
      </c>
      <c r="V78" s="46">
        <f t="shared" si="12"/>
        <v>0</v>
      </c>
      <c r="W78" s="46">
        <f t="shared" si="12"/>
        <v>15</v>
      </c>
      <c r="X78" s="46">
        <f t="shared" si="11"/>
        <v>15</v>
      </c>
      <c r="Y78" s="46">
        <f t="shared" si="11"/>
        <v>14</v>
      </c>
      <c r="Z78" s="46">
        <f t="shared" si="11"/>
        <v>14</v>
      </c>
      <c r="AA78" s="46">
        <f t="shared" si="11"/>
        <v>12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203" t="s">
        <v>240</v>
      </c>
      <c r="AL78" s="203">
        <v>0</v>
      </c>
      <c r="AM78" s="203">
        <v>1</v>
      </c>
      <c r="AN78" s="203">
        <v>1</v>
      </c>
      <c r="AO78" s="203">
        <v>1</v>
      </c>
      <c r="AP78" s="203">
        <v>1</v>
      </c>
      <c r="AQ78" s="203">
        <v>0</v>
      </c>
      <c r="AR78" s="203">
        <v>0</v>
      </c>
      <c r="AS78" s="200">
        <v>16</v>
      </c>
    </row>
    <row r="79" spans="2:45" ht="16.5" customHeight="1">
      <c r="L79" s="18">
        <v>75</v>
      </c>
      <c r="M79" s="47" t="s">
        <v>29</v>
      </c>
      <c r="N79" s="47" t="s">
        <v>69</v>
      </c>
      <c r="O79" s="47" t="s">
        <v>24</v>
      </c>
      <c r="P79" s="47" t="s">
        <v>252</v>
      </c>
      <c r="Q79" s="47" t="s">
        <v>238</v>
      </c>
      <c r="R79" s="47" t="s">
        <v>17</v>
      </c>
      <c r="S79" s="33" t="s">
        <v>27</v>
      </c>
      <c r="U79" s="46">
        <f t="shared" si="12"/>
        <v>19</v>
      </c>
      <c r="V79" s="46">
        <f t="shared" si="12"/>
        <v>0</v>
      </c>
      <c r="W79" s="46">
        <f t="shared" si="12"/>
        <v>11</v>
      </c>
      <c r="X79" s="46">
        <f t="shared" si="11"/>
        <v>0</v>
      </c>
      <c r="Y79" s="46">
        <f t="shared" si="11"/>
        <v>0</v>
      </c>
      <c r="Z79" s="46">
        <f t="shared" si="11"/>
        <v>14</v>
      </c>
      <c r="AA79" s="46">
        <f t="shared" si="11"/>
        <v>12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203" t="s">
        <v>242</v>
      </c>
      <c r="AL79" s="203">
        <v>0</v>
      </c>
      <c r="AM79" s="203">
        <v>1</v>
      </c>
      <c r="AN79" s="203">
        <v>1</v>
      </c>
      <c r="AO79" s="203">
        <v>1</v>
      </c>
      <c r="AP79" s="203">
        <v>2</v>
      </c>
      <c r="AQ79" s="203">
        <v>0</v>
      </c>
      <c r="AR79" s="203">
        <v>0</v>
      </c>
      <c r="AS79" s="200">
        <v>17</v>
      </c>
    </row>
    <row r="80" spans="2:45">
      <c r="L80" s="19">
        <v>76</v>
      </c>
      <c r="M80" s="47" t="s">
        <v>29</v>
      </c>
      <c r="N80" s="47" t="s">
        <v>89</v>
      </c>
      <c r="O80" s="47" t="s">
        <v>26</v>
      </c>
      <c r="P80" s="47" t="s">
        <v>29</v>
      </c>
      <c r="Q80" s="47" t="s">
        <v>64</v>
      </c>
      <c r="R80" s="47" t="s">
        <v>64</v>
      </c>
      <c r="S80" s="47" t="s">
        <v>17</v>
      </c>
      <c r="U80" s="46">
        <f t="shared" si="12"/>
        <v>19</v>
      </c>
      <c r="V80" s="46">
        <f t="shared" si="12"/>
        <v>7</v>
      </c>
      <c r="W80" s="46">
        <f t="shared" si="12"/>
        <v>7</v>
      </c>
      <c r="X80" s="46">
        <f t="shared" si="11"/>
        <v>19</v>
      </c>
      <c r="Y80" s="46">
        <f t="shared" si="11"/>
        <v>14</v>
      </c>
      <c r="Z80" s="46">
        <f t="shared" si="11"/>
        <v>14</v>
      </c>
      <c r="AA80" s="46">
        <f t="shared" si="11"/>
        <v>14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203" t="s">
        <v>244</v>
      </c>
      <c r="AL80" s="203">
        <v>0</v>
      </c>
      <c r="AM80" s="203">
        <v>1</v>
      </c>
      <c r="AN80" s="203">
        <v>1</v>
      </c>
      <c r="AO80" s="203">
        <v>1</v>
      </c>
      <c r="AP80" s="203">
        <v>1</v>
      </c>
      <c r="AQ80" s="203">
        <v>0</v>
      </c>
      <c r="AR80" s="203">
        <v>0</v>
      </c>
      <c r="AS80" s="200">
        <v>18</v>
      </c>
    </row>
    <row r="81" spans="12:45">
      <c r="L81" s="18">
        <v>77</v>
      </c>
      <c r="M81" s="47" t="s">
        <v>27</v>
      </c>
      <c r="N81" s="47" t="s">
        <v>89</v>
      </c>
      <c r="O81" s="47" t="s">
        <v>26</v>
      </c>
      <c r="P81" s="47" t="s">
        <v>29</v>
      </c>
      <c r="Q81" s="47" t="s">
        <v>64</v>
      </c>
      <c r="R81" s="47" t="s">
        <v>64</v>
      </c>
      <c r="S81" s="33" t="s">
        <v>29</v>
      </c>
      <c r="U81" s="46">
        <f t="shared" si="12"/>
        <v>12</v>
      </c>
      <c r="V81" s="46">
        <f t="shared" si="12"/>
        <v>7</v>
      </c>
      <c r="W81" s="46">
        <f t="shared" si="12"/>
        <v>7</v>
      </c>
      <c r="X81" s="46">
        <f t="shared" si="11"/>
        <v>19</v>
      </c>
      <c r="Y81" s="46">
        <f t="shared" si="11"/>
        <v>14</v>
      </c>
      <c r="Z81" s="46">
        <f t="shared" si="11"/>
        <v>14</v>
      </c>
      <c r="AA81" s="46">
        <f t="shared" si="11"/>
        <v>19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246</v>
      </c>
      <c r="AL81" s="46">
        <v>0</v>
      </c>
      <c r="AM81" s="46">
        <v>1</v>
      </c>
      <c r="AN81" s="46">
        <v>1</v>
      </c>
      <c r="AO81" s="46">
        <v>1</v>
      </c>
      <c r="AP81" s="46">
        <v>1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28</v>
      </c>
      <c r="N82" s="47" t="s">
        <v>21</v>
      </c>
      <c r="O82" s="47" t="s">
        <v>26</v>
      </c>
      <c r="P82" s="47" t="s">
        <v>24</v>
      </c>
      <c r="Q82" s="47" t="s">
        <v>89</v>
      </c>
      <c r="R82" s="47" t="s">
        <v>64</v>
      </c>
      <c r="S82" s="33" t="s">
        <v>29</v>
      </c>
      <c r="U82" s="46">
        <f t="shared" si="12"/>
        <v>15</v>
      </c>
      <c r="V82" s="46">
        <f t="shared" si="12"/>
        <v>12</v>
      </c>
      <c r="W82" s="46">
        <f t="shared" si="12"/>
        <v>7</v>
      </c>
      <c r="X82" s="46">
        <f t="shared" si="11"/>
        <v>11</v>
      </c>
      <c r="Y82" s="46">
        <f t="shared" si="11"/>
        <v>7</v>
      </c>
      <c r="Z82" s="46">
        <f t="shared" si="11"/>
        <v>14</v>
      </c>
      <c r="AA82" s="46">
        <f t="shared" si="11"/>
        <v>19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248</v>
      </c>
      <c r="AL82" s="46">
        <v>0</v>
      </c>
      <c r="AM82" s="46">
        <v>1</v>
      </c>
      <c r="AN82" s="46">
        <v>1</v>
      </c>
      <c r="AO82" s="46">
        <v>1</v>
      </c>
      <c r="AP82" s="46">
        <v>1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64</v>
      </c>
      <c r="N83" s="47" t="s">
        <v>21</v>
      </c>
      <c r="O83" s="47" t="s">
        <v>18</v>
      </c>
      <c r="P83" s="47" t="s">
        <v>240</v>
      </c>
      <c r="Q83" s="47" t="s">
        <v>89</v>
      </c>
      <c r="R83" s="47" t="s">
        <v>29</v>
      </c>
      <c r="S83" s="33" t="s">
        <v>29</v>
      </c>
      <c r="U83" s="46">
        <f t="shared" si="12"/>
        <v>14</v>
      </c>
      <c r="V83" s="46">
        <f t="shared" si="12"/>
        <v>12</v>
      </c>
      <c r="W83" s="46">
        <f t="shared" si="12"/>
        <v>10</v>
      </c>
      <c r="X83" s="46">
        <f t="shared" si="11"/>
        <v>0</v>
      </c>
      <c r="Y83" s="46">
        <f t="shared" si="11"/>
        <v>7</v>
      </c>
      <c r="Z83" s="46">
        <f t="shared" si="11"/>
        <v>19</v>
      </c>
      <c r="AA83" s="46">
        <f t="shared" si="11"/>
        <v>19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250</v>
      </c>
      <c r="AL83" s="46">
        <v>0</v>
      </c>
      <c r="AM83" s="46">
        <v>1</v>
      </c>
      <c r="AN83" s="46">
        <v>1</v>
      </c>
      <c r="AO83" s="46">
        <v>1</v>
      </c>
      <c r="AP83" s="46">
        <v>1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64</v>
      </c>
      <c r="N84" s="47" t="s">
        <v>26</v>
      </c>
      <c r="O84" s="47" t="s">
        <v>28</v>
      </c>
      <c r="P84" s="47" t="s">
        <v>18</v>
      </c>
      <c r="Q84" s="47" t="s">
        <v>244</v>
      </c>
      <c r="R84" s="47" t="s">
        <v>27</v>
      </c>
      <c r="S84" s="33" t="s">
        <v>24</v>
      </c>
      <c r="U84" s="46">
        <f t="shared" si="12"/>
        <v>14</v>
      </c>
      <c r="V84" s="46">
        <f t="shared" si="12"/>
        <v>7</v>
      </c>
      <c r="W84" s="46">
        <f t="shared" si="12"/>
        <v>15</v>
      </c>
      <c r="X84" s="46">
        <f t="shared" si="11"/>
        <v>10</v>
      </c>
      <c r="Y84" s="46">
        <f t="shared" si="11"/>
        <v>0</v>
      </c>
      <c r="Z84" s="46">
        <f t="shared" si="11"/>
        <v>12</v>
      </c>
      <c r="AA84" s="46">
        <f t="shared" si="11"/>
        <v>11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252</v>
      </c>
      <c r="AL84" s="46">
        <v>0</v>
      </c>
      <c r="AM84" s="46">
        <v>1</v>
      </c>
      <c r="AN84" s="46">
        <v>1</v>
      </c>
      <c r="AO84" s="46">
        <v>1</v>
      </c>
      <c r="AP84" s="46">
        <v>1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28</v>
      </c>
      <c r="N85" s="47" t="s">
        <v>26</v>
      </c>
      <c r="O85" s="47" t="s">
        <v>21</v>
      </c>
      <c r="P85" s="47" t="s">
        <v>64</v>
      </c>
      <c r="Q85" s="47" t="s">
        <v>28</v>
      </c>
      <c r="R85" s="47" t="s">
        <v>27</v>
      </c>
      <c r="S85" s="33" t="s">
        <v>24</v>
      </c>
      <c r="U85" s="46">
        <f t="shared" si="12"/>
        <v>15</v>
      </c>
      <c r="V85" s="46">
        <f t="shared" si="12"/>
        <v>7</v>
      </c>
      <c r="W85" s="46">
        <f t="shared" si="12"/>
        <v>12</v>
      </c>
      <c r="X85" s="46">
        <f t="shared" si="11"/>
        <v>14</v>
      </c>
      <c r="Y85" s="46">
        <f t="shared" si="11"/>
        <v>15</v>
      </c>
      <c r="Z85" s="46">
        <f t="shared" si="11"/>
        <v>12</v>
      </c>
      <c r="AA85" s="46">
        <f t="shared" si="11"/>
        <v>11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254</v>
      </c>
      <c r="AL85" s="46">
        <v>0</v>
      </c>
      <c r="AM85" s="46">
        <v>1</v>
      </c>
      <c r="AN85" s="46">
        <v>1</v>
      </c>
      <c r="AO85" s="46">
        <v>1</v>
      </c>
      <c r="AP85" s="46">
        <v>1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29</v>
      </c>
      <c r="N86" s="47" t="s">
        <v>27</v>
      </c>
      <c r="O86" s="47" t="s">
        <v>21</v>
      </c>
      <c r="P86" s="47" t="s">
        <v>27</v>
      </c>
      <c r="Q86" s="47" t="s">
        <v>28</v>
      </c>
      <c r="R86" s="47" t="s">
        <v>24</v>
      </c>
      <c r="S86" s="33" t="s">
        <v>24</v>
      </c>
      <c r="U86" s="46">
        <f t="shared" si="12"/>
        <v>19</v>
      </c>
      <c r="V86" s="46">
        <f t="shared" si="12"/>
        <v>12</v>
      </c>
      <c r="W86" s="46">
        <f t="shared" si="12"/>
        <v>12</v>
      </c>
      <c r="X86" s="46">
        <f t="shared" si="11"/>
        <v>12</v>
      </c>
      <c r="Y86" s="46">
        <f t="shared" si="11"/>
        <v>15</v>
      </c>
      <c r="Z86" s="46">
        <f t="shared" si="11"/>
        <v>11</v>
      </c>
      <c r="AA86" s="46">
        <f t="shared" si="11"/>
        <v>11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203" t="s">
        <v>101</v>
      </c>
      <c r="AL86" s="203">
        <v>0</v>
      </c>
      <c r="AM86" s="203">
        <v>0</v>
      </c>
      <c r="AN86" s="203">
        <v>0</v>
      </c>
      <c r="AO86" s="203">
        <v>0</v>
      </c>
      <c r="AP86" s="203">
        <v>0</v>
      </c>
      <c r="AQ86" s="203">
        <v>0</v>
      </c>
      <c r="AR86" s="203">
        <v>0</v>
      </c>
      <c r="AS86" s="200">
        <v>24</v>
      </c>
    </row>
    <row r="87" spans="12:45">
      <c r="L87" s="18">
        <v>83</v>
      </c>
      <c r="M87" s="47" t="s">
        <v>28</v>
      </c>
      <c r="N87" s="47" t="s">
        <v>27</v>
      </c>
      <c r="O87" s="47" t="s">
        <v>21</v>
      </c>
      <c r="P87" s="47" t="s">
        <v>18</v>
      </c>
      <c r="Q87" s="47" t="s">
        <v>89</v>
      </c>
      <c r="R87" s="47" t="s">
        <v>29</v>
      </c>
      <c r="S87" s="33" t="s">
        <v>27</v>
      </c>
      <c r="U87" s="46">
        <f t="shared" si="12"/>
        <v>15</v>
      </c>
      <c r="V87" s="46">
        <f t="shared" si="12"/>
        <v>12</v>
      </c>
      <c r="W87" s="46">
        <f t="shared" si="12"/>
        <v>12</v>
      </c>
      <c r="X87" s="46">
        <f t="shared" si="11"/>
        <v>10</v>
      </c>
      <c r="Y87" s="46">
        <f t="shared" si="11"/>
        <v>7</v>
      </c>
      <c r="Z87" s="46">
        <f t="shared" si="11"/>
        <v>19</v>
      </c>
      <c r="AA87" s="46">
        <f t="shared" si="11"/>
        <v>12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3</v>
      </c>
      <c r="AK87" s="203" t="s">
        <v>268</v>
      </c>
      <c r="AL87" s="203">
        <v>0</v>
      </c>
      <c r="AM87" s="203">
        <v>1</v>
      </c>
      <c r="AN87" s="203">
        <v>1</v>
      </c>
      <c r="AO87" s="203">
        <v>1</v>
      </c>
      <c r="AP87" s="203">
        <v>1</v>
      </c>
      <c r="AQ87" s="203">
        <v>0</v>
      </c>
      <c r="AR87" s="203">
        <v>0</v>
      </c>
      <c r="AS87" s="200">
        <v>25</v>
      </c>
    </row>
    <row r="88" spans="12:45">
      <c r="L88" s="19">
        <v>84</v>
      </c>
      <c r="M88" s="47" t="s">
        <v>28</v>
      </c>
      <c r="N88" s="47" t="s">
        <v>64</v>
      </c>
      <c r="O88" s="47" t="s">
        <v>18</v>
      </c>
      <c r="P88" s="47" t="s">
        <v>27</v>
      </c>
      <c r="Q88" s="47" t="s">
        <v>21</v>
      </c>
      <c r="R88" s="47" t="s">
        <v>29</v>
      </c>
      <c r="S88" s="33" t="s">
        <v>27</v>
      </c>
      <c r="U88" s="46">
        <f t="shared" si="12"/>
        <v>15</v>
      </c>
      <c r="V88" s="46">
        <f t="shared" si="12"/>
        <v>14</v>
      </c>
      <c r="W88" s="46">
        <f t="shared" si="12"/>
        <v>10</v>
      </c>
      <c r="X88" s="46">
        <f t="shared" si="11"/>
        <v>12</v>
      </c>
      <c r="Y88" s="46">
        <f t="shared" si="11"/>
        <v>12</v>
      </c>
      <c r="Z88" s="46">
        <f t="shared" si="11"/>
        <v>19</v>
      </c>
      <c r="AA88" s="46">
        <f t="shared" si="11"/>
        <v>12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29</v>
      </c>
      <c r="N89" s="47" t="s">
        <v>24</v>
      </c>
      <c r="O89" s="47" t="s">
        <v>246</v>
      </c>
      <c r="P89" s="47" t="s">
        <v>27</v>
      </c>
      <c r="Q89" s="47" t="s">
        <v>26</v>
      </c>
      <c r="R89" s="47" t="s">
        <v>24</v>
      </c>
      <c r="S89" s="33" t="s">
        <v>27</v>
      </c>
      <c r="U89" s="46">
        <f t="shared" si="12"/>
        <v>19</v>
      </c>
      <c r="V89" s="46">
        <f t="shared" si="12"/>
        <v>11</v>
      </c>
      <c r="W89" s="46">
        <f t="shared" si="12"/>
        <v>0</v>
      </c>
      <c r="X89" s="46">
        <f t="shared" si="11"/>
        <v>12</v>
      </c>
      <c r="Y89" s="46">
        <f t="shared" si="11"/>
        <v>7</v>
      </c>
      <c r="Z89" s="46">
        <f t="shared" si="11"/>
        <v>11</v>
      </c>
      <c r="AA89" s="46">
        <f t="shared" si="11"/>
        <v>12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273</v>
      </c>
    </row>
    <row r="90" spans="12:45">
      <c r="L90" s="19">
        <v>86</v>
      </c>
      <c r="M90" s="47" t="s">
        <v>29</v>
      </c>
      <c r="N90" s="47" t="s">
        <v>29</v>
      </c>
      <c r="O90" s="47" t="s">
        <v>24</v>
      </c>
      <c r="P90" s="47" t="s">
        <v>27</v>
      </c>
      <c r="Q90" s="47" t="s">
        <v>18</v>
      </c>
      <c r="R90" s="47" t="s">
        <v>64</v>
      </c>
      <c r="S90" s="33" t="s">
        <v>29</v>
      </c>
      <c r="U90" s="46">
        <f t="shared" si="12"/>
        <v>19</v>
      </c>
      <c r="V90" s="46">
        <f t="shared" si="12"/>
        <v>19</v>
      </c>
      <c r="W90" s="46">
        <f t="shared" si="12"/>
        <v>11</v>
      </c>
      <c r="X90" s="46">
        <f t="shared" si="11"/>
        <v>12</v>
      </c>
      <c r="Y90" s="46">
        <f t="shared" si="11"/>
        <v>10</v>
      </c>
      <c r="Z90" s="46">
        <f t="shared" si="11"/>
        <v>14</v>
      </c>
      <c r="AA90" s="46">
        <f t="shared" si="11"/>
        <v>19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52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29</v>
      </c>
      <c r="N91" s="47" t="s">
        <v>29</v>
      </c>
      <c r="O91" s="47" t="s">
        <v>24</v>
      </c>
      <c r="P91" s="47" t="s">
        <v>29</v>
      </c>
      <c r="Q91" s="47" t="s">
        <v>27</v>
      </c>
      <c r="R91" s="47" t="s">
        <v>24</v>
      </c>
      <c r="S91" s="33" t="s">
        <v>64</v>
      </c>
      <c r="U91" s="46">
        <f t="shared" si="12"/>
        <v>19</v>
      </c>
      <c r="V91" s="46">
        <f t="shared" si="12"/>
        <v>19</v>
      </c>
      <c r="W91" s="46">
        <f t="shared" si="12"/>
        <v>11</v>
      </c>
      <c r="X91" s="46">
        <f t="shared" si="11"/>
        <v>19</v>
      </c>
      <c r="Y91" s="46">
        <f t="shared" si="11"/>
        <v>12</v>
      </c>
      <c r="Z91" s="46">
        <f t="shared" si="11"/>
        <v>11</v>
      </c>
      <c r="AA91" s="46">
        <f t="shared" si="11"/>
        <v>14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29</v>
      </c>
      <c r="N92" s="47" t="s">
        <v>17</v>
      </c>
      <c r="O92" s="47" t="s">
        <v>28</v>
      </c>
      <c r="P92" s="47" t="s">
        <v>29</v>
      </c>
      <c r="Q92" s="47" t="s">
        <v>27</v>
      </c>
      <c r="R92" s="47" t="s">
        <v>24</v>
      </c>
      <c r="S92" s="33" t="s">
        <v>64</v>
      </c>
      <c r="U92" s="46">
        <f t="shared" si="12"/>
        <v>19</v>
      </c>
      <c r="V92" s="46">
        <f t="shared" si="12"/>
        <v>14</v>
      </c>
      <c r="W92" s="46">
        <f t="shared" si="12"/>
        <v>15</v>
      </c>
      <c r="X92" s="46">
        <f t="shared" si="11"/>
        <v>19</v>
      </c>
      <c r="Y92" s="46">
        <f t="shared" si="11"/>
        <v>12</v>
      </c>
      <c r="Z92" s="46">
        <f t="shared" si="11"/>
        <v>11</v>
      </c>
      <c r="AA92" s="46">
        <f t="shared" si="11"/>
        <v>14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0</v>
      </c>
      <c r="AM92" s="46">
        <v>0</v>
      </c>
      <c r="AN92" s="46">
        <v>0</v>
      </c>
      <c r="AO92" s="46">
        <v>0</v>
      </c>
      <c r="AP92" s="46">
        <v>0</v>
      </c>
      <c r="AQ92" s="46">
        <v>0</v>
      </c>
      <c r="AR92" s="46">
        <v>0</v>
      </c>
      <c r="AS92" s="5">
        <v>1</v>
      </c>
    </row>
    <row r="93" spans="12:45">
      <c r="L93" s="18">
        <v>89</v>
      </c>
      <c r="M93" s="47" t="s">
        <v>28</v>
      </c>
      <c r="N93" s="47" t="s">
        <v>21</v>
      </c>
      <c r="O93" s="47" t="s">
        <v>28</v>
      </c>
      <c r="P93" s="47" t="s">
        <v>29</v>
      </c>
      <c r="Q93" s="47" t="s">
        <v>26</v>
      </c>
      <c r="R93" s="47" t="s">
        <v>24</v>
      </c>
      <c r="S93" s="33" t="s">
        <v>64</v>
      </c>
      <c r="U93" s="46">
        <f t="shared" si="12"/>
        <v>15</v>
      </c>
      <c r="V93" s="46">
        <f t="shared" si="12"/>
        <v>12</v>
      </c>
      <c r="W93" s="46">
        <f t="shared" si="12"/>
        <v>15</v>
      </c>
      <c r="X93" s="46">
        <f t="shared" si="11"/>
        <v>19</v>
      </c>
      <c r="Y93" s="46">
        <f t="shared" si="11"/>
        <v>7</v>
      </c>
      <c r="Z93" s="46">
        <f t="shared" si="11"/>
        <v>11</v>
      </c>
      <c r="AA93" s="46">
        <f t="shared" si="11"/>
        <v>14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203" t="s">
        <v>20</v>
      </c>
      <c r="AL93" s="203">
        <v>1</v>
      </c>
      <c r="AM93" s="203">
        <v>1</v>
      </c>
      <c r="AN93" s="203">
        <v>1</v>
      </c>
      <c r="AO93" s="203">
        <v>1</v>
      </c>
      <c r="AP93" s="203">
        <v>1</v>
      </c>
      <c r="AQ93" s="203">
        <v>1</v>
      </c>
      <c r="AR93" s="203">
        <v>0</v>
      </c>
      <c r="AS93" s="200">
        <v>2</v>
      </c>
    </row>
    <row r="94" spans="12:45">
      <c r="L94" s="19">
        <v>90</v>
      </c>
      <c r="M94" s="47" t="s">
        <v>24</v>
      </c>
      <c r="N94" s="47" t="s">
        <v>21</v>
      </c>
      <c r="O94" s="47" t="s">
        <v>18</v>
      </c>
      <c r="P94" s="47" t="s">
        <v>64</v>
      </c>
      <c r="Q94" s="47" t="s">
        <v>26</v>
      </c>
      <c r="R94" s="47" t="s">
        <v>27</v>
      </c>
      <c r="S94" s="33" t="s">
        <v>64</v>
      </c>
      <c r="U94" s="46">
        <f t="shared" si="12"/>
        <v>11</v>
      </c>
      <c r="V94" s="46">
        <f t="shared" si="12"/>
        <v>12</v>
      </c>
      <c r="W94" s="46">
        <f t="shared" si="12"/>
        <v>10</v>
      </c>
      <c r="X94" s="46">
        <f t="shared" si="11"/>
        <v>14</v>
      </c>
      <c r="Y94" s="46">
        <f t="shared" si="11"/>
        <v>7</v>
      </c>
      <c r="Z94" s="46">
        <f t="shared" si="11"/>
        <v>12</v>
      </c>
      <c r="AA94" s="46">
        <f t="shared" si="11"/>
        <v>14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203" t="s">
        <v>21</v>
      </c>
      <c r="AL94" s="203">
        <v>1</v>
      </c>
      <c r="AM94" s="203">
        <v>70</v>
      </c>
      <c r="AN94" s="203">
        <v>1</v>
      </c>
      <c r="AO94" s="203">
        <v>70</v>
      </c>
      <c r="AP94" s="203">
        <v>1</v>
      </c>
      <c r="AQ94" s="203">
        <v>1</v>
      </c>
      <c r="AR94" s="203">
        <v>0</v>
      </c>
      <c r="AS94" s="200">
        <v>3</v>
      </c>
    </row>
    <row r="95" spans="12:45">
      <c r="L95" s="18">
        <v>91</v>
      </c>
      <c r="M95" s="47" t="s">
        <v>28</v>
      </c>
      <c r="N95" s="47" t="s">
        <v>24</v>
      </c>
      <c r="O95" s="47" t="s">
        <v>28</v>
      </c>
      <c r="P95" s="47" t="s">
        <v>64</v>
      </c>
      <c r="Q95" s="47" t="s">
        <v>248</v>
      </c>
      <c r="R95" s="47" t="s">
        <v>27</v>
      </c>
      <c r="S95" s="33" t="s">
        <v>29</v>
      </c>
      <c r="U95" s="46">
        <f t="shared" si="12"/>
        <v>15</v>
      </c>
      <c r="V95" s="46">
        <f t="shared" si="12"/>
        <v>11</v>
      </c>
      <c r="W95" s="46">
        <f t="shared" si="12"/>
        <v>15</v>
      </c>
      <c r="X95" s="46">
        <f t="shared" si="11"/>
        <v>14</v>
      </c>
      <c r="Y95" s="46">
        <f t="shared" si="11"/>
        <v>0</v>
      </c>
      <c r="Z95" s="46">
        <f t="shared" si="11"/>
        <v>12</v>
      </c>
      <c r="AA95" s="46">
        <f t="shared" si="11"/>
        <v>19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203" t="s">
        <v>17</v>
      </c>
      <c r="AL95" s="203">
        <v>1</v>
      </c>
      <c r="AM95" s="203">
        <v>1</v>
      </c>
      <c r="AN95" s="203">
        <v>5</v>
      </c>
      <c r="AO95" s="203">
        <v>1</v>
      </c>
      <c r="AP95" s="203">
        <v>1</v>
      </c>
      <c r="AQ95" s="203">
        <v>70</v>
      </c>
      <c r="AR95" s="203">
        <v>1</v>
      </c>
      <c r="AS95" s="200">
        <v>4</v>
      </c>
    </row>
    <row r="96" spans="12:45">
      <c r="L96" s="19">
        <v>92</v>
      </c>
      <c r="M96" s="47" t="s">
        <v>64</v>
      </c>
      <c r="N96" s="47" t="s">
        <v>64</v>
      </c>
      <c r="O96" s="47" t="s">
        <v>28</v>
      </c>
      <c r="P96" s="47" t="s">
        <v>64</v>
      </c>
      <c r="Q96" s="47" t="s">
        <v>28</v>
      </c>
      <c r="R96" s="47" t="s">
        <v>64</v>
      </c>
      <c r="S96" s="33" t="s">
        <v>29</v>
      </c>
      <c r="U96" s="46">
        <f t="shared" si="12"/>
        <v>14</v>
      </c>
      <c r="V96" s="46">
        <f t="shared" si="12"/>
        <v>14</v>
      </c>
      <c r="W96" s="46">
        <f t="shared" si="12"/>
        <v>15</v>
      </c>
      <c r="X96" s="46">
        <f t="shared" si="11"/>
        <v>14</v>
      </c>
      <c r="Y96" s="46">
        <f t="shared" si="11"/>
        <v>15</v>
      </c>
      <c r="Z96" s="46">
        <f t="shared" si="11"/>
        <v>14</v>
      </c>
      <c r="AA96" s="46">
        <f t="shared" si="11"/>
        <v>19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203" t="s">
        <v>18</v>
      </c>
      <c r="AL96" s="203">
        <v>1</v>
      </c>
      <c r="AM96" s="203">
        <v>70</v>
      </c>
      <c r="AN96" s="203">
        <v>1</v>
      </c>
      <c r="AO96" s="203">
        <v>1</v>
      </c>
      <c r="AP96" s="203">
        <v>1</v>
      </c>
      <c r="AQ96" s="203">
        <v>70</v>
      </c>
      <c r="AR96" s="203">
        <v>1</v>
      </c>
      <c r="AS96" s="200">
        <v>5</v>
      </c>
    </row>
    <row r="97" spans="12:45">
      <c r="L97" s="18">
        <v>93</v>
      </c>
      <c r="M97" s="47" t="s">
        <v>24</v>
      </c>
      <c r="N97" s="47" t="s">
        <v>18</v>
      </c>
      <c r="O97" s="47" t="s">
        <v>29</v>
      </c>
      <c r="P97" s="47" t="s">
        <v>29</v>
      </c>
      <c r="Q97" s="47" t="s">
        <v>26</v>
      </c>
      <c r="R97" s="47" t="s">
        <v>64</v>
      </c>
      <c r="S97" s="33" t="s">
        <v>29</v>
      </c>
      <c r="U97" s="46">
        <f t="shared" si="12"/>
        <v>11</v>
      </c>
      <c r="V97" s="46">
        <f t="shared" si="12"/>
        <v>10</v>
      </c>
      <c r="W97" s="46">
        <f t="shared" si="12"/>
        <v>19</v>
      </c>
      <c r="X97" s="46">
        <f t="shared" si="11"/>
        <v>19</v>
      </c>
      <c r="Y97" s="46">
        <f t="shared" si="11"/>
        <v>7</v>
      </c>
      <c r="Z97" s="46">
        <f t="shared" si="11"/>
        <v>14</v>
      </c>
      <c r="AA97" s="46">
        <f t="shared" si="11"/>
        <v>19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203" t="s">
        <v>64</v>
      </c>
      <c r="AL97" s="203">
        <v>5</v>
      </c>
      <c r="AM97" s="203">
        <v>1</v>
      </c>
      <c r="AN97" s="203">
        <v>70</v>
      </c>
      <c r="AO97" s="203">
        <v>1</v>
      </c>
      <c r="AP97" s="203">
        <v>70</v>
      </c>
      <c r="AQ97" s="203">
        <v>1</v>
      </c>
      <c r="AR97" s="203">
        <v>1</v>
      </c>
      <c r="AS97" s="200">
        <v>6</v>
      </c>
    </row>
    <row r="98" spans="12:45">
      <c r="L98" s="19">
        <v>94</v>
      </c>
      <c r="M98" s="47" t="s">
        <v>26</v>
      </c>
      <c r="N98" s="47" t="s">
        <v>236</v>
      </c>
      <c r="O98" s="47" t="s">
        <v>28</v>
      </c>
      <c r="P98" s="47" t="s">
        <v>29</v>
      </c>
      <c r="Q98" s="47" t="s">
        <v>26</v>
      </c>
      <c r="R98" s="47" t="s">
        <v>64</v>
      </c>
      <c r="S98" s="33" t="s">
        <v>28</v>
      </c>
      <c r="U98" s="46">
        <f t="shared" si="12"/>
        <v>7</v>
      </c>
      <c r="V98" s="46">
        <f t="shared" si="12"/>
        <v>0</v>
      </c>
      <c r="W98" s="46">
        <f t="shared" si="12"/>
        <v>15</v>
      </c>
      <c r="X98" s="46">
        <f t="shared" si="11"/>
        <v>19</v>
      </c>
      <c r="Y98" s="46">
        <f t="shared" si="11"/>
        <v>7</v>
      </c>
      <c r="Z98" s="46">
        <f t="shared" si="11"/>
        <v>14</v>
      </c>
      <c r="AA98" s="46">
        <f t="shared" si="11"/>
        <v>15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203" t="s">
        <v>89</v>
      </c>
      <c r="AL98" s="203">
        <v>1</v>
      </c>
      <c r="AM98" s="203">
        <v>70</v>
      </c>
      <c r="AN98" s="203">
        <v>1</v>
      </c>
      <c r="AO98" s="203">
        <v>1</v>
      </c>
      <c r="AP98" s="203">
        <v>1</v>
      </c>
      <c r="AQ98" s="203">
        <v>70</v>
      </c>
      <c r="AR98" s="203">
        <v>1</v>
      </c>
      <c r="AS98" s="200">
        <v>7</v>
      </c>
    </row>
    <row r="99" spans="12:45">
      <c r="L99" s="18">
        <v>95</v>
      </c>
      <c r="M99" s="47" t="s">
        <v>26</v>
      </c>
      <c r="N99" s="47" t="s">
        <v>64</v>
      </c>
      <c r="O99" s="47" t="s">
        <v>28</v>
      </c>
      <c r="P99" s="47" t="s">
        <v>244</v>
      </c>
      <c r="Q99" s="47" t="s">
        <v>26</v>
      </c>
      <c r="R99" s="47" t="s">
        <v>29</v>
      </c>
      <c r="S99" s="33" t="s">
        <v>28</v>
      </c>
      <c r="U99" s="46">
        <f t="shared" si="12"/>
        <v>7</v>
      </c>
      <c r="V99" s="46">
        <f t="shared" si="12"/>
        <v>14</v>
      </c>
      <c r="W99" s="46">
        <f t="shared" si="12"/>
        <v>15</v>
      </c>
      <c r="X99" s="46">
        <f t="shared" si="11"/>
        <v>0</v>
      </c>
      <c r="Y99" s="46">
        <f t="shared" si="11"/>
        <v>7</v>
      </c>
      <c r="Z99" s="46">
        <f t="shared" si="11"/>
        <v>19</v>
      </c>
      <c r="AA99" s="46">
        <f t="shared" si="11"/>
        <v>15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1</v>
      </c>
      <c r="AM99" s="46">
        <v>1</v>
      </c>
      <c r="AN99" s="46">
        <v>1</v>
      </c>
      <c r="AO99" s="46">
        <v>1</v>
      </c>
      <c r="AP99" s="46">
        <v>70</v>
      </c>
      <c r="AQ99" s="46">
        <v>1</v>
      </c>
      <c r="AR99" s="46">
        <v>1</v>
      </c>
      <c r="AS99" s="5">
        <v>8</v>
      </c>
    </row>
    <row r="100" spans="12:45">
      <c r="L100" s="19">
        <v>96</v>
      </c>
      <c r="M100" s="47" t="s">
        <v>27</v>
      </c>
      <c r="N100" s="47" t="s">
        <v>64</v>
      </c>
      <c r="O100" s="47" t="s">
        <v>28</v>
      </c>
      <c r="P100" s="47" t="s">
        <v>89</v>
      </c>
      <c r="Q100" s="47" t="s">
        <v>89</v>
      </c>
      <c r="R100" s="47" t="s">
        <v>18</v>
      </c>
      <c r="S100" s="33" t="s">
        <v>28</v>
      </c>
      <c r="U100" s="46">
        <f t="shared" si="12"/>
        <v>12</v>
      </c>
      <c r="V100" s="46">
        <f t="shared" si="12"/>
        <v>14</v>
      </c>
      <c r="W100" s="46">
        <f t="shared" si="12"/>
        <v>15</v>
      </c>
      <c r="X100" s="46">
        <f t="shared" si="11"/>
        <v>7</v>
      </c>
      <c r="Y100" s="46">
        <f t="shared" si="11"/>
        <v>7</v>
      </c>
      <c r="Z100" s="46">
        <f t="shared" si="11"/>
        <v>10</v>
      </c>
      <c r="AA100" s="46">
        <f t="shared" si="11"/>
        <v>15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1</v>
      </c>
      <c r="AM100" s="46">
        <v>1</v>
      </c>
      <c r="AN100" s="46">
        <v>1</v>
      </c>
      <c r="AO100" s="46">
        <v>70</v>
      </c>
      <c r="AP100" s="46">
        <v>1</v>
      </c>
      <c r="AQ100" s="46">
        <v>70</v>
      </c>
      <c r="AR100" s="46">
        <v>1</v>
      </c>
      <c r="AS100" s="5">
        <v>9</v>
      </c>
    </row>
    <row r="101" spans="12:45">
      <c r="L101" s="18">
        <v>97</v>
      </c>
      <c r="M101" s="47" t="s">
        <v>29</v>
      </c>
      <c r="N101" s="47" t="s">
        <v>21</v>
      </c>
      <c r="O101" s="47" t="s">
        <v>24</v>
      </c>
      <c r="P101" s="47" t="s">
        <v>89</v>
      </c>
      <c r="Q101" s="47" t="s">
        <v>18</v>
      </c>
      <c r="R101" s="47" t="s">
        <v>18</v>
      </c>
      <c r="S101" s="33" t="s">
        <v>29</v>
      </c>
      <c r="U101" s="46">
        <f t="shared" si="12"/>
        <v>19</v>
      </c>
      <c r="V101" s="46">
        <f t="shared" si="12"/>
        <v>12</v>
      </c>
      <c r="W101" s="46">
        <f t="shared" si="12"/>
        <v>11</v>
      </c>
      <c r="X101" s="46">
        <f t="shared" si="11"/>
        <v>7</v>
      </c>
      <c r="Y101" s="46">
        <f t="shared" si="11"/>
        <v>10</v>
      </c>
      <c r="Z101" s="46">
        <f t="shared" si="11"/>
        <v>10</v>
      </c>
      <c r="AA101" s="46">
        <f t="shared" si="11"/>
        <v>19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1</v>
      </c>
      <c r="AM101" s="46">
        <v>1</v>
      </c>
      <c r="AN101" s="46">
        <v>5</v>
      </c>
      <c r="AO101" s="46">
        <v>1</v>
      </c>
      <c r="AP101" s="46">
        <v>1</v>
      </c>
      <c r="AQ101" s="46">
        <v>1</v>
      </c>
      <c r="AR101" s="46">
        <v>3</v>
      </c>
      <c r="AS101" s="5">
        <v>10</v>
      </c>
    </row>
    <row r="102" spans="12:45">
      <c r="L102" s="19">
        <v>98</v>
      </c>
      <c r="M102" s="47" t="s">
        <v>17</v>
      </c>
      <c r="N102" s="47" t="s">
        <v>89</v>
      </c>
      <c r="O102" s="47" t="s">
        <v>27</v>
      </c>
      <c r="P102" s="47" t="s">
        <v>27</v>
      </c>
      <c r="Q102" s="47" t="s">
        <v>28</v>
      </c>
      <c r="R102" s="47" t="s">
        <v>29</v>
      </c>
      <c r="S102" s="33" t="s">
        <v>18</v>
      </c>
      <c r="U102" s="46">
        <f t="shared" si="12"/>
        <v>14</v>
      </c>
      <c r="V102" s="46">
        <f t="shared" si="12"/>
        <v>7</v>
      </c>
      <c r="W102" s="46">
        <f t="shared" si="12"/>
        <v>12</v>
      </c>
      <c r="X102" s="46">
        <f t="shared" si="11"/>
        <v>12</v>
      </c>
      <c r="Y102" s="46">
        <f t="shared" si="11"/>
        <v>15</v>
      </c>
      <c r="Z102" s="46">
        <f t="shared" si="11"/>
        <v>19</v>
      </c>
      <c r="AA102" s="46">
        <f t="shared" si="11"/>
        <v>10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1</v>
      </c>
      <c r="AM102" s="46">
        <v>70</v>
      </c>
      <c r="AN102" s="46">
        <v>1</v>
      </c>
      <c r="AO102" s="46">
        <v>1</v>
      </c>
      <c r="AP102" s="46">
        <v>1</v>
      </c>
      <c r="AQ102" s="46">
        <v>1</v>
      </c>
      <c r="AR102" s="46">
        <v>1</v>
      </c>
      <c r="AS102" s="5">
        <v>11</v>
      </c>
    </row>
    <row r="103" spans="12:45">
      <c r="L103" s="18">
        <v>99</v>
      </c>
      <c r="M103" s="47" t="s">
        <v>28</v>
      </c>
      <c r="N103" s="47" t="s">
        <v>244</v>
      </c>
      <c r="O103" s="47" t="s">
        <v>26</v>
      </c>
      <c r="P103" s="47" t="s">
        <v>27</v>
      </c>
      <c r="Q103" s="47" t="s">
        <v>28</v>
      </c>
      <c r="R103" s="47" t="s">
        <v>29</v>
      </c>
      <c r="S103" s="33" t="s">
        <v>18</v>
      </c>
      <c r="U103" s="46">
        <f t="shared" si="12"/>
        <v>15</v>
      </c>
      <c r="V103" s="46">
        <f t="shared" si="12"/>
        <v>0</v>
      </c>
      <c r="W103" s="46">
        <f t="shared" si="12"/>
        <v>7</v>
      </c>
      <c r="X103" s="46">
        <f t="shared" si="11"/>
        <v>12</v>
      </c>
      <c r="Y103" s="46">
        <f t="shared" si="11"/>
        <v>15</v>
      </c>
      <c r="Z103" s="46">
        <f t="shared" si="11"/>
        <v>19</v>
      </c>
      <c r="AA103" s="46">
        <f t="shared" si="11"/>
        <v>10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70</v>
      </c>
      <c r="AM103" s="46">
        <v>1</v>
      </c>
      <c r="AN103" s="46">
        <v>1</v>
      </c>
      <c r="AO103" s="46">
        <v>1</v>
      </c>
      <c r="AP103" s="46">
        <v>1</v>
      </c>
      <c r="AQ103" s="46">
        <v>1</v>
      </c>
      <c r="AR103" s="46">
        <v>1</v>
      </c>
      <c r="AS103" s="5">
        <v>12</v>
      </c>
    </row>
    <row r="104" spans="12:45">
      <c r="L104" s="19">
        <v>100</v>
      </c>
      <c r="M104" s="47" t="s">
        <v>89</v>
      </c>
      <c r="N104" s="47" t="s">
        <v>64</v>
      </c>
      <c r="O104" s="47" t="s">
        <v>26</v>
      </c>
      <c r="P104" s="47" t="s">
        <v>250</v>
      </c>
      <c r="Q104" s="47" t="s">
        <v>18</v>
      </c>
      <c r="R104" s="47" t="s">
        <v>64</v>
      </c>
      <c r="S104" s="33" t="s">
        <v>18</v>
      </c>
      <c r="U104" s="46">
        <f t="shared" si="12"/>
        <v>7</v>
      </c>
      <c r="V104" s="46">
        <f t="shared" si="12"/>
        <v>14</v>
      </c>
      <c r="W104" s="46">
        <f t="shared" si="12"/>
        <v>7</v>
      </c>
      <c r="X104" s="46">
        <f t="shared" si="11"/>
        <v>0</v>
      </c>
      <c r="Y104" s="46">
        <f t="shared" si="11"/>
        <v>10</v>
      </c>
      <c r="Z104" s="46">
        <f t="shared" si="11"/>
        <v>14</v>
      </c>
      <c r="AA104" s="46">
        <f t="shared" si="11"/>
        <v>10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203" t="s">
        <v>234</v>
      </c>
      <c r="AL104" s="203">
        <v>0</v>
      </c>
      <c r="AM104" s="203">
        <v>0</v>
      </c>
      <c r="AN104" s="203">
        <v>0</v>
      </c>
      <c r="AO104" s="203">
        <v>0</v>
      </c>
      <c r="AP104" s="203">
        <v>0</v>
      </c>
      <c r="AQ104" s="203">
        <v>0</v>
      </c>
      <c r="AR104" s="203">
        <v>0</v>
      </c>
      <c r="AS104" s="200">
        <v>13</v>
      </c>
    </row>
    <row r="105" spans="12:45">
      <c r="L105" s="18">
        <v>101</v>
      </c>
      <c r="M105" s="47" t="s">
        <v>89</v>
      </c>
      <c r="N105" s="47" t="s">
        <v>69</v>
      </c>
      <c r="O105" s="47" t="s">
        <v>28</v>
      </c>
      <c r="P105" s="47" t="s">
        <v>64</v>
      </c>
      <c r="Q105" s="47" t="s">
        <v>252</v>
      </c>
      <c r="R105" s="47" t="s">
        <v>64</v>
      </c>
      <c r="S105" s="33" t="s">
        <v>28</v>
      </c>
      <c r="U105" s="46">
        <f t="shared" si="12"/>
        <v>7</v>
      </c>
      <c r="V105" s="46">
        <f t="shared" si="12"/>
        <v>0</v>
      </c>
      <c r="W105" s="46">
        <f t="shared" si="12"/>
        <v>15</v>
      </c>
      <c r="X105" s="46">
        <f t="shared" si="11"/>
        <v>14</v>
      </c>
      <c r="Y105" s="46">
        <f t="shared" si="11"/>
        <v>0</v>
      </c>
      <c r="Z105" s="46">
        <f t="shared" si="11"/>
        <v>14</v>
      </c>
      <c r="AA105" s="46">
        <f t="shared" si="11"/>
        <v>15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203" t="s">
        <v>236</v>
      </c>
      <c r="AL105" s="203">
        <v>0</v>
      </c>
      <c r="AM105" s="203">
        <v>1</v>
      </c>
      <c r="AN105" s="203">
        <v>1</v>
      </c>
      <c r="AO105" s="203">
        <v>1</v>
      </c>
      <c r="AP105" s="203">
        <v>1</v>
      </c>
      <c r="AQ105" s="203">
        <v>0</v>
      </c>
      <c r="AR105" s="203">
        <v>0</v>
      </c>
      <c r="AS105" s="200">
        <v>14</v>
      </c>
    </row>
    <row r="106" spans="12:45">
      <c r="L106" s="19">
        <v>102</v>
      </c>
      <c r="M106" s="47" t="s">
        <v>26</v>
      </c>
      <c r="N106" s="47" t="s">
        <v>268</v>
      </c>
      <c r="O106" s="47" t="s">
        <v>28</v>
      </c>
      <c r="P106" s="47" t="s">
        <v>24</v>
      </c>
      <c r="Q106" s="47" t="s">
        <v>28</v>
      </c>
      <c r="R106" s="47" t="s">
        <v>27</v>
      </c>
      <c r="S106" s="33" t="s">
        <v>28</v>
      </c>
      <c r="U106" s="46">
        <f t="shared" si="12"/>
        <v>7</v>
      </c>
      <c r="V106" s="46">
        <f t="shared" si="12"/>
        <v>0</v>
      </c>
      <c r="W106" s="46">
        <f t="shared" si="12"/>
        <v>15</v>
      </c>
      <c r="X106" s="46">
        <f t="shared" si="11"/>
        <v>11</v>
      </c>
      <c r="Y106" s="46">
        <f t="shared" si="11"/>
        <v>15</v>
      </c>
      <c r="Z106" s="46">
        <f t="shared" si="11"/>
        <v>12</v>
      </c>
      <c r="AA106" s="46">
        <f t="shared" si="11"/>
        <v>15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203" t="s">
        <v>238</v>
      </c>
      <c r="AL106" s="203">
        <v>0</v>
      </c>
      <c r="AM106" s="203">
        <v>1</v>
      </c>
      <c r="AN106" s="203">
        <v>1</v>
      </c>
      <c r="AO106" s="203">
        <v>1</v>
      </c>
      <c r="AP106" s="203">
        <v>1</v>
      </c>
      <c r="AQ106" s="203">
        <v>0</v>
      </c>
      <c r="AR106" s="203">
        <v>0</v>
      </c>
      <c r="AS106" s="200">
        <v>15</v>
      </c>
    </row>
    <row r="107" spans="12:45">
      <c r="L107" s="18">
        <v>103</v>
      </c>
      <c r="M107" s="47" t="s">
        <v>27</v>
      </c>
      <c r="N107" s="47" t="s">
        <v>64</v>
      </c>
      <c r="O107" s="47" t="s">
        <v>29</v>
      </c>
      <c r="P107" s="47" t="s">
        <v>27</v>
      </c>
      <c r="Q107" s="47" t="s">
        <v>28</v>
      </c>
      <c r="R107" s="47" t="s">
        <v>27</v>
      </c>
      <c r="S107" s="33" t="s">
        <v>21</v>
      </c>
      <c r="U107" s="46">
        <f t="shared" si="12"/>
        <v>12</v>
      </c>
      <c r="V107" s="46">
        <f t="shared" si="12"/>
        <v>14</v>
      </c>
      <c r="W107" s="46">
        <f t="shared" si="12"/>
        <v>19</v>
      </c>
      <c r="X107" s="46">
        <f t="shared" si="11"/>
        <v>12</v>
      </c>
      <c r="Y107" s="46">
        <f t="shared" si="11"/>
        <v>15</v>
      </c>
      <c r="Z107" s="46">
        <f t="shared" si="11"/>
        <v>12</v>
      </c>
      <c r="AA107" s="46">
        <f t="shared" si="11"/>
        <v>12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203" t="s">
        <v>240</v>
      </c>
      <c r="AL107" s="203">
        <v>0</v>
      </c>
      <c r="AM107" s="203">
        <v>1</v>
      </c>
      <c r="AN107" s="203">
        <v>1</v>
      </c>
      <c r="AO107" s="203">
        <v>1</v>
      </c>
      <c r="AP107" s="203">
        <v>1</v>
      </c>
      <c r="AQ107" s="203">
        <v>0</v>
      </c>
      <c r="AR107" s="203">
        <v>0</v>
      </c>
      <c r="AS107" s="200">
        <v>16</v>
      </c>
    </row>
    <row r="108" spans="12:45">
      <c r="L108" s="19">
        <v>104</v>
      </c>
      <c r="M108" s="47" t="s">
        <v>26</v>
      </c>
      <c r="N108" s="47" t="s">
        <v>64</v>
      </c>
      <c r="O108" s="47" t="s">
        <v>21</v>
      </c>
      <c r="P108" s="47" t="s">
        <v>27</v>
      </c>
      <c r="Q108" s="47" t="s">
        <v>89</v>
      </c>
      <c r="R108" s="47" t="s">
        <v>29</v>
      </c>
      <c r="S108" s="33" t="s">
        <v>21</v>
      </c>
      <c r="U108" s="46">
        <f t="shared" si="12"/>
        <v>7</v>
      </c>
      <c r="V108" s="46">
        <f t="shared" si="12"/>
        <v>14</v>
      </c>
      <c r="W108" s="46">
        <f t="shared" si="12"/>
        <v>12</v>
      </c>
      <c r="X108" s="46">
        <f t="shared" si="11"/>
        <v>12</v>
      </c>
      <c r="Y108" s="46">
        <f t="shared" si="11"/>
        <v>7</v>
      </c>
      <c r="Z108" s="46">
        <f t="shared" si="11"/>
        <v>19</v>
      </c>
      <c r="AA108" s="46">
        <f t="shared" si="11"/>
        <v>12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203" t="s">
        <v>242</v>
      </c>
      <c r="AL108" s="203">
        <v>0</v>
      </c>
      <c r="AM108" s="203">
        <v>1</v>
      </c>
      <c r="AN108" s="203">
        <v>1</v>
      </c>
      <c r="AO108" s="203">
        <v>1</v>
      </c>
      <c r="AP108" s="203">
        <v>2</v>
      </c>
      <c r="AQ108" s="203">
        <v>0</v>
      </c>
      <c r="AR108" s="203">
        <v>0</v>
      </c>
      <c r="AS108" s="200">
        <v>17</v>
      </c>
    </row>
    <row r="109" spans="12:45">
      <c r="L109" s="18">
        <v>105</v>
      </c>
      <c r="M109" s="47" t="s">
        <v>29</v>
      </c>
      <c r="N109" s="47" t="s">
        <v>29</v>
      </c>
      <c r="O109" s="47" t="s">
        <v>21</v>
      </c>
      <c r="P109" s="47" t="s">
        <v>17</v>
      </c>
      <c r="Q109" s="47" t="s">
        <v>28</v>
      </c>
      <c r="R109" s="47" t="s">
        <v>29</v>
      </c>
      <c r="S109" s="33" t="s">
        <v>29</v>
      </c>
      <c r="U109" s="46">
        <f t="shared" si="12"/>
        <v>19</v>
      </c>
      <c r="V109" s="46">
        <f t="shared" si="12"/>
        <v>19</v>
      </c>
      <c r="W109" s="46">
        <f t="shared" si="12"/>
        <v>12</v>
      </c>
      <c r="X109" s="46">
        <f t="shared" si="11"/>
        <v>14</v>
      </c>
      <c r="Y109" s="46">
        <f t="shared" si="11"/>
        <v>15</v>
      </c>
      <c r="Z109" s="46">
        <f t="shared" si="11"/>
        <v>19</v>
      </c>
      <c r="AA109" s="46">
        <f t="shared" si="11"/>
        <v>19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203" t="s">
        <v>244</v>
      </c>
      <c r="AL109" s="203">
        <v>0</v>
      </c>
      <c r="AM109" s="203">
        <v>1</v>
      </c>
      <c r="AN109" s="203">
        <v>1</v>
      </c>
      <c r="AO109" s="203">
        <v>1</v>
      </c>
      <c r="AP109" s="203">
        <v>1</v>
      </c>
      <c r="AQ109" s="203">
        <v>0</v>
      </c>
      <c r="AR109" s="203">
        <v>0</v>
      </c>
      <c r="AS109" s="200">
        <v>18</v>
      </c>
    </row>
    <row r="110" spans="12:45">
      <c r="L110" s="19">
        <v>106</v>
      </c>
      <c r="M110" s="47" t="s">
        <v>29</v>
      </c>
      <c r="N110" s="47" t="s">
        <v>27</v>
      </c>
      <c r="O110" s="47" t="s">
        <v>28</v>
      </c>
      <c r="P110" s="47" t="s">
        <v>64</v>
      </c>
      <c r="Q110" s="47" t="s">
        <v>29</v>
      </c>
      <c r="R110" s="47" t="s">
        <v>24</v>
      </c>
      <c r="S110" s="33" t="s">
        <v>29</v>
      </c>
      <c r="U110" s="46">
        <f t="shared" si="12"/>
        <v>19</v>
      </c>
      <c r="V110" s="46">
        <f t="shared" si="12"/>
        <v>12</v>
      </c>
      <c r="W110" s="46">
        <f t="shared" si="12"/>
        <v>15</v>
      </c>
      <c r="X110" s="46">
        <f t="shared" si="11"/>
        <v>14</v>
      </c>
      <c r="Y110" s="46">
        <f t="shared" si="11"/>
        <v>19</v>
      </c>
      <c r="Z110" s="46">
        <f t="shared" si="11"/>
        <v>11</v>
      </c>
      <c r="AA110" s="46">
        <f t="shared" si="11"/>
        <v>19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246</v>
      </c>
      <c r="AL110" s="46">
        <v>0</v>
      </c>
      <c r="AM110" s="46">
        <v>1</v>
      </c>
      <c r="AN110" s="46">
        <v>1</v>
      </c>
      <c r="AO110" s="46">
        <v>1</v>
      </c>
      <c r="AP110" s="46">
        <v>1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17</v>
      </c>
      <c r="N111" s="47" t="s">
        <v>27</v>
      </c>
      <c r="O111" s="47" t="s">
        <v>28</v>
      </c>
      <c r="P111" s="47" t="s">
        <v>28</v>
      </c>
      <c r="Q111" s="47" t="s">
        <v>18</v>
      </c>
      <c r="R111" s="47" t="s">
        <v>24</v>
      </c>
      <c r="S111" s="33" t="s">
        <v>29</v>
      </c>
      <c r="U111" s="46">
        <f t="shared" si="12"/>
        <v>14</v>
      </c>
      <c r="V111" s="46">
        <f t="shared" si="12"/>
        <v>12</v>
      </c>
      <c r="W111" s="46">
        <f t="shared" si="12"/>
        <v>15</v>
      </c>
      <c r="X111" s="46">
        <f t="shared" si="11"/>
        <v>15</v>
      </c>
      <c r="Y111" s="46">
        <f t="shared" si="11"/>
        <v>10</v>
      </c>
      <c r="Z111" s="46">
        <f t="shared" si="11"/>
        <v>11</v>
      </c>
      <c r="AA111" s="46">
        <f t="shared" si="11"/>
        <v>19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248</v>
      </c>
      <c r="AL111" s="46">
        <v>0</v>
      </c>
      <c r="AM111" s="46">
        <v>1</v>
      </c>
      <c r="AN111" s="46">
        <v>1</v>
      </c>
      <c r="AO111" s="46">
        <v>1</v>
      </c>
      <c r="AP111" s="46">
        <v>1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27</v>
      </c>
      <c r="N112" s="47" t="s">
        <v>21</v>
      </c>
      <c r="O112" s="47" t="s">
        <v>28</v>
      </c>
      <c r="P112" s="47" t="s">
        <v>29</v>
      </c>
      <c r="Q112" s="47" t="s">
        <v>244</v>
      </c>
      <c r="R112" s="47" t="s">
        <v>29</v>
      </c>
      <c r="S112" s="33" t="s">
        <v>28</v>
      </c>
      <c r="U112" s="46">
        <f t="shared" si="12"/>
        <v>12</v>
      </c>
      <c r="V112" s="46">
        <f t="shared" si="12"/>
        <v>12</v>
      </c>
      <c r="W112" s="46">
        <f t="shared" si="12"/>
        <v>15</v>
      </c>
      <c r="X112" s="46">
        <f t="shared" si="11"/>
        <v>19</v>
      </c>
      <c r="Y112" s="46">
        <f t="shared" si="11"/>
        <v>0</v>
      </c>
      <c r="Z112" s="46">
        <f t="shared" si="11"/>
        <v>19</v>
      </c>
      <c r="AA112" s="46">
        <f t="shared" si="11"/>
        <v>15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250</v>
      </c>
      <c r="AL112" s="46">
        <v>0</v>
      </c>
      <c r="AM112" s="46">
        <v>1</v>
      </c>
      <c r="AN112" s="46">
        <v>1</v>
      </c>
      <c r="AO112" s="46">
        <v>1</v>
      </c>
      <c r="AP112" s="46">
        <v>1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27</v>
      </c>
      <c r="N113" s="47" t="s">
        <v>24</v>
      </c>
      <c r="O113" s="47" t="s">
        <v>24</v>
      </c>
      <c r="P113" s="47" t="s">
        <v>64</v>
      </c>
      <c r="Q113" s="47" t="s">
        <v>89</v>
      </c>
      <c r="R113" s="47" t="s">
        <v>29</v>
      </c>
      <c r="S113" s="47" t="s">
        <v>28</v>
      </c>
      <c r="U113" s="46">
        <f t="shared" si="12"/>
        <v>12</v>
      </c>
      <c r="V113" s="46">
        <f t="shared" si="12"/>
        <v>11</v>
      </c>
      <c r="W113" s="46">
        <f t="shared" si="12"/>
        <v>11</v>
      </c>
      <c r="X113" s="46">
        <f t="shared" si="11"/>
        <v>14</v>
      </c>
      <c r="Y113" s="46">
        <f t="shared" si="11"/>
        <v>7</v>
      </c>
      <c r="Z113" s="46">
        <f t="shared" si="11"/>
        <v>19</v>
      </c>
      <c r="AA113" s="46">
        <f t="shared" si="11"/>
        <v>15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252</v>
      </c>
      <c r="AL113" s="46">
        <v>0</v>
      </c>
      <c r="AM113" s="46">
        <v>1</v>
      </c>
      <c r="AN113" s="46">
        <v>1</v>
      </c>
      <c r="AO113" s="46">
        <v>1</v>
      </c>
      <c r="AP113" s="46">
        <v>1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28</v>
      </c>
      <c r="N114" s="47" t="s">
        <v>64</v>
      </c>
      <c r="O114" s="47" t="s">
        <v>24</v>
      </c>
      <c r="P114" s="47" t="s">
        <v>64</v>
      </c>
      <c r="Q114" s="47" t="s">
        <v>28</v>
      </c>
      <c r="R114" s="47" t="s">
        <v>27</v>
      </c>
      <c r="S114" s="33" t="s">
        <v>28</v>
      </c>
      <c r="U114" s="46">
        <f t="shared" si="12"/>
        <v>15</v>
      </c>
      <c r="V114" s="46">
        <f t="shared" si="12"/>
        <v>14</v>
      </c>
      <c r="W114" s="46">
        <f t="shared" si="12"/>
        <v>11</v>
      </c>
      <c r="X114" s="46">
        <f t="shared" si="11"/>
        <v>14</v>
      </c>
      <c r="Y114" s="46">
        <f t="shared" si="11"/>
        <v>15</v>
      </c>
      <c r="Z114" s="46">
        <f t="shared" si="11"/>
        <v>12</v>
      </c>
      <c r="AA114" s="46">
        <f t="shared" si="11"/>
        <v>15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254</v>
      </c>
      <c r="AL114" s="46">
        <v>0</v>
      </c>
      <c r="AM114" s="46">
        <v>1</v>
      </c>
      <c r="AN114" s="46">
        <v>1</v>
      </c>
      <c r="AO114" s="46">
        <v>1</v>
      </c>
      <c r="AP114" s="46">
        <v>1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89</v>
      </c>
      <c r="N115" s="47" t="s">
        <v>27</v>
      </c>
      <c r="O115" s="47" t="s">
        <v>252</v>
      </c>
      <c r="P115" s="47" t="s">
        <v>26</v>
      </c>
      <c r="Q115" s="47" t="s">
        <v>89</v>
      </c>
      <c r="R115" s="47" t="s">
        <v>24</v>
      </c>
      <c r="S115" s="33" t="s">
        <v>21</v>
      </c>
      <c r="U115" s="46">
        <f t="shared" si="12"/>
        <v>7</v>
      </c>
      <c r="V115" s="46">
        <f t="shared" si="12"/>
        <v>12</v>
      </c>
      <c r="W115" s="46">
        <f t="shared" si="12"/>
        <v>0</v>
      </c>
      <c r="X115" s="46">
        <f t="shared" si="11"/>
        <v>7</v>
      </c>
      <c r="Y115" s="46">
        <f t="shared" si="11"/>
        <v>7</v>
      </c>
      <c r="Z115" s="46">
        <f t="shared" si="11"/>
        <v>11</v>
      </c>
      <c r="AA115" s="46">
        <f t="shared" si="11"/>
        <v>12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203" t="s">
        <v>101</v>
      </c>
      <c r="AL115" s="203">
        <v>0</v>
      </c>
      <c r="AM115" s="203">
        <v>0</v>
      </c>
      <c r="AN115" s="203">
        <v>0</v>
      </c>
      <c r="AO115" s="203">
        <v>0</v>
      </c>
      <c r="AP115" s="203">
        <v>0</v>
      </c>
      <c r="AQ115" s="203">
        <v>0</v>
      </c>
      <c r="AR115" s="203">
        <v>0</v>
      </c>
      <c r="AS115" s="200">
        <v>24</v>
      </c>
    </row>
    <row r="116" spans="12:46">
      <c r="L116" s="19">
        <v>112</v>
      </c>
      <c r="M116" s="47" t="s">
        <v>29</v>
      </c>
      <c r="N116" s="47" t="s">
        <v>27</v>
      </c>
      <c r="O116" s="47" t="s">
        <v>28</v>
      </c>
      <c r="P116" s="47" t="s">
        <v>254</v>
      </c>
      <c r="Q116" s="47" t="s">
        <v>89</v>
      </c>
      <c r="R116" s="47" t="s">
        <v>27</v>
      </c>
      <c r="S116" s="33" t="s">
        <v>21</v>
      </c>
      <c r="U116" s="46">
        <f t="shared" si="12"/>
        <v>19</v>
      </c>
      <c r="V116" s="46">
        <f t="shared" si="12"/>
        <v>12</v>
      </c>
      <c r="W116" s="46">
        <f t="shared" si="12"/>
        <v>15</v>
      </c>
      <c r="X116" s="46">
        <f t="shared" si="11"/>
        <v>0</v>
      </c>
      <c r="Y116" s="46">
        <f t="shared" si="11"/>
        <v>7</v>
      </c>
      <c r="Z116" s="46">
        <f t="shared" si="11"/>
        <v>12</v>
      </c>
      <c r="AA116" s="46">
        <f t="shared" si="11"/>
        <v>12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203" t="s">
        <v>268</v>
      </c>
      <c r="AL116" s="203">
        <v>0</v>
      </c>
      <c r="AM116" s="203">
        <v>1</v>
      </c>
      <c r="AN116" s="203">
        <v>1</v>
      </c>
      <c r="AO116" s="203">
        <v>1</v>
      </c>
      <c r="AP116" s="203">
        <v>1</v>
      </c>
      <c r="AQ116" s="203">
        <v>0</v>
      </c>
      <c r="AR116" s="203">
        <v>0</v>
      </c>
      <c r="AS116" s="200">
        <v>25</v>
      </c>
    </row>
    <row r="117" spans="12:46">
      <c r="L117" s="18">
        <v>113</v>
      </c>
      <c r="M117" s="47" t="s">
        <v>29</v>
      </c>
      <c r="N117" s="47" t="s">
        <v>21</v>
      </c>
      <c r="O117" s="47" t="s">
        <v>24</v>
      </c>
      <c r="P117" s="47" t="s">
        <v>28</v>
      </c>
      <c r="Q117" s="47" t="s">
        <v>89</v>
      </c>
      <c r="R117" s="47" t="s">
        <v>27</v>
      </c>
      <c r="S117" s="33" t="s">
        <v>27</v>
      </c>
      <c r="U117" s="46">
        <f t="shared" si="12"/>
        <v>19</v>
      </c>
      <c r="V117" s="46">
        <f t="shared" si="12"/>
        <v>12</v>
      </c>
      <c r="W117" s="46">
        <f t="shared" si="12"/>
        <v>11</v>
      </c>
      <c r="X117" s="46">
        <f t="shared" si="11"/>
        <v>15</v>
      </c>
      <c r="Y117" s="46">
        <f t="shared" si="11"/>
        <v>7</v>
      </c>
      <c r="Z117" s="46">
        <f t="shared" si="11"/>
        <v>12</v>
      </c>
      <c r="AA117" s="46">
        <f t="shared" si="11"/>
        <v>12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27</v>
      </c>
      <c r="N118" s="47" t="s">
        <v>21</v>
      </c>
      <c r="O118" s="47" t="s">
        <v>26</v>
      </c>
      <c r="P118" s="47" t="s">
        <v>26</v>
      </c>
      <c r="Q118" s="47" t="s">
        <v>18</v>
      </c>
      <c r="R118" s="47" t="s">
        <v>24</v>
      </c>
      <c r="S118" s="33" t="s">
        <v>27</v>
      </c>
      <c r="U118" s="46">
        <f t="shared" si="12"/>
        <v>12</v>
      </c>
      <c r="V118" s="46">
        <f t="shared" si="12"/>
        <v>12</v>
      </c>
      <c r="W118" s="46">
        <f t="shared" si="12"/>
        <v>7</v>
      </c>
      <c r="X118" s="46">
        <f t="shared" si="11"/>
        <v>7</v>
      </c>
      <c r="Y118" s="46">
        <f t="shared" si="11"/>
        <v>10</v>
      </c>
      <c r="Z118" s="46">
        <f t="shared" si="11"/>
        <v>11</v>
      </c>
      <c r="AA118" s="46">
        <f t="shared" si="11"/>
        <v>12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274</v>
      </c>
    </row>
    <row r="119" spans="12:46">
      <c r="L119" s="18">
        <v>115</v>
      </c>
      <c r="M119" s="47" t="s">
        <v>29</v>
      </c>
      <c r="N119" s="47" t="s">
        <v>89</v>
      </c>
      <c r="O119" s="47" t="s">
        <v>18</v>
      </c>
      <c r="P119" s="47" t="s">
        <v>242</v>
      </c>
      <c r="Q119" s="47" t="s">
        <v>236</v>
      </c>
      <c r="R119" s="47" t="s">
        <v>24</v>
      </c>
      <c r="S119" s="33" t="s">
        <v>29</v>
      </c>
      <c r="U119" s="46">
        <f t="shared" si="12"/>
        <v>19</v>
      </c>
      <c r="V119" s="46">
        <f t="shared" si="12"/>
        <v>7</v>
      </c>
      <c r="W119" s="46">
        <f t="shared" si="12"/>
        <v>10</v>
      </c>
      <c r="X119" s="46">
        <f t="shared" si="11"/>
        <v>0</v>
      </c>
      <c r="Y119" s="46">
        <f t="shared" si="11"/>
        <v>0</v>
      </c>
      <c r="Z119" s="46">
        <f t="shared" si="11"/>
        <v>11</v>
      </c>
      <c r="AA119" s="46">
        <f t="shared" ref="AA119:AA124" si="13">VLOOKUP(S119, $A$4:$J$29, 9, 0)</f>
        <v>19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52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29</v>
      </c>
      <c r="N120" s="47" t="s">
        <v>29</v>
      </c>
      <c r="O120" s="47" t="s">
        <v>24</v>
      </c>
      <c r="P120" s="47" t="s">
        <v>64</v>
      </c>
      <c r="Q120" s="47" t="s">
        <v>21</v>
      </c>
      <c r="R120" s="47" t="s">
        <v>27</v>
      </c>
      <c r="S120" s="33" t="s">
        <v>29</v>
      </c>
      <c r="U120" s="46">
        <f t="shared" si="12"/>
        <v>19</v>
      </c>
      <c r="V120" s="46">
        <f t="shared" si="12"/>
        <v>19</v>
      </c>
      <c r="W120" s="46">
        <f t="shared" si="12"/>
        <v>11</v>
      </c>
      <c r="X120" s="46">
        <f t="shared" si="12"/>
        <v>14</v>
      </c>
      <c r="Y120" s="46">
        <f t="shared" si="12"/>
        <v>12</v>
      </c>
      <c r="Z120" s="46">
        <f t="shared" si="12"/>
        <v>12</v>
      </c>
      <c r="AA120" s="46">
        <f t="shared" si="13"/>
        <v>19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64</v>
      </c>
      <c r="N121" s="47" t="s">
        <v>29</v>
      </c>
      <c r="O121" s="47" t="s">
        <v>24</v>
      </c>
      <c r="P121" s="47" t="s">
        <v>27</v>
      </c>
      <c r="Q121" s="47" t="s">
        <v>21</v>
      </c>
      <c r="R121" s="47" t="s">
        <v>27</v>
      </c>
      <c r="S121" s="33" t="s">
        <v>29</v>
      </c>
      <c r="U121" s="46">
        <f t="shared" ref="U121:Z124" si="14">VLOOKUP(M121, $A$4:$J$29, 9, 0)</f>
        <v>14</v>
      </c>
      <c r="V121" s="46">
        <f t="shared" si="14"/>
        <v>19</v>
      </c>
      <c r="W121" s="46">
        <f t="shared" si="14"/>
        <v>11</v>
      </c>
      <c r="X121" s="46">
        <f t="shared" si="14"/>
        <v>12</v>
      </c>
      <c r="Y121" s="46">
        <f t="shared" si="14"/>
        <v>12</v>
      </c>
      <c r="Z121" s="46">
        <f t="shared" si="14"/>
        <v>12</v>
      </c>
      <c r="AA121" s="46">
        <f t="shared" si="13"/>
        <v>19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0</v>
      </c>
      <c r="AM121" s="46">
        <v>0</v>
      </c>
      <c r="AN121" s="46">
        <v>0</v>
      </c>
      <c r="AO121" s="46">
        <v>0</v>
      </c>
      <c r="AP121" s="46">
        <v>0</v>
      </c>
      <c r="AQ121" s="46">
        <v>0</v>
      </c>
      <c r="AR121" s="46">
        <v>0</v>
      </c>
      <c r="AS121" s="5">
        <v>1</v>
      </c>
    </row>
    <row r="122" spans="12:46">
      <c r="L122" s="19">
        <v>118</v>
      </c>
      <c r="M122" s="47" t="s">
        <v>29</v>
      </c>
      <c r="N122" s="47" t="s">
        <v>250</v>
      </c>
      <c r="O122" s="47" t="s">
        <v>28</v>
      </c>
      <c r="P122" s="47" t="s">
        <v>27</v>
      </c>
      <c r="Q122" s="47" t="s">
        <v>89</v>
      </c>
      <c r="R122" s="47" t="s">
        <v>27</v>
      </c>
      <c r="S122" s="33" t="s">
        <v>26</v>
      </c>
      <c r="U122" s="46">
        <f t="shared" si="14"/>
        <v>19</v>
      </c>
      <c r="V122" s="46">
        <f t="shared" si="14"/>
        <v>0</v>
      </c>
      <c r="W122" s="46">
        <f t="shared" si="14"/>
        <v>15</v>
      </c>
      <c r="X122" s="46">
        <f t="shared" si="14"/>
        <v>12</v>
      </c>
      <c r="Y122" s="46">
        <f t="shared" si="14"/>
        <v>7</v>
      </c>
      <c r="Z122" s="46">
        <f t="shared" si="14"/>
        <v>12</v>
      </c>
      <c r="AA122" s="46">
        <f t="shared" si="13"/>
        <v>7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203" t="s">
        <v>20</v>
      </c>
      <c r="AL122" s="203">
        <v>1</v>
      </c>
      <c r="AM122" s="203">
        <v>1</v>
      </c>
      <c r="AN122" s="203">
        <v>1</v>
      </c>
      <c r="AO122" s="203">
        <v>1</v>
      </c>
      <c r="AP122" s="203">
        <v>1</v>
      </c>
      <c r="AQ122" s="203">
        <v>1</v>
      </c>
      <c r="AR122" s="203">
        <v>0</v>
      </c>
      <c r="AS122" s="200">
        <v>2</v>
      </c>
    </row>
    <row r="123" spans="12:46">
      <c r="L123" s="18">
        <v>119</v>
      </c>
      <c r="M123" s="47" t="s">
        <v>26</v>
      </c>
      <c r="N123" s="47" t="s">
        <v>27</v>
      </c>
      <c r="O123" s="47" t="s">
        <v>26</v>
      </c>
      <c r="P123" s="47" t="s">
        <v>64</v>
      </c>
      <c r="Q123" s="47" t="s">
        <v>21</v>
      </c>
      <c r="R123" s="47" t="s">
        <v>24</v>
      </c>
      <c r="S123" s="33" t="s">
        <v>26</v>
      </c>
      <c r="U123" s="46">
        <f t="shared" si="14"/>
        <v>7</v>
      </c>
      <c r="V123" s="46">
        <f t="shared" si="14"/>
        <v>12</v>
      </c>
      <c r="W123" s="46">
        <f t="shared" si="14"/>
        <v>7</v>
      </c>
      <c r="X123" s="46">
        <f t="shared" si="14"/>
        <v>14</v>
      </c>
      <c r="Y123" s="46">
        <f t="shared" si="14"/>
        <v>12</v>
      </c>
      <c r="Z123" s="46">
        <f t="shared" si="14"/>
        <v>11</v>
      </c>
      <c r="AA123" s="46">
        <f t="shared" si="13"/>
        <v>7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203" t="s">
        <v>21</v>
      </c>
      <c r="AL123" s="203">
        <v>1</v>
      </c>
      <c r="AM123" s="203">
        <v>70</v>
      </c>
      <c r="AN123" s="203">
        <v>1</v>
      </c>
      <c r="AO123" s="203">
        <v>70</v>
      </c>
      <c r="AP123" s="203">
        <v>1</v>
      </c>
      <c r="AQ123" s="203">
        <v>1</v>
      </c>
      <c r="AR123" s="203">
        <v>0</v>
      </c>
      <c r="AS123" s="200">
        <v>3</v>
      </c>
    </row>
    <row r="124" spans="12:46">
      <c r="L124" s="19">
        <v>120</v>
      </c>
      <c r="M124" s="47" t="s">
        <v>26</v>
      </c>
      <c r="N124" s="47" t="s">
        <v>29</v>
      </c>
      <c r="O124" s="47" t="s">
        <v>24</v>
      </c>
      <c r="P124" s="47" t="s">
        <v>64</v>
      </c>
      <c r="Q124" s="47" t="s">
        <v>89</v>
      </c>
      <c r="R124" s="47" t="s">
        <v>27</v>
      </c>
      <c r="S124" s="33" t="s">
        <v>26</v>
      </c>
      <c r="U124" s="46">
        <f t="shared" si="14"/>
        <v>7</v>
      </c>
      <c r="V124" s="46">
        <f t="shared" si="14"/>
        <v>19</v>
      </c>
      <c r="W124" s="46">
        <f t="shared" si="14"/>
        <v>11</v>
      </c>
      <c r="X124" s="46">
        <f t="shared" si="14"/>
        <v>14</v>
      </c>
      <c r="Y124" s="46">
        <f t="shared" si="14"/>
        <v>7</v>
      </c>
      <c r="Z124" s="46">
        <f t="shared" si="14"/>
        <v>12</v>
      </c>
      <c r="AA124" s="46">
        <f t="shared" si="13"/>
        <v>7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203" t="s">
        <v>17</v>
      </c>
      <c r="AL124" s="203">
        <v>1</v>
      </c>
      <c r="AM124" s="203">
        <v>1</v>
      </c>
      <c r="AN124" s="203">
        <v>5</v>
      </c>
      <c r="AO124" s="203">
        <v>1</v>
      </c>
      <c r="AP124" s="203">
        <v>1</v>
      </c>
      <c r="AQ124" s="203">
        <v>70</v>
      </c>
      <c r="AR124" s="203">
        <v>1</v>
      </c>
      <c r="AS124" s="200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203" t="s">
        <v>18</v>
      </c>
      <c r="AL125" s="203">
        <v>1</v>
      </c>
      <c r="AM125" s="203">
        <v>70</v>
      </c>
      <c r="AN125" s="203">
        <v>1</v>
      </c>
      <c r="AO125" s="203">
        <v>1</v>
      </c>
      <c r="AP125" s="203">
        <v>1</v>
      </c>
      <c r="AQ125" s="203">
        <v>70</v>
      </c>
      <c r="AR125" s="203">
        <v>1</v>
      </c>
      <c r="AS125" s="200">
        <v>5</v>
      </c>
    </row>
    <row r="126" spans="12:46">
      <c r="AK126" s="203" t="s">
        <v>64</v>
      </c>
      <c r="AL126" s="203">
        <v>5</v>
      </c>
      <c r="AM126" s="203">
        <v>1</v>
      </c>
      <c r="AN126" s="203">
        <v>70</v>
      </c>
      <c r="AO126" s="203">
        <v>1</v>
      </c>
      <c r="AP126" s="203">
        <v>70</v>
      </c>
      <c r="AQ126" s="203">
        <v>1</v>
      </c>
      <c r="AR126" s="203">
        <v>1</v>
      </c>
      <c r="AS126" s="200">
        <v>6</v>
      </c>
    </row>
    <row r="127" spans="12:46">
      <c r="AK127" s="203" t="s">
        <v>89</v>
      </c>
      <c r="AL127" s="203">
        <v>1</v>
      </c>
      <c r="AM127" s="203">
        <v>70</v>
      </c>
      <c r="AN127" s="203">
        <v>1</v>
      </c>
      <c r="AO127" s="203">
        <v>1</v>
      </c>
      <c r="AP127" s="203">
        <v>1</v>
      </c>
      <c r="AQ127" s="203">
        <v>70</v>
      </c>
      <c r="AR127" s="203">
        <v>1</v>
      </c>
      <c r="AS127" s="200">
        <v>7</v>
      </c>
    </row>
    <row r="128" spans="12:46">
      <c r="AK128" s="46" t="s">
        <v>24</v>
      </c>
      <c r="AL128" s="46">
        <v>1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1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203" t="s">
        <v>234</v>
      </c>
      <c r="AL133" s="203">
        <v>0</v>
      </c>
      <c r="AM133" s="203">
        <v>0</v>
      </c>
      <c r="AN133" s="203">
        <v>0</v>
      </c>
      <c r="AO133" s="203">
        <v>0</v>
      </c>
      <c r="AP133" s="203">
        <v>0</v>
      </c>
      <c r="AQ133" s="203">
        <v>0</v>
      </c>
      <c r="AR133" s="203">
        <v>0</v>
      </c>
      <c r="AS133" s="200">
        <v>13</v>
      </c>
      <c r="AT133" s="11"/>
    </row>
    <row r="134" spans="37:46">
      <c r="AK134" s="203" t="s">
        <v>236</v>
      </c>
      <c r="AL134" s="203">
        <v>0</v>
      </c>
      <c r="AM134" s="203">
        <v>1</v>
      </c>
      <c r="AN134" s="203">
        <v>1</v>
      </c>
      <c r="AO134" s="203">
        <v>1</v>
      </c>
      <c r="AP134" s="203">
        <v>1</v>
      </c>
      <c r="AQ134" s="203">
        <v>0</v>
      </c>
      <c r="AR134" s="203">
        <v>0</v>
      </c>
      <c r="AS134" s="200">
        <v>14</v>
      </c>
      <c r="AT134" s="11"/>
    </row>
    <row r="135" spans="37:46">
      <c r="AK135" s="203" t="s">
        <v>238</v>
      </c>
      <c r="AL135" s="203">
        <v>0</v>
      </c>
      <c r="AM135" s="203">
        <v>1</v>
      </c>
      <c r="AN135" s="203">
        <v>1</v>
      </c>
      <c r="AO135" s="203">
        <v>1</v>
      </c>
      <c r="AP135" s="203">
        <v>1</v>
      </c>
      <c r="AQ135" s="203">
        <v>0</v>
      </c>
      <c r="AR135" s="203">
        <v>0</v>
      </c>
      <c r="AS135" s="200">
        <v>15</v>
      </c>
      <c r="AT135" s="11"/>
    </row>
    <row r="136" spans="37:46">
      <c r="AK136" s="203" t="s">
        <v>240</v>
      </c>
      <c r="AL136" s="203">
        <v>0</v>
      </c>
      <c r="AM136" s="203">
        <v>1</v>
      </c>
      <c r="AN136" s="203">
        <v>1</v>
      </c>
      <c r="AO136" s="203">
        <v>1</v>
      </c>
      <c r="AP136" s="203">
        <v>1</v>
      </c>
      <c r="AQ136" s="203">
        <v>0</v>
      </c>
      <c r="AR136" s="203">
        <v>0</v>
      </c>
      <c r="AS136" s="200">
        <v>16</v>
      </c>
      <c r="AT136" s="11"/>
    </row>
    <row r="137" spans="37:46">
      <c r="AK137" s="203" t="s">
        <v>242</v>
      </c>
      <c r="AL137" s="203">
        <v>0</v>
      </c>
      <c r="AM137" s="203">
        <v>1</v>
      </c>
      <c r="AN137" s="203">
        <v>1</v>
      </c>
      <c r="AO137" s="203">
        <v>1</v>
      </c>
      <c r="AP137" s="203">
        <v>2</v>
      </c>
      <c r="AQ137" s="203">
        <v>0</v>
      </c>
      <c r="AR137" s="203">
        <v>0</v>
      </c>
      <c r="AS137" s="200">
        <v>17</v>
      </c>
      <c r="AT137" s="11"/>
    </row>
    <row r="138" spans="37:46">
      <c r="AK138" s="203" t="s">
        <v>244</v>
      </c>
      <c r="AL138" s="203">
        <v>0</v>
      </c>
      <c r="AM138" s="203">
        <v>1</v>
      </c>
      <c r="AN138" s="203">
        <v>1</v>
      </c>
      <c r="AO138" s="203">
        <v>1</v>
      </c>
      <c r="AP138" s="203">
        <v>1</v>
      </c>
      <c r="AQ138" s="203">
        <v>0</v>
      </c>
      <c r="AR138" s="203">
        <v>0</v>
      </c>
      <c r="AS138" s="200">
        <v>18</v>
      </c>
      <c r="AT138" s="11"/>
    </row>
    <row r="139" spans="37:46">
      <c r="AK139" s="46" t="s">
        <v>246</v>
      </c>
      <c r="AL139" s="46">
        <v>0</v>
      </c>
      <c r="AM139" s="46">
        <v>1</v>
      </c>
      <c r="AN139" s="46">
        <v>1</v>
      </c>
      <c r="AO139" s="46">
        <v>1</v>
      </c>
      <c r="AP139" s="46">
        <v>1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248</v>
      </c>
      <c r="AL140" s="46">
        <v>0</v>
      </c>
      <c r="AM140" s="46">
        <v>1</v>
      </c>
      <c r="AN140" s="46">
        <v>1</v>
      </c>
      <c r="AO140" s="46">
        <v>1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250</v>
      </c>
      <c r="AL141" s="46">
        <v>0</v>
      </c>
      <c r="AM141" s="46">
        <v>1</v>
      </c>
      <c r="AN141" s="46">
        <v>1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252</v>
      </c>
      <c r="AL142" s="46">
        <v>0</v>
      </c>
      <c r="AM142" s="46">
        <v>1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254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203" t="s">
        <v>101</v>
      </c>
      <c r="AL144" s="203">
        <v>0</v>
      </c>
      <c r="AM144" s="203">
        <v>0</v>
      </c>
      <c r="AN144" s="203">
        <v>0</v>
      </c>
      <c r="AO144" s="203">
        <v>0</v>
      </c>
      <c r="AP144" s="203">
        <v>0</v>
      </c>
      <c r="AQ144" s="203">
        <v>0</v>
      </c>
      <c r="AR144" s="203">
        <v>0</v>
      </c>
      <c r="AS144" s="200">
        <v>24</v>
      </c>
      <c r="AT144" s="11"/>
    </row>
    <row r="145" spans="37:46">
      <c r="AK145" s="203" t="s">
        <v>268</v>
      </c>
      <c r="AL145" s="203">
        <v>0</v>
      </c>
      <c r="AM145" s="203">
        <v>1</v>
      </c>
      <c r="AN145" s="203">
        <v>1</v>
      </c>
      <c r="AO145" s="203">
        <v>1</v>
      </c>
      <c r="AP145" s="203">
        <v>1</v>
      </c>
      <c r="AQ145" s="203">
        <v>0</v>
      </c>
      <c r="AR145" s="203">
        <v>0</v>
      </c>
      <c r="AS145" s="200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99"/>
      <c r="N304" s="199"/>
      <c r="O304" s="199"/>
      <c r="P304" s="199"/>
      <c r="Q304" s="199"/>
      <c r="R304" s="199"/>
      <c r="S304" s="199"/>
      <c r="T304" s="1"/>
      <c r="U304" s="1"/>
      <c r="V304" s="199"/>
      <c r="W304" s="199"/>
      <c r="X304" s="199"/>
      <c r="Y304" s="199"/>
      <c r="Z304" s="19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1"/>
      <c r="AP304" s="11"/>
      <c r="AQ304" s="11"/>
      <c r="AR304" s="11"/>
      <c r="AS304" s="1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2" spans="37:45">
      <c r="AK322" s="28"/>
      <c r="AL322" s="28"/>
      <c r="AM322" s="28"/>
      <c r="AN322" s="28"/>
      <c r="AO322" s="28"/>
      <c r="AP322" s="28"/>
      <c r="AQ322" s="28"/>
      <c r="AR322" s="28"/>
      <c r="AS322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107" priority="1" operator="equal">
      <formula>"C1"</formula>
    </cfRule>
    <cfRule type="cellIs" dxfId="106" priority="2" operator="equal">
      <formula>"G6"</formula>
    </cfRule>
    <cfRule type="cellIs" dxfId="105" priority="3" operator="equal">
      <formula>"G5"</formula>
    </cfRule>
    <cfRule type="cellIs" dxfId="104" priority="4" operator="equal">
      <formula>"G4"</formula>
    </cfRule>
    <cfRule type="cellIs" dxfId="103" priority="5" operator="equal">
      <formula>"G3"</formula>
    </cfRule>
    <cfRule type="cellIs" dxfId="102" priority="6" operator="equal">
      <formula>"G2"</formula>
    </cfRule>
    <cfRule type="cellIs" dxfId="101" priority="7" operator="equal">
      <formula>"G1"</formula>
    </cfRule>
    <cfRule type="cellIs" dxfId="100" priority="8" operator="equal">
      <formula>"M5"</formula>
    </cfRule>
    <cfRule type="cellIs" dxfId="99" priority="9" operator="equal">
      <formula>"M4"</formula>
    </cfRule>
    <cfRule type="cellIs" dxfId="98" priority="10" operator="equal">
      <formula>"M3"</formula>
    </cfRule>
    <cfRule type="cellIs" dxfId="97" priority="11" operator="equal">
      <formula>"M6"</formula>
    </cfRule>
    <cfRule type="cellIs" dxfId="96" priority="12" operator="equal">
      <formula>"M2"</formula>
    </cfRule>
    <cfRule type="cellIs" dxfId="9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>
    <tabColor theme="3" tint="0.59999389629810485"/>
  </sheetPr>
  <dimension ref="A2:AT405"/>
  <sheetViews>
    <sheetView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99" customWidth="1"/>
    <col min="20" max="20" width="8.88671875" style="1" customWidth="1"/>
    <col min="21" max="21" width="5.5546875" style="1" customWidth="1"/>
    <col min="22" max="26" width="5.5546875" style="19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231</v>
      </c>
      <c r="AC2" s="11" t="s">
        <v>232</v>
      </c>
      <c r="AD2" s="215"/>
      <c r="AE2" s="215"/>
      <c r="AF2" s="215"/>
      <c r="AG2" s="215"/>
      <c r="AH2" s="215"/>
      <c r="AI2" s="215"/>
      <c r="AK2" s="49" t="s">
        <v>276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99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277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98" t="str" cm="1">
        <f t="array" ref="A4:B29">Overview!$A$42:$B$67</f>
        <v>WW</v>
      </c>
      <c r="B4" s="198" t="str">
        <v>Wild</v>
      </c>
      <c r="C4" s="101">
        <f t="shared" ref="C4:C29" si="0">COUNTIF(M$4:M$304,$A4)</f>
        <v>0</v>
      </c>
      <c r="D4" s="101">
        <f t="shared" ref="D4:I19" si="1">COUNTIF(N$4:N$304,$A4)</f>
        <v>0</v>
      </c>
      <c r="E4" s="101">
        <f t="shared" si="1"/>
        <v>0</v>
      </c>
      <c r="F4" s="101">
        <f t="shared" si="1"/>
        <v>0</v>
      </c>
      <c r="G4" s="101">
        <f t="shared" si="1"/>
        <v>0</v>
      </c>
      <c r="H4" s="101">
        <f t="shared" si="1"/>
        <v>0</v>
      </c>
      <c r="I4" s="101">
        <f t="shared" si="1"/>
        <v>0</v>
      </c>
      <c r="J4" s="198">
        <v>0</v>
      </c>
      <c r="K4" s="43"/>
      <c r="L4" s="19">
        <v>0</v>
      </c>
      <c r="M4" s="205" t="s">
        <v>89</v>
      </c>
      <c r="N4" s="205" t="s">
        <v>89</v>
      </c>
      <c r="O4" s="205" t="s">
        <v>26</v>
      </c>
      <c r="P4" s="205" t="s">
        <v>64</v>
      </c>
      <c r="Q4" s="205" t="s">
        <v>18</v>
      </c>
      <c r="R4" s="205" t="s">
        <v>24</v>
      </c>
      <c r="S4" s="206" t="s">
        <v>24</v>
      </c>
      <c r="U4" s="207">
        <f t="shared" ref="U4:AA19" si="2">VLOOKUP(M4, $A$4:$J$29, 9, 0)</f>
        <v>5</v>
      </c>
      <c r="V4" s="207">
        <f t="shared" si="2"/>
        <v>5</v>
      </c>
      <c r="W4" s="207">
        <f t="shared" si="2"/>
        <v>7</v>
      </c>
      <c r="X4" s="207">
        <f t="shared" si="2"/>
        <v>14</v>
      </c>
      <c r="Y4" s="207">
        <f t="shared" si="2"/>
        <v>10</v>
      </c>
      <c r="Z4" s="207">
        <f t="shared" si="2"/>
        <v>8</v>
      </c>
      <c r="AA4" s="207">
        <f t="shared" si="2"/>
        <v>8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98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si="0"/>
        <v>0</v>
      </c>
      <c r="D5" s="12">
        <f t="shared" si="1"/>
        <v>0</v>
      </c>
      <c r="E5" s="12">
        <f t="shared" si="1"/>
        <v>0</v>
      </c>
      <c r="F5" s="12">
        <f t="shared" si="1"/>
        <v>0</v>
      </c>
      <c r="G5" s="12">
        <f t="shared" si="1"/>
        <v>0</v>
      </c>
      <c r="H5" s="12">
        <f t="shared" si="1"/>
        <v>0</v>
      </c>
      <c r="I5" s="12">
        <f t="shared" si="1"/>
        <v>0</v>
      </c>
      <c r="J5" s="5">
        <v>1</v>
      </c>
      <c r="K5" s="43"/>
      <c r="L5" s="18">
        <v>1</v>
      </c>
      <c r="M5" s="47" t="s">
        <v>26</v>
      </c>
      <c r="N5" s="47" t="s">
        <v>28</v>
      </c>
      <c r="O5" s="47" t="s">
        <v>26</v>
      </c>
      <c r="P5" s="47" t="s">
        <v>24</v>
      </c>
      <c r="Q5" s="47" t="s">
        <v>240</v>
      </c>
      <c r="R5" s="47" t="s">
        <v>26</v>
      </c>
      <c r="S5" s="33" t="s">
        <v>24</v>
      </c>
      <c r="U5" s="46">
        <f t="shared" si="2"/>
        <v>7</v>
      </c>
      <c r="V5" s="46">
        <f t="shared" si="2"/>
        <v>15</v>
      </c>
      <c r="W5" s="46">
        <f t="shared" si="2"/>
        <v>7</v>
      </c>
      <c r="X5" s="46">
        <f t="shared" si="2"/>
        <v>8</v>
      </c>
      <c r="Y5" s="46">
        <f t="shared" si="2"/>
        <v>0</v>
      </c>
      <c r="Z5" s="46">
        <f t="shared" si="2"/>
        <v>7</v>
      </c>
      <c r="AA5" s="46">
        <f t="shared" si="2"/>
        <v>8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5</v>
      </c>
      <c r="AM5" s="46">
        <v>3</v>
      </c>
      <c r="AN5" s="46">
        <v>3</v>
      </c>
      <c r="AO5" s="46">
        <v>5</v>
      </c>
      <c r="AP5" s="46">
        <v>5</v>
      </c>
      <c r="AQ5" s="46">
        <v>5</v>
      </c>
      <c r="AR5" s="46">
        <v>0</v>
      </c>
      <c r="AS5" s="5">
        <v>1</v>
      </c>
    </row>
    <row r="6" spans="1:45" ht="15.9" customHeight="1">
      <c r="A6" s="200" t="str">
        <v>M1</v>
      </c>
      <c r="B6" s="200" t="str">
        <v>M1</v>
      </c>
      <c r="C6" s="202">
        <f t="shared" si="0"/>
        <v>2</v>
      </c>
      <c r="D6" s="202">
        <f t="shared" si="1"/>
        <v>2</v>
      </c>
      <c r="E6" s="202">
        <f t="shared" si="1"/>
        <v>2</v>
      </c>
      <c r="F6" s="202">
        <f t="shared" si="1"/>
        <v>4</v>
      </c>
      <c r="G6" s="202">
        <f t="shared" si="1"/>
        <v>2</v>
      </c>
      <c r="H6" s="202">
        <f t="shared" si="1"/>
        <v>4</v>
      </c>
      <c r="I6" s="202">
        <f t="shared" si="1"/>
        <v>6</v>
      </c>
      <c r="J6" s="200">
        <v>2</v>
      </c>
      <c r="L6" s="19">
        <v>2</v>
      </c>
      <c r="M6" s="47" t="s">
        <v>28</v>
      </c>
      <c r="N6" s="47" t="s">
        <v>29</v>
      </c>
      <c r="O6" s="47" t="s">
        <v>21</v>
      </c>
      <c r="P6" s="47" t="s">
        <v>24</v>
      </c>
      <c r="Q6" s="47" t="s">
        <v>64</v>
      </c>
      <c r="R6" s="47" t="s">
        <v>64</v>
      </c>
      <c r="S6" s="33" t="s">
        <v>24</v>
      </c>
      <c r="U6" s="46">
        <f t="shared" si="2"/>
        <v>15</v>
      </c>
      <c r="V6" s="46">
        <f t="shared" si="2"/>
        <v>16</v>
      </c>
      <c r="W6" s="46">
        <f t="shared" si="2"/>
        <v>12</v>
      </c>
      <c r="X6" s="46">
        <f t="shared" si="2"/>
        <v>8</v>
      </c>
      <c r="Y6" s="46">
        <f t="shared" si="2"/>
        <v>14</v>
      </c>
      <c r="Z6" s="46">
        <f t="shared" si="2"/>
        <v>14</v>
      </c>
      <c r="AA6" s="46">
        <f t="shared" si="2"/>
        <v>8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203" t="s">
        <v>20</v>
      </c>
      <c r="AL6" s="203">
        <v>40</v>
      </c>
      <c r="AM6" s="203">
        <v>40</v>
      </c>
      <c r="AN6" s="203">
        <v>20</v>
      </c>
      <c r="AO6" s="203">
        <v>40</v>
      </c>
      <c r="AP6" s="203">
        <v>40</v>
      </c>
      <c r="AQ6" s="203">
        <v>1</v>
      </c>
      <c r="AR6" s="203">
        <v>1</v>
      </c>
      <c r="AS6" s="200">
        <v>2</v>
      </c>
    </row>
    <row r="7" spans="1:45" ht="15.9" customHeight="1">
      <c r="A7" s="200" t="str">
        <v>M2</v>
      </c>
      <c r="B7" s="200" t="str">
        <v>M2</v>
      </c>
      <c r="C7" s="202">
        <f t="shared" si="0"/>
        <v>3</v>
      </c>
      <c r="D7" s="202">
        <f t="shared" si="1"/>
        <v>10</v>
      </c>
      <c r="E7" s="202">
        <f t="shared" si="1"/>
        <v>7</v>
      </c>
      <c r="F7" s="202">
        <f t="shared" si="1"/>
        <v>3</v>
      </c>
      <c r="G7" s="202">
        <f t="shared" si="1"/>
        <v>8</v>
      </c>
      <c r="H7" s="202">
        <f t="shared" si="1"/>
        <v>0</v>
      </c>
      <c r="I7" s="202">
        <f t="shared" si="1"/>
        <v>12</v>
      </c>
      <c r="J7" s="200">
        <v>3</v>
      </c>
      <c r="L7" s="18">
        <v>3</v>
      </c>
      <c r="M7" s="47" t="s">
        <v>29</v>
      </c>
      <c r="N7" s="47" t="s">
        <v>234</v>
      </c>
      <c r="O7" s="47" t="s">
        <v>89</v>
      </c>
      <c r="P7" s="47" t="s">
        <v>24</v>
      </c>
      <c r="Q7" s="47" t="s">
        <v>64</v>
      </c>
      <c r="R7" s="47" t="s">
        <v>29</v>
      </c>
      <c r="S7" s="33" t="s">
        <v>24</v>
      </c>
      <c r="U7" s="46">
        <f t="shared" si="2"/>
        <v>16</v>
      </c>
      <c r="V7" s="46">
        <f t="shared" si="2"/>
        <v>0</v>
      </c>
      <c r="W7" s="46">
        <f t="shared" si="2"/>
        <v>5</v>
      </c>
      <c r="X7" s="46">
        <f t="shared" si="2"/>
        <v>8</v>
      </c>
      <c r="Y7" s="46">
        <f t="shared" si="2"/>
        <v>14</v>
      </c>
      <c r="Z7" s="46">
        <f t="shared" si="2"/>
        <v>16</v>
      </c>
      <c r="AA7" s="46">
        <f t="shared" si="2"/>
        <v>8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203" t="s">
        <v>21</v>
      </c>
      <c r="AL7" s="203">
        <v>10</v>
      </c>
      <c r="AM7" s="203">
        <v>32</v>
      </c>
      <c r="AN7" s="203">
        <v>40</v>
      </c>
      <c r="AO7" s="203">
        <v>40</v>
      </c>
      <c r="AP7" s="203">
        <v>1</v>
      </c>
      <c r="AQ7" s="203">
        <v>1</v>
      </c>
      <c r="AR7" s="203">
        <v>1</v>
      </c>
      <c r="AS7" s="200">
        <v>3</v>
      </c>
    </row>
    <row r="8" spans="1:45" ht="15.9" customHeight="1">
      <c r="A8" s="200" t="str">
        <v>M3</v>
      </c>
      <c r="B8" s="200" t="str">
        <v>M3</v>
      </c>
      <c r="C8" s="202">
        <f t="shared" si="0"/>
        <v>3</v>
      </c>
      <c r="D8" s="202">
        <f t="shared" si="1"/>
        <v>3</v>
      </c>
      <c r="E8" s="202">
        <f t="shared" si="1"/>
        <v>3</v>
      </c>
      <c r="F8" s="202">
        <f t="shared" si="1"/>
        <v>8</v>
      </c>
      <c r="G8" s="202">
        <f t="shared" si="1"/>
        <v>3</v>
      </c>
      <c r="H8" s="202">
        <f t="shared" si="1"/>
        <v>3</v>
      </c>
      <c r="I8" s="202">
        <f t="shared" si="1"/>
        <v>14</v>
      </c>
      <c r="J8" s="200">
        <v>4</v>
      </c>
      <c r="L8" s="19">
        <v>4</v>
      </c>
      <c r="M8" s="47" t="s">
        <v>26</v>
      </c>
      <c r="N8" s="47" t="s">
        <v>29</v>
      </c>
      <c r="O8" s="47" t="s">
        <v>238</v>
      </c>
      <c r="P8" s="47" t="s">
        <v>27</v>
      </c>
      <c r="Q8" s="47" t="s">
        <v>26</v>
      </c>
      <c r="R8" s="47" t="s">
        <v>29</v>
      </c>
      <c r="S8" s="33" t="s">
        <v>21</v>
      </c>
      <c r="U8" s="46">
        <f t="shared" si="2"/>
        <v>7</v>
      </c>
      <c r="V8" s="46">
        <f t="shared" si="2"/>
        <v>16</v>
      </c>
      <c r="W8" s="46">
        <f t="shared" si="2"/>
        <v>0</v>
      </c>
      <c r="X8" s="46">
        <f t="shared" si="2"/>
        <v>11</v>
      </c>
      <c r="Y8" s="46">
        <f t="shared" si="2"/>
        <v>7</v>
      </c>
      <c r="Z8" s="46">
        <f t="shared" si="2"/>
        <v>16</v>
      </c>
      <c r="AA8" s="46">
        <f t="shared" si="2"/>
        <v>12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203" t="s">
        <v>17</v>
      </c>
      <c r="AL8" s="203">
        <v>40</v>
      </c>
      <c r="AM8" s="203">
        <v>13</v>
      </c>
      <c r="AN8" s="203">
        <v>15</v>
      </c>
      <c r="AO8" s="203">
        <v>1</v>
      </c>
      <c r="AP8" s="203">
        <v>1</v>
      </c>
      <c r="AQ8" s="203">
        <v>40</v>
      </c>
      <c r="AR8" s="203">
        <v>1</v>
      </c>
      <c r="AS8" s="200">
        <v>4</v>
      </c>
    </row>
    <row r="9" spans="1:45" ht="15.9" customHeight="1">
      <c r="A9" s="200" t="str">
        <v>M4</v>
      </c>
      <c r="B9" s="200" t="str">
        <v>M4</v>
      </c>
      <c r="C9" s="202">
        <f t="shared" si="0"/>
        <v>8</v>
      </c>
      <c r="D9" s="202">
        <f t="shared" si="1"/>
        <v>6</v>
      </c>
      <c r="E9" s="202">
        <f t="shared" si="1"/>
        <v>14</v>
      </c>
      <c r="F9" s="202">
        <f t="shared" si="1"/>
        <v>3</v>
      </c>
      <c r="G9" s="202">
        <f t="shared" si="1"/>
        <v>15</v>
      </c>
      <c r="H9" s="202">
        <f t="shared" si="1"/>
        <v>5</v>
      </c>
      <c r="I9" s="202">
        <f t="shared" si="1"/>
        <v>10</v>
      </c>
      <c r="J9" s="200">
        <v>5</v>
      </c>
      <c r="L9" s="18">
        <v>5</v>
      </c>
      <c r="M9" s="47" t="s">
        <v>28</v>
      </c>
      <c r="N9" s="47" t="s">
        <v>21</v>
      </c>
      <c r="O9" s="47" t="s">
        <v>17</v>
      </c>
      <c r="P9" s="47" t="s">
        <v>27</v>
      </c>
      <c r="Q9" s="47" t="s">
        <v>26</v>
      </c>
      <c r="R9" s="47" t="s">
        <v>64</v>
      </c>
      <c r="S9" s="33" t="s">
        <v>21</v>
      </c>
      <c r="U9" s="46">
        <f t="shared" si="2"/>
        <v>15</v>
      </c>
      <c r="V9" s="46">
        <f t="shared" si="2"/>
        <v>12</v>
      </c>
      <c r="W9" s="46">
        <f t="shared" si="2"/>
        <v>14</v>
      </c>
      <c r="X9" s="46">
        <f t="shared" si="2"/>
        <v>11</v>
      </c>
      <c r="Y9" s="46">
        <f t="shared" si="2"/>
        <v>7</v>
      </c>
      <c r="Z9" s="46">
        <f t="shared" si="2"/>
        <v>14</v>
      </c>
      <c r="AA9" s="46">
        <f t="shared" si="2"/>
        <v>12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203" t="s">
        <v>18</v>
      </c>
      <c r="AL9" s="203">
        <v>10</v>
      </c>
      <c r="AM9" s="203">
        <v>40</v>
      </c>
      <c r="AN9" s="203">
        <v>40</v>
      </c>
      <c r="AO9" s="203">
        <v>40</v>
      </c>
      <c r="AP9" s="203">
        <v>8</v>
      </c>
      <c r="AQ9" s="203">
        <v>40</v>
      </c>
      <c r="AR9" s="203">
        <v>1</v>
      </c>
      <c r="AS9" s="200">
        <v>5</v>
      </c>
    </row>
    <row r="10" spans="1:45" ht="15.9" customHeight="1">
      <c r="A10" s="200" t="str">
        <v>M5</v>
      </c>
      <c r="B10" s="200" t="str">
        <v>M5</v>
      </c>
      <c r="C10" s="202">
        <f t="shared" si="0"/>
        <v>8</v>
      </c>
      <c r="D10" s="202">
        <f t="shared" si="1"/>
        <v>12</v>
      </c>
      <c r="E10" s="202">
        <f t="shared" si="1"/>
        <v>5</v>
      </c>
      <c r="F10" s="202">
        <f t="shared" si="1"/>
        <v>24</v>
      </c>
      <c r="G10" s="202">
        <f t="shared" si="1"/>
        <v>6</v>
      </c>
      <c r="H10" s="202">
        <f t="shared" si="1"/>
        <v>27</v>
      </c>
      <c r="I10" s="202">
        <f t="shared" si="1"/>
        <v>14</v>
      </c>
      <c r="J10" s="200">
        <v>6</v>
      </c>
      <c r="L10" s="19">
        <v>6</v>
      </c>
      <c r="M10" s="47" t="s">
        <v>26</v>
      </c>
      <c r="N10" s="47" t="s">
        <v>21</v>
      </c>
      <c r="O10" s="47" t="s">
        <v>24</v>
      </c>
      <c r="P10" s="47" t="s">
        <v>27</v>
      </c>
      <c r="Q10" s="47" t="s">
        <v>89</v>
      </c>
      <c r="R10" s="47" t="s">
        <v>64</v>
      </c>
      <c r="S10" s="33" t="s">
        <v>21</v>
      </c>
      <c r="U10" s="46">
        <f t="shared" si="2"/>
        <v>7</v>
      </c>
      <c r="V10" s="46">
        <f t="shared" si="2"/>
        <v>12</v>
      </c>
      <c r="W10" s="46">
        <f t="shared" si="2"/>
        <v>8</v>
      </c>
      <c r="X10" s="46">
        <f t="shared" si="2"/>
        <v>11</v>
      </c>
      <c r="Y10" s="46">
        <f t="shared" si="2"/>
        <v>5</v>
      </c>
      <c r="Z10" s="46">
        <f t="shared" si="2"/>
        <v>14</v>
      </c>
      <c r="AA10" s="46">
        <f t="shared" si="2"/>
        <v>12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203" t="s">
        <v>64</v>
      </c>
      <c r="AL10" s="203">
        <v>40</v>
      </c>
      <c r="AM10" s="203">
        <v>8</v>
      </c>
      <c r="AN10" s="203">
        <v>20</v>
      </c>
      <c r="AO10" s="203">
        <v>1</v>
      </c>
      <c r="AP10" s="203">
        <v>40</v>
      </c>
      <c r="AQ10" s="203">
        <v>1</v>
      </c>
      <c r="AR10" s="203">
        <v>1</v>
      </c>
      <c r="AS10" s="200">
        <v>6</v>
      </c>
    </row>
    <row r="11" spans="1:45" ht="15.9" customHeight="1">
      <c r="A11" s="200" t="str">
        <v>M6</v>
      </c>
      <c r="B11" s="200" t="str">
        <v>M6</v>
      </c>
      <c r="C11" s="202">
        <f t="shared" si="0"/>
        <v>13</v>
      </c>
      <c r="D11" s="202">
        <f t="shared" si="1"/>
        <v>10</v>
      </c>
      <c r="E11" s="202">
        <f t="shared" si="1"/>
        <v>10</v>
      </c>
      <c r="F11" s="202">
        <f t="shared" si="1"/>
        <v>3</v>
      </c>
      <c r="G11" s="202">
        <f t="shared" si="1"/>
        <v>27</v>
      </c>
      <c r="H11" s="202">
        <f t="shared" si="1"/>
        <v>3</v>
      </c>
      <c r="I11" s="202">
        <f t="shared" si="1"/>
        <v>5</v>
      </c>
      <c r="J11" s="200">
        <v>7</v>
      </c>
      <c r="L11" s="18">
        <v>7</v>
      </c>
      <c r="M11" s="47" t="s">
        <v>29</v>
      </c>
      <c r="N11" s="47" t="s">
        <v>89</v>
      </c>
      <c r="O11" s="47" t="s">
        <v>26</v>
      </c>
      <c r="P11" s="47" t="s">
        <v>29</v>
      </c>
      <c r="Q11" s="47" t="s">
        <v>28</v>
      </c>
      <c r="R11" s="47" t="s">
        <v>64</v>
      </c>
      <c r="S11" s="33" t="s">
        <v>21</v>
      </c>
      <c r="U11" s="46">
        <f t="shared" si="2"/>
        <v>16</v>
      </c>
      <c r="V11" s="46">
        <f t="shared" si="2"/>
        <v>5</v>
      </c>
      <c r="W11" s="46">
        <f t="shared" si="2"/>
        <v>7</v>
      </c>
      <c r="X11" s="46">
        <f t="shared" si="2"/>
        <v>16</v>
      </c>
      <c r="Y11" s="46">
        <f t="shared" si="2"/>
        <v>15</v>
      </c>
      <c r="Z11" s="46">
        <f t="shared" si="2"/>
        <v>14</v>
      </c>
      <c r="AA11" s="46">
        <f t="shared" si="2"/>
        <v>12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203" t="s">
        <v>89</v>
      </c>
      <c r="AL11" s="203">
        <v>10</v>
      </c>
      <c r="AM11" s="203">
        <v>40</v>
      </c>
      <c r="AN11" s="203">
        <v>40</v>
      </c>
      <c r="AO11" s="203">
        <v>40</v>
      </c>
      <c r="AP11" s="203">
        <v>8</v>
      </c>
      <c r="AQ11" s="203">
        <v>40</v>
      </c>
      <c r="AR11" s="203">
        <v>1</v>
      </c>
      <c r="AS11" s="200">
        <v>7</v>
      </c>
    </row>
    <row r="12" spans="1:45" ht="15.9" customHeight="1">
      <c r="A12" s="33" t="str">
        <v>A</v>
      </c>
      <c r="B12" s="46" t="str">
        <v>A</v>
      </c>
      <c r="C12" s="12">
        <f t="shared" si="0"/>
        <v>8</v>
      </c>
      <c r="D12" s="12">
        <f t="shared" si="1"/>
        <v>12</v>
      </c>
      <c r="E12" s="12">
        <f t="shared" si="1"/>
        <v>11</v>
      </c>
      <c r="F12" s="12">
        <f t="shared" si="1"/>
        <v>10</v>
      </c>
      <c r="G12" s="12">
        <f t="shared" si="1"/>
        <v>2</v>
      </c>
      <c r="H12" s="12">
        <f t="shared" si="1"/>
        <v>27</v>
      </c>
      <c r="I12" s="12">
        <f t="shared" si="1"/>
        <v>8</v>
      </c>
      <c r="J12" s="5">
        <v>8</v>
      </c>
      <c r="L12" s="19">
        <v>8</v>
      </c>
      <c r="M12" s="47" t="s">
        <v>64</v>
      </c>
      <c r="N12" s="47" t="s">
        <v>89</v>
      </c>
      <c r="O12" s="47" t="s">
        <v>26</v>
      </c>
      <c r="P12" s="47" t="s">
        <v>64</v>
      </c>
      <c r="Q12" s="47" t="s">
        <v>28</v>
      </c>
      <c r="R12" s="47" t="s">
        <v>89</v>
      </c>
      <c r="S12" s="33" t="s">
        <v>17</v>
      </c>
      <c r="U12" s="46">
        <f t="shared" si="2"/>
        <v>14</v>
      </c>
      <c r="V12" s="46">
        <f t="shared" si="2"/>
        <v>5</v>
      </c>
      <c r="W12" s="46">
        <f t="shared" si="2"/>
        <v>7</v>
      </c>
      <c r="X12" s="46">
        <f t="shared" si="2"/>
        <v>14</v>
      </c>
      <c r="Y12" s="46">
        <f t="shared" si="2"/>
        <v>15</v>
      </c>
      <c r="Z12" s="46">
        <f t="shared" si="2"/>
        <v>5</v>
      </c>
      <c r="AA12" s="46">
        <f t="shared" si="2"/>
        <v>14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0"/>
        <v>17</v>
      </c>
      <c r="D13" s="12">
        <f t="shared" si="1"/>
        <v>2</v>
      </c>
      <c r="E13" s="12">
        <f t="shared" si="1"/>
        <v>18</v>
      </c>
      <c r="F13" s="12">
        <f t="shared" si="1"/>
        <v>3</v>
      </c>
      <c r="G13" s="12">
        <f t="shared" si="1"/>
        <v>16</v>
      </c>
      <c r="H13" s="12">
        <f t="shared" si="1"/>
        <v>6</v>
      </c>
      <c r="I13" s="12">
        <f t="shared" si="1"/>
        <v>7</v>
      </c>
      <c r="J13" s="5">
        <v>9</v>
      </c>
      <c r="L13" s="18">
        <v>9</v>
      </c>
      <c r="M13" s="47" t="s">
        <v>24</v>
      </c>
      <c r="N13" s="47" t="s">
        <v>242</v>
      </c>
      <c r="O13" s="47" t="s">
        <v>17</v>
      </c>
      <c r="P13" s="47" t="s">
        <v>27</v>
      </c>
      <c r="Q13" s="47" t="s">
        <v>89</v>
      </c>
      <c r="R13" s="47" t="s">
        <v>64</v>
      </c>
      <c r="S13" s="33" t="s">
        <v>17</v>
      </c>
      <c r="U13" s="46">
        <f t="shared" si="2"/>
        <v>8</v>
      </c>
      <c r="V13" s="46">
        <f t="shared" si="2"/>
        <v>0</v>
      </c>
      <c r="W13" s="46">
        <f t="shared" si="2"/>
        <v>14</v>
      </c>
      <c r="X13" s="46">
        <f t="shared" si="2"/>
        <v>11</v>
      </c>
      <c r="Y13" s="46">
        <f t="shared" si="2"/>
        <v>5</v>
      </c>
      <c r="Z13" s="46">
        <f t="shared" si="2"/>
        <v>14</v>
      </c>
      <c r="AA13" s="46">
        <f t="shared" si="2"/>
        <v>14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0"/>
        <v>14</v>
      </c>
      <c r="D14" s="12">
        <f t="shared" si="1"/>
        <v>23</v>
      </c>
      <c r="E14" s="12">
        <f t="shared" si="1"/>
        <v>2</v>
      </c>
      <c r="F14" s="12">
        <f t="shared" si="1"/>
        <v>24</v>
      </c>
      <c r="G14" s="12">
        <f t="shared" si="1"/>
        <v>7</v>
      </c>
      <c r="H14" s="12">
        <f t="shared" si="1"/>
        <v>22</v>
      </c>
      <c r="I14" s="12">
        <f t="shared" si="1"/>
        <v>11</v>
      </c>
      <c r="J14" s="5">
        <v>10</v>
      </c>
      <c r="L14" s="19">
        <v>10</v>
      </c>
      <c r="M14" s="47" t="s">
        <v>24</v>
      </c>
      <c r="N14" s="47" t="s">
        <v>64</v>
      </c>
      <c r="O14" s="47" t="s">
        <v>28</v>
      </c>
      <c r="P14" s="47" t="s">
        <v>242</v>
      </c>
      <c r="Q14" s="47" t="s">
        <v>89</v>
      </c>
      <c r="R14" s="47" t="s">
        <v>64</v>
      </c>
      <c r="S14" s="33" t="s">
        <v>17</v>
      </c>
      <c r="U14" s="46">
        <f t="shared" si="2"/>
        <v>8</v>
      </c>
      <c r="V14" s="46">
        <f t="shared" si="2"/>
        <v>14</v>
      </c>
      <c r="W14" s="46">
        <f t="shared" si="2"/>
        <v>15</v>
      </c>
      <c r="X14" s="46">
        <f t="shared" si="2"/>
        <v>0</v>
      </c>
      <c r="Y14" s="46">
        <f t="shared" si="2"/>
        <v>5</v>
      </c>
      <c r="Z14" s="46">
        <f t="shared" si="2"/>
        <v>14</v>
      </c>
      <c r="AA14" s="46">
        <f t="shared" si="2"/>
        <v>14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0"/>
        <v>17</v>
      </c>
      <c r="D15" s="12">
        <f t="shared" si="1"/>
        <v>5</v>
      </c>
      <c r="E15" s="12">
        <f t="shared" si="1"/>
        <v>29</v>
      </c>
      <c r="F15" s="12">
        <f t="shared" si="1"/>
        <v>6</v>
      </c>
      <c r="G15" s="12">
        <f t="shared" si="1"/>
        <v>19</v>
      </c>
      <c r="H15" s="12">
        <f t="shared" si="1"/>
        <v>2</v>
      </c>
      <c r="I15" s="12">
        <f t="shared" si="1"/>
        <v>15</v>
      </c>
      <c r="J15" s="5">
        <v>11</v>
      </c>
      <c r="L15" s="18">
        <v>11</v>
      </c>
      <c r="M15" s="47" t="s">
        <v>29</v>
      </c>
      <c r="N15" s="47" t="s">
        <v>64</v>
      </c>
      <c r="O15" s="47" t="s">
        <v>28</v>
      </c>
      <c r="P15" s="47" t="s">
        <v>246</v>
      </c>
      <c r="Q15" s="47" t="s">
        <v>26</v>
      </c>
      <c r="R15" s="47" t="s">
        <v>89</v>
      </c>
      <c r="S15" s="33" t="s">
        <v>17</v>
      </c>
      <c r="U15" s="46">
        <f t="shared" si="2"/>
        <v>16</v>
      </c>
      <c r="V15" s="46">
        <f t="shared" si="2"/>
        <v>14</v>
      </c>
      <c r="W15" s="46">
        <f t="shared" si="2"/>
        <v>15</v>
      </c>
      <c r="X15" s="46">
        <f t="shared" si="2"/>
        <v>0</v>
      </c>
      <c r="Y15" s="46">
        <f t="shared" si="2"/>
        <v>7</v>
      </c>
      <c r="Z15" s="46">
        <f t="shared" si="2"/>
        <v>5</v>
      </c>
      <c r="AA15" s="46">
        <f t="shared" si="2"/>
        <v>14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0"/>
        <v>26</v>
      </c>
      <c r="D16" s="12">
        <f t="shared" si="1"/>
        <v>15</v>
      </c>
      <c r="E16" s="12">
        <f t="shared" si="1"/>
        <v>5</v>
      </c>
      <c r="F16" s="12">
        <f t="shared" si="1"/>
        <v>17</v>
      </c>
      <c r="G16" s="12">
        <f t="shared" si="1"/>
        <v>5</v>
      </c>
      <c r="H16" s="12">
        <f t="shared" si="1"/>
        <v>20</v>
      </c>
      <c r="I16" s="12">
        <f t="shared" si="1"/>
        <v>16</v>
      </c>
      <c r="J16" s="5">
        <v>12</v>
      </c>
      <c r="L16" s="19">
        <v>12</v>
      </c>
      <c r="M16" s="47" t="s">
        <v>29</v>
      </c>
      <c r="N16" s="47" t="s">
        <v>27</v>
      </c>
      <c r="O16" s="47" t="s">
        <v>236</v>
      </c>
      <c r="P16" s="47" t="s">
        <v>24</v>
      </c>
      <c r="Q16" s="47" t="s">
        <v>26</v>
      </c>
      <c r="R16" s="47" t="s">
        <v>89</v>
      </c>
      <c r="S16" s="33" t="s">
        <v>18</v>
      </c>
      <c r="U16" s="46">
        <f t="shared" si="2"/>
        <v>16</v>
      </c>
      <c r="V16" s="46">
        <f t="shared" si="2"/>
        <v>11</v>
      </c>
      <c r="W16" s="46">
        <f t="shared" si="2"/>
        <v>0</v>
      </c>
      <c r="X16" s="46">
        <f t="shared" si="2"/>
        <v>8</v>
      </c>
      <c r="Y16" s="46">
        <f t="shared" si="2"/>
        <v>7</v>
      </c>
      <c r="Z16" s="46">
        <f t="shared" si="2"/>
        <v>5</v>
      </c>
      <c r="AA16" s="46">
        <f t="shared" si="2"/>
        <v>10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</v>
      </c>
      <c r="AS16" s="5">
        <v>12</v>
      </c>
    </row>
    <row r="17" spans="1:45" ht="15.9" customHeight="1">
      <c r="A17" s="203" t="str">
        <v>G1</v>
      </c>
      <c r="B17" s="200" t="str">
        <v>Golden M1</v>
      </c>
      <c r="C17" s="202">
        <f t="shared" si="0"/>
        <v>0</v>
      </c>
      <c r="D17" s="202">
        <f t="shared" si="1"/>
        <v>1</v>
      </c>
      <c r="E17" s="202">
        <f t="shared" si="1"/>
        <v>0</v>
      </c>
      <c r="F17" s="202">
        <f t="shared" si="1"/>
        <v>0</v>
      </c>
      <c r="G17" s="202">
        <f t="shared" si="1"/>
        <v>0</v>
      </c>
      <c r="H17" s="202">
        <f t="shared" si="1"/>
        <v>0</v>
      </c>
      <c r="I17" s="202">
        <f t="shared" si="1"/>
        <v>0</v>
      </c>
      <c r="J17" s="200">
        <v>13</v>
      </c>
      <c r="L17" s="18">
        <v>13</v>
      </c>
      <c r="M17" s="47" t="s">
        <v>26</v>
      </c>
      <c r="N17" s="47" t="s">
        <v>27</v>
      </c>
      <c r="O17" s="47" t="s">
        <v>250</v>
      </c>
      <c r="P17" s="47" t="s">
        <v>24</v>
      </c>
      <c r="Q17" s="47" t="s">
        <v>89</v>
      </c>
      <c r="R17" s="47" t="s">
        <v>64</v>
      </c>
      <c r="S17" s="33" t="s">
        <v>18</v>
      </c>
      <c r="U17" s="46">
        <f t="shared" si="2"/>
        <v>7</v>
      </c>
      <c r="V17" s="46">
        <f t="shared" si="2"/>
        <v>11</v>
      </c>
      <c r="W17" s="46">
        <f t="shared" si="2"/>
        <v>0</v>
      </c>
      <c r="X17" s="46">
        <f t="shared" si="2"/>
        <v>8</v>
      </c>
      <c r="Y17" s="46">
        <f t="shared" si="2"/>
        <v>5</v>
      </c>
      <c r="Z17" s="46">
        <f t="shared" si="2"/>
        <v>14</v>
      </c>
      <c r="AA17" s="46">
        <f t="shared" si="2"/>
        <v>10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203" t="s">
        <v>234</v>
      </c>
      <c r="AL17" s="203">
        <v>0</v>
      </c>
      <c r="AM17" s="203">
        <v>12</v>
      </c>
      <c r="AN17" s="203">
        <v>3</v>
      </c>
      <c r="AO17" s="203">
        <v>5</v>
      </c>
      <c r="AP17" s="203">
        <v>3</v>
      </c>
      <c r="AQ17" s="203">
        <v>0</v>
      </c>
      <c r="AR17" s="203">
        <v>0</v>
      </c>
      <c r="AS17" s="200">
        <v>13</v>
      </c>
    </row>
    <row r="18" spans="1:45" s="199" customFormat="1" ht="15.9" customHeight="1">
      <c r="A18" s="203" t="str">
        <v>G2</v>
      </c>
      <c r="B18" s="200" t="str">
        <v>Golden M2</v>
      </c>
      <c r="C18" s="202">
        <f t="shared" si="0"/>
        <v>0</v>
      </c>
      <c r="D18" s="202">
        <f t="shared" si="1"/>
        <v>1</v>
      </c>
      <c r="E18" s="202">
        <f t="shared" si="1"/>
        <v>1</v>
      </c>
      <c r="F18" s="202">
        <f t="shared" si="1"/>
        <v>1</v>
      </c>
      <c r="G18" s="202">
        <f t="shared" si="1"/>
        <v>1</v>
      </c>
      <c r="H18" s="202">
        <f t="shared" si="1"/>
        <v>0</v>
      </c>
      <c r="I18" s="202">
        <f t="shared" si="1"/>
        <v>0</v>
      </c>
      <c r="J18" s="200">
        <v>14</v>
      </c>
      <c r="K18" s="41"/>
      <c r="L18" s="19">
        <v>14</v>
      </c>
      <c r="M18" s="47" t="s">
        <v>89</v>
      </c>
      <c r="N18" s="47" t="s">
        <v>244</v>
      </c>
      <c r="O18" s="47" t="s">
        <v>27</v>
      </c>
      <c r="P18" s="47" t="s">
        <v>89</v>
      </c>
      <c r="Q18" s="47" t="s">
        <v>89</v>
      </c>
      <c r="R18" s="47" t="s">
        <v>27</v>
      </c>
      <c r="S18" s="33" t="s">
        <v>18</v>
      </c>
      <c r="U18" s="46">
        <f t="shared" si="2"/>
        <v>5</v>
      </c>
      <c r="V18" s="46">
        <f t="shared" si="2"/>
        <v>0</v>
      </c>
      <c r="W18" s="46">
        <f t="shared" si="2"/>
        <v>11</v>
      </c>
      <c r="X18" s="46">
        <f t="shared" si="2"/>
        <v>5</v>
      </c>
      <c r="Y18" s="46">
        <f t="shared" si="2"/>
        <v>5</v>
      </c>
      <c r="Z18" s="46">
        <f t="shared" si="2"/>
        <v>11</v>
      </c>
      <c r="AA18" s="46">
        <f t="shared" si="2"/>
        <v>10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203" t="s">
        <v>236</v>
      </c>
      <c r="AL18" s="203">
        <v>0</v>
      </c>
      <c r="AM18" s="203">
        <v>8</v>
      </c>
      <c r="AN18" s="203">
        <v>15</v>
      </c>
      <c r="AO18" s="203">
        <v>2</v>
      </c>
      <c r="AP18" s="203">
        <v>2</v>
      </c>
      <c r="AQ18" s="203">
        <v>0</v>
      </c>
      <c r="AR18" s="203">
        <v>0</v>
      </c>
      <c r="AS18" s="200">
        <v>14</v>
      </c>
    </row>
    <row r="19" spans="1:45" ht="15.9" customHeight="1">
      <c r="A19" s="203" t="str">
        <v>G3</v>
      </c>
      <c r="B19" s="200" t="str">
        <v>Golden M3</v>
      </c>
      <c r="C19" s="202">
        <f t="shared" si="0"/>
        <v>0</v>
      </c>
      <c r="D19" s="202">
        <f t="shared" si="1"/>
        <v>1</v>
      </c>
      <c r="E19" s="202">
        <f t="shared" si="1"/>
        <v>1</v>
      </c>
      <c r="F19" s="202">
        <f t="shared" si="1"/>
        <v>1</v>
      </c>
      <c r="G19" s="202">
        <f t="shared" si="1"/>
        <v>1</v>
      </c>
      <c r="H19" s="202">
        <f t="shared" si="1"/>
        <v>0</v>
      </c>
      <c r="I19" s="202">
        <f t="shared" si="1"/>
        <v>0</v>
      </c>
      <c r="J19" s="200">
        <v>15</v>
      </c>
      <c r="K19" s="52"/>
      <c r="L19" s="18">
        <v>15</v>
      </c>
      <c r="M19" s="47" t="s">
        <v>24</v>
      </c>
      <c r="N19" s="47" t="s">
        <v>89</v>
      </c>
      <c r="O19" s="47" t="s">
        <v>18</v>
      </c>
      <c r="P19" s="47" t="s">
        <v>244</v>
      </c>
      <c r="Q19" s="47" t="s">
        <v>246</v>
      </c>
      <c r="R19" s="47" t="s">
        <v>64</v>
      </c>
      <c r="S19" s="33" t="s">
        <v>18</v>
      </c>
      <c r="U19" s="46">
        <f t="shared" si="2"/>
        <v>8</v>
      </c>
      <c r="V19" s="46">
        <f t="shared" si="2"/>
        <v>5</v>
      </c>
      <c r="W19" s="46">
        <f t="shared" si="2"/>
        <v>10</v>
      </c>
      <c r="X19" s="46">
        <f t="shared" si="2"/>
        <v>0</v>
      </c>
      <c r="Y19" s="46">
        <f t="shared" si="2"/>
        <v>0</v>
      </c>
      <c r="Z19" s="46">
        <f t="shared" si="2"/>
        <v>14</v>
      </c>
      <c r="AA19" s="46">
        <f t="shared" si="2"/>
        <v>10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203" t="s">
        <v>238</v>
      </c>
      <c r="AL19" s="203">
        <v>0</v>
      </c>
      <c r="AM19" s="203">
        <v>2</v>
      </c>
      <c r="AN19" s="203">
        <v>7</v>
      </c>
      <c r="AO19" s="203">
        <v>1</v>
      </c>
      <c r="AP19" s="203">
        <v>2</v>
      </c>
      <c r="AQ19" s="203">
        <v>0</v>
      </c>
      <c r="AR19" s="203">
        <v>0</v>
      </c>
      <c r="AS19" s="200">
        <v>15</v>
      </c>
    </row>
    <row r="20" spans="1:45" ht="15.9" customHeight="1">
      <c r="A20" s="203" t="str">
        <v>G4</v>
      </c>
      <c r="B20" s="200" t="str">
        <v>Golden M4</v>
      </c>
      <c r="C20" s="202">
        <f t="shared" si="0"/>
        <v>0</v>
      </c>
      <c r="D20" s="202">
        <f t="shared" ref="D20:D29" si="3">COUNTIF(N$4:N$304,$A20)</f>
        <v>1</v>
      </c>
      <c r="E20" s="202">
        <f t="shared" ref="E20:E29" si="4">COUNTIF(O$4:O$304,$A20)</f>
        <v>1</v>
      </c>
      <c r="F20" s="202">
        <f t="shared" ref="F20:F29" si="5">COUNTIF(P$4:P$304,$A20)</f>
        <v>1</v>
      </c>
      <c r="G20" s="202">
        <f t="shared" ref="G20:G29" si="6">COUNTIF(Q$4:Q$304,$A20)</f>
        <v>1</v>
      </c>
      <c r="H20" s="202">
        <f t="shared" ref="H20:H29" si="7">COUNTIF(R$4:R$304,$A20)</f>
        <v>0</v>
      </c>
      <c r="I20" s="202">
        <f t="shared" ref="I20:I29" si="8">COUNTIF(S$4:S$304,$A20)</f>
        <v>0</v>
      </c>
      <c r="J20" s="200">
        <v>16</v>
      </c>
      <c r="L20" s="19">
        <v>16</v>
      </c>
      <c r="M20" s="47" t="s">
        <v>29</v>
      </c>
      <c r="N20" s="47" t="s">
        <v>64</v>
      </c>
      <c r="O20" s="47" t="s">
        <v>18</v>
      </c>
      <c r="P20" s="47" t="s">
        <v>27</v>
      </c>
      <c r="Q20" s="47" t="s">
        <v>27</v>
      </c>
      <c r="R20" s="47" t="s">
        <v>64</v>
      </c>
      <c r="S20" s="33" t="s">
        <v>24</v>
      </c>
      <c r="U20" s="46">
        <f t="shared" ref="U20:AA56" si="9">VLOOKUP(M20, $A$4:$J$29, 9, 0)</f>
        <v>16</v>
      </c>
      <c r="V20" s="46">
        <f t="shared" si="9"/>
        <v>14</v>
      </c>
      <c r="W20" s="46">
        <f t="shared" si="9"/>
        <v>10</v>
      </c>
      <c r="X20" s="46">
        <f t="shared" si="9"/>
        <v>11</v>
      </c>
      <c r="Y20" s="46">
        <f t="shared" si="9"/>
        <v>11</v>
      </c>
      <c r="Z20" s="46">
        <f t="shared" si="9"/>
        <v>14</v>
      </c>
      <c r="AA20" s="46">
        <f t="shared" si="9"/>
        <v>8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203" t="s">
        <v>240</v>
      </c>
      <c r="AL20" s="203">
        <v>0</v>
      </c>
      <c r="AM20" s="203">
        <v>5</v>
      </c>
      <c r="AN20" s="203">
        <v>5</v>
      </c>
      <c r="AO20" s="203">
        <v>5</v>
      </c>
      <c r="AP20" s="203">
        <v>2</v>
      </c>
      <c r="AQ20" s="203">
        <v>0</v>
      </c>
      <c r="AR20" s="203">
        <v>0</v>
      </c>
      <c r="AS20" s="200">
        <v>16</v>
      </c>
    </row>
    <row r="21" spans="1:45" ht="15.9" customHeight="1">
      <c r="A21" s="203" t="str">
        <v>G5</v>
      </c>
      <c r="B21" s="200" t="str">
        <v>Golden M5</v>
      </c>
      <c r="C21" s="202">
        <f t="shared" si="0"/>
        <v>0</v>
      </c>
      <c r="D21" s="202">
        <f t="shared" si="3"/>
        <v>3</v>
      </c>
      <c r="E21" s="202">
        <f t="shared" si="4"/>
        <v>3</v>
      </c>
      <c r="F21" s="202">
        <f t="shared" si="5"/>
        <v>4</v>
      </c>
      <c r="G21" s="202">
        <f t="shared" si="6"/>
        <v>1</v>
      </c>
      <c r="H21" s="202">
        <f t="shared" si="7"/>
        <v>0</v>
      </c>
      <c r="I21" s="202">
        <f t="shared" si="8"/>
        <v>0</v>
      </c>
      <c r="J21" s="200">
        <v>17</v>
      </c>
      <c r="L21" s="18">
        <v>17</v>
      </c>
      <c r="M21" s="47" t="s">
        <v>64</v>
      </c>
      <c r="N21" s="47" t="s">
        <v>64</v>
      </c>
      <c r="O21" s="47" t="s">
        <v>242</v>
      </c>
      <c r="P21" s="47" t="s">
        <v>236</v>
      </c>
      <c r="Q21" s="47" t="s">
        <v>89</v>
      </c>
      <c r="R21" s="47" t="s">
        <v>64</v>
      </c>
      <c r="S21" s="33" t="s">
        <v>24</v>
      </c>
      <c r="U21" s="46">
        <f t="shared" si="9"/>
        <v>14</v>
      </c>
      <c r="V21" s="46">
        <f t="shared" si="9"/>
        <v>14</v>
      </c>
      <c r="W21" s="46">
        <f t="shared" si="9"/>
        <v>0</v>
      </c>
      <c r="X21" s="46">
        <f t="shared" si="9"/>
        <v>0</v>
      </c>
      <c r="Y21" s="46">
        <f t="shared" si="9"/>
        <v>5</v>
      </c>
      <c r="Z21" s="46">
        <f t="shared" si="9"/>
        <v>14</v>
      </c>
      <c r="AA21" s="46">
        <f t="shared" si="9"/>
        <v>8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203" t="s">
        <v>242</v>
      </c>
      <c r="AL21" s="203">
        <v>0</v>
      </c>
      <c r="AM21" s="203">
        <v>2</v>
      </c>
      <c r="AN21" s="203">
        <v>2</v>
      </c>
      <c r="AO21" s="203">
        <v>1</v>
      </c>
      <c r="AP21" s="203">
        <v>3</v>
      </c>
      <c r="AQ21" s="203">
        <v>0</v>
      </c>
      <c r="AR21" s="203">
        <v>0</v>
      </c>
      <c r="AS21" s="200">
        <v>17</v>
      </c>
    </row>
    <row r="22" spans="1:45" ht="15.9" customHeight="1">
      <c r="A22" s="203" t="str">
        <v>G6</v>
      </c>
      <c r="B22" s="200" t="str">
        <v>Golden M6</v>
      </c>
      <c r="C22" s="202">
        <f t="shared" si="0"/>
        <v>0</v>
      </c>
      <c r="D22" s="202">
        <f t="shared" si="3"/>
        <v>3</v>
      </c>
      <c r="E22" s="202">
        <f t="shared" si="4"/>
        <v>2</v>
      </c>
      <c r="F22" s="202">
        <f t="shared" si="5"/>
        <v>2</v>
      </c>
      <c r="G22" s="202">
        <f t="shared" si="6"/>
        <v>2</v>
      </c>
      <c r="H22" s="202">
        <f t="shared" si="7"/>
        <v>0</v>
      </c>
      <c r="I22" s="202">
        <f t="shared" si="8"/>
        <v>0</v>
      </c>
      <c r="J22" s="200">
        <v>18</v>
      </c>
      <c r="L22" s="19">
        <v>18</v>
      </c>
      <c r="M22" s="47" t="s">
        <v>29</v>
      </c>
      <c r="N22" s="47" t="s">
        <v>254</v>
      </c>
      <c r="O22" s="47" t="s">
        <v>26</v>
      </c>
      <c r="P22" s="47" t="s">
        <v>17</v>
      </c>
      <c r="Q22" s="47" t="s">
        <v>26</v>
      </c>
      <c r="R22" s="47" t="s">
        <v>18</v>
      </c>
      <c r="S22" s="47" t="s">
        <v>24</v>
      </c>
      <c r="U22" s="46">
        <f t="shared" si="9"/>
        <v>16</v>
      </c>
      <c r="V22" s="46">
        <f t="shared" si="9"/>
        <v>0</v>
      </c>
      <c r="W22" s="46">
        <f t="shared" si="9"/>
        <v>7</v>
      </c>
      <c r="X22" s="46">
        <f t="shared" si="9"/>
        <v>14</v>
      </c>
      <c r="Y22" s="46">
        <f t="shared" si="9"/>
        <v>7</v>
      </c>
      <c r="Z22" s="46">
        <f t="shared" si="9"/>
        <v>10</v>
      </c>
      <c r="AA22" s="46">
        <f t="shared" si="9"/>
        <v>8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203" t="s">
        <v>244</v>
      </c>
      <c r="AL22" s="203">
        <v>0</v>
      </c>
      <c r="AM22" s="203">
        <v>2</v>
      </c>
      <c r="AN22" s="203">
        <v>2</v>
      </c>
      <c r="AO22" s="203">
        <v>1</v>
      </c>
      <c r="AP22" s="203">
        <v>3</v>
      </c>
      <c r="AQ22" s="203">
        <v>0</v>
      </c>
      <c r="AR22" s="203">
        <v>0</v>
      </c>
      <c r="AS22" s="200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0"/>
        <v>0</v>
      </c>
      <c r="D23" s="12">
        <f t="shared" si="3"/>
        <v>1</v>
      </c>
      <c r="E23" s="12">
        <f t="shared" si="4"/>
        <v>1</v>
      </c>
      <c r="F23" s="12">
        <f t="shared" si="5"/>
        <v>1</v>
      </c>
      <c r="G23" s="12">
        <f t="shared" si="6"/>
        <v>1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89</v>
      </c>
      <c r="N23" s="47" t="s">
        <v>20</v>
      </c>
      <c r="O23" s="47" t="s">
        <v>24</v>
      </c>
      <c r="P23" s="47" t="s">
        <v>17</v>
      </c>
      <c r="Q23" s="47" t="s">
        <v>27</v>
      </c>
      <c r="R23" s="47" t="s">
        <v>29</v>
      </c>
      <c r="S23" s="33" t="s">
        <v>24</v>
      </c>
      <c r="U23" s="46">
        <f t="shared" si="9"/>
        <v>5</v>
      </c>
      <c r="V23" s="46">
        <f t="shared" si="9"/>
        <v>6</v>
      </c>
      <c r="W23" s="46">
        <f t="shared" si="9"/>
        <v>8</v>
      </c>
      <c r="X23" s="46">
        <f t="shared" si="9"/>
        <v>14</v>
      </c>
      <c r="Y23" s="46">
        <f t="shared" si="9"/>
        <v>11</v>
      </c>
      <c r="Z23" s="46">
        <f t="shared" si="9"/>
        <v>16</v>
      </c>
      <c r="AA23" s="46">
        <f t="shared" si="9"/>
        <v>8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246</v>
      </c>
      <c r="AL23" s="46">
        <v>0</v>
      </c>
      <c r="AM23" s="46">
        <v>5</v>
      </c>
      <c r="AN23" s="46">
        <v>6</v>
      </c>
      <c r="AO23" s="46">
        <v>1</v>
      </c>
      <c r="AP23" s="46">
        <v>3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0"/>
        <v>0</v>
      </c>
      <c r="D24" s="12">
        <f t="shared" si="3"/>
        <v>1</v>
      </c>
      <c r="E24" s="12">
        <f t="shared" si="4"/>
        <v>1</v>
      </c>
      <c r="F24" s="12">
        <f t="shared" si="5"/>
        <v>1</v>
      </c>
      <c r="G24" s="12">
        <f t="shared" si="6"/>
        <v>1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21</v>
      </c>
      <c r="N24" s="47" t="s">
        <v>27</v>
      </c>
      <c r="O24" s="47" t="s">
        <v>246</v>
      </c>
      <c r="P24" s="47" t="s">
        <v>27</v>
      </c>
      <c r="Q24" s="47" t="s">
        <v>26</v>
      </c>
      <c r="R24" s="47" t="s">
        <v>29</v>
      </c>
      <c r="S24" s="33" t="s">
        <v>27</v>
      </c>
      <c r="U24" s="46">
        <f t="shared" si="9"/>
        <v>12</v>
      </c>
      <c r="V24" s="46">
        <f t="shared" si="9"/>
        <v>11</v>
      </c>
      <c r="W24" s="46">
        <f t="shared" si="9"/>
        <v>0</v>
      </c>
      <c r="X24" s="46">
        <f t="shared" si="9"/>
        <v>11</v>
      </c>
      <c r="Y24" s="46">
        <f t="shared" si="9"/>
        <v>7</v>
      </c>
      <c r="Z24" s="46">
        <f t="shared" si="9"/>
        <v>16</v>
      </c>
      <c r="AA24" s="46">
        <f t="shared" si="9"/>
        <v>11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248</v>
      </c>
      <c r="AL24" s="46">
        <v>0</v>
      </c>
      <c r="AM24" s="46">
        <v>2</v>
      </c>
      <c r="AN24" s="46">
        <v>6</v>
      </c>
      <c r="AO24" s="46">
        <v>2</v>
      </c>
      <c r="AP24" s="46">
        <v>2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0"/>
        <v>0</v>
      </c>
      <c r="D25" s="12">
        <f t="shared" si="3"/>
        <v>1</v>
      </c>
      <c r="E25" s="12">
        <f t="shared" si="4"/>
        <v>1</v>
      </c>
      <c r="F25" s="12">
        <f t="shared" si="5"/>
        <v>1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27</v>
      </c>
      <c r="N25" s="47" t="s">
        <v>27</v>
      </c>
      <c r="O25" s="47" t="s">
        <v>18</v>
      </c>
      <c r="P25" s="47" t="s">
        <v>20</v>
      </c>
      <c r="Q25" s="47" t="s">
        <v>89</v>
      </c>
      <c r="R25" s="47" t="s">
        <v>29</v>
      </c>
      <c r="S25" s="33" t="s">
        <v>27</v>
      </c>
      <c r="U25" s="46">
        <f t="shared" si="9"/>
        <v>11</v>
      </c>
      <c r="V25" s="46">
        <f t="shared" si="9"/>
        <v>11</v>
      </c>
      <c r="W25" s="46">
        <f t="shared" si="9"/>
        <v>10</v>
      </c>
      <c r="X25" s="46">
        <f t="shared" si="9"/>
        <v>6</v>
      </c>
      <c r="Y25" s="46">
        <f t="shared" si="9"/>
        <v>5</v>
      </c>
      <c r="Z25" s="46">
        <f t="shared" si="9"/>
        <v>16</v>
      </c>
      <c r="AA25" s="46">
        <f t="shared" si="9"/>
        <v>11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250</v>
      </c>
      <c r="AL25" s="46">
        <v>0</v>
      </c>
      <c r="AM25" s="46">
        <v>10</v>
      </c>
      <c r="AN25" s="46">
        <v>6</v>
      </c>
      <c r="AO25" s="46">
        <v>1</v>
      </c>
      <c r="AP25" s="46">
        <v>4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0"/>
        <v>0</v>
      </c>
      <c r="D26" s="12">
        <f t="shared" si="3"/>
        <v>1</v>
      </c>
      <c r="E26" s="12">
        <f t="shared" si="4"/>
        <v>1</v>
      </c>
      <c r="F26" s="12">
        <f t="shared" si="5"/>
        <v>1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27</v>
      </c>
      <c r="N26" s="47" t="s">
        <v>29</v>
      </c>
      <c r="O26" s="47" t="s">
        <v>242</v>
      </c>
      <c r="P26" s="47" t="s">
        <v>20</v>
      </c>
      <c r="Q26" s="47" t="s">
        <v>29</v>
      </c>
      <c r="R26" s="47" t="s">
        <v>18</v>
      </c>
      <c r="S26" s="33" t="s">
        <v>27</v>
      </c>
      <c r="U26" s="46">
        <f t="shared" si="9"/>
        <v>11</v>
      </c>
      <c r="V26" s="46">
        <f t="shared" si="9"/>
        <v>16</v>
      </c>
      <c r="W26" s="46">
        <f t="shared" si="9"/>
        <v>0</v>
      </c>
      <c r="X26" s="46">
        <f t="shared" si="9"/>
        <v>6</v>
      </c>
      <c r="Y26" s="46">
        <f t="shared" si="9"/>
        <v>16</v>
      </c>
      <c r="Z26" s="46">
        <f t="shared" si="9"/>
        <v>10</v>
      </c>
      <c r="AA26" s="46">
        <f t="shared" si="9"/>
        <v>11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252</v>
      </c>
      <c r="AL26" s="46">
        <v>0</v>
      </c>
      <c r="AM26" s="46">
        <v>5</v>
      </c>
      <c r="AN26" s="46">
        <v>6</v>
      </c>
      <c r="AO26" s="46">
        <v>1</v>
      </c>
      <c r="AP26" s="46">
        <v>2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0"/>
        <v>0</v>
      </c>
      <c r="D27" s="12">
        <f t="shared" si="3"/>
        <v>1</v>
      </c>
      <c r="E27" s="12">
        <f t="shared" si="4"/>
        <v>1</v>
      </c>
      <c r="F27" s="12">
        <f t="shared" si="5"/>
        <v>1</v>
      </c>
      <c r="G27" s="12">
        <f t="shared" si="6"/>
        <v>0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18</v>
      </c>
      <c r="N27" s="47" t="s">
        <v>29</v>
      </c>
      <c r="O27" s="47" t="s">
        <v>242</v>
      </c>
      <c r="P27" s="47" t="s">
        <v>29</v>
      </c>
      <c r="Q27" s="47" t="s">
        <v>18</v>
      </c>
      <c r="R27" s="47" t="s">
        <v>18</v>
      </c>
      <c r="S27" s="33" t="s">
        <v>27</v>
      </c>
      <c r="U27" s="46">
        <f t="shared" si="9"/>
        <v>10</v>
      </c>
      <c r="V27" s="46">
        <f t="shared" si="9"/>
        <v>16</v>
      </c>
      <c r="W27" s="46">
        <f t="shared" si="9"/>
        <v>0</v>
      </c>
      <c r="X27" s="46">
        <f t="shared" si="9"/>
        <v>16</v>
      </c>
      <c r="Y27" s="46">
        <f t="shared" si="9"/>
        <v>10</v>
      </c>
      <c r="Z27" s="46">
        <f t="shared" si="9"/>
        <v>10</v>
      </c>
      <c r="AA27" s="46">
        <f t="shared" si="9"/>
        <v>11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254</v>
      </c>
      <c r="AL27" s="46">
        <v>0</v>
      </c>
      <c r="AM27" s="46">
        <v>2</v>
      </c>
      <c r="AN27" s="46">
        <v>6</v>
      </c>
      <c r="AO27" s="46">
        <v>1</v>
      </c>
      <c r="AP27" s="46">
        <v>2</v>
      </c>
      <c r="AQ27" s="46">
        <v>0</v>
      </c>
      <c r="AR27" s="46">
        <v>0</v>
      </c>
      <c r="AS27" s="5">
        <v>23</v>
      </c>
    </row>
    <row r="28" spans="1:45" ht="16.5" customHeight="1">
      <c r="A28" s="203" t="str">
        <v>MY</v>
      </c>
      <c r="B28" s="203" t="str">
        <v>Mystery</v>
      </c>
      <c r="C28" s="202">
        <f t="shared" si="0"/>
        <v>2</v>
      </c>
      <c r="D28" s="202">
        <f t="shared" si="3"/>
        <v>5</v>
      </c>
      <c r="E28" s="202">
        <f t="shared" si="4"/>
        <v>2</v>
      </c>
      <c r="F28" s="202">
        <f t="shared" si="5"/>
        <v>2</v>
      </c>
      <c r="G28" s="202">
        <f t="shared" si="6"/>
        <v>2</v>
      </c>
      <c r="H28" s="202">
        <f t="shared" si="7"/>
        <v>2</v>
      </c>
      <c r="I28" s="202">
        <f t="shared" si="8"/>
        <v>3</v>
      </c>
      <c r="J28" s="200">
        <v>24</v>
      </c>
      <c r="L28" s="19">
        <v>24</v>
      </c>
      <c r="M28" s="47" t="s">
        <v>18</v>
      </c>
      <c r="N28" s="47" t="s">
        <v>29</v>
      </c>
      <c r="O28" s="47" t="s">
        <v>20</v>
      </c>
      <c r="P28" s="47" t="s">
        <v>64</v>
      </c>
      <c r="Q28" s="47" t="s">
        <v>17</v>
      </c>
      <c r="R28" s="47" t="s">
        <v>24</v>
      </c>
      <c r="S28" s="33" t="s">
        <v>29</v>
      </c>
      <c r="U28" s="46">
        <f t="shared" si="9"/>
        <v>10</v>
      </c>
      <c r="V28" s="46">
        <f t="shared" si="9"/>
        <v>16</v>
      </c>
      <c r="W28" s="46">
        <f t="shared" si="9"/>
        <v>6</v>
      </c>
      <c r="X28" s="46">
        <f t="shared" si="9"/>
        <v>14</v>
      </c>
      <c r="Y28" s="46">
        <f t="shared" si="9"/>
        <v>14</v>
      </c>
      <c r="Z28" s="46">
        <f t="shared" si="9"/>
        <v>8</v>
      </c>
      <c r="AA28" s="46">
        <f t="shared" si="9"/>
        <v>16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203" t="s">
        <v>101</v>
      </c>
      <c r="AL28" s="203">
        <v>0</v>
      </c>
      <c r="AM28" s="203">
        <v>10</v>
      </c>
      <c r="AN28" s="203">
        <v>10</v>
      </c>
      <c r="AO28" s="203">
        <v>10</v>
      </c>
      <c r="AP28" s="203">
        <v>10</v>
      </c>
      <c r="AQ28" s="203">
        <v>0</v>
      </c>
      <c r="AR28" s="203">
        <v>0</v>
      </c>
      <c r="AS28" s="200">
        <v>24</v>
      </c>
    </row>
    <row r="29" spans="1:45" ht="16.5" customHeight="1">
      <c r="A29" s="203" t="str">
        <v>GM</v>
      </c>
      <c r="B29" s="203" t="str">
        <v>Golden Mystery</v>
      </c>
      <c r="C29" s="202">
        <f t="shared" si="0"/>
        <v>0</v>
      </c>
      <c r="D29" s="202">
        <f t="shared" si="3"/>
        <v>1</v>
      </c>
      <c r="E29" s="202">
        <f t="shared" si="4"/>
        <v>0</v>
      </c>
      <c r="F29" s="202">
        <f t="shared" si="5"/>
        <v>0</v>
      </c>
      <c r="G29" s="202">
        <f t="shared" si="6"/>
        <v>0</v>
      </c>
      <c r="H29" s="202">
        <f t="shared" si="7"/>
        <v>0</v>
      </c>
      <c r="I29" s="202">
        <f t="shared" si="8"/>
        <v>0</v>
      </c>
      <c r="J29" s="200">
        <v>25</v>
      </c>
      <c r="L29" s="18">
        <v>25</v>
      </c>
      <c r="M29" s="47" t="s">
        <v>89</v>
      </c>
      <c r="N29" s="47" t="s">
        <v>89</v>
      </c>
      <c r="O29" s="47" t="s">
        <v>28</v>
      </c>
      <c r="P29" s="47" t="s">
        <v>64</v>
      </c>
      <c r="Q29" s="47" t="s">
        <v>29</v>
      </c>
      <c r="R29" s="47" t="s">
        <v>64</v>
      </c>
      <c r="S29" s="33" t="s">
        <v>29</v>
      </c>
      <c r="U29" s="46">
        <f t="shared" si="9"/>
        <v>5</v>
      </c>
      <c r="V29" s="46">
        <f t="shared" si="9"/>
        <v>5</v>
      </c>
      <c r="W29" s="46">
        <f t="shared" si="9"/>
        <v>15</v>
      </c>
      <c r="X29" s="46">
        <f t="shared" si="9"/>
        <v>14</v>
      </c>
      <c r="Y29" s="46">
        <f t="shared" si="9"/>
        <v>16</v>
      </c>
      <c r="Z29" s="46">
        <f t="shared" si="9"/>
        <v>14</v>
      </c>
      <c r="AA29" s="46">
        <f t="shared" si="9"/>
        <v>16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203" t="s">
        <v>269</v>
      </c>
      <c r="AL29" s="203">
        <v>0</v>
      </c>
      <c r="AM29" s="203">
        <v>1</v>
      </c>
      <c r="AN29" s="203">
        <v>1</v>
      </c>
      <c r="AO29" s="203">
        <v>1</v>
      </c>
      <c r="AP29" s="203">
        <v>1</v>
      </c>
      <c r="AQ29" s="203">
        <v>0</v>
      </c>
      <c r="AR29" s="203">
        <v>0</v>
      </c>
      <c r="AS29" s="200">
        <v>25</v>
      </c>
    </row>
    <row r="30" spans="1:45" ht="16.5" customHeight="1">
      <c r="A30" s="199"/>
      <c r="B30" s="199"/>
      <c r="C30" s="219">
        <f>SUM(C4:C29)</f>
        <v>121</v>
      </c>
      <c r="D30" s="219">
        <f t="shared" ref="D30:I30" si="10">SUM(D4:D29)</f>
        <v>121</v>
      </c>
      <c r="E30" s="219">
        <f t="shared" si="10"/>
        <v>121</v>
      </c>
      <c r="F30" s="219">
        <f t="shared" si="10"/>
        <v>121</v>
      </c>
      <c r="G30" s="219">
        <f t="shared" si="10"/>
        <v>121</v>
      </c>
      <c r="H30" s="219">
        <f t="shared" si="10"/>
        <v>121</v>
      </c>
      <c r="I30" s="219">
        <f t="shared" si="10"/>
        <v>121</v>
      </c>
      <c r="J30" s="15"/>
      <c r="L30" s="19">
        <v>26</v>
      </c>
      <c r="M30" s="47" t="s">
        <v>28</v>
      </c>
      <c r="N30" s="47" t="s">
        <v>89</v>
      </c>
      <c r="O30" s="47" t="s">
        <v>89</v>
      </c>
      <c r="P30" s="47" t="s">
        <v>27</v>
      </c>
      <c r="Q30" s="47" t="s">
        <v>27</v>
      </c>
      <c r="R30" s="47" t="s">
        <v>27</v>
      </c>
      <c r="S30" s="33" t="s">
        <v>29</v>
      </c>
      <c r="U30" s="46">
        <f t="shared" si="9"/>
        <v>15</v>
      </c>
      <c r="V30" s="46">
        <f t="shared" si="9"/>
        <v>5</v>
      </c>
      <c r="W30" s="46">
        <f t="shared" si="9"/>
        <v>5</v>
      </c>
      <c r="X30" s="46">
        <f t="shared" si="9"/>
        <v>11</v>
      </c>
      <c r="Y30" s="46">
        <f t="shared" si="9"/>
        <v>11</v>
      </c>
      <c r="Z30" s="46">
        <f t="shared" si="9"/>
        <v>11</v>
      </c>
      <c r="AA30" s="46">
        <f t="shared" si="9"/>
        <v>16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84"/>
      <c r="E31" s="84"/>
      <c r="F31" s="84"/>
      <c r="G31" s="84"/>
      <c r="J31" s="15"/>
      <c r="L31" s="18">
        <v>27</v>
      </c>
      <c r="M31" s="47" t="s">
        <v>28</v>
      </c>
      <c r="N31" s="47" t="s">
        <v>24</v>
      </c>
      <c r="O31" s="47" t="s">
        <v>17</v>
      </c>
      <c r="P31" s="47" t="s">
        <v>20</v>
      </c>
      <c r="Q31" s="47" t="s">
        <v>27</v>
      </c>
      <c r="R31" s="47" t="s">
        <v>64</v>
      </c>
      <c r="S31" s="33" t="s">
        <v>29</v>
      </c>
      <c r="U31" s="46">
        <f t="shared" si="9"/>
        <v>15</v>
      </c>
      <c r="V31" s="46">
        <f t="shared" si="9"/>
        <v>8</v>
      </c>
      <c r="W31" s="46">
        <f t="shared" si="9"/>
        <v>14</v>
      </c>
      <c r="X31" s="46">
        <f t="shared" si="9"/>
        <v>6</v>
      </c>
      <c r="Y31" s="46">
        <f t="shared" si="9"/>
        <v>11</v>
      </c>
      <c r="Z31" s="46">
        <f t="shared" si="9"/>
        <v>14</v>
      </c>
      <c r="AA31" s="46">
        <f t="shared" si="9"/>
        <v>16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275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27</v>
      </c>
      <c r="N32" s="47" t="s">
        <v>24</v>
      </c>
      <c r="O32" s="47" t="s">
        <v>240</v>
      </c>
      <c r="P32" s="47" t="s">
        <v>238</v>
      </c>
      <c r="Q32" s="47" t="s">
        <v>89</v>
      </c>
      <c r="R32" s="47" t="s">
        <v>24</v>
      </c>
      <c r="S32" s="33" t="s">
        <v>28</v>
      </c>
      <c r="U32" s="46">
        <f t="shared" si="9"/>
        <v>11</v>
      </c>
      <c r="V32" s="46">
        <f t="shared" si="9"/>
        <v>8</v>
      </c>
      <c r="W32" s="46">
        <f t="shared" si="9"/>
        <v>0</v>
      </c>
      <c r="X32" s="46">
        <f t="shared" si="9"/>
        <v>0</v>
      </c>
      <c r="Y32" s="46">
        <f t="shared" si="9"/>
        <v>5</v>
      </c>
      <c r="Z32" s="46">
        <f t="shared" si="9"/>
        <v>8</v>
      </c>
      <c r="AA32" s="46">
        <f t="shared" si="9"/>
        <v>15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277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98" t="s">
        <v>72</v>
      </c>
      <c r="C33" s="204">
        <v>0</v>
      </c>
      <c r="D33" s="204">
        <v>105</v>
      </c>
      <c r="E33" s="204">
        <v>45</v>
      </c>
      <c r="F33" s="204">
        <v>175</v>
      </c>
      <c r="G33" s="204">
        <v>135</v>
      </c>
      <c r="H33" s="204">
        <v>0</v>
      </c>
      <c r="J33" s="15"/>
      <c r="L33" s="18">
        <v>29</v>
      </c>
      <c r="M33" s="47" t="s">
        <v>27</v>
      </c>
      <c r="N33" s="47" t="s">
        <v>24</v>
      </c>
      <c r="O33" s="47" t="s">
        <v>18</v>
      </c>
      <c r="P33" s="47" t="s">
        <v>27</v>
      </c>
      <c r="Q33" s="47" t="s">
        <v>89</v>
      </c>
      <c r="R33" s="47" t="s">
        <v>27</v>
      </c>
      <c r="S33" s="33" t="s">
        <v>28</v>
      </c>
      <c r="U33" s="46">
        <f t="shared" si="9"/>
        <v>11</v>
      </c>
      <c r="V33" s="46">
        <f t="shared" si="9"/>
        <v>8</v>
      </c>
      <c r="W33" s="46">
        <f t="shared" si="9"/>
        <v>10</v>
      </c>
      <c r="X33" s="46">
        <f t="shared" si="9"/>
        <v>11</v>
      </c>
      <c r="Y33" s="46">
        <f t="shared" si="9"/>
        <v>5</v>
      </c>
      <c r="Z33" s="46">
        <f t="shared" si="9"/>
        <v>11</v>
      </c>
      <c r="AA33" s="46">
        <f t="shared" si="9"/>
        <v>15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105</v>
      </c>
      <c r="E34" s="10">
        <v>45</v>
      </c>
      <c r="F34" s="10">
        <v>175</v>
      </c>
      <c r="G34" s="10">
        <v>135</v>
      </c>
      <c r="H34" s="10">
        <v>0</v>
      </c>
      <c r="L34" s="19">
        <v>30</v>
      </c>
      <c r="M34" s="47" t="s">
        <v>18</v>
      </c>
      <c r="N34" s="47" t="s">
        <v>28</v>
      </c>
      <c r="O34" s="47" t="s">
        <v>20</v>
      </c>
      <c r="P34" s="47" t="s">
        <v>26</v>
      </c>
      <c r="Q34" s="47" t="s">
        <v>26</v>
      </c>
      <c r="R34" s="47" t="s">
        <v>27</v>
      </c>
      <c r="S34" s="47" t="s">
        <v>28</v>
      </c>
      <c r="U34" s="46">
        <f t="shared" si="9"/>
        <v>10</v>
      </c>
      <c r="V34" s="46">
        <f t="shared" si="9"/>
        <v>15</v>
      </c>
      <c r="W34" s="46">
        <f t="shared" si="9"/>
        <v>6</v>
      </c>
      <c r="X34" s="46">
        <f t="shared" si="9"/>
        <v>7</v>
      </c>
      <c r="Y34" s="46">
        <f t="shared" si="9"/>
        <v>7</v>
      </c>
      <c r="Z34" s="46">
        <f t="shared" si="9"/>
        <v>11</v>
      </c>
      <c r="AA34" s="46">
        <f t="shared" si="9"/>
        <v>15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5</v>
      </c>
      <c r="AM34" s="46">
        <v>5</v>
      </c>
      <c r="AN34" s="46">
        <v>5</v>
      </c>
      <c r="AO34" s="46">
        <v>5</v>
      </c>
      <c r="AP34" s="46">
        <v>5</v>
      </c>
      <c r="AQ34" s="46">
        <v>5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675</v>
      </c>
      <c r="E35" s="10">
        <v>195</v>
      </c>
      <c r="F35" s="10">
        <v>475</v>
      </c>
      <c r="G35" s="10">
        <v>1075</v>
      </c>
      <c r="H35" s="10">
        <v>0</v>
      </c>
      <c r="L35" s="18">
        <v>31</v>
      </c>
      <c r="M35" s="47" t="s">
        <v>89</v>
      </c>
      <c r="N35" s="47" t="s">
        <v>27</v>
      </c>
      <c r="O35" s="47" t="s">
        <v>28</v>
      </c>
      <c r="P35" s="47" t="s">
        <v>248</v>
      </c>
      <c r="Q35" s="47" t="s">
        <v>29</v>
      </c>
      <c r="R35" s="47" t="s">
        <v>29</v>
      </c>
      <c r="S35" s="33" t="s">
        <v>28</v>
      </c>
      <c r="U35" s="46">
        <f t="shared" si="9"/>
        <v>5</v>
      </c>
      <c r="V35" s="46">
        <f t="shared" si="9"/>
        <v>11</v>
      </c>
      <c r="W35" s="46">
        <f t="shared" si="9"/>
        <v>15</v>
      </c>
      <c r="X35" s="46">
        <f t="shared" si="9"/>
        <v>0</v>
      </c>
      <c r="Y35" s="46">
        <f t="shared" si="9"/>
        <v>16</v>
      </c>
      <c r="Z35" s="46">
        <f t="shared" si="9"/>
        <v>16</v>
      </c>
      <c r="AA35" s="46">
        <f t="shared" si="9"/>
        <v>15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203" t="s">
        <v>20</v>
      </c>
      <c r="AL35" s="203">
        <v>15</v>
      </c>
      <c r="AM35" s="203">
        <v>42</v>
      </c>
      <c r="AN35" s="203">
        <v>20</v>
      </c>
      <c r="AO35" s="203">
        <v>10</v>
      </c>
      <c r="AP35" s="203">
        <v>40</v>
      </c>
      <c r="AQ35" s="203">
        <v>5</v>
      </c>
      <c r="AR35" s="203">
        <v>1</v>
      </c>
      <c r="AS35" s="200">
        <v>2</v>
      </c>
    </row>
    <row r="36" spans="1:45" ht="16.5" customHeight="1">
      <c r="B36" s="5" t="s">
        <v>76</v>
      </c>
      <c r="C36" s="10">
        <v>0</v>
      </c>
      <c r="D36" s="10">
        <v>675</v>
      </c>
      <c r="E36" s="10">
        <v>195</v>
      </c>
      <c r="F36" s="10">
        <v>475</v>
      </c>
      <c r="G36" s="10">
        <v>1075</v>
      </c>
      <c r="H36" s="10">
        <v>0</v>
      </c>
      <c r="L36" s="19">
        <v>32</v>
      </c>
      <c r="M36" s="47" t="s">
        <v>89</v>
      </c>
      <c r="N36" s="47" t="s">
        <v>27</v>
      </c>
      <c r="O36" s="47" t="s">
        <v>89</v>
      </c>
      <c r="P36" s="47" t="s">
        <v>24</v>
      </c>
      <c r="Q36" s="47" t="s">
        <v>29</v>
      </c>
      <c r="R36" s="47" t="s">
        <v>28</v>
      </c>
      <c r="S36" s="33" t="s">
        <v>64</v>
      </c>
      <c r="U36" s="46">
        <f t="shared" si="9"/>
        <v>5</v>
      </c>
      <c r="V36" s="46">
        <f t="shared" si="9"/>
        <v>11</v>
      </c>
      <c r="W36" s="46">
        <f t="shared" si="9"/>
        <v>5</v>
      </c>
      <c r="X36" s="46">
        <f t="shared" si="9"/>
        <v>8</v>
      </c>
      <c r="Y36" s="46">
        <f t="shared" si="9"/>
        <v>16</v>
      </c>
      <c r="Z36" s="46">
        <f t="shared" si="9"/>
        <v>15</v>
      </c>
      <c r="AA36" s="46">
        <f t="shared" si="9"/>
        <v>14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203" t="s">
        <v>21</v>
      </c>
      <c r="AL36" s="203">
        <v>40</v>
      </c>
      <c r="AM36" s="203">
        <v>15</v>
      </c>
      <c r="AN36" s="203">
        <v>40</v>
      </c>
      <c r="AO36" s="203">
        <v>42</v>
      </c>
      <c r="AP36" s="203">
        <v>40</v>
      </c>
      <c r="AQ36" s="203">
        <v>5</v>
      </c>
      <c r="AR36" s="203">
        <v>1</v>
      </c>
      <c r="AS36" s="200">
        <v>3</v>
      </c>
    </row>
    <row r="37" spans="1:45" ht="16.5" customHeight="1">
      <c r="B37" s="5" t="s">
        <v>74</v>
      </c>
      <c r="C37" s="10">
        <v>0</v>
      </c>
      <c r="D37" s="10">
        <v>463</v>
      </c>
      <c r="E37" s="10">
        <v>303</v>
      </c>
      <c r="F37" s="10">
        <v>330</v>
      </c>
      <c r="G37" s="10">
        <v>727</v>
      </c>
      <c r="H37" s="10">
        <v>0</v>
      </c>
      <c r="L37" s="18">
        <v>33</v>
      </c>
      <c r="M37" s="47" t="s">
        <v>28</v>
      </c>
      <c r="N37" s="47" t="s">
        <v>27</v>
      </c>
      <c r="O37" s="47" t="s">
        <v>28</v>
      </c>
      <c r="P37" s="47" t="s">
        <v>27</v>
      </c>
      <c r="Q37" s="47" t="s">
        <v>26</v>
      </c>
      <c r="R37" s="47" t="s">
        <v>24</v>
      </c>
      <c r="S37" s="33" t="s">
        <v>64</v>
      </c>
      <c r="U37" s="46">
        <f t="shared" si="9"/>
        <v>15</v>
      </c>
      <c r="V37" s="46">
        <f t="shared" si="9"/>
        <v>11</v>
      </c>
      <c r="W37" s="46">
        <f t="shared" si="9"/>
        <v>15</v>
      </c>
      <c r="X37" s="46">
        <f t="shared" si="9"/>
        <v>11</v>
      </c>
      <c r="Y37" s="46">
        <f t="shared" si="9"/>
        <v>7</v>
      </c>
      <c r="Z37" s="46">
        <f t="shared" si="9"/>
        <v>8</v>
      </c>
      <c r="AA37" s="46">
        <f t="shared" si="9"/>
        <v>14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203" t="s">
        <v>17</v>
      </c>
      <c r="AL37" s="203">
        <v>15</v>
      </c>
      <c r="AM37" s="203">
        <v>40</v>
      </c>
      <c r="AN37" s="203">
        <v>20</v>
      </c>
      <c r="AO37" s="203">
        <v>10</v>
      </c>
      <c r="AP37" s="203">
        <v>5</v>
      </c>
      <c r="AQ37" s="203">
        <v>40</v>
      </c>
      <c r="AR37" s="203">
        <v>1</v>
      </c>
      <c r="AS37" s="200">
        <v>4</v>
      </c>
    </row>
    <row r="38" spans="1:45" ht="16.5" customHeight="1">
      <c r="B38" s="5" t="s">
        <v>77</v>
      </c>
      <c r="C38" s="10">
        <v>0</v>
      </c>
      <c r="D38" s="10">
        <v>463</v>
      </c>
      <c r="E38" s="10">
        <v>303</v>
      </c>
      <c r="F38" s="10">
        <v>330</v>
      </c>
      <c r="G38" s="10">
        <v>727</v>
      </c>
      <c r="H38" s="10">
        <v>0</v>
      </c>
      <c r="L38" s="19">
        <v>34</v>
      </c>
      <c r="M38" s="47" t="s">
        <v>26</v>
      </c>
      <c r="N38" s="47" t="s">
        <v>18</v>
      </c>
      <c r="O38" s="47" t="s">
        <v>18</v>
      </c>
      <c r="P38" s="47" t="s">
        <v>29</v>
      </c>
      <c r="Q38" s="47" t="s">
        <v>26</v>
      </c>
      <c r="R38" s="47" t="s">
        <v>24</v>
      </c>
      <c r="S38" s="33" t="s">
        <v>64</v>
      </c>
      <c r="U38" s="46">
        <f t="shared" si="9"/>
        <v>7</v>
      </c>
      <c r="V38" s="46">
        <f t="shared" si="9"/>
        <v>10</v>
      </c>
      <c r="W38" s="46">
        <f t="shared" si="9"/>
        <v>10</v>
      </c>
      <c r="X38" s="46">
        <f t="shared" si="9"/>
        <v>16</v>
      </c>
      <c r="Y38" s="46">
        <f t="shared" si="9"/>
        <v>7</v>
      </c>
      <c r="Z38" s="46">
        <f t="shared" si="9"/>
        <v>8</v>
      </c>
      <c r="AA38" s="46">
        <f t="shared" si="9"/>
        <v>14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203" t="s">
        <v>18</v>
      </c>
      <c r="AL38" s="203">
        <v>40</v>
      </c>
      <c r="AM38" s="203">
        <v>15</v>
      </c>
      <c r="AN38" s="203">
        <v>40</v>
      </c>
      <c r="AO38" s="203">
        <v>10</v>
      </c>
      <c r="AP38" s="203">
        <v>5</v>
      </c>
      <c r="AQ38" s="203">
        <v>40</v>
      </c>
      <c r="AR38" s="203">
        <v>1</v>
      </c>
      <c r="AS38" s="200">
        <v>5</v>
      </c>
    </row>
    <row r="39" spans="1:45" ht="16.5" customHeight="1">
      <c r="B39" s="5" t="s">
        <v>78</v>
      </c>
      <c r="C39" s="10">
        <v>0</v>
      </c>
      <c r="D39" s="10">
        <v>463</v>
      </c>
      <c r="E39" s="10">
        <v>303</v>
      </c>
      <c r="F39" s="10">
        <v>330</v>
      </c>
      <c r="G39" s="10">
        <v>727</v>
      </c>
      <c r="H39" s="10">
        <v>0</v>
      </c>
      <c r="L39" s="18">
        <v>35</v>
      </c>
      <c r="M39" s="47" t="s">
        <v>64</v>
      </c>
      <c r="N39" s="47" t="s">
        <v>248</v>
      </c>
      <c r="O39" s="47" t="s">
        <v>18</v>
      </c>
      <c r="P39" s="47" t="s">
        <v>64</v>
      </c>
      <c r="Q39" s="47" t="s">
        <v>89</v>
      </c>
      <c r="R39" s="47" t="s">
        <v>24</v>
      </c>
      <c r="S39" s="33" t="s">
        <v>64</v>
      </c>
      <c r="U39" s="46">
        <f t="shared" si="9"/>
        <v>14</v>
      </c>
      <c r="V39" s="46">
        <f t="shared" si="9"/>
        <v>0</v>
      </c>
      <c r="W39" s="46">
        <f t="shared" si="9"/>
        <v>10</v>
      </c>
      <c r="X39" s="46">
        <f t="shared" si="9"/>
        <v>14</v>
      </c>
      <c r="Y39" s="46">
        <f t="shared" si="9"/>
        <v>5</v>
      </c>
      <c r="Z39" s="46">
        <f t="shared" si="9"/>
        <v>8</v>
      </c>
      <c r="AA39" s="46">
        <f t="shared" si="9"/>
        <v>14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203" t="s">
        <v>64</v>
      </c>
      <c r="AL39" s="203">
        <v>15</v>
      </c>
      <c r="AM39" s="203">
        <v>40</v>
      </c>
      <c r="AN39" s="203">
        <v>20</v>
      </c>
      <c r="AO39" s="203">
        <v>10</v>
      </c>
      <c r="AP39" s="203">
        <v>40</v>
      </c>
      <c r="AQ39" s="203">
        <v>5</v>
      </c>
      <c r="AR39" s="203">
        <v>1</v>
      </c>
      <c r="AS39" s="200">
        <v>6</v>
      </c>
    </row>
    <row r="40" spans="1:45" ht="16.5" customHeight="1">
      <c r="B40" s="5" t="s">
        <v>79</v>
      </c>
      <c r="C40" s="10">
        <v>0</v>
      </c>
      <c r="D40" s="10">
        <v>910</v>
      </c>
      <c r="E40" s="10">
        <v>610</v>
      </c>
      <c r="F40" s="10">
        <v>1373</v>
      </c>
      <c r="G40" s="10">
        <v>973</v>
      </c>
      <c r="H40" s="10">
        <v>0</v>
      </c>
      <c r="L40" s="19">
        <v>36</v>
      </c>
      <c r="M40" s="46" t="s">
        <v>29</v>
      </c>
      <c r="N40" s="46" t="s">
        <v>29</v>
      </c>
      <c r="O40" s="46" t="s">
        <v>64</v>
      </c>
      <c r="P40" s="46" t="s">
        <v>64</v>
      </c>
      <c r="Q40" s="46" t="s">
        <v>18</v>
      </c>
      <c r="R40" s="46" t="s">
        <v>26</v>
      </c>
      <c r="S40" s="46" t="s">
        <v>89</v>
      </c>
      <c r="U40" s="46">
        <f t="shared" si="9"/>
        <v>16</v>
      </c>
      <c r="V40" s="46">
        <f t="shared" si="9"/>
        <v>16</v>
      </c>
      <c r="W40" s="46">
        <f t="shared" si="9"/>
        <v>14</v>
      </c>
      <c r="X40" s="46">
        <f t="shared" si="9"/>
        <v>14</v>
      </c>
      <c r="Y40" s="46">
        <f t="shared" si="9"/>
        <v>10</v>
      </c>
      <c r="Z40" s="46">
        <f t="shared" si="9"/>
        <v>7</v>
      </c>
      <c r="AA40" s="46">
        <f t="shared" si="9"/>
        <v>5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203" t="s">
        <v>89</v>
      </c>
      <c r="AL40" s="203">
        <v>40</v>
      </c>
      <c r="AM40" s="203">
        <v>15</v>
      </c>
      <c r="AN40" s="203">
        <v>40</v>
      </c>
      <c r="AO40" s="203">
        <v>10</v>
      </c>
      <c r="AP40" s="203">
        <v>5</v>
      </c>
      <c r="AQ40" s="203">
        <v>40</v>
      </c>
      <c r="AR40" s="203">
        <v>1</v>
      </c>
      <c r="AS40" s="200">
        <v>7</v>
      </c>
    </row>
    <row r="41" spans="1:45" ht="16.5" customHeight="1">
      <c r="B41" s="5" t="s">
        <v>80</v>
      </c>
      <c r="C41" s="10">
        <v>0</v>
      </c>
      <c r="D41" s="10">
        <v>910</v>
      </c>
      <c r="E41" s="10">
        <v>610</v>
      </c>
      <c r="F41" s="10">
        <v>1373</v>
      </c>
      <c r="G41" s="10">
        <v>973</v>
      </c>
      <c r="H41" s="10">
        <v>0</v>
      </c>
      <c r="L41" s="18">
        <v>37</v>
      </c>
      <c r="M41" s="47" t="s">
        <v>89</v>
      </c>
      <c r="N41" s="47" t="s">
        <v>29</v>
      </c>
      <c r="O41" s="47" t="s">
        <v>64</v>
      </c>
      <c r="P41" s="47" t="s">
        <v>64</v>
      </c>
      <c r="Q41" s="47" t="s">
        <v>28</v>
      </c>
      <c r="R41" s="47" t="s">
        <v>26</v>
      </c>
      <c r="S41" s="33" t="s">
        <v>89</v>
      </c>
      <c r="U41" s="46">
        <f t="shared" si="9"/>
        <v>5</v>
      </c>
      <c r="V41" s="46">
        <f t="shared" si="9"/>
        <v>16</v>
      </c>
      <c r="W41" s="46">
        <f t="shared" si="9"/>
        <v>14</v>
      </c>
      <c r="X41" s="46">
        <f t="shared" si="9"/>
        <v>14</v>
      </c>
      <c r="Y41" s="46">
        <f t="shared" si="9"/>
        <v>15</v>
      </c>
      <c r="Z41" s="46">
        <f t="shared" si="9"/>
        <v>7</v>
      </c>
      <c r="AA41" s="46">
        <f t="shared" si="9"/>
        <v>5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40</v>
      </c>
      <c r="AM41" s="46">
        <v>15</v>
      </c>
      <c r="AN41" s="46">
        <v>40</v>
      </c>
      <c r="AO41" s="46">
        <v>10</v>
      </c>
      <c r="AP41" s="46">
        <v>10</v>
      </c>
      <c r="AQ41" s="46">
        <v>5</v>
      </c>
      <c r="AR41" s="46">
        <v>1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910</v>
      </c>
      <c r="E42" s="10">
        <v>610</v>
      </c>
      <c r="F42" s="10">
        <v>1373</v>
      </c>
      <c r="G42" s="10">
        <v>973</v>
      </c>
      <c r="H42" s="10">
        <v>0</v>
      </c>
      <c r="L42" s="19">
        <v>38</v>
      </c>
      <c r="M42" s="47" t="s">
        <v>89</v>
      </c>
      <c r="N42" s="47" t="s">
        <v>29</v>
      </c>
      <c r="O42" s="47" t="s">
        <v>18</v>
      </c>
      <c r="P42" s="47" t="s">
        <v>27</v>
      </c>
      <c r="Q42" s="47" t="s">
        <v>20</v>
      </c>
      <c r="R42" s="47" t="s">
        <v>24</v>
      </c>
      <c r="S42" s="33" t="s">
        <v>89</v>
      </c>
      <c r="U42" s="46">
        <f t="shared" si="9"/>
        <v>5</v>
      </c>
      <c r="V42" s="46">
        <f t="shared" si="9"/>
        <v>16</v>
      </c>
      <c r="W42" s="46">
        <f t="shared" si="9"/>
        <v>10</v>
      </c>
      <c r="X42" s="46">
        <f t="shared" si="9"/>
        <v>11</v>
      </c>
      <c r="Y42" s="46">
        <f t="shared" si="9"/>
        <v>6</v>
      </c>
      <c r="Z42" s="46">
        <f t="shared" si="9"/>
        <v>8</v>
      </c>
      <c r="AA42" s="46">
        <f t="shared" si="9"/>
        <v>5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15</v>
      </c>
      <c r="AM42" s="46">
        <v>40</v>
      </c>
      <c r="AN42" s="46">
        <v>20</v>
      </c>
      <c r="AO42" s="46">
        <v>40</v>
      </c>
      <c r="AP42" s="46">
        <v>40</v>
      </c>
      <c r="AQ42" s="46">
        <v>40</v>
      </c>
      <c r="AR42" s="46">
        <v>1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747</v>
      </c>
      <c r="E43" s="10">
        <v>1092</v>
      </c>
      <c r="F43" s="10">
        <v>780</v>
      </c>
      <c r="G43" s="10">
        <v>520</v>
      </c>
      <c r="H43" s="10">
        <v>0</v>
      </c>
      <c r="L43" s="18">
        <v>39</v>
      </c>
      <c r="M43" s="47" t="s">
        <v>28</v>
      </c>
      <c r="N43" s="47" t="s">
        <v>246</v>
      </c>
      <c r="O43" s="47" t="s">
        <v>29</v>
      </c>
      <c r="P43" s="47" t="s">
        <v>64</v>
      </c>
      <c r="Q43" s="47" t="s">
        <v>18</v>
      </c>
      <c r="R43" s="47" t="s">
        <v>24</v>
      </c>
      <c r="S43" s="33" t="s">
        <v>89</v>
      </c>
      <c r="U43" s="46">
        <f t="shared" si="9"/>
        <v>15</v>
      </c>
      <c r="V43" s="46">
        <f t="shared" si="9"/>
        <v>0</v>
      </c>
      <c r="W43" s="46">
        <f t="shared" si="9"/>
        <v>16</v>
      </c>
      <c r="X43" s="46">
        <f t="shared" si="9"/>
        <v>14</v>
      </c>
      <c r="Y43" s="46">
        <f t="shared" si="9"/>
        <v>10</v>
      </c>
      <c r="Z43" s="46">
        <f t="shared" si="9"/>
        <v>8</v>
      </c>
      <c r="AA43" s="46">
        <f t="shared" si="9"/>
        <v>5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40</v>
      </c>
      <c r="AM43" s="46">
        <v>15</v>
      </c>
      <c r="AN43" s="46">
        <v>40</v>
      </c>
      <c r="AO43" s="46">
        <v>10</v>
      </c>
      <c r="AP43" s="46">
        <v>5</v>
      </c>
      <c r="AQ43" s="46">
        <v>5</v>
      </c>
      <c r="AR43" s="46">
        <v>1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747</v>
      </c>
      <c r="E44" s="10">
        <v>1092</v>
      </c>
      <c r="F44" s="10">
        <v>780</v>
      </c>
      <c r="G44" s="10">
        <v>520</v>
      </c>
      <c r="H44" s="10">
        <v>0</v>
      </c>
      <c r="L44" s="19">
        <v>40</v>
      </c>
      <c r="M44" s="47" t="s">
        <v>29</v>
      </c>
      <c r="N44" s="47" t="s">
        <v>24</v>
      </c>
      <c r="O44" s="47" t="s">
        <v>28</v>
      </c>
      <c r="P44" s="47" t="s">
        <v>29</v>
      </c>
      <c r="Q44" s="47" t="s">
        <v>18</v>
      </c>
      <c r="R44" s="47" t="s">
        <v>27</v>
      </c>
      <c r="S44" s="33" t="s">
        <v>64</v>
      </c>
      <c r="U44" s="46">
        <f t="shared" si="9"/>
        <v>16</v>
      </c>
      <c r="V44" s="46">
        <f t="shared" si="9"/>
        <v>8</v>
      </c>
      <c r="W44" s="46">
        <f t="shared" si="9"/>
        <v>15</v>
      </c>
      <c r="X44" s="46">
        <f t="shared" si="9"/>
        <v>16</v>
      </c>
      <c r="Y44" s="46">
        <f t="shared" si="9"/>
        <v>10</v>
      </c>
      <c r="Z44" s="46">
        <f t="shared" si="9"/>
        <v>11</v>
      </c>
      <c r="AA44" s="46">
        <f t="shared" si="9"/>
        <v>14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15</v>
      </c>
      <c r="AM44" s="46">
        <v>40</v>
      </c>
      <c r="AN44" s="46">
        <v>35</v>
      </c>
      <c r="AO44" s="46">
        <v>10</v>
      </c>
      <c r="AP44" s="46">
        <v>5</v>
      </c>
      <c r="AQ44" s="46">
        <v>5</v>
      </c>
      <c r="AR44" s="46">
        <v>1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747</v>
      </c>
      <c r="E45" s="10">
        <v>1092</v>
      </c>
      <c r="F45" s="10">
        <v>780</v>
      </c>
      <c r="G45" s="10">
        <v>520</v>
      </c>
      <c r="H45" s="10">
        <v>0</v>
      </c>
      <c r="L45" s="18">
        <v>41</v>
      </c>
      <c r="M45" s="47" t="s">
        <v>18</v>
      </c>
      <c r="N45" s="47" t="s">
        <v>24</v>
      </c>
      <c r="O45" s="47" t="s">
        <v>28</v>
      </c>
      <c r="P45" s="47" t="s">
        <v>29</v>
      </c>
      <c r="Q45" s="47" t="s">
        <v>64</v>
      </c>
      <c r="R45" s="47" t="s">
        <v>27</v>
      </c>
      <c r="S45" s="33" t="s">
        <v>64</v>
      </c>
      <c r="U45" s="46">
        <f t="shared" si="9"/>
        <v>10</v>
      </c>
      <c r="V45" s="46">
        <f t="shared" si="9"/>
        <v>8</v>
      </c>
      <c r="W45" s="46">
        <f t="shared" si="9"/>
        <v>15</v>
      </c>
      <c r="X45" s="46">
        <f t="shared" si="9"/>
        <v>16</v>
      </c>
      <c r="Y45" s="46">
        <f t="shared" si="9"/>
        <v>14</v>
      </c>
      <c r="Z45" s="46">
        <f t="shared" si="9"/>
        <v>11</v>
      </c>
      <c r="AA45" s="46">
        <f t="shared" si="9"/>
        <v>14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40</v>
      </c>
      <c r="AM45" s="46">
        <v>15</v>
      </c>
      <c r="AN45" s="46">
        <v>15</v>
      </c>
      <c r="AO45" s="46">
        <v>10</v>
      </c>
      <c r="AP45" s="46">
        <v>5</v>
      </c>
      <c r="AQ45" s="46">
        <v>5</v>
      </c>
      <c r="AR45" s="46">
        <v>1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747</v>
      </c>
      <c r="E46" s="10">
        <v>1092</v>
      </c>
      <c r="F46" s="10">
        <v>780</v>
      </c>
      <c r="G46" s="10">
        <v>520</v>
      </c>
      <c r="H46" s="10">
        <v>0</v>
      </c>
      <c r="L46" s="19">
        <v>42</v>
      </c>
      <c r="M46" s="47" t="s">
        <v>27</v>
      </c>
      <c r="N46" s="47" t="s">
        <v>21</v>
      </c>
      <c r="O46" s="47" t="s">
        <v>244</v>
      </c>
      <c r="P46" s="47" t="s">
        <v>29</v>
      </c>
      <c r="Q46" s="47" t="s">
        <v>21</v>
      </c>
      <c r="R46" s="47" t="s">
        <v>24</v>
      </c>
      <c r="S46" s="33" t="s">
        <v>64</v>
      </c>
      <c r="U46" s="46">
        <f t="shared" si="9"/>
        <v>11</v>
      </c>
      <c r="V46" s="46">
        <f t="shared" si="9"/>
        <v>12</v>
      </c>
      <c r="W46" s="46">
        <f t="shared" si="9"/>
        <v>0</v>
      </c>
      <c r="X46" s="46">
        <f t="shared" si="9"/>
        <v>16</v>
      </c>
      <c r="Y46" s="46">
        <f t="shared" si="9"/>
        <v>12</v>
      </c>
      <c r="Z46" s="46">
        <f t="shared" si="9"/>
        <v>8</v>
      </c>
      <c r="AA46" s="46">
        <f t="shared" si="9"/>
        <v>14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203" t="s">
        <v>234</v>
      </c>
      <c r="AL46" s="203">
        <v>0</v>
      </c>
      <c r="AM46" s="203">
        <v>2</v>
      </c>
      <c r="AN46" s="203">
        <v>5</v>
      </c>
      <c r="AO46" s="203">
        <v>2</v>
      </c>
      <c r="AP46" s="203">
        <v>4</v>
      </c>
      <c r="AQ46" s="203">
        <v>0</v>
      </c>
      <c r="AR46" s="203">
        <v>0</v>
      </c>
      <c r="AS46" s="200">
        <v>12</v>
      </c>
    </row>
    <row r="47" spans="1:45" ht="16.5" customHeight="1">
      <c r="B47" s="5" t="s">
        <v>86</v>
      </c>
      <c r="C47" s="10">
        <v>1</v>
      </c>
      <c r="D47" s="10">
        <v>1340</v>
      </c>
      <c r="E47" s="10">
        <v>2410</v>
      </c>
      <c r="F47" s="10">
        <v>470</v>
      </c>
      <c r="G47" s="10">
        <v>400</v>
      </c>
      <c r="H47" s="10">
        <v>1</v>
      </c>
      <c r="L47" s="18">
        <v>43</v>
      </c>
      <c r="M47" s="47" t="s">
        <v>29</v>
      </c>
      <c r="N47" s="47" t="s">
        <v>21</v>
      </c>
      <c r="O47" s="47" t="s">
        <v>89</v>
      </c>
      <c r="P47" s="47" t="s">
        <v>27</v>
      </c>
      <c r="Q47" s="47" t="s">
        <v>89</v>
      </c>
      <c r="R47" s="47" t="s">
        <v>24</v>
      </c>
      <c r="S47" s="33" t="s">
        <v>21</v>
      </c>
      <c r="U47" s="46">
        <f t="shared" si="9"/>
        <v>16</v>
      </c>
      <c r="V47" s="46">
        <f t="shared" si="9"/>
        <v>12</v>
      </c>
      <c r="W47" s="46">
        <f t="shared" si="9"/>
        <v>5</v>
      </c>
      <c r="X47" s="46">
        <f t="shared" si="9"/>
        <v>11</v>
      </c>
      <c r="Y47" s="46">
        <f t="shared" si="9"/>
        <v>5</v>
      </c>
      <c r="Z47" s="46">
        <f t="shared" si="9"/>
        <v>8</v>
      </c>
      <c r="AA47" s="46">
        <f t="shared" si="9"/>
        <v>12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203" t="s">
        <v>236</v>
      </c>
      <c r="AL47" s="203">
        <v>0</v>
      </c>
      <c r="AM47" s="203">
        <v>2</v>
      </c>
      <c r="AN47" s="203">
        <v>2</v>
      </c>
      <c r="AO47" s="203">
        <v>2</v>
      </c>
      <c r="AP47" s="203">
        <v>2</v>
      </c>
      <c r="AQ47" s="203">
        <v>0</v>
      </c>
      <c r="AR47" s="203">
        <v>0</v>
      </c>
      <c r="AS47" s="200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26</v>
      </c>
      <c r="N48" s="47" t="s">
        <v>240</v>
      </c>
      <c r="O48" s="47" t="s">
        <v>26</v>
      </c>
      <c r="P48" s="47" t="s">
        <v>27</v>
      </c>
      <c r="Q48" s="47" t="s">
        <v>89</v>
      </c>
      <c r="R48" s="47" t="s">
        <v>26</v>
      </c>
      <c r="S48" s="33" t="s">
        <v>21</v>
      </c>
      <c r="U48" s="46">
        <f t="shared" si="9"/>
        <v>7</v>
      </c>
      <c r="V48" s="46">
        <f t="shared" si="9"/>
        <v>0</v>
      </c>
      <c r="W48" s="46">
        <f t="shared" si="9"/>
        <v>7</v>
      </c>
      <c r="X48" s="46">
        <f t="shared" si="9"/>
        <v>11</v>
      </c>
      <c r="Y48" s="46">
        <f t="shared" si="9"/>
        <v>5</v>
      </c>
      <c r="Z48" s="46">
        <f t="shared" si="9"/>
        <v>7</v>
      </c>
      <c r="AA48" s="46">
        <f t="shared" si="9"/>
        <v>12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203" t="s">
        <v>238</v>
      </c>
      <c r="AL48" s="203">
        <v>0</v>
      </c>
      <c r="AM48" s="203">
        <v>4</v>
      </c>
      <c r="AN48" s="203">
        <v>5</v>
      </c>
      <c r="AO48" s="203">
        <v>2</v>
      </c>
      <c r="AP48" s="203">
        <v>2</v>
      </c>
      <c r="AQ48" s="203">
        <v>0</v>
      </c>
      <c r="AR48" s="203">
        <v>0</v>
      </c>
      <c r="AS48" s="200">
        <v>14</v>
      </c>
    </row>
    <row r="49" spans="2:45" ht="16.5" customHeight="1">
      <c r="L49" s="18">
        <v>45</v>
      </c>
      <c r="M49" s="47" t="s">
        <v>26</v>
      </c>
      <c r="N49" s="47" t="s">
        <v>27</v>
      </c>
      <c r="O49" s="47" t="s">
        <v>248</v>
      </c>
      <c r="P49" s="47" t="s">
        <v>21</v>
      </c>
      <c r="Q49" s="47" t="s">
        <v>28</v>
      </c>
      <c r="R49" s="47" t="s">
        <v>26</v>
      </c>
      <c r="S49" s="33" t="s">
        <v>18</v>
      </c>
      <c r="U49" s="46">
        <f t="shared" si="9"/>
        <v>7</v>
      </c>
      <c r="V49" s="46">
        <f t="shared" si="9"/>
        <v>11</v>
      </c>
      <c r="W49" s="46">
        <f t="shared" si="9"/>
        <v>0</v>
      </c>
      <c r="X49" s="46">
        <f t="shared" si="9"/>
        <v>12</v>
      </c>
      <c r="Y49" s="46">
        <f t="shared" si="9"/>
        <v>15</v>
      </c>
      <c r="Z49" s="46">
        <f t="shared" si="9"/>
        <v>7</v>
      </c>
      <c r="AA49" s="46">
        <f t="shared" si="9"/>
        <v>10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203" t="s">
        <v>240</v>
      </c>
      <c r="AL49" s="203">
        <v>0</v>
      </c>
      <c r="AM49" s="203">
        <v>2</v>
      </c>
      <c r="AN49" s="203">
        <v>2</v>
      </c>
      <c r="AO49" s="203">
        <v>2</v>
      </c>
      <c r="AP49" s="203">
        <v>2</v>
      </c>
      <c r="AQ49" s="203">
        <v>0</v>
      </c>
      <c r="AR49" s="203">
        <v>0</v>
      </c>
      <c r="AS49" s="200">
        <v>15</v>
      </c>
    </row>
    <row r="50" spans="2:45" ht="16.5" customHeight="1">
      <c r="B50" s="214" t="s">
        <v>105</v>
      </c>
      <c r="C50" s="211" t="s">
        <v>271</v>
      </c>
      <c r="L50" s="19">
        <v>46</v>
      </c>
      <c r="M50" s="47" t="s">
        <v>28</v>
      </c>
      <c r="N50" s="47" t="s">
        <v>24</v>
      </c>
      <c r="O50" s="47" t="s">
        <v>21</v>
      </c>
      <c r="P50" s="47" t="s">
        <v>21</v>
      </c>
      <c r="Q50" s="47" t="s">
        <v>28</v>
      </c>
      <c r="R50" s="47" t="s">
        <v>64</v>
      </c>
      <c r="S50" s="33" t="s">
        <v>18</v>
      </c>
      <c r="U50" s="46">
        <f t="shared" si="9"/>
        <v>15</v>
      </c>
      <c r="V50" s="46">
        <f t="shared" si="9"/>
        <v>8</v>
      </c>
      <c r="W50" s="46">
        <f t="shared" si="9"/>
        <v>12</v>
      </c>
      <c r="X50" s="46">
        <f t="shared" si="9"/>
        <v>12</v>
      </c>
      <c r="Y50" s="46">
        <f t="shared" si="9"/>
        <v>15</v>
      </c>
      <c r="Z50" s="46">
        <f t="shared" si="9"/>
        <v>14</v>
      </c>
      <c r="AA50" s="46">
        <f t="shared" si="9"/>
        <v>10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203" t="s">
        <v>242</v>
      </c>
      <c r="AL50" s="203">
        <v>0</v>
      </c>
      <c r="AM50" s="203">
        <v>4</v>
      </c>
      <c r="AN50" s="203">
        <v>5</v>
      </c>
      <c r="AO50" s="203">
        <v>2</v>
      </c>
      <c r="AP50" s="203">
        <v>4</v>
      </c>
      <c r="AQ50" s="203">
        <v>0</v>
      </c>
      <c r="AR50" s="203">
        <v>0</v>
      </c>
      <c r="AS50" s="200">
        <v>16</v>
      </c>
    </row>
    <row r="51" spans="2:45" ht="16.5" customHeight="1">
      <c r="B51" s="212" t="s">
        <v>68</v>
      </c>
      <c r="C51" s="210">
        <v>0</v>
      </c>
      <c r="L51" s="18">
        <v>47</v>
      </c>
      <c r="M51" s="47" t="s">
        <v>27</v>
      </c>
      <c r="N51" s="47" t="s">
        <v>27</v>
      </c>
      <c r="O51" s="47" t="s">
        <v>89</v>
      </c>
      <c r="P51" s="47" t="s">
        <v>21</v>
      </c>
      <c r="Q51" s="47" t="s">
        <v>89</v>
      </c>
      <c r="R51" s="47" t="s">
        <v>64</v>
      </c>
      <c r="S51" s="33" t="s">
        <v>18</v>
      </c>
      <c r="U51" s="46">
        <f t="shared" si="9"/>
        <v>11</v>
      </c>
      <c r="V51" s="46">
        <f t="shared" si="9"/>
        <v>11</v>
      </c>
      <c r="W51" s="46">
        <f t="shared" si="9"/>
        <v>5</v>
      </c>
      <c r="X51" s="46">
        <f t="shared" si="9"/>
        <v>12</v>
      </c>
      <c r="Y51" s="46">
        <f t="shared" si="9"/>
        <v>5</v>
      </c>
      <c r="Z51" s="46">
        <f t="shared" si="9"/>
        <v>14</v>
      </c>
      <c r="AA51" s="46">
        <f t="shared" si="9"/>
        <v>10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203" t="s">
        <v>244</v>
      </c>
      <c r="AL51" s="203">
        <v>0</v>
      </c>
      <c r="AM51" s="203">
        <v>4</v>
      </c>
      <c r="AN51" s="203">
        <v>5</v>
      </c>
      <c r="AO51" s="203">
        <v>2</v>
      </c>
      <c r="AP51" s="203">
        <v>4</v>
      </c>
      <c r="AQ51" s="203">
        <v>0</v>
      </c>
      <c r="AR51" s="203">
        <v>0</v>
      </c>
      <c r="AS51" s="200">
        <v>17</v>
      </c>
    </row>
    <row r="52" spans="2:45" ht="16.5" customHeight="1">
      <c r="B52" s="213" t="s">
        <v>19</v>
      </c>
      <c r="C52" s="208">
        <v>0</v>
      </c>
      <c r="L52" s="19">
        <v>48</v>
      </c>
      <c r="M52" s="47" t="s">
        <v>29</v>
      </c>
      <c r="N52" s="47" t="s">
        <v>27</v>
      </c>
      <c r="O52" s="47" t="s">
        <v>24</v>
      </c>
      <c r="P52" s="47" t="s">
        <v>64</v>
      </c>
      <c r="Q52" s="47" t="s">
        <v>89</v>
      </c>
      <c r="R52" s="47" t="s">
        <v>27</v>
      </c>
      <c r="S52" s="33" t="s">
        <v>17</v>
      </c>
      <c r="U52" s="46">
        <f t="shared" si="9"/>
        <v>16</v>
      </c>
      <c r="V52" s="46">
        <f t="shared" si="9"/>
        <v>11</v>
      </c>
      <c r="W52" s="46">
        <f t="shared" si="9"/>
        <v>8</v>
      </c>
      <c r="X52" s="46">
        <f t="shared" si="9"/>
        <v>14</v>
      </c>
      <c r="Y52" s="46">
        <f t="shared" si="9"/>
        <v>5</v>
      </c>
      <c r="Z52" s="46">
        <f t="shared" si="9"/>
        <v>11</v>
      </c>
      <c r="AA52" s="46">
        <f t="shared" si="9"/>
        <v>14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246</v>
      </c>
      <c r="AL52" s="46">
        <v>0</v>
      </c>
      <c r="AM52" s="46">
        <v>4</v>
      </c>
      <c r="AN52" s="46">
        <v>2</v>
      </c>
      <c r="AO52" s="46">
        <v>2</v>
      </c>
      <c r="AP52" s="46">
        <v>4</v>
      </c>
      <c r="AQ52" s="46">
        <v>0</v>
      </c>
      <c r="AR52" s="46">
        <v>0</v>
      </c>
      <c r="AS52" s="5">
        <v>17</v>
      </c>
    </row>
    <row r="53" spans="2:45" ht="16.5" customHeight="1">
      <c r="B53" s="213" t="s">
        <v>20</v>
      </c>
      <c r="C53" s="208">
        <v>2</v>
      </c>
      <c r="L53" s="18">
        <v>49</v>
      </c>
      <c r="M53" s="47" t="s">
        <v>24</v>
      </c>
      <c r="N53" s="47" t="s">
        <v>64</v>
      </c>
      <c r="O53" s="47" t="s">
        <v>28</v>
      </c>
      <c r="P53" s="47" t="s">
        <v>64</v>
      </c>
      <c r="Q53" s="47" t="s">
        <v>27</v>
      </c>
      <c r="R53" s="47" t="s">
        <v>27</v>
      </c>
      <c r="S53" s="33" t="s">
        <v>17</v>
      </c>
      <c r="U53" s="46">
        <f t="shared" si="9"/>
        <v>8</v>
      </c>
      <c r="V53" s="46">
        <f t="shared" si="9"/>
        <v>14</v>
      </c>
      <c r="W53" s="46">
        <f t="shared" si="9"/>
        <v>15</v>
      </c>
      <c r="X53" s="46">
        <f t="shared" si="9"/>
        <v>14</v>
      </c>
      <c r="Y53" s="46">
        <f t="shared" si="9"/>
        <v>11</v>
      </c>
      <c r="Z53" s="46">
        <f t="shared" si="9"/>
        <v>11</v>
      </c>
      <c r="AA53" s="46">
        <f t="shared" si="9"/>
        <v>14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248</v>
      </c>
      <c r="AL53" s="46">
        <v>0</v>
      </c>
      <c r="AM53" s="46">
        <v>4</v>
      </c>
      <c r="AN53" s="46">
        <v>2</v>
      </c>
      <c r="AO53" s="46">
        <v>4</v>
      </c>
      <c r="AP53" s="46">
        <v>2</v>
      </c>
      <c r="AQ53" s="46">
        <v>0</v>
      </c>
      <c r="AR53" s="46">
        <v>0</v>
      </c>
      <c r="AS53" s="5">
        <v>18</v>
      </c>
    </row>
    <row r="54" spans="2:45" ht="16.5" customHeight="1">
      <c r="B54" s="213" t="s">
        <v>21</v>
      </c>
      <c r="C54" s="208">
        <v>3</v>
      </c>
      <c r="L54" s="19">
        <v>50</v>
      </c>
      <c r="M54" s="47" t="s">
        <v>89</v>
      </c>
      <c r="N54" s="47" t="s">
        <v>64</v>
      </c>
      <c r="O54" s="47" t="s">
        <v>28</v>
      </c>
      <c r="P54" s="47" t="s">
        <v>17</v>
      </c>
      <c r="Q54" s="47" t="s">
        <v>21</v>
      </c>
      <c r="R54" s="47" t="s">
        <v>29</v>
      </c>
      <c r="S54" s="33" t="s">
        <v>17</v>
      </c>
      <c r="U54" s="46">
        <f t="shared" si="9"/>
        <v>5</v>
      </c>
      <c r="V54" s="46">
        <f t="shared" si="9"/>
        <v>14</v>
      </c>
      <c r="W54" s="46">
        <f t="shared" si="9"/>
        <v>15</v>
      </c>
      <c r="X54" s="46">
        <f t="shared" si="9"/>
        <v>14</v>
      </c>
      <c r="Y54" s="46">
        <f t="shared" si="9"/>
        <v>12</v>
      </c>
      <c r="Z54" s="46">
        <f t="shared" si="9"/>
        <v>16</v>
      </c>
      <c r="AA54" s="46">
        <f t="shared" si="9"/>
        <v>14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250</v>
      </c>
      <c r="AL54" s="46">
        <v>0</v>
      </c>
      <c r="AM54" s="46">
        <v>4</v>
      </c>
      <c r="AN54" s="46">
        <v>5</v>
      </c>
      <c r="AO54" s="46">
        <v>2</v>
      </c>
      <c r="AP54" s="46">
        <v>2</v>
      </c>
      <c r="AQ54" s="46">
        <v>0</v>
      </c>
      <c r="AR54" s="46">
        <v>0</v>
      </c>
      <c r="AS54" s="5">
        <v>19</v>
      </c>
    </row>
    <row r="55" spans="2:45" ht="16.5" customHeight="1">
      <c r="B55" s="213" t="s">
        <v>17</v>
      </c>
      <c r="C55" s="208">
        <v>5</v>
      </c>
      <c r="L55" s="18">
        <v>51</v>
      </c>
      <c r="M55" s="47" t="s">
        <v>26</v>
      </c>
      <c r="N55" s="47" t="s">
        <v>242</v>
      </c>
      <c r="O55" s="47" t="s">
        <v>64</v>
      </c>
      <c r="P55" s="47" t="s">
        <v>17</v>
      </c>
      <c r="Q55" s="47" t="s">
        <v>21</v>
      </c>
      <c r="R55" s="47" t="s">
        <v>29</v>
      </c>
      <c r="S55" s="33" t="s">
        <v>64</v>
      </c>
      <c r="U55" s="46">
        <f t="shared" si="9"/>
        <v>7</v>
      </c>
      <c r="V55" s="46">
        <f t="shared" si="9"/>
        <v>0</v>
      </c>
      <c r="W55" s="46">
        <f t="shared" si="9"/>
        <v>14</v>
      </c>
      <c r="X55" s="46">
        <f t="shared" si="9"/>
        <v>14</v>
      </c>
      <c r="Y55" s="46">
        <f t="shared" si="9"/>
        <v>12</v>
      </c>
      <c r="Z55" s="46">
        <f t="shared" si="9"/>
        <v>16</v>
      </c>
      <c r="AA55" s="46">
        <f t="shared" si="9"/>
        <v>14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252</v>
      </c>
      <c r="AL55" s="46">
        <v>0</v>
      </c>
      <c r="AM55" s="46">
        <v>2</v>
      </c>
      <c r="AN55" s="46">
        <v>7</v>
      </c>
      <c r="AO55" s="46">
        <v>2</v>
      </c>
      <c r="AP55" s="46">
        <v>2</v>
      </c>
      <c r="AQ55" s="46">
        <v>0</v>
      </c>
      <c r="AR55" s="46">
        <v>0</v>
      </c>
      <c r="AS55" s="5">
        <v>20</v>
      </c>
    </row>
    <row r="56" spans="2:45" ht="16.5" customHeight="1">
      <c r="B56" s="213" t="s">
        <v>18</v>
      </c>
      <c r="C56" s="208">
        <v>8</v>
      </c>
      <c r="L56" s="19">
        <v>52</v>
      </c>
      <c r="M56" s="47" t="s">
        <v>28</v>
      </c>
      <c r="N56" s="47" t="s">
        <v>27</v>
      </c>
      <c r="O56" s="47" t="s">
        <v>26</v>
      </c>
      <c r="P56" s="47" t="s">
        <v>28</v>
      </c>
      <c r="Q56" s="47" t="s">
        <v>28</v>
      </c>
      <c r="R56" s="47" t="s">
        <v>24</v>
      </c>
      <c r="S56" s="33" t="s">
        <v>64</v>
      </c>
      <c r="U56" s="46">
        <f t="shared" si="9"/>
        <v>15</v>
      </c>
      <c r="V56" s="46">
        <f t="shared" si="9"/>
        <v>11</v>
      </c>
      <c r="W56" s="46">
        <f t="shared" si="9"/>
        <v>7</v>
      </c>
      <c r="X56" s="46">
        <f t="shared" ref="X56:AA119" si="11">VLOOKUP(P56, $A$4:$J$29, 9, 0)</f>
        <v>15</v>
      </c>
      <c r="Y56" s="46">
        <f t="shared" si="11"/>
        <v>15</v>
      </c>
      <c r="Z56" s="46">
        <f t="shared" si="11"/>
        <v>8</v>
      </c>
      <c r="AA56" s="46">
        <f t="shared" si="11"/>
        <v>14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254</v>
      </c>
      <c r="AL56" s="46">
        <v>0</v>
      </c>
      <c r="AM56" s="46">
        <v>4</v>
      </c>
      <c r="AN56" s="46">
        <v>7</v>
      </c>
      <c r="AO56" s="46">
        <v>2</v>
      </c>
      <c r="AP56" s="46">
        <v>2</v>
      </c>
      <c r="AQ56" s="46">
        <v>0</v>
      </c>
      <c r="AR56" s="46">
        <v>0</v>
      </c>
      <c r="AS56" s="5">
        <v>21</v>
      </c>
    </row>
    <row r="57" spans="2:45" ht="16.5" customHeight="1">
      <c r="B57" s="213" t="s">
        <v>64</v>
      </c>
      <c r="C57" s="208">
        <v>12</v>
      </c>
      <c r="L57" s="18">
        <v>53</v>
      </c>
      <c r="M57" s="47" t="s">
        <v>28</v>
      </c>
      <c r="N57" s="47" t="s">
        <v>27</v>
      </c>
      <c r="O57" s="47" t="s">
        <v>26</v>
      </c>
      <c r="P57" s="47" t="s">
        <v>28</v>
      </c>
      <c r="Q57" s="47" t="s">
        <v>24</v>
      </c>
      <c r="R57" s="47" t="s">
        <v>27</v>
      </c>
      <c r="S57" s="33" t="s">
        <v>64</v>
      </c>
      <c r="U57" s="46">
        <f t="shared" ref="U57:Z120" si="12">VLOOKUP(M57, $A$4:$J$29, 9, 0)</f>
        <v>15</v>
      </c>
      <c r="V57" s="46">
        <f t="shared" si="12"/>
        <v>11</v>
      </c>
      <c r="W57" s="46">
        <f t="shared" si="12"/>
        <v>7</v>
      </c>
      <c r="X57" s="46">
        <f t="shared" si="11"/>
        <v>15</v>
      </c>
      <c r="Y57" s="46">
        <f t="shared" si="11"/>
        <v>8</v>
      </c>
      <c r="Z57" s="46">
        <f t="shared" si="11"/>
        <v>11</v>
      </c>
      <c r="AA57" s="46">
        <f t="shared" si="11"/>
        <v>14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203" t="s">
        <v>101</v>
      </c>
      <c r="AL57" s="203">
        <v>0</v>
      </c>
      <c r="AM57" s="203">
        <v>10</v>
      </c>
      <c r="AN57" s="203">
        <v>10</v>
      </c>
      <c r="AO57" s="203">
        <v>10</v>
      </c>
      <c r="AP57" s="203">
        <v>10</v>
      </c>
      <c r="AQ57" s="203">
        <v>0</v>
      </c>
      <c r="AR57" s="203">
        <v>0</v>
      </c>
      <c r="AS57" s="200">
        <v>24</v>
      </c>
    </row>
    <row r="58" spans="2:45" ht="16.5" customHeight="1">
      <c r="B58" s="213" t="s">
        <v>95</v>
      </c>
      <c r="C58" s="208">
        <v>10</v>
      </c>
      <c r="L58" s="19">
        <v>54</v>
      </c>
      <c r="M58" s="47" t="s">
        <v>18</v>
      </c>
      <c r="N58" s="47" t="s">
        <v>29</v>
      </c>
      <c r="O58" s="47" t="s">
        <v>18</v>
      </c>
      <c r="P58" s="47" t="s">
        <v>64</v>
      </c>
      <c r="Q58" s="47" t="s">
        <v>20</v>
      </c>
      <c r="R58" s="47" t="s">
        <v>27</v>
      </c>
      <c r="S58" s="33" t="s">
        <v>20</v>
      </c>
      <c r="U58" s="46">
        <f t="shared" si="12"/>
        <v>10</v>
      </c>
      <c r="V58" s="46">
        <f t="shared" si="12"/>
        <v>16</v>
      </c>
      <c r="W58" s="46">
        <f t="shared" si="12"/>
        <v>10</v>
      </c>
      <c r="X58" s="46">
        <f t="shared" si="11"/>
        <v>14</v>
      </c>
      <c r="Y58" s="46">
        <f t="shared" si="11"/>
        <v>6</v>
      </c>
      <c r="Z58" s="46">
        <f t="shared" si="11"/>
        <v>11</v>
      </c>
      <c r="AA58" s="46">
        <f t="shared" si="11"/>
        <v>6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3</v>
      </c>
      <c r="AK58" s="203" t="s">
        <v>269</v>
      </c>
      <c r="AL58" s="203">
        <v>0</v>
      </c>
      <c r="AM58" s="203">
        <v>1</v>
      </c>
      <c r="AN58" s="203">
        <v>1</v>
      </c>
      <c r="AO58" s="203">
        <v>1</v>
      </c>
      <c r="AP58" s="203">
        <v>1</v>
      </c>
      <c r="AQ58" s="203">
        <v>0</v>
      </c>
      <c r="AR58" s="203">
        <v>0</v>
      </c>
      <c r="AS58" s="200">
        <v>25</v>
      </c>
    </row>
    <row r="59" spans="2:45" ht="16.5" customHeight="1">
      <c r="B59" s="213" t="s">
        <v>96</v>
      </c>
      <c r="C59" s="208">
        <v>10</v>
      </c>
      <c r="L59" s="18">
        <v>55</v>
      </c>
      <c r="M59" s="47" t="s">
        <v>18</v>
      </c>
      <c r="N59" s="47" t="s">
        <v>28</v>
      </c>
      <c r="O59" s="47" t="s">
        <v>28</v>
      </c>
      <c r="P59" s="47" t="s">
        <v>64</v>
      </c>
      <c r="Q59" s="47" t="s">
        <v>21</v>
      </c>
      <c r="R59" s="47" t="s">
        <v>64</v>
      </c>
      <c r="S59" s="33" t="s">
        <v>20</v>
      </c>
      <c r="U59" s="46">
        <f t="shared" si="12"/>
        <v>10</v>
      </c>
      <c r="V59" s="46">
        <f t="shared" si="12"/>
        <v>15</v>
      </c>
      <c r="W59" s="46">
        <f t="shared" si="12"/>
        <v>15</v>
      </c>
      <c r="X59" s="46">
        <f t="shared" si="11"/>
        <v>14</v>
      </c>
      <c r="Y59" s="46">
        <f t="shared" si="11"/>
        <v>12</v>
      </c>
      <c r="Z59" s="46">
        <f t="shared" si="11"/>
        <v>14</v>
      </c>
      <c r="AA59" s="46">
        <f t="shared" si="11"/>
        <v>6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209">
        <v>10</v>
      </c>
      <c r="L60" s="19">
        <v>56</v>
      </c>
      <c r="M60" s="47" t="s">
        <v>29</v>
      </c>
      <c r="N60" s="47" t="s">
        <v>28</v>
      </c>
      <c r="O60" s="47" t="s">
        <v>28</v>
      </c>
      <c r="P60" s="47" t="s">
        <v>242</v>
      </c>
      <c r="Q60" s="47" t="s">
        <v>21</v>
      </c>
      <c r="R60" s="47" t="s">
        <v>24</v>
      </c>
      <c r="S60" s="33" t="s">
        <v>89</v>
      </c>
      <c r="U60" s="46">
        <f t="shared" si="12"/>
        <v>16</v>
      </c>
      <c r="V60" s="46">
        <f t="shared" si="12"/>
        <v>15</v>
      </c>
      <c r="W60" s="46">
        <f t="shared" si="12"/>
        <v>15</v>
      </c>
      <c r="X60" s="46">
        <f t="shared" si="11"/>
        <v>0</v>
      </c>
      <c r="Y60" s="46">
        <f t="shared" si="11"/>
        <v>12</v>
      </c>
      <c r="Z60" s="46">
        <f t="shared" si="11"/>
        <v>8</v>
      </c>
      <c r="AA60" s="46">
        <f t="shared" si="11"/>
        <v>5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272</v>
      </c>
    </row>
    <row r="61" spans="2:45">
      <c r="B61" s="5" t="s">
        <v>38</v>
      </c>
      <c r="C61" s="209">
        <v>10</v>
      </c>
      <c r="L61" s="18">
        <v>57</v>
      </c>
      <c r="M61" s="47" t="s">
        <v>29</v>
      </c>
      <c r="N61" s="47" t="s">
        <v>20</v>
      </c>
      <c r="O61" s="47" t="s">
        <v>29</v>
      </c>
      <c r="P61" s="47" t="s">
        <v>18</v>
      </c>
      <c r="Q61" s="47" t="s">
        <v>28</v>
      </c>
      <c r="R61" s="47" t="s">
        <v>20</v>
      </c>
      <c r="S61" s="33" t="s">
        <v>26</v>
      </c>
      <c r="U61" s="46">
        <f t="shared" si="12"/>
        <v>16</v>
      </c>
      <c r="V61" s="46">
        <f t="shared" si="12"/>
        <v>6</v>
      </c>
      <c r="W61" s="46">
        <f t="shared" si="12"/>
        <v>16</v>
      </c>
      <c r="X61" s="46">
        <f t="shared" si="11"/>
        <v>10</v>
      </c>
      <c r="Y61" s="46">
        <f t="shared" si="11"/>
        <v>15</v>
      </c>
      <c r="Z61" s="46">
        <f t="shared" si="11"/>
        <v>6</v>
      </c>
      <c r="AA61" s="46">
        <f t="shared" si="11"/>
        <v>7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277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209">
        <v>10</v>
      </c>
      <c r="L62" s="19">
        <v>58</v>
      </c>
      <c r="M62" s="47" t="s">
        <v>89</v>
      </c>
      <c r="N62" s="47" t="s">
        <v>238</v>
      </c>
      <c r="O62" s="47" t="s">
        <v>89</v>
      </c>
      <c r="P62" s="47" t="s">
        <v>24</v>
      </c>
      <c r="Q62" s="47" t="s">
        <v>28</v>
      </c>
      <c r="R62" s="47" t="s">
        <v>24</v>
      </c>
      <c r="S62" s="33" t="s">
        <v>26</v>
      </c>
      <c r="U62" s="46">
        <f t="shared" si="12"/>
        <v>5</v>
      </c>
      <c r="V62" s="46">
        <f t="shared" si="12"/>
        <v>0</v>
      </c>
      <c r="W62" s="46">
        <f t="shared" si="12"/>
        <v>5</v>
      </c>
      <c r="X62" s="46">
        <f t="shared" si="11"/>
        <v>8</v>
      </c>
      <c r="Y62" s="46">
        <f t="shared" si="11"/>
        <v>15</v>
      </c>
      <c r="Z62" s="46">
        <f t="shared" si="11"/>
        <v>8</v>
      </c>
      <c r="AA62" s="46">
        <f t="shared" si="11"/>
        <v>7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209">
        <v>10</v>
      </c>
      <c r="L63" s="18">
        <v>59</v>
      </c>
      <c r="M63" s="47" t="s">
        <v>26</v>
      </c>
      <c r="N63" s="47" t="s">
        <v>64</v>
      </c>
      <c r="O63" s="47" t="s">
        <v>29</v>
      </c>
      <c r="P63" s="47" t="s">
        <v>17</v>
      </c>
      <c r="Q63" s="47" t="s">
        <v>89</v>
      </c>
      <c r="R63" s="47" t="s">
        <v>64</v>
      </c>
      <c r="S63" s="47" t="s">
        <v>17</v>
      </c>
      <c r="U63" s="46">
        <f t="shared" si="12"/>
        <v>7</v>
      </c>
      <c r="V63" s="46">
        <f t="shared" si="12"/>
        <v>14</v>
      </c>
      <c r="W63" s="46">
        <f t="shared" si="12"/>
        <v>16</v>
      </c>
      <c r="X63" s="46">
        <f t="shared" si="11"/>
        <v>14</v>
      </c>
      <c r="Y63" s="46">
        <f t="shared" si="11"/>
        <v>5</v>
      </c>
      <c r="Z63" s="46">
        <f t="shared" si="11"/>
        <v>14</v>
      </c>
      <c r="AA63" s="46">
        <f t="shared" si="11"/>
        <v>14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5</v>
      </c>
      <c r="AM63" s="46">
        <v>5</v>
      </c>
      <c r="AN63" s="46">
        <v>5</v>
      </c>
      <c r="AO63" s="46">
        <v>5</v>
      </c>
      <c r="AP63" s="46">
        <v>5</v>
      </c>
      <c r="AQ63" s="46">
        <v>5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26</v>
      </c>
      <c r="N64" s="47" t="s">
        <v>242</v>
      </c>
      <c r="O64" s="47" t="s">
        <v>254</v>
      </c>
      <c r="P64" s="47" t="s">
        <v>17</v>
      </c>
      <c r="Q64" s="47" t="s">
        <v>28</v>
      </c>
      <c r="R64" s="47" t="s">
        <v>24</v>
      </c>
      <c r="S64" s="33" t="s">
        <v>17</v>
      </c>
      <c r="U64" s="46">
        <f t="shared" si="12"/>
        <v>7</v>
      </c>
      <c r="V64" s="46">
        <f t="shared" si="12"/>
        <v>0</v>
      </c>
      <c r="W64" s="46">
        <f t="shared" si="12"/>
        <v>0</v>
      </c>
      <c r="X64" s="46">
        <f t="shared" si="11"/>
        <v>14</v>
      </c>
      <c r="Y64" s="46">
        <f t="shared" si="11"/>
        <v>15</v>
      </c>
      <c r="Z64" s="46">
        <f t="shared" si="11"/>
        <v>8</v>
      </c>
      <c r="AA64" s="46">
        <f t="shared" si="11"/>
        <v>14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203" t="s">
        <v>20</v>
      </c>
      <c r="AL64" s="203">
        <v>40</v>
      </c>
      <c r="AM64" s="203">
        <v>1</v>
      </c>
      <c r="AN64" s="203">
        <v>10</v>
      </c>
      <c r="AO64" s="203">
        <v>1</v>
      </c>
      <c r="AP64" s="203">
        <v>40</v>
      </c>
      <c r="AQ64" s="203">
        <v>1</v>
      </c>
      <c r="AR64" s="203">
        <v>0</v>
      </c>
      <c r="AS64" s="200">
        <v>2</v>
      </c>
    </row>
    <row r="65" spans="2:45" ht="16.5" customHeight="1">
      <c r="L65" s="18">
        <v>61</v>
      </c>
      <c r="M65" s="47" t="s">
        <v>28</v>
      </c>
      <c r="N65" s="47" t="s">
        <v>24</v>
      </c>
      <c r="O65" s="47" t="s">
        <v>26</v>
      </c>
      <c r="P65" s="47" t="s">
        <v>17</v>
      </c>
      <c r="Q65" s="47" t="s">
        <v>28</v>
      </c>
      <c r="R65" s="47" t="s">
        <v>24</v>
      </c>
      <c r="S65" s="33" t="s">
        <v>17</v>
      </c>
      <c r="U65" s="46">
        <f t="shared" si="12"/>
        <v>15</v>
      </c>
      <c r="V65" s="46">
        <f t="shared" si="12"/>
        <v>8</v>
      </c>
      <c r="W65" s="46">
        <f t="shared" si="12"/>
        <v>7</v>
      </c>
      <c r="X65" s="46">
        <f t="shared" si="11"/>
        <v>14</v>
      </c>
      <c r="Y65" s="46">
        <f t="shared" si="11"/>
        <v>15</v>
      </c>
      <c r="Z65" s="46">
        <f t="shared" si="11"/>
        <v>8</v>
      </c>
      <c r="AA65" s="46">
        <f t="shared" si="11"/>
        <v>14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203" t="s">
        <v>21</v>
      </c>
      <c r="AL65" s="203">
        <v>1</v>
      </c>
      <c r="AM65" s="203">
        <v>40</v>
      </c>
      <c r="AN65" s="203">
        <v>1</v>
      </c>
      <c r="AO65" s="203">
        <v>40</v>
      </c>
      <c r="AP65" s="203">
        <v>1</v>
      </c>
      <c r="AQ65" s="203">
        <v>1</v>
      </c>
      <c r="AR65" s="203">
        <v>1</v>
      </c>
      <c r="AS65" s="200">
        <v>3</v>
      </c>
    </row>
    <row r="66" spans="2:45" ht="16.5" customHeight="1">
      <c r="B66" s="214" t="s">
        <v>102</v>
      </c>
      <c r="C66" s="211" t="s">
        <v>271</v>
      </c>
      <c r="L66" s="19">
        <v>62</v>
      </c>
      <c r="M66" s="47" t="s">
        <v>26</v>
      </c>
      <c r="N66" s="47" t="s">
        <v>24</v>
      </c>
      <c r="O66" s="47" t="s">
        <v>26</v>
      </c>
      <c r="P66" s="47" t="s">
        <v>27</v>
      </c>
      <c r="Q66" s="47" t="s">
        <v>26</v>
      </c>
      <c r="R66" s="47" t="s">
        <v>26</v>
      </c>
      <c r="S66" s="33" t="s">
        <v>26</v>
      </c>
      <c r="U66" s="46">
        <f t="shared" si="12"/>
        <v>7</v>
      </c>
      <c r="V66" s="46">
        <f t="shared" si="12"/>
        <v>8</v>
      </c>
      <c r="W66" s="46">
        <f t="shared" si="12"/>
        <v>7</v>
      </c>
      <c r="X66" s="46">
        <f t="shared" si="11"/>
        <v>11</v>
      </c>
      <c r="Y66" s="46">
        <f t="shared" si="11"/>
        <v>7</v>
      </c>
      <c r="Z66" s="46">
        <f t="shared" si="11"/>
        <v>7</v>
      </c>
      <c r="AA66" s="46">
        <f t="shared" si="11"/>
        <v>7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203" t="s">
        <v>17</v>
      </c>
      <c r="AL66" s="203">
        <v>40</v>
      </c>
      <c r="AM66" s="203">
        <v>40</v>
      </c>
      <c r="AN66" s="203">
        <v>40</v>
      </c>
      <c r="AO66" s="203">
        <v>1</v>
      </c>
      <c r="AP66" s="203">
        <v>1</v>
      </c>
      <c r="AQ66" s="203">
        <v>40</v>
      </c>
      <c r="AR66" s="203">
        <v>1</v>
      </c>
      <c r="AS66" s="200">
        <v>4</v>
      </c>
    </row>
    <row r="67" spans="2:45" ht="16.5" customHeight="1">
      <c r="B67" s="212">
        <v>0</v>
      </c>
      <c r="C67" s="210">
        <v>1000</v>
      </c>
      <c r="L67" s="18">
        <v>63</v>
      </c>
      <c r="M67" s="47" t="s">
        <v>29</v>
      </c>
      <c r="N67" s="47" t="s">
        <v>64</v>
      </c>
      <c r="O67" s="47" t="s">
        <v>26</v>
      </c>
      <c r="P67" s="47" t="s">
        <v>27</v>
      </c>
      <c r="Q67" s="47" t="s">
        <v>18</v>
      </c>
      <c r="R67" s="47" t="s">
        <v>29</v>
      </c>
      <c r="S67" s="33" t="s">
        <v>26</v>
      </c>
      <c r="U67" s="46">
        <f t="shared" si="12"/>
        <v>16</v>
      </c>
      <c r="V67" s="46">
        <f t="shared" si="12"/>
        <v>14</v>
      </c>
      <c r="W67" s="46">
        <f t="shared" si="12"/>
        <v>7</v>
      </c>
      <c r="X67" s="46">
        <f t="shared" si="11"/>
        <v>11</v>
      </c>
      <c r="Y67" s="46">
        <f t="shared" si="11"/>
        <v>10</v>
      </c>
      <c r="Z67" s="46">
        <f t="shared" si="11"/>
        <v>16</v>
      </c>
      <c r="AA67" s="46">
        <f t="shared" si="11"/>
        <v>7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203" t="s">
        <v>18</v>
      </c>
      <c r="AL67" s="203">
        <v>1</v>
      </c>
      <c r="AM67" s="203">
        <v>40</v>
      </c>
      <c r="AN67" s="203">
        <v>1</v>
      </c>
      <c r="AO67" s="203">
        <v>1</v>
      </c>
      <c r="AP67" s="203">
        <v>1</v>
      </c>
      <c r="AQ67" s="203">
        <v>40</v>
      </c>
      <c r="AR67" s="203">
        <v>1</v>
      </c>
      <c r="AS67" s="200">
        <v>5</v>
      </c>
    </row>
    <row r="68" spans="2:45" ht="16.5" customHeight="1">
      <c r="B68" s="213">
        <v>1</v>
      </c>
      <c r="C68" s="208">
        <v>120</v>
      </c>
      <c r="L68" s="19">
        <v>64</v>
      </c>
      <c r="M68" s="47" t="s">
        <v>17</v>
      </c>
      <c r="N68" s="47" t="s">
        <v>27</v>
      </c>
      <c r="O68" s="47" t="s">
        <v>18</v>
      </c>
      <c r="P68" s="47" t="s">
        <v>29</v>
      </c>
      <c r="Q68" s="47" t="s">
        <v>89</v>
      </c>
      <c r="R68" s="47" t="s">
        <v>29</v>
      </c>
      <c r="S68" s="33" t="s">
        <v>28</v>
      </c>
      <c r="U68" s="46">
        <f t="shared" si="12"/>
        <v>14</v>
      </c>
      <c r="V68" s="46">
        <f t="shared" si="12"/>
        <v>11</v>
      </c>
      <c r="W68" s="46">
        <f t="shared" si="12"/>
        <v>10</v>
      </c>
      <c r="X68" s="46">
        <f t="shared" si="11"/>
        <v>16</v>
      </c>
      <c r="Y68" s="46">
        <f t="shared" si="11"/>
        <v>5</v>
      </c>
      <c r="Z68" s="46">
        <f t="shared" si="11"/>
        <v>16</v>
      </c>
      <c r="AA68" s="46">
        <f t="shared" si="11"/>
        <v>15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203" t="s">
        <v>64</v>
      </c>
      <c r="AL68" s="203">
        <v>1</v>
      </c>
      <c r="AM68" s="203">
        <v>1</v>
      </c>
      <c r="AN68" s="203">
        <v>40</v>
      </c>
      <c r="AO68" s="203">
        <v>1</v>
      </c>
      <c r="AP68" s="203">
        <v>40</v>
      </c>
      <c r="AQ68" s="203">
        <v>1</v>
      </c>
      <c r="AR68" s="203">
        <v>1</v>
      </c>
      <c r="AS68" s="200">
        <v>6</v>
      </c>
    </row>
    <row r="69" spans="2:45" ht="16.5" customHeight="1">
      <c r="B69" s="213">
        <v>2</v>
      </c>
      <c r="C69" s="208">
        <v>20</v>
      </c>
      <c r="L69" s="18">
        <v>65</v>
      </c>
      <c r="M69" s="47" t="s">
        <v>27</v>
      </c>
      <c r="N69" s="47" t="s">
        <v>27</v>
      </c>
      <c r="O69" s="47" t="s">
        <v>24</v>
      </c>
      <c r="P69" s="47" t="s">
        <v>29</v>
      </c>
      <c r="Q69" s="47" t="s">
        <v>89</v>
      </c>
      <c r="R69" s="47" t="s">
        <v>27</v>
      </c>
      <c r="S69" s="33" t="s">
        <v>28</v>
      </c>
      <c r="U69" s="46">
        <f t="shared" si="12"/>
        <v>11</v>
      </c>
      <c r="V69" s="46">
        <f t="shared" si="12"/>
        <v>11</v>
      </c>
      <c r="W69" s="46">
        <f t="shared" si="12"/>
        <v>8</v>
      </c>
      <c r="X69" s="46">
        <f t="shared" si="11"/>
        <v>16</v>
      </c>
      <c r="Y69" s="46">
        <f t="shared" si="11"/>
        <v>5</v>
      </c>
      <c r="Z69" s="46">
        <f t="shared" si="11"/>
        <v>11</v>
      </c>
      <c r="AA69" s="46">
        <f t="shared" si="11"/>
        <v>15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203" t="s">
        <v>89</v>
      </c>
      <c r="AL69" s="203">
        <v>1</v>
      </c>
      <c r="AM69" s="203">
        <v>40</v>
      </c>
      <c r="AN69" s="203">
        <v>1</v>
      </c>
      <c r="AO69" s="203">
        <v>40</v>
      </c>
      <c r="AP69" s="203">
        <v>1</v>
      </c>
      <c r="AQ69" s="203">
        <v>1</v>
      </c>
      <c r="AR69" s="203">
        <v>1</v>
      </c>
      <c r="AS69" s="200">
        <v>7</v>
      </c>
    </row>
    <row r="70" spans="2:45" ht="16.5" customHeight="1">
      <c r="B70" s="213">
        <v>3</v>
      </c>
      <c r="C70" s="208">
        <v>10</v>
      </c>
      <c r="L70" s="19">
        <v>66</v>
      </c>
      <c r="M70" s="47" t="s">
        <v>27</v>
      </c>
      <c r="N70" s="47" t="s">
        <v>29</v>
      </c>
      <c r="O70" s="47" t="s">
        <v>24</v>
      </c>
      <c r="P70" s="47" t="s">
        <v>29</v>
      </c>
      <c r="Q70" s="47" t="s">
        <v>18</v>
      </c>
      <c r="R70" s="47" t="s">
        <v>24</v>
      </c>
      <c r="S70" s="33" t="s">
        <v>28</v>
      </c>
      <c r="U70" s="46">
        <f t="shared" si="12"/>
        <v>11</v>
      </c>
      <c r="V70" s="46">
        <f t="shared" si="12"/>
        <v>16</v>
      </c>
      <c r="W70" s="46">
        <f t="shared" si="12"/>
        <v>8</v>
      </c>
      <c r="X70" s="46">
        <f t="shared" si="11"/>
        <v>16</v>
      </c>
      <c r="Y70" s="46">
        <f t="shared" si="11"/>
        <v>10</v>
      </c>
      <c r="Z70" s="46">
        <f t="shared" si="11"/>
        <v>8</v>
      </c>
      <c r="AA70" s="46">
        <f t="shared" si="11"/>
        <v>15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</v>
      </c>
      <c r="AM70" s="46">
        <v>1</v>
      </c>
      <c r="AN70" s="46">
        <v>1</v>
      </c>
      <c r="AO70" s="46">
        <v>1</v>
      </c>
      <c r="AP70" s="46">
        <v>35</v>
      </c>
      <c r="AQ70" s="46">
        <v>1</v>
      </c>
      <c r="AR70" s="46">
        <v>1</v>
      </c>
      <c r="AS70" s="5">
        <v>8</v>
      </c>
    </row>
    <row r="71" spans="2:45" ht="16.5" customHeight="1">
      <c r="B71" s="213">
        <v>4</v>
      </c>
      <c r="C71" s="208">
        <v>1</v>
      </c>
      <c r="L71" s="18">
        <v>67</v>
      </c>
      <c r="M71" s="47" t="s">
        <v>18</v>
      </c>
      <c r="N71" s="47" t="s">
        <v>27</v>
      </c>
      <c r="O71" s="47" t="s">
        <v>24</v>
      </c>
      <c r="P71" s="47" t="s">
        <v>26</v>
      </c>
      <c r="Q71" s="47" t="s">
        <v>18</v>
      </c>
      <c r="R71" s="47" t="s">
        <v>64</v>
      </c>
      <c r="S71" s="33" t="s">
        <v>29</v>
      </c>
      <c r="U71" s="46">
        <f t="shared" si="12"/>
        <v>10</v>
      </c>
      <c r="V71" s="46">
        <f t="shared" si="12"/>
        <v>11</v>
      </c>
      <c r="W71" s="46">
        <f t="shared" si="12"/>
        <v>8</v>
      </c>
      <c r="X71" s="46">
        <f t="shared" si="11"/>
        <v>7</v>
      </c>
      <c r="Y71" s="46">
        <f t="shared" si="11"/>
        <v>10</v>
      </c>
      <c r="Z71" s="46">
        <f t="shared" si="11"/>
        <v>14</v>
      </c>
      <c r="AA71" s="46">
        <f t="shared" si="11"/>
        <v>16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1</v>
      </c>
      <c r="AM71" s="46">
        <v>40</v>
      </c>
      <c r="AN71" s="46">
        <v>1</v>
      </c>
      <c r="AO71" s="46">
        <v>40</v>
      </c>
      <c r="AP71" s="46">
        <v>1</v>
      </c>
      <c r="AQ71" s="46">
        <v>40</v>
      </c>
      <c r="AR71" s="46">
        <v>1</v>
      </c>
      <c r="AS71" s="5">
        <v>9</v>
      </c>
    </row>
    <row r="72" spans="2:45" ht="16.5" customHeight="1">
      <c r="B72" s="213">
        <v>5</v>
      </c>
      <c r="C72" s="208">
        <v>0</v>
      </c>
      <c r="L72" s="19">
        <v>68</v>
      </c>
      <c r="M72" s="47" t="s">
        <v>18</v>
      </c>
      <c r="N72" s="47" t="s">
        <v>27</v>
      </c>
      <c r="O72" s="47" t="s">
        <v>64</v>
      </c>
      <c r="P72" s="47" t="s">
        <v>242</v>
      </c>
      <c r="Q72" s="47" t="s">
        <v>242</v>
      </c>
      <c r="R72" s="47" t="s">
        <v>64</v>
      </c>
      <c r="S72" s="33" t="s">
        <v>21</v>
      </c>
      <c r="U72" s="46">
        <f t="shared" si="12"/>
        <v>10</v>
      </c>
      <c r="V72" s="46">
        <f t="shared" si="12"/>
        <v>11</v>
      </c>
      <c r="W72" s="46">
        <f t="shared" si="12"/>
        <v>14</v>
      </c>
      <c r="X72" s="46">
        <f t="shared" si="11"/>
        <v>0</v>
      </c>
      <c r="Y72" s="46">
        <f t="shared" si="11"/>
        <v>0</v>
      </c>
      <c r="Z72" s="46">
        <f t="shared" si="11"/>
        <v>14</v>
      </c>
      <c r="AA72" s="46">
        <f t="shared" si="11"/>
        <v>12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60</v>
      </c>
      <c r="AM72" s="46">
        <v>40</v>
      </c>
      <c r="AN72" s="46">
        <v>35</v>
      </c>
      <c r="AO72" s="46">
        <v>1</v>
      </c>
      <c r="AP72" s="46">
        <v>1</v>
      </c>
      <c r="AQ72" s="46">
        <v>1</v>
      </c>
      <c r="AR72" s="46">
        <v>1</v>
      </c>
      <c r="AS72" s="5">
        <v>10</v>
      </c>
    </row>
    <row r="73" spans="2:45" ht="16.5" customHeight="1">
      <c r="B73" s="213">
        <v>6</v>
      </c>
      <c r="C73" s="208">
        <v>0</v>
      </c>
      <c r="L73" s="18">
        <v>69</v>
      </c>
      <c r="M73" s="47" t="s">
        <v>26</v>
      </c>
      <c r="N73" s="47" t="s">
        <v>27</v>
      </c>
      <c r="O73" s="47" t="s">
        <v>28</v>
      </c>
      <c r="P73" s="47" t="s">
        <v>64</v>
      </c>
      <c r="Q73" s="47" t="s">
        <v>64</v>
      </c>
      <c r="R73" s="47" t="s">
        <v>29</v>
      </c>
      <c r="S73" s="33" t="s">
        <v>21</v>
      </c>
      <c r="U73" s="46">
        <f t="shared" si="12"/>
        <v>7</v>
      </c>
      <c r="V73" s="46">
        <f t="shared" si="12"/>
        <v>11</v>
      </c>
      <c r="W73" s="46">
        <f t="shared" si="12"/>
        <v>15</v>
      </c>
      <c r="X73" s="46">
        <f t="shared" si="11"/>
        <v>14</v>
      </c>
      <c r="Y73" s="46">
        <f t="shared" si="11"/>
        <v>14</v>
      </c>
      <c r="Z73" s="46">
        <f t="shared" si="11"/>
        <v>16</v>
      </c>
      <c r="AA73" s="46">
        <f t="shared" si="11"/>
        <v>12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1</v>
      </c>
      <c r="AM73" s="46">
        <v>40</v>
      </c>
      <c r="AN73" s="46">
        <v>1</v>
      </c>
      <c r="AO73" s="46">
        <v>1</v>
      </c>
      <c r="AP73" s="46">
        <v>1</v>
      </c>
      <c r="AQ73" s="46">
        <v>1</v>
      </c>
      <c r="AR73" s="46">
        <v>1</v>
      </c>
      <c r="AS73" s="5">
        <v>11</v>
      </c>
    </row>
    <row r="74" spans="2:45" ht="16.5" customHeight="1">
      <c r="B74" s="213">
        <v>7</v>
      </c>
      <c r="C74" s="208">
        <v>0</v>
      </c>
      <c r="L74" s="19">
        <v>70</v>
      </c>
      <c r="M74" s="47" t="s">
        <v>29</v>
      </c>
      <c r="N74" s="47" t="s">
        <v>252</v>
      </c>
      <c r="O74" s="47" t="s">
        <v>28</v>
      </c>
      <c r="P74" s="47" t="s">
        <v>64</v>
      </c>
      <c r="Q74" s="47" t="s">
        <v>18</v>
      </c>
      <c r="R74" s="47" t="s">
        <v>28</v>
      </c>
      <c r="S74" s="33" t="s">
        <v>17</v>
      </c>
      <c r="U74" s="46">
        <f t="shared" si="12"/>
        <v>16</v>
      </c>
      <c r="V74" s="46">
        <f t="shared" si="12"/>
        <v>0</v>
      </c>
      <c r="W74" s="46">
        <f t="shared" si="12"/>
        <v>15</v>
      </c>
      <c r="X74" s="46">
        <f t="shared" si="11"/>
        <v>14</v>
      </c>
      <c r="Y74" s="46">
        <f t="shared" si="11"/>
        <v>10</v>
      </c>
      <c r="Z74" s="46">
        <f t="shared" si="11"/>
        <v>15</v>
      </c>
      <c r="AA74" s="46">
        <f t="shared" si="11"/>
        <v>14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40</v>
      </c>
      <c r="AM74" s="46">
        <v>1</v>
      </c>
      <c r="AN74" s="46">
        <v>1</v>
      </c>
      <c r="AO74" s="46">
        <v>1</v>
      </c>
      <c r="AP74" s="46">
        <v>1</v>
      </c>
      <c r="AQ74" s="46">
        <v>1</v>
      </c>
      <c r="AR74" s="46">
        <v>1</v>
      </c>
      <c r="AS74" s="5">
        <v>12</v>
      </c>
    </row>
    <row r="75" spans="2:45" ht="16.5" customHeight="1">
      <c r="L75" s="18">
        <v>71</v>
      </c>
      <c r="M75" s="47" t="s">
        <v>29</v>
      </c>
      <c r="N75" s="47" t="s">
        <v>28</v>
      </c>
      <c r="O75" s="47" t="s">
        <v>26</v>
      </c>
      <c r="P75" s="47" t="s">
        <v>24</v>
      </c>
      <c r="Q75" s="47" t="s">
        <v>24</v>
      </c>
      <c r="R75" s="47" t="s">
        <v>24</v>
      </c>
      <c r="S75" s="33" t="s">
        <v>17</v>
      </c>
      <c r="U75" s="46">
        <f t="shared" si="12"/>
        <v>16</v>
      </c>
      <c r="V75" s="46">
        <f t="shared" si="12"/>
        <v>15</v>
      </c>
      <c r="W75" s="46">
        <f t="shared" si="12"/>
        <v>7</v>
      </c>
      <c r="X75" s="46">
        <f t="shared" si="11"/>
        <v>8</v>
      </c>
      <c r="Y75" s="46">
        <f t="shared" si="11"/>
        <v>8</v>
      </c>
      <c r="Z75" s="46">
        <f t="shared" si="11"/>
        <v>8</v>
      </c>
      <c r="AA75" s="46">
        <f t="shared" si="11"/>
        <v>14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203" t="s">
        <v>234</v>
      </c>
      <c r="AL75" s="203">
        <v>0</v>
      </c>
      <c r="AM75" s="203">
        <v>2</v>
      </c>
      <c r="AN75" s="203">
        <v>2</v>
      </c>
      <c r="AO75" s="203">
        <v>1</v>
      </c>
      <c r="AP75" s="203">
        <v>2</v>
      </c>
      <c r="AQ75" s="203">
        <v>0</v>
      </c>
      <c r="AR75" s="203">
        <v>0</v>
      </c>
      <c r="AS75" s="200">
        <v>13</v>
      </c>
    </row>
    <row r="76" spans="2:45" ht="16.5" customHeight="1">
      <c r="L76" s="19">
        <v>72</v>
      </c>
      <c r="M76" s="47" t="s">
        <v>26</v>
      </c>
      <c r="N76" s="47" t="s">
        <v>244</v>
      </c>
      <c r="O76" s="47" t="s">
        <v>18</v>
      </c>
      <c r="P76" s="47" t="s">
        <v>64</v>
      </c>
      <c r="Q76" s="47" t="s">
        <v>18</v>
      </c>
      <c r="R76" s="47" t="s">
        <v>24</v>
      </c>
      <c r="S76" s="33" t="s">
        <v>17</v>
      </c>
      <c r="U76" s="46">
        <f t="shared" si="12"/>
        <v>7</v>
      </c>
      <c r="V76" s="46">
        <f t="shared" si="12"/>
        <v>0</v>
      </c>
      <c r="W76" s="46">
        <f t="shared" si="12"/>
        <v>10</v>
      </c>
      <c r="X76" s="46">
        <f t="shared" si="11"/>
        <v>14</v>
      </c>
      <c r="Y76" s="46">
        <f t="shared" si="11"/>
        <v>10</v>
      </c>
      <c r="Z76" s="46">
        <f t="shared" si="11"/>
        <v>8</v>
      </c>
      <c r="AA76" s="46">
        <f t="shared" si="11"/>
        <v>14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203" t="s">
        <v>236</v>
      </c>
      <c r="AL76" s="203">
        <v>0</v>
      </c>
      <c r="AM76" s="203">
        <v>1</v>
      </c>
      <c r="AN76" s="203">
        <v>1</v>
      </c>
      <c r="AO76" s="203">
        <v>2</v>
      </c>
      <c r="AP76" s="203">
        <v>1</v>
      </c>
      <c r="AQ76" s="203">
        <v>0</v>
      </c>
      <c r="AR76" s="203">
        <v>0</v>
      </c>
      <c r="AS76" s="200">
        <v>14</v>
      </c>
    </row>
    <row r="77" spans="2:45" ht="16.5" customHeight="1">
      <c r="L77" s="18">
        <v>73</v>
      </c>
      <c r="M77" s="47" t="s">
        <v>28</v>
      </c>
      <c r="N77" s="47" t="s">
        <v>24</v>
      </c>
      <c r="O77" s="47" t="s">
        <v>28</v>
      </c>
      <c r="P77" s="47" t="s">
        <v>28</v>
      </c>
      <c r="Q77" s="47" t="s">
        <v>17</v>
      </c>
      <c r="R77" s="47" t="s">
        <v>17</v>
      </c>
      <c r="S77" s="33" t="s">
        <v>27</v>
      </c>
      <c r="U77" s="46">
        <f t="shared" si="12"/>
        <v>15</v>
      </c>
      <c r="V77" s="46">
        <f t="shared" si="12"/>
        <v>8</v>
      </c>
      <c r="W77" s="46">
        <f t="shared" si="12"/>
        <v>15</v>
      </c>
      <c r="X77" s="46">
        <f t="shared" si="11"/>
        <v>15</v>
      </c>
      <c r="Y77" s="46">
        <f t="shared" si="11"/>
        <v>14</v>
      </c>
      <c r="Z77" s="46">
        <f t="shared" si="11"/>
        <v>14</v>
      </c>
      <c r="AA77" s="46">
        <f t="shared" si="11"/>
        <v>11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203" t="s">
        <v>238</v>
      </c>
      <c r="AL77" s="203">
        <v>0</v>
      </c>
      <c r="AM77" s="203">
        <v>2</v>
      </c>
      <c r="AN77" s="203">
        <v>2</v>
      </c>
      <c r="AO77" s="203">
        <v>1</v>
      </c>
      <c r="AP77" s="203">
        <v>1</v>
      </c>
      <c r="AQ77" s="203">
        <v>0</v>
      </c>
      <c r="AR77" s="203">
        <v>0</v>
      </c>
      <c r="AS77" s="200">
        <v>15</v>
      </c>
    </row>
    <row r="78" spans="2:45" ht="16.5" customHeight="1">
      <c r="L78" s="19">
        <v>74</v>
      </c>
      <c r="M78" s="47" t="s">
        <v>64</v>
      </c>
      <c r="N78" s="47" t="s">
        <v>69</v>
      </c>
      <c r="O78" s="47" t="s">
        <v>28</v>
      </c>
      <c r="P78" s="47" t="s">
        <v>28</v>
      </c>
      <c r="Q78" s="47" t="s">
        <v>17</v>
      </c>
      <c r="R78" s="47" t="s">
        <v>17</v>
      </c>
      <c r="S78" s="33" t="s">
        <v>27</v>
      </c>
      <c r="U78" s="46">
        <f t="shared" si="12"/>
        <v>14</v>
      </c>
      <c r="V78" s="46">
        <f t="shared" si="12"/>
        <v>3</v>
      </c>
      <c r="W78" s="46">
        <f t="shared" si="12"/>
        <v>15</v>
      </c>
      <c r="X78" s="46">
        <f t="shared" si="11"/>
        <v>15</v>
      </c>
      <c r="Y78" s="46">
        <f t="shared" si="11"/>
        <v>14</v>
      </c>
      <c r="Z78" s="46">
        <f t="shared" si="11"/>
        <v>14</v>
      </c>
      <c r="AA78" s="46">
        <f t="shared" si="11"/>
        <v>11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203" t="s">
        <v>240</v>
      </c>
      <c r="AL78" s="203">
        <v>0</v>
      </c>
      <c r="AM78" s="203">
        <v>1</v>
      </c>
      <c r="AN78" s="203">
        <v>1</v>
      </c>
      <c r="AO78" s="203">
        <v>1</v>
      </c>
      <c r="AP78" s="203">
        <v>1</v>
      </c>
      <c r="AQ78" s="203">
        <v>0</v>
      </c>
      <c r="AR78" s="203">
        <v>0</v>
      </c>
      <c r="AS78" s="200">
        <v>16</v>
      </c>
    </row>
    <row r="79" spans="2:45" ht="16.5" customHeight="1">
      <c r="L79" s="18">
        <v>75</v>
      </c>
      <c r="M79" s="47" t="s">
        <v>29</v>
      </c>
      <c r="N79" s="47" t="s">
        <v>69</v>
      </c>
      <c r="O79" s="47" t="s">
        <v>24</v>
      </c>
      <c r="P79" s="47" t="s">
        <v>252</v>
      </c>
      <c r="Q79" s="47" t="s">
        <v>238</v>
      </c>
      <c r="R79" s="47" t="s">
        <v>17</v>
      </c>
      <c r="S79" s="33" t="s">
        <v>27</v>
      </c>
      <c r="U79" s="46">
        <f t="shared" si="12"/>
        <v>16</v>
      </c>
      <c r="V79" s="46">
        <f t="shared" si="12"/>
        <v>3</v>
      </c>
      <c r="W79" s="46">
        <f t="shared" si="12"/>
        <v>8</v>
      </c>
      <c r="X79" s="46">
        <f t="shared" si="11"/>
        <v>0</v>
      </c>
      <c r="Y79" s="46">
        <f t="shared" si="11"/>
        <v>0</v>
      </c>
      <c r="Z79" s="46">
        <f t="shared" si="11"/>
        <v>14</v>
      </c>
      <c r="AA79" s="46">
        <f t="shared" si="11"/>
        <v>11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203" t="s">
        <v>242</v>
      </c>
      <c r="AL79" s="203">
        <v>0</v>
      </c>
      <c r="AM79" s="203">
        <v>2</v>
      </c>
      <c r="AN79" s="203">
        <v>2</v>
      </c>
      <c r="AO79" s="203">
        <v>1</v>
      </c>
      <c r="AP79" s="203">
        <v>2</v>
      </c>
      <c r="AQ79" s="203">
        <v>0</v>
      </c>
      <c r="AR79" s="203">
        <v>0</v>
      </c>
      <c r="AS79" s="200">
        <v>17</v>
      </c>
    </row>
    <row r="80" spans="2:45">
      <c r="L80" s="19">
        <v>76</v>
      </c>
      <c r="M80" s="47" t="s">
        <v>29</v>
      </c>
      <c r="N80" s="47" t="s">
        <v>89</v>
      </c>
      <c r="O80" s="47" t="s">
        <v>26</v>
      </c>
      <c r="P80" s="47" t="s">
        <v>29</v>
      </c>
      <c r="Q80" s="47" t="s">
        <v>64</v>
      </c>
      <c r="R80" s="47" t="s">
        <v>64</v>
      </c>
      <c r="S80" s="47" t="s">
        <v>17</v>
      </c>
      <c r="U80" s="46">
        <f t="shared" si="12"/>
        <v>16</v>
      </c>
      <c r="V80" s="46">
        <f t="shared" si="12"/>
        <v>5</v>
      </c>
      <c r="W80" s="46">
        <f t="shared" si="12"/>
        <v>7</v>
      </c>
      <c r="X80" s="46">
        <f t="shared" si="11"/>
        <v>16</v>
      </c>
      <c r="Y80" s="46">
        <f t="shared" si="11"/>
        <v>14</v>
      </c>
      <c r="Z80" s="46">
        <f t="shared" si="11"/>
        <v>14</v>
      </c>
      <c r="AA80" s="46">
        <f t="shared" si="11"/>
        <v>14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203" t="s">
        <v>244</v>
      </c>
      <c r="AL80" s="203">
        <v>0</v>
      </c>
      <c r="AM80" s="203">
        <v>2</v>
      </c>
      <c r="AN80" s="203">
        <v>2</v>
      </c>
      <c r="AO80" s="203">
        <v>1</v>
      </c>
      <c r="AP80" s="203">
        <v>2</v>
      </c>
      <c r="AQ80" s="203">
        <v>0</v>
      </c>
      <c r="AR80" s="203">
        <v>0</v>
      </c>
      <c r="AS80" s="200">
        <v>18</v>
      </c>
    </row>
    <row r="81" spans="12:45">
      <c r="L81" s="18">
        <v>77</v>
      </c>
      <c r="M81" s="47" t="s">
        <v>27</v>
      </c>
      <c r="N81" s="47" t="s">
        <v>89</v>
      </c>
      <c r="O81" s="47" t="s">
        <v>26</v>
      </c>
      <c r="P81" s="47" t="s">
        <v>29</v>
      </c>
      <c r="Q81" s="47" t="s">
        <v>64</v>
      </c>
      <c r="R81" s="47" t="s">
        <v>64</v>
      </c>
      <c r="S81" s="33" t="s">
        <v>29</v>
      </c>
      <c r="U81" s="46">
        <f t="shared" si="12"/>
        <v>11</v>
      </c>
      <c r="V81" s="46">
        <f t="shared" si="12"/>
        <v>5</v>
      </c>
      <c r="W81" s="46">
        <f t="shared" si="12"/>
        <v>7</v>
      </c>
      <c r="X81" s="46">
        <f t="shared" si="11"/>
        <v>16</v>
      </c>
      <c r="Y81" s="46">
        <f t="shared" si="11"/>
        <v>14</v>
      </c>
      <c r="Z81" s="46">
        <f t="shared" si="11"/>
        <v>14</v>
      </c>
      <c r="AA81" s="46">
        <f t="shared" si="11"/>
        <v>16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246</v>
      </c>
      <c r="AL81" s="46">
        <v>0</v>
      </c>
      <c r="AM81" s="46">
        <v>2</v>
      </c>
      <c r="AN81" s="46">
        <v>1</v>
      </c>
      <c r="AO81" s="46">
        <v>1</v>
      </c>
      <c r="AP81" s="46">
        <v>7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24</v>
      </c>
      <c r="N82" s="47" t="s">
        <v>21</v>
      </c>
      <c r="O82" s="47" t="s">
        <v>26</v>
      </c>
      <c r="P82" s="47" t="s">
        <v>24</v>
      </c>
      <c r="Q82" s="47" t="s">
        <v>89</v>
      </c>
      <c r="R82" s="47" t="s">
        <v>64</v>
      </c>
      <c r="S82" s="33" t="s">
        <v>29</v>
      </c>
      <c r="U82" s="46">
        <f t="shared" si="12"/>
        <v>8</v>
      </c>
      <c r="V82" s="46">
        <f t="shared" si="12"/>
        <v>12</v>
      </c>
      <c r="W82" s="46">
        <f t="shared" si="12"/>
        <v>7</v>
      </c>
      <c r="X82" s="46">
        <f t="shared" si="11"/>
        <v>8</v>
      </c>
      <c r="Y82" s="46">
        <f t="shared" si="11"/>
        <v>5</v>
      </c>
      <c r="Z82" s="46">
        <f t="shared" si="11"/>
        <v>14</v>
      </c>
      <c r="AA82" s="46">
        <f t="shared" si="11"/>
        <v>16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248</v>
      </c>
      <c r="AL82" s="46">
        <v>0</v>
      </c>
      <c r="AM82" s="46">
        <v>2</v>
      </c>
      <c r="AN82" s="46">
        <v>1</v>
      </c>
      <c r="AO82" s="46">
        <v>2</v>
      </c>
      <c r="AP82" s="46">
        <v>1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64</v>
      </c>
      <c r="N83" s="47" t="s">
        <v>21</v>
      </c>
      <c r="O83" s="47" t="s">
        <v>18</v>
      </c>
      <c r="P83" s="47" t="s">
        <v>240</v>
      </c>
      <c r="Q83" s="47" t="s">
        <v>89</v>
      </c>
      <c r="R83" s="47" t="s">
        <v>29</v>
      </c>
      <c r="S83" s="33" t="s">
        <v>29</v>
      </c>
      <c r="U83" s="46">
        <f t="shared" si="12"/>
        <v>14</v>
      </c>
      <c r="V83" s="46">
        <f t="shared" si="12"/>
        <v>12</v>
      </c>
      <c r="W83" s="46">
        <f t="shared" si="12"/>
        <v>10</v>
      </c>
      <c r="X83" s="46">
        <f t="shared" si="11"/>
        <v>0</v>
      </c>
      <c r="Y83" s="46">
        <f t="shared" si="11"/>
        <v>5</v>
      </c>
      <c r="Z83" s="46">
        <f t="shared" si="11"/>
        <v>16</v>
      </c>
      <c r="AA83" s="46">
        <f t="shared" si="11"/>
        <v>16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250</v>
      </c>
      <c r="AL83" s="46">
        <v>0</v>
      </c>
      <c r="AM83" s="46">
        <v>2</v>
      </c>
      <c r="AN83" s="46">
        <v>7</v>
      </c>
      <c r="AO83" s="46">
        <v>1</v>
      </c>
      <c r="AP83" s="46">
        <v>1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64</v>
      </c>
      <c r="N84" s="47" t="s">
        <v>26</v>
      </c>
      <c r="O84" s="47" t="s">
        <v>28</v>
      </c>
      <c r="P84" s="47" t="s">
        <v>18</v>
      </c>
      <c r="Q84" s="47" t="s">
        <v>244</v>
      </c>
      <c r="R84" s="47" t="s">
        <v>27</v>
      </c>
      <c r="S84" s="33" t="s">
        <v>20</v>
      </c>
      <c r="U84" s="46">
        <f t="shared" si="12"/>
        <v>14</v>
      </c>
      <c r="V84" s="46">
        <f t="shared" si="12"/>
        <v>7</v>
      </c>
      <c r="W84" s="46">
        <f t="shared" si="12"/>
        <v>15</v>
      </c>
      <c r="X84" s="46">
        <f t="shared" si="11"/>
        <v>10</v>
      </c>
      <c r="Y84" s="46">
        <f t="shared" si="11"/>
        <v>0</v>
      </c>
      <c r="Z84" s="46">
        <f t="shared" si="11"/>
        <v>11</v>
      </c>
      <c r="AA84" s="46">
        <f t="shared" si="11"/>
        <v>6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252</v>
      </c>
      <c r="AL84" s="46">
        <v>0</v>
      </c>
      <c r="AM84" s="46">
        <v>1</v>
      </c>
      <c r="AN84" s="46">
        <v>1</v>
      </c>
      <c r="AO84" s="46">
        <v>1</v>
      </c>
      <c r="AP84" s="46">
        <v>1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24</v>
      </c>
      <c r="N85" s="47" t="s">
        <v>26</v>
      </c>
      <c r="O85" s="47" t="s">
        <v>21</v>
      </c>
      <c r="P85" s="47" t="s">
        <v>64</v>
      </c>
      <c r="Q85" s="47" t="s">
        <v>28</v>
      </c>
      <c r="R85" s="47" t="s">
        <v>27</v>
      </c>
      <c r="S85" s="33" t="s">
        <v>20</v>
      </c>
      <c r="U85" s="46">
        <f t="shared" si="12"/>
        <v>8</v>
      </c>
      <c r="V85" s="46">
        <f t="shared" si="12"/>
        <v>7</v>
      </c>
      <c r="W85" s="46">
        <f t="shared" si="12"/>
        <v>12</v>
      </c>
      <c r="X85" s="46">
        <f t="shared" si="11"/>
        <v>14</v>
      </c>
      <c r="Y85" s="46">
        <f t="shared" si="11"/>
        <v>15</v>
      </c>
      <c r="Z85" s="46">
        <f t="shared" si="11"/>
        <v>11</v>
      </c>
      <c r="AA85" s="46">
        <f t="shared" si="11"/>
        <v>6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254</v>
      </c>
      <c r="AL85" s="46">
        <v>0</v>
      </c>
      <c r="AM85" s="46">
        <v>2</v>
      </c>
      <c r="AN85" s="46">
        <v>1</v>
      </c>
      <c r="AO85" s="46">
        <v>1</v>
      </c>
      <c r="AP85" s="46">
        <v>1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29</v>
      </c>
      <c r="N86" s="47" t="s">
        <v>27</v>
      </c>
      <c r="O86" s="47" t="s">
        <v>21</v>
      </c>
      <c r="P86" s="47" t="s">
        <v>27</v>
      </c>
      <c r="Q86" s="47" t="s">
        <v>28</v>
      </c>
      <c r="R86" s="47" t="s">
        <v>24</v>
      </c>
      <c r="S86" s="33" t="s">
        <v>20</v>
      </c>
      <c r="U86" s="46">
        <f t="shared" si="12"/>
        <v>16</v>
      </c>
      <c r="V86" s="46">
        <f t="shared" si="12"/>
        <v>11</v>
      </c>
      <c r="W86" s="46">
        <f t="shared" si="12"/>
        <v>12</v>
      </c>
      <c r="X86" s="46">
        <f t="shared" si="11"/>
        <v>11</v>
      </c>
      <c r="Y86" s="46">
        <f t="shared" si="11"/>
        <v>15</v>
      </c>
      <c r="Z86" s="46">
        <f t="shared" si="11"/>
        <v>8</v>
      </c>
      <c r="AA86" s="46">
        <f t="shared" si="11"/>
        <v>6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203" t="s">
        <v>101</v>
      </c>
      <c r="AL86" s="203">
        <v>0</v>
      </c>
      <c r="AM86" s="203">
        <v>2</v>
      </c>
      <c r="AN86" s="203">
        <v>2</v>
      </c>
      <c r="AO86" s="203">
        <v>2</v>
      </c>
      <c r="AP86" s="203">
        <v>2</v>
      </c>
      <c r="AQ86" s="203">
        <v>0</v>
      </c>
      <c r="AR86" s="203">
        <v>0</v>
      </c>
      <c r="AS86" s="200">
        <v>24</v>
      </c>
    </row>
    <row r="87" spans="12:45">
      <c r="L87" s="18">
        <v>83</v>
      </c>
      <c r="M87" s="47" t="s">
        <v>28</v>
      </c>
      <c r="N87" s="47" t="s">
        <v>27</v>
      </c>
      <c r="O87" s="47" t="s">
        <v>21</v>
      </c>
      <c r="P87" s="47" t="s">
        <v>18</v>
      </c>
      <c r="Q87" s="47" t="s">
        <v>89</v>
      </c>
      <c r="R87" s="47" t="s">
        <v>20</v>
      </c>
      <c r="S87" s="33" t="s">
        <v>20</v>
      </c>
      <c r="U87" s="46">
        <f t="shared" si="12"/>
        <v>15</v>
      </c>
      <c r="V87" s="46">
        <f t="shared" si="12"/>
        <v>11</v>
      </c>
      <c r="W87" s="46">
        <f t="shared" si="12"/>
        <v>12</v>
      </c>
      <c r="X87" s="46">
        <f t="shared" si="11"/>
        <v>10</v>
      </c>
      <c r="Y87" s="46">
        <f t="shared" si="11"/>
        <v>5</v>
      </c>
      <c r="Z87" s="46">
        <f t="shared" si="11"/>
        <v>6</v>
      </c>
      <c r="AA87" s="46">
        <f t="shared" si="11"/>
        <v>6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1</v>
      </c>
      <c r="AK87" s="203" t="s">
        <v>269</v>
      </c>
      <c r="AL87" s="203">
        <v>0</v>
      </c>
      <c r="AM87" s="203">
        <v>0</v>
      </c>
      <c r="AN87" s="203">
        <v>0</v>
      </c>
      <c r="AO87" s="203">
        <v>0</v>
      </c>
      <c r="AP87" s="203">
        <v>0</v>
      </c>
      <c r="AQ87" s="203">
        <v>0</v>
      </c>
      <c r="AR87" s="203">
        <v>0</v>
      </c>
      <c r="AS87" s="200">
        <v>25</v>
      </c>
    </row>
    <row r="88" spans="12:45">
      <c r="L88" s="19">
        <v>84</v>
      </c>
      <c r="M88" s="47" t="s">
        <v>28</v>
      </c>
      <c r="N88" s="47" t="s">
        <v>64</v>
      </c>
      <c r="O88" s="47" t="s">
        <v>18</v>
      </c>
      <c r="P88" s="47" t="s">
        <v>27</v>
      </c>
      <c r="Q88" s="47" t="s">
        <v>21</v>
      </c>
      <c r="R88" s="47" t="s">
        <v>29</v>
      </c>
      <c r="S88" s="33" t="s">
        <v>27</v>
      </c>
      <c r="U88" s="46">
        <f t="shared" si="12"/>
        <v>15</v>
      </c>
      <c r="V88" s="46">
        <f t="shared" si="12"/>
        <v>14</v>
      </c>
      <c r="W88" s="46">
        <f t="shared" si="12"/>
        <v>10</v>
      </c>
      <c r="X88" s="46">
        <f t="shared" si="11"/>
        <v>11</v>
      </c>
      <c r="Y88" s="46">
        <f t="shared" si="11"/>
        <v>12</v>
      </c>
      <c r="Z88" s="46">
        <f t="shared" si="11"/>
        <v>16</v>
      </c>
      <c r="AA88" s="46">
        <f t="shared" si="11"/>
        <v>11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21</v>
      </c>
      <c r="N89" s="47" t="s">
        <v>24</v>
      </c>
      <c r="O89" s="47" t="s">
        <v>244</v>
      </c>
      <c r="P89" s="47" t="s">
        <v>27</v>
      </c>
      <c r="Q89" s="47" t="s">
        <v>26</v>
      </c>
      <c r="R89" s="47" t="s">
        <v>24</v>
      </c>
      <c r="S89" s="33" t="s">
        <v>27</v>
      </c>
      <c r="U89" s="46">
        <f t="shared" si="12"/>
        <v>12</v>
      </c>
      <c r="V89" s="46">
        <f t="shared" si="12"/>
        <v>8</v>
      </c>
      <c r="W89" s="46">
        <f t="shared" si="12"/>
        <v>0</v>
      </c>
      <c r="X89" s="46">
        <f t="shared" si="11"/>
        <v>11</v>
      </c>
      <c r="Y89" s="46">
        <f t="shared" si="11"/>
        <v>7</v>
      </c>
      <c r="Z89" s="46">
        <f t="shared" si="11"/>
        <v>8</v>
      </c>
      <c r="AA89" s="46">
        <f t="shared" si="11"/>
        <v>11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273</v>
      </c>
    </row>
    <row r="90" spans="12:45">
      <c r="L90" s="19">
        <v>86</v>
      </c>
      <c r="M90" s="47" t="s">
        <v>21</v>
      </c>
      <c r="N90" s="47" t="s">
        <v>29</v>
      </c>
      <c r="O90" s="47" t="s">
        <v>89</v>
      </c>
      <c r="P90" s="47" t="s">
        <v>27</v>
      </c>
      <c r="Q90" s="47" t="s">
        <v>18</v>
      </c>
      <c r="R90" s="47" t="s">
        <v>64</v>
      </c>
      <c r="S90" s="33" t="s">
        <v>29</v>
      </c>
      <c r="U90" s="46">
        <f t="shared" si="12"/>
        <v>12</v>
      </c>
      <c r="V90" s="46">
        <f t="shared" si="12"/>
        <v>16</v>
      </c>
      <c r="W90" s="46">
        <f t="shared" si="12"/>
        <v>5</v>
      </c>
      <c r="X90" s="46">
        <f t="shared" si="11"/>
        <v>11</v>
      </c>
      <c r="Y90" s="46">
        <f t="shared" si="11"/>
        <v>10</v>
      </c>
      <c r="Z90" s="46">
        <f t="shared" si="11"/>
        <v>14</v>
      </c>
      <c r="AA90" s="46">
        <f t="shared" si="11"/>
        <v>16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277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29</v>
      </c>
      <c r="N91" s="47" t="s">
        <v>29</v>
      </c>
      <c r="O91" s="47" t="s">
        <v>89</v>
      </c>
      <c r="P91" s="47" t="s">
        <v>29</v>
      </c>
      <c r="Q91" s="47" t="s">
        <v>27</v>
      </c>
      <c r="R91" s="47" t="s">
        <v>24</v>
      </c>
      <c r="S91" s="33" t="s">
        <v>64</v>
      </c>
      <c r="U91" s="46">
        <f t="shared" si="12"/>
        <v>16</v>
      </c>
      <c r="V91" s="46">
        <f t="shared" si="12"/>
        <v>16</v>
      </c>
      <c r="W91" s="46">
        <f t="shared" si="12"/>
        <v>5</v>
      </c>
      <c r="X91" s="46">
        <f t="shared" si="11"/>
        <v>16</v>
      </c>
      <c r="Y91" s="46">
        <f t="shared" si="11"/>
        <v>11</v>
      </c>
      <c r="Z91" s="46">
        <f t="shared" si="11"/>
        <v>8</v>
      </c>
      <c r="AA91" s="46">
        <f t="shared" si="11"/>
        <v>14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29</v>
      </c>
      <c r="N92" s="47" t="s">
        <v>17</v>
      </c>
      <c r="O92" s="47" t="s">
        <v>28</v>
      </c>
      <c r="P92" s="47" t="s">
        <v>29</v>
      </c>
      <c r="Q92" s="47" t="s">
        <v>27</v>
      </c>
      <c r="R92" s="47" t="s">
        <v>24</v>
      </c>
      <c r="S92" s="33" t="s">
        <v>64</v>
      </c>
      <c r="U92" s="46">
        <f t="shared" si="12"/>
        <v>16</v>
      </c>
      <c r="V92" s="46">
        <f t="shared" si="12"/>
        <v>14</v>
      </c>
      <c r="W92" s="46">
        <f t="shared" si="12"/>
        <v>15</v>
      </c>
      <c r="X92" s="46">
        <f t="shared" si="11"/>
        <v>16</v>
      </c>
      <c r="Y92" s="46">
        <f t="shared" si="11"/>
        <v>11</v>
      </c>
      <c r="Z92" s="46">
        <f t="shared" si="11"/>
        <v>8</v>
      </c>
      <c r="AA92" s="46">
        <f t="shared" si="11"/>
        <v>14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5</v>
      </c>
      <c r="AM92" s="46">
        <v>5</v>
      </c>
      <c r="AN92" s="46">
        <v>5</v>
      </c>
      <c r="AO92" s="46">
        <v>5</v>
      </c>
      <c r="AP92" s="46">
        <v>5</v>
      </c>
      <c r="AQ92" s="46">
        <v>5</v>
      </c>
      <c r="AR92" s="46">
        <v>0</v>
      </c>
      <c r="AS92" s="5">
        <v>1</v>
      </c>
    </row>
    <row r="93" spans="12:45">
      <c r="L93" s="18">
        <v>89</v>
      </c>
      <c r="M93" s="47" t="s">
        <v>28</v>
      </c>
      <c r="N93" s="47" t="s">
        <v>21</v>
      </c>
      <c r="O93" s="47" t="s">
        <v>28</v>
      </c>
      <c r="P93" s="47" t="s">
        <v>29</v>
      </c>
      <c r="Q93" s="47" t="s">
        <v>26</v>
      </c>
      <c r="R93" s="47" t="s">
        <v>24</v>
      </c>
      <c r="S93" s="33" t="s">
        <v>64</v>
      </c>
      <c r="U93" s="46">
        <f t="shared" si="12"/>
        <v>15</v>
      </c>
      <c r="V93" s="46">
        <f t="shared" si="12"/>
        <v>12</v>
      </c>
      <c r="W93" s="46">
        <f t="shared" si="12"/>
        <v>15</v>
      </c>
      <c r="X93" s="46">
        <f t="shared" si="11"/>
        <v>16</v>
      </c>
      <c r="Y93" s="46">
        <f t="shared" si="11"/>
        <v>7</v>
      </c>
      <c r="Z93" s="46">
        <f t="shared" si="11"/>
        <v>8</v>
      </c>
      <c r="AA93" s="46">
        <f t="shared" si="11"/>
        <v>14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203" t="s">
        <v>20</v>
      </c>
      <c r="AL93" s="203">
        <v>20</v>
      </c>
      <c r="AM93" s="203">
        <v>0</v>
      </c>
      <c r="AN93" s="203">
        <v>4</v>
      </c>
      <c r="AO93" s="203">
        <v>1</v>
      </c>
      <c r="AP93" s="203">
        <v>50</v>
      </c>
      <c r="AQ93" s="203">
        <v>1</v>
      </c>
      <c r="AR93" s="203">
        <v>0</v>
      </c>
      <c r="AS93" s="200">
        <v>2</v>
      </c>
    </row>
    <row r="94" spans="12:45">
      <c r="L94" s="19">
        <v>90</v>
      </c>
      <c r="M94" s="47" t="s">
        <v>24</v>
      </c>
      <c r="N94" s="47" t="s">
        <v>21</v>
      </c>
      <c r="O94" s="47" t="s">
        <v>18</v>
      </c>
      <c r="P94" s="47" t="s">
        <v>64</v>
      </c>
      <c r="Q94" s="47" t="s">
        <v>26</v>
      </c>
      <c r="R94" s="47" t="s">
        <v>27</v>
      </c>
      <c r="S94" s="33" t="s">
        <v>64</v>
      </c>
      <c r="U94" s="46">
        <f t="shared" si="12"/>
        <v>8</v>
      </c>
      <c r="V94" s="46">
        <f t="shared" si="12"/>
        <v>12</v>
      </c>
      <c r="W94" s="46">
        <f t="shared" si="12"/>
        <v>10</v>
      </c>
      <c r="X94" s="46">
        <f t="shared" si="11"/>
        <v>14</v>
      </c>
      <c r="Y94" s="46">
        <f t="shared" si="11"/>
        <v>7</v>
      </c>
      <c r="Z94" s="46">
        <f t="shared" si="11"/>
        <v>11</v>
      </c>
      <c r="AA94" s="46">
        <f t="shared" si="11"/>
        <v>14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203" t="s">
        <v>21</v>
      </c>
      <c r="AL94" s="203">
        <v>1</v>
      </c>
      <c r="AM94" s="203">
        <v>50</v>
      </c>
      <c r="AN94" s="203">
        <v>1</v>
      </c>
      <c r="AO94" s="203">
        <v>50</v>
      </c>
      <c r="AP94" s="203">
        <v>1</v>
      </c>
      <c r="AQ94" s="203">
        <v>1</v>
      </c>
      <c r="AR94" s="203">
        <v>0</v>
      </c>
      <c r="AS94" s="200">
        <v>3</v>
      </c>
    </row>
    <row r="95" spans="12:45">
      <c r="L95" s="18">
        <v>91</v>
      </c>
      <c r="M95" s="47" t="s">
        <v>28</v>
      </c>
      <c r="N95" s="47" t="s">
        <v>24</v>
      </c>
      <c r="O95" s="47" t="s">
        <v>28</v>
      </c>
      <c r="P95" s="47" t="s">
        <v>64</v>
      </c>
      <c r="Q95" s="47" t="s">
        <v>248</v>
      </c>
      <c r="R95" s="47" t="s">
        <v>27</v>
      </c>
      <c r="S95" s="33" t="s">
        <v>29</v>
      </c>
      <c r="U95" s="46">
        <f t="shared" si="12"/>
        <v>15</v>
      </c>
      <c r="V95" s="46">
        <f t="shared" si="12"/>
        <v>8</v>
      </c>
      <c r="W95" s="46">
        <f t="shared" si="12"/>
        <v>15</v>
      </c>
      <c r="X95" s="46">
        <f t="shared" si="11"/>
        <v>14</v>
      </c>
      <c r="Y95" s="46">
        <f t="shared" si="11"/>
        <v>0</v>
      </c>
      <c r="Z95" s="46">
        <f t="shared" si="11"/>
        <v>11</v>
      </c>
      <c r="AA95" s="46">
        <f t="shared" si="11"/>
        <v>16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203" t="s">
        <v>17</v>
      </c>
      <c r="AL95" s="203">
        <v>50</v>
      </c>
      <c r="AM95" s="203">
        <v>1</v>
      </c>
      <c r="AN95" s="203">
        <v>60</v>
      </c>
      <c r="AO95" s="203">
        <v>0</v>
      </c>
      <c r="AP95" s="203">
        <v>1</v>
      </c>
      <c r="AQ95" s="203">
        <v>50</v>
      </c>
      <c r="AR95" s="203">
        <v>1</v>
      </c>
      <c r="AS95" s="200">
        <v>4</v>
      </c>
    </row>
    <row r="96" spans="12:45">
      <c r="L96" s="19">
        <v>92</v>
      </c>
      <c r="M96" s="47" t="s">
        <v>64</v>
      </c>
      <c r="N96" s="47" t="s">
        <v>18</v>
      </c>
      <c r="O96" s="47" t="s">
        <v>28</v>
      </c>
      <c r="P96" s="47" t="s">
        <v>64</v>
      </c>
      <c r="Q96" s="47" t="s">
        <v>28</v>
      </c>
      <c r="R96" s="47" t="s">
        <v>64</v>
      </c>
      <c r="S96" s="33" t="s">
        <v>29</v>
      </c>
      <c r="U96" s="46">
        <f t="shared" si="12"/>
        <v>14</v>
      </c>
      <c r="V96" s="46">
        <f t="shared" si="12"/>
        <v>10</v>
      </c>
      <c r="W96" s="46">
        <f t="shared" si="12"/>
        <v>15</v>
      </c>
      <c r="X96" s="46">
        <f t="shared" si="11"/>
        <v>14</v>
      </c>
      <c r="Y96" s="46">
        <f t="shared" si="11"/>
        <v>15</v>
      </c>
      <c r="Z96" s="46">
        <f t="shared" si="11"/>
        <v>14</v>
      </c>
      <c r="AA96" s="46">
        <f t="shared" si="11"/>
        <v>16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203" t="s">
        <v>18</v>
      </c>
      <c r="AL96" s="203">
        <v>1</v>
      </c>
      <c r="AM96" s="203">
        <v>50</v>
      </c>
      <c r="AN96" s="203">
        <v>1</v>
      </c>
      <c r="AO96" s="203">
        <v>1</v>
      </c>
      <c r="AP96" s="203">
        <v>1</v>
      </c>
      <c r="AQ96" s="203">
        <v>50</v>
      </c>
      <c r="AR96" s="203">
        <v>1</v>
      </c>
      <c r="AS96" s="200">
        <v>5</v>
      </c>
    </row>
    <row r="97" spans="12:45">
      <c r="L97" s="18">
        <v>93</v>
      </c>
      <c r="M97" s="47" t="s">
        <v>24</v>
      </c>
      <c r="N97" s="47" t="s">
        <v>18</v>
      </c>
      <c r="O97" s="47" t="s">
        <v>29</v>
      </c>
      <c r="P97" s="47" t="s">
        <v>29</v>
      </c>
      <c r="Q97" s="47" t="s">
        <v>26</v>
      </c>
      <c r="R97" s="47" t="s">
        <v>64</v>
      </c>
      <c r="S97" s="33" t="s">
        <v>29</v>
      </c>
      <c r="U97" s="46">
        <f t="shared" si="12"/>
        <v>8</v>
      </c>
      <c r="V97" s="46">
        <f t="shared" si="12"/>
        <v>10</v>
      </c>
      <c r="W97" s="46">
        <f t="shared" si="12"/>
        <v>16</v>
      </c>
      <c r="X97" s="46">
        <f t="shared" si="11"/>
        <v>16</v>
      </c>
      <c r="Y97" s="46">
        <f t="shared" si="11"/>
        <v>7</v>
      </c>
      <c r="Z97" s="46">
        <f t="shared" si="11"/>
        <v>14</v>
      </c>
      <c r="AA97" s="46">
        <f t="shared" si="11"/>
        <v>16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203" t="s">
        <v>64</v>
      </c>
      <c r="AL97" s="203">
        <v>60</v>
      </c>
      <c r="AM97" s="203">
        <v>1</v>
      </c>
      <c r="AN97" s="203">
        <v>50</v>
      </c>
      <c r="AO97" s="203">
        <v>1</v>
      </c>
      <c r="AP97" s="203">
        <v>50</v>
      </c>
      <c r="AQ97" s="203">
        <v>1</v>
      </c>
      <c r="AR97" s="203">
        <v>1</v>
      </c>
      <c r="AS97" s="200">
        <v>6</v>
      </c>
    </row>
    <row r="98" spans="12:45">
      <c r="L98" s="19">
        <v>94</v>
      </c>
      <c r="M98" s="47" t="s">
        <v>26</v>
      </c>
      <c r="N98" s="47" t="s">
        <v>236</v>
      </c>
      <c r="O98" s="47" t="s">
        <v>28</v>
      </c>
      <c r="P98" s="47" t="s">
        <v>29</v>
      </c>
      <c r="Q98" s="47" t="s">
        <v>26</v>
      </c>
      <c r="R98" s="47" t="s">
        <v>64</v>
      </c>
      <c r="S98" s="33" t="s">
        <v>28</v>
      </c>
      <c r="U98" s="46">
        <f t="shared" si="12"/>
        <v>7</v>
      </c>
      <c r="V98" s="46">
        <f t="shared" si="12"/>
        <v>0</v>
      </c>
      <c r="W98" s="46">
        <f t="shared" si="12"/>
        <v>15</v>
      </c>
      <c r="X98" s="46">
        <f t="shared" si="11"/>
        <v>16</v>
      </c>
      <c r="Y98" s="46">
        <f t="shared" si="11"/>
        <v>7</v>
      </c>
      <c r="Z98" s="46">
        <f t="shared" si="11"/>
        <v>14</v>
      </c>
      <c r="AA98" s="46">
        <f t="shared" si="11"/>
        <v>15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203" t="s">
        <v>89</v>
      </c>
      <c r="AL98" s="203">
        <v>1</v>
      </c>
      <c r="AM98" s="203">
        <v>50</v>
      </c>
      <c r="AN98" s="203">
        <v>1</v>
      </c>
      <c r="AO98" s="203">
        <v>1</v>
      </c>
      <c r="AP98" s="203">
        <v>1</v>
      </c>
      <c r="AQ98" s="203">
        <v>50</v>
      </c>
      <c r="AR98" s="203">
        <v>1</v>
      </c>
      <c r="AS98" s="200">
        <v>7</v>
      </c>
    </row>
    <row r="99" spans="12:45">
      <c r="L99" s="18">
        <v>95</v>
      </c>
      <c r="M99" s="47" t="s">
        <v>26</v>
      </c>
      <c r="N99" s="47" t="s">
        <v>64</v>
      </c>
      <c r="O99" s="47" t="s">
        <v>28</v>
      </c>
      <c r="P99" s="47" t="s">
        <v>244</v>
      </c>
      <c r="Q99" s="47" t="s">
        <v>26</v>
      </c>
      <c r="R99" s="47" t="s">
        <v>29</v>
      </c>
      <c r="S99" s="33" t="s">
        <v>28</v>
      </c>
      <c r="U99" s="46">
        <f t="shared" si="12"/>
        <v>7</v>
      </c>
      <c r="V99" s="46">
        <f t="shared" si="12"/>
        <v>14</v>
      </c>
      <c r="W99" s="46">
        <f t="shared" si="12"/>
        <v>15</v>
      </c>
      <c r="X99" s="46">
        <f t="shared" si="11"/>
        <v>0</v>
      </c>
      <c r="Y99" s="46">
        <f t="shared" si="11"/>
        <v>7</v>
      </c>
      <c r="Z99" s="46">
        <f t="shared" si="11"/>
        <v>16</v>
      </c>
      <c r="AA99" s="46">
        <f t="shared" si="11"/>
        <v>15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0</v>
      </c>
      <c r="AM99" s="46">
        <v>1</v>
      </c>
      <c r="AN99" s="46">
        <v>40</v>
      </c>
      <c r="AO99" s="46">
        <v>1</v>
      </c>
      <c r="AP99" s="46">
        <v>50</v>
      </c>
      <c r="AQ99" s="46">
        <v>1</v>
      </c>
      <c r="AR99" s="46">
        <v>1</v>
      </c>
      <c r="AS99" s="5">
        <v>8</v>
      </c>
    </row>
    <row r="100" spans="12:45">
      <c r="L100" s="19">
        <v>96</v>
      </c>
      <c r="M100" s="47" t="s">
        <v>27</v>
      </c>
      <c r="N100" s="47" t="s">
        <v>64</v>
      </c>
      <c r="O100" s="47" t="s">
        <v>28</v>
      </c>
      <c r="P100" s="47" t="s">
        <v>89</v>
      </c>
      <c r="Q100" s="47" t="s">
        <v>89</v>
      </c>
      <c r="R100" s="47" t="s">
        <v>18</v>
      </c>
      <c r="S100" s="33" t="s">
        <v>28</v>
      </c>
      <c r="U100" s="46">
        <f t="shared" si="12"/>
        <v>11</v>
      </c>
      <c r="V100" s="46">
        <f t="shared" si="12"/>
        <v>14</v>
      </c>
      <c r="W100" s="46">
        <f t="shared" si="12"/>
        <v>15</v>
      </c>
      <c r="X100" s="46">
        <f t="shared" si="11"/>
        <v>5</v>
      </c>
      <c r="Y100" s="46">
        <f t="shared" si="11"/>
        <v>5</v>
      </c>
      <c r="Z100" s="46">
        <f t="shared" si="11"/>
        <v>10</v>
      </c>
      <c r="AA100" s="46">
        <f t="shared" si="11"/>
        <v>15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1</v>
      </c>
      <c r="AM100" s="46">
        <v>1</v>
      </c>
      <c r="AN100" s="46">
        <v>1</v>
      </c>
      <c r="AO100" s="46">
        <v>50</v>
      </c>
      <c r="AP100" s="46">
        <v>1</v>
      </c>
      <c r="AQ100" s="46">
        <v>50</v>
      </c>
      <c r="AR100" s="46">
        <v>1</v>
      </c>
      <c r="AS100" s="5">
        <v>9</v>
      </c>
    </row>
    <row r="101" spans="12:45">
      <c r="L101" s="18">
        <v>97</v>
      </c>
      <c r="M101" s="47" t="s">
        <v>29</v>
      </c>
      <c r="N101" s="47" t="s">
        <v>17</v>
      </c>
      <c r="O101" s="47" t="s">
        <v>89</v>
      </c>
      <c r="P101" s="47" t="s">
        <v>89</v>
      </c>
      <c r="Q101" s="47" t="s">
        <v>18</v>
      </c>
      <c r="R101" s="47" t="s">
        <v>18</v>
      </c>
      <c r="S101" s="33" t="s">
        <v>29</v>
      </c>
      <c r="U101" s="46">
        <f t="shared" si="12"/>
        <v>16</v>
      </c>
      <c r="V101" s="46">
        <f t="shared" si="12"/>
        <v>14</v>
      </c>
      <c r="W101" s="46">
        <f t="shared" si="12"/>
        <v>5</v>
      </c>
      <c r="X101" s="46">
        <f t="shared" si="11"/>
        <v>5</v>
      </c>
      <c r="Y101" s="46">
        <f t="shared" si="11"/>
        <v>10</v>
      </c>
      <c r="Z101" s="46">
        <f t="shared" si="11"/>
        <v>10</v>
      </c>
      <c r="AA101" s="46">
        <f t="shared" si="11"/>
        <v>16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20</v>
      </c>
      <c r="AM101" s="46">
        <v>1</v>
      </c>
      <c r="AN101" s="46">
        <v>15</v>
      </c>
      <c r="AO101" s="46">
        <v>1</v>
      </c>
      <c r="AP101" s="46">
        <v>1</v>
      </c>
      <c r="AQ101" s="46">
        <v>1</v>
      </c>
      <c r="AR101" s="46">
        <v>2</v>
      </c>
      <c r="AS101" s="5">
        <v>10</v>
      </c>
    </row>
    <row r="102" spans="12:45">
      <c r="L102" s="19">
        <v>98</v>
      </c>
      <c r="M102" s="47" t="s">
        <v>17</v>
      </c>
      <c r="N102" s="47" t="s">
        <v>89</v>
      </c>
      <c r="O102" s="47" t="s">
        <v>27</v>
      </c>
      <c r="P102" s="47" t="s">
        <v>27</v>
      </c>
      <c r="Q102" s="47" t="s">
        <v>28</v>
      </c>
      <c r="R102" s="47" t="s">
        <v>29</v>
      </c>
      <c r="S102" s="33" t="s">
        <v>18</v>
      </c>
      <c r="U102" s="46">
        <f t="shared" si="12"/>
        <v>14</v>
      </c>
      <c r="V102" s="46">
        <f t="shared" si="12"/>
        <v>5</v>
      </c>
      <c r="W102" s="46">
        <f t="shared" si="12"/>
        <v>11</v>
      </c>
      <c r="X102" s="46">
        <f t="shared" si="11"/>
        <v>11</v>
      </c>
      <c r="Y102" s="46">
        <f t="shared" si="11"/>
        <v>15</v>
      </c>
      <c r="Z102" s="46">
        <f t="shared" si="11"/>
        <v>16</v>
      </c>
      <c r="AA102" s="46">
        <f t="shared" si="11"/>
        <v>10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1</v>
      </c>
      <c r="AM102" s="46">
        <v>50</v>
      </c>
      <c r="AN102" s="46">
        <v>1</v>
      </c>
      <c r="AO102" s="46">
        <v>1</v>
      </c>
      <c r="AP102" s="46">
        <v>1</v>
      </c>
      <c r="AQ102" s="46">
        <v>1</v>
      </c>
      <c r="AR102" s="46">
        <v>1</v>
      </c>
      <c r="AS102" s="5">
        <v>11</v>
      </c>
    </row>
    <row r="103" spans="12:45">
      <c r="L103" s="18">
        <v>99</v>
      </c>
      <c r="M103" s="47" t="s">
        <v>28</v>
      </c>
      <c r="N103" s="47" t="s">
        <v>244</v>
      </c>
      <c r="O103" s="47" t="s">
        <v>26</v>
      </c>
      <c r="P103" s="47" t="s">
        <v>27</v>
      </c>
      <c r="Q103" s="47" t="s">
        <v>28</v>
      </c>
      <c r="R103" s="47" t="s">
        <v>29</v>
      </c>
      <c r="S103" s="33" t="s">
        <v>18</v>
      </c>
      <c r="U103" s="46">
        <f t="shared" si="12"/>
        <v>15</v>
      </c>
      <c r="V103" s="46">
        <f t="shared" si="12"/>
        <v>0</v>
      </c>
      <c r="W103" s="46">
        <f t="shared" si="12"/>
        <v>7</v>
      </c>
      <c r="X103" s="46">
        <f t="shared" si="11"/>
        <v>11</v>
      </c>
      <c r="Y103" s="46">
        <f t="shared" si="11"/>
        <v>15</v>
      </c>
      <c r="Z103" s="46">
        <f t="shared" si="11"/>
        <v>16</v>
      </c>
      <c r="AA103" s="46">
        <f t="shared" si="11"/>
        <v>10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50</v>
      </c>
      <c r="AM103" s="46">
        <v>1</v>
      </c>
      <c r="AN103" s="46">
        <v>1</v>
      </c>
      <c r="AO103" s="46">
        <v>1</v>
      </c>
      <c r="AP103" s="46">
        <v>1</v>
      </c>
      <c r="AQ103" s="46">
        <v>1</v>
      </c>
      <c r="AR103" s="46">
        <v>1</v>
      </c>
      <c r="AS103" s="5">
        <v>12</v>
      </c>
    </row>
    <row r="104" spans="12:45">
      <c r="L104" s="19">
        <v>100</v>
      </c>
      <c r="M104" s="47" t="s">
        <v>89</v>
      </c>
      <c r="N104" s="47" t="s">
        <v>18</v>
      </c>
      <c r="O104" s="47" t="s">
        <v>26</v>
      </c>
      <c r="P104" s="47" t="s">
        <v>250</v>
      </c>
      <c r="Q104" s="47" t="s">
        <v>18</v>
      </c>
      <c r="R104" s="47" t="s">
        <v>64</v>
      </c>
      <c r="S104" s="33" t="s">
        <v>18</v>
      </c>
      <c r="U104" s="46">
        <f t="shared" si="12"/>
        <v>5</v>
      </c>
      <c r="V104" s="46">
        <f t="shared" si="12"/>
        <v>10</v>
      </c>
      <c r="W104" s="46">
        <f t="shared" si="12"/>
        <v>7</v>
      </c>
      <c r="X104" s="46">
        <f t="shared" si="11"/>
        <v>0</v>
      </c>
      <c r="Y104" s="46">
        <f t="shared" si="11"/>
        <v>10</v>
      </c>
      <c r="Z104" s="46">
        <f t="shared" si="11"/>
        <v>14</v>
      </c>
      <c r="AA104" s="46">
        <f t="shared" si="11"/>
        <v>10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203" t="s">
        <v>234</v>
      </c>
      <c r="AL104" s="203">
        <v>0</v>
      </c>
      <c r="AM104" s="203">
        <v>2</v>
      </c>
      <c r="AN104" s="203">
        <v>2</v>
      </c>
      <c r="AO104" s="203">
        <v>1</v>
      </c>
      <c r="AP104" s="203">
        <v>2</v>
      </c>
      <c r="AQ104" s="203">
        <v>0</v>
      </c>
      <c r="AR104" s="203">
        <v>0</v>
      </c>
      <c r="AS104" s="200">
        <v>13</v>
      </c>
    </row>
    <row r="105" spans="12:45">
      <c r="L105" s="18">
        <v>101</v>
      </c>
      <c r="M105" s="47" t="s">
        <v>89</v>
      </c>
      <c r="N105" s="47" t="s">
        <v>69</v>
      </c>
      <c r="O105" s="47" t="s">
        <v>28</v>
      </c>
      <c r="P105" s="47" t="s">
        <v>64</v>
      </c>
      <c r="Q105" s="47" t="s">
        <v>252</v>
      </c>
      <c r="R105" s="47" t="s">
        <v>64</v>
      </c>
      <c r="S105" s="33" t="s">
        <v>28</v>
      </c>
      <c r="U105" s="46">
        <f t="shared" si="12"/>
        <v>5</v>
      </c>
      <c r="V105" s="46">
        <f t="shared" si="12"/>
        <v>3</v>
      </c>
      <c r="W105" s="46">
        <f t="shared" si="12"/>
        <v>15</v>
      </c>
      <c r="X105" s="46">
        <f t="shared" si="11"/>
        <v>14</v>
      </c>
      <c r="Y105" s="46">
        <f t="shared" si="11"/>
        <v>0</v>
      </c>
      <c r="Z105" s="46">
        <f t="shared" si="11"/>
        <v>14</v>
      </c>
      <c r="AA105" s="46">
        <f t="shared" si="11"/>
        <v>15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203" t="s">
        <v>236</v>
      </c>
      <c r="AL105" s="203">
        <v>0</v>
      </c>
      <c r="AM105" s="203">
        <v>1</v>
      </c>
      <c r="AN105" s="203">
        <v>1</v>
      </c>
      <c r="AO105" s="203">
        <v>2</v>
      </c>
      <c r="AP105" s="203">
        <v>1</v>
      </c>
      <c r="AQ105" s="203">
        <v>0</v>
      </c>
      <c r="AR105" s="203">
        <v>0</v>
      </c>
      <c r="AS105" s="200">
        <v>14</v>
      </c>
    </row>
    <row r="106" spans="12:45">
      <c r="L106" s="19">
        <v>102</v>
      </c>
      <c r="M106" s="47" t="s">
        <v>26</v>
      </c>
      <c r="N106" s="47" t="s">
        <v>268</v>
      </c>
      <c r="O106" s="47" t="s">
        <v>28</v>
      </c>
      <c r="P106" s="47" t="s">
        <v>24</v>
      </c>
      <c r="Q106" s="47" t="s">
        <v>28</v>
      </c>
      <c r="R106" s="47" t="s">
        <v>27</v>
      </c>
      <c r="S106" s="33" t="s">
        <v>28</v>
      </c>
      <c r="U106" s="46">
        <f t="shared" si="12"/>
        <v>7</v>
      </c>
      <c r="V106" s="46">
        <f t="shared" si="12"/>
        <v>0</v>
      </c>
      <c r="W106" s="46">
        <f t="shared" si="12"/>
        <v>15</v>
      </c>
      <c r="X106" s="46">
        <f t="shared" si="11"/>
        <v>8</v>
      </c>
      <c r="Y106" s="46">
        <f t="shared" si="11"/>
        <v>15</v>
      </c>
      <c r="Z106" s="46">
        <f t="shared" si="11"/>
        <v>11</v>
      </c>
      <c r="AA106" s="46">
        <f t="shared" si="11"/>
        <v>15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203" t="s">
        <v>238</v>
      </c>
      <c r="AL106" s="203">
        <v>0</v>
      </c>
      <c r="AM106" s="203">
        <v>2</v>
      </c>
      <c r="AN106" s="203">
        <v>2</v>
      </c>
      <c r="AO106" s="203">
        <v>1</v>
      </c>
      <c r="AP106" s="203">
        <v>1</v>
      </c>
      <c r="AQ106" s="203">
        <v>0</v>
      </c>
      <c r="AR106" s="203">
        <v>0</v>
      </c>
      <c r="AS106" s="200">
        <v>15</v>
      </c>
    </row>
    <row r="107" spans="12:45">
      <c r="L107" s="18">
        <v>103</v>
      </c>
      <c r="M107" s="47" t="s">
        <v>27</v>
      </c>
      <c r="N107" s="47" t="s">
        <v>18</v>
      </c>
      <c r="O107" s="47" t="s">
        <v>29</v>
      </c>
      <c r="P107" s="47" t="s">
        <v>27</v>
      </c>
      <c r="Q107" s="47" t="s">
        <v>28</v>
      </c>
      <c r="R107" s="47" t="s">
        <v>27</v>
      </c>
      <c r="S107" s="33" t="s">
        <v>21</v>
      </c>
      <c r="U107" s="46">
        <f t="shared" si="12"/>
        <v>11</v>
      </c>
      <c r="V107" s="46">
        <f t="shared" si="12"/>
        <v>10</v>
      </c>
      <c r="W107" s="46">
        <f t="shared" si="12"/>
        <v>16</v>
      </c>
      <c r="X107" s="46">
        <f t="shared" si="11"/>
        <v>11</v>
      </c>
      <c r="Y107" s="46">
        <f t="shared" si="11"/>
        <v>15</v>
      </c>
      <c r="Z107" s="46">
        <f t="shared" si="11"/>
        <v>11</v>
      </c>
      <c r="AA107" s="46">
        <f t="shared" si="11"/>
        <v>12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203" t="s">
        <v>240</v>
      </c>
      <c r="AL107" s="203">
        <v>0</v>
      </c>
      <c r="AM107" s="203">
        <v>1</v>
      </c>
      <c r="AN107" s="203">
        <v>1</v>
      </c>
      <c r="AO107" s="203">
        <v>1</v>
      </c>
      <c r="AP107" s="203">
        <v>1</v>
      </c>
      <c r="AQ107" s="203">
        <v>0</v>
      </c>
      <c r="AR107" s="203">
        <v>0</v>
      </c>
      <c r="AS107" s="200">
        <v>16</v>
      </c>
    </row>
    <row r="108" spans="12:45">
      <c r="L108" s="19">
        <v>104</v>
      </c>
      <c r="M108" s="47" t="s">
        <v>26</v>
      </c>
      <c r="N108" s="47" t="s">
        <v>18</v>
      </c>
      <c r="O108" s="47" t="s">
        <v>21</v>
      </c>
      <c r="P108" s="47" t="s">
        <v>27</v>
      </c>
      <c r="Q108" s="47" t="s">
        <v>89</v>
      </c>
      <c r="R108" s="47" t="s">
        <v>29</v>
      </c>
      <c r="S108" s="33" t="s">
        <v>21</v>
      </c>
      <c r="U108" s="46">
        <f t="shared" si="12"/>
        <v>7</v>
      </c>
      <c r="V108" s="46">
        <f t="shared" si="12"/>
        <v>10</v>
      </c>
      <c r="W108" s="46">
        <f t="shared" si="12"/>
        <v>12</v>
      </c>
      <c r="X108" s="46">
        <f t="shared" si="11"/>
        <v>11</v>
      </c>
      <c r="Y108" s="46">
        <f t="shared" si="11"/>
        <v>5</v>
      </c>
      <c r="Z108" s="46">
        <f t="shared" si="11"/>
        <v>16</v>
      </c>
      <c r="AA108" s="46">
        <f t="shared" si="11"/>
        <v>12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203" t="s">
        <v>242</v>
      </c>
      <c r="AL108" s="203">
        <v>0</v>
      </c>
      <c r="AM108" s="203">
        <v>2</v>
      </c>
      <c r="AN108" s="203">
        <v>2</v>
      </c>
      <c r="AO108" s="203">
        <v>1</v>
      </c>
      <c r="AP108" s="203">
        <v>2</v>
      </c>
      <c r="AQ108" s="203">
        <v>0</v>
      </c>
      <c r="AR108" s="203">
        <v>0</v>
      </c>
      <c r="AS108" s="200">
        <v>17</v>
      </c>
    </row>
    <row r="109" spans="12:45">
      <c r="L109" s="18">
        <v>105</v>
      </c>
      <c r="M109" s="47" t="s">
        <v>29</v>
      </c>
      <c r="N109" s="47" t="s">
        <v>29</v>
      </c>
      <c r="O109" s="47" t="s">
        <v>21</v>
      </c>
      <c r="P109" s="47" t="s">
        <v>17</v>
      </c>
      <c r="Q109" s="47" t="s">
        <v>28</v>
      </c>
      <c r="R109" s="47" t="s">
        <v>29</v>
      </c>
      <c r="S109" s="33" t="s">
        <v>29</v>
      </c>
      <c r="U109" s="46">
        <f t="shared" si="12"/>
        <v>16</v>
      </c>
      <c r="V109" s="46">
        <f t="shared" si="12"/>
        <v>16</v>
      </c>
      <c r="W109" s="46">
        <f t="shared" si="12"/>
        <v>12</v>
      </c>
      <c r="X109" s="46">
        <f t="shared" si="11"/>
        <v>14</v>
      </c>
      <c r="Y109" s="46">
        <f t="shared" si="11"/>
        <v>15</v>
      </c>
      <c r="Z109" s="46">
        <f t="shared" si="11"/>
        <v>16</v>
      </c>
      <c r="AA109" s="46">
        <f t="shared" si="11"/>
        <v>16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203" t="s">
        <v>244</v>
      </c>
      <c r="AL109" s="203">
        <v>0</v>
      </c>
      <c r="AM109" s="203">
        <v>2</v>
      </c>
      <c r="AN109" s="203">
        <v>2</v>
      </c>
      <c r="AO109" s="203">
        <v>1</v>
      </c>
      <c r="AP109" s="203">
        <v>2</v>
      </c>
      <c r="AQ109" s="203">
        <v>0</v>
      </c>
      <c r="AR109" s="203">
        <v>0</v>
      </c>
      <c r="AS109" s="200">
        <v>18</v>
      </c>
    </row>
    <row r="110" spans="12:45">
      <c r="L110" s="19">
        <v>106</v>
      </c>
      <c r="M110" s="47" t="s">
        <v>20</v>
      </c>
      <c r="N110" s="47" t="s">
        <v>27</v>
      </c>
      <c r="O110" s="47" t="s">
        <v>28</v>
      </c>
      <c r="P110" s="47" t="s">
        <v>64</v>
      </c>
      <c r="Q110" s="47" t="s">
        <v>29</v>
      </c>
      <c r="R110" s="47" t="s">
        <v>24</v>
      </c>
      <c r="S110" s="33" t="s">
        <v>29</v>
      </c>
      <c r="U110" s="46">
        <f t="shared" si="12"/>
        <v>6</v>
      </c>
      <c r="V110" s="46">
        <f t="shared" si="12"/>
        <v>11</v>
      </c>
      <c r="W110" s="46">
        <f t="shared" si="12"/>
        <v>15</v>
      </c>
      <c r="X110" s="46">
        <f t="shared" si="11"/>
        <v>14</v>
      </c>
      <c r="Y110" s="46">
        <f t="shared" si="11"/>
        <v>16</v>
      </c>
      <c r="Z110" s="46">
        <f t="shared" si="11"/>
        <v>8</v>
      </c>
      <c r="AA110" s="46">
        <f t="shared" si="11"/>
        <v>16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246</v>
      </c>
      <c r="AL110" s="46">
        <v>0</v>
      </c>
      <c r="AM110" s="46">
        <v>2</v>
      </c>
      <c r="AN110" s="46">
        <v>1</v>
      </c>
      <c r="AO110" s="46">
        <v>1</v>
      </c>
      <c r="AP110" s="46">
        <v>2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17</v>
      </c>
      <c r="N111" s="47" t="s">
        <v>27</v>
      </c>
      <c r="O111" s="47" t="s">
        <v>28</v>
      </c>
      <c r="P111" s="47" t="s">
        <v>28</v>
      </c>
      <c r="Q111" s="47" t="s">
        <v>18</v>
      </c>
      <c r="R111" s="47" t="s">
        <v>24</v>
      </c>
      <c r="S111" s="33" t="s">
        <v>29</v>
      </c>
      <c r="U111" s="46">
        <f t="shared" si="12"/>
        <v>14</v>
      </c>
      <c r="V111" s="46">
        <f t="shared" si="12"/>
        <v>11</v>
      </c>
      <c r="W111" s="46">
        <f t="shared" si="12"/>
        <v>15</v>
      </c>
      <c r="X111" s="46">
        <f t="shared" si="11"/>
        <v>15</v>
      </c>
      <c r="Y111" s="46">
        <f t="shared" si="11"/>
        <v>10</v>
      </c>
      <c r="Z111" s="46">
        <f t="shared" si="11"/>
        <v>8</v>
      </c>
      <c r="AA111" s="46">
        <f t="shared" si="11"/>
        <v>16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248</v>
      </c>
      <c r="AL111" s="46">
        <v>0</v>
      </c>
      <c r="AM111" s="46">
        <v>2</v>
      </c>
      <c r="AN111" s="46">
        <v>1</v>
      </c>
      <c r="AO111" s="46">
        <v>2</v>
      </c>
      <c r="AP111" s="46">
        <v>1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27</v>
      </c>
      <c r="N112" s="47" t="s">
        <v>17</v>
      </c>
      <c r="O112" s="47" t="s">
        <v>28</v>
      </c>
      <c r="P112" s="47" t="s">
        <v>29</v>
      </c>
      <c r="Q112" s="47" t="s">
        <v>244</v>
      </c>
      <c r="R112" s="47" t="s">
        <v>29</v>
      </c>
      <c r="S112" s="33" t="s">
        <v>28</v>
      </c>
      <c r="U112" s="46">
        <f t="shared" si="12"/>
        <v>11</v>
      </c>
      <c r="V112" s="46">
        <f t="shared" si="12"/>
        <v>14</v>
      </c>
      <c r="W112" s="46">
        <f t="shared" si="12"/>
        <v>15</v>
      </c>
      <c r="X112" s="46">
        <f t="shared" si="11"/>
        <v>16</v>
      </c>
      <c r="Y112" s="46">
        <f t="shared" si="11"/>
        <v>0</v>
      </c>
      <c r="Z112" s="46">
        <f t="shared" si="11"/>
        <v>16</v>
      </c>
      <c r="AA112" s="46">
        <f t="shared" si="11"/>
        <v>15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250</v>
      </c>
      <c r="AL112" s="46">
        <v>0</v>
      </c>
      <c r="AM112" s="46">
        <v>2</v>
      </c>
      <c r="AN112" s="46">
        <v>2</v>
      </c>
      <c r="AO112" s="46">
        <v>1</v>
      </c>
      <c r="AP112" s="46">
        <v>1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27</v>
      </c>
      <c r="N113" s="47" t="s">
        <v>24</v>
      </c>
      <c r="O113" s="47" t="s">
        <v>24</v>
      </c>
      <c r="P113" s="47" t="s">
        <v>64</v>
      </c>
      <c r="Q113" s="47" t="s">
        <v>89</v>
      </c>
      <c r="R113" s="47" t="s">
        <v>29</v>
      </c>
      <c r="S113" s="47" t="s">
        <v>28</v>
      </c>
      <c r="U113" s="46">
        <f t="shared" si="12"/>
        <v>11</v>
      </c>
      <c r="V113" s="46">
        <f t="shared" si="12"/>
        <v>8</v>
      </c>
      <c r="W113" s="46">
        <f t="shared" si="12"/>
        <v>8</v>
      </c>
      <c r="X113" s="46">
        <f t="shared" si="11"/>
        <v>14</v>
      </c>
      <c r="Y113" s="46">
        <f t="shared" si="11"/>
        <v>5</v>
      </c>
      <c r="Z113" s="46">
        <f t="shared" si="11"/>
        <v>16</v>
      </c>
      <c r="AA113" s="46">
        <f t="shared" si="11"/>
        <v>15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252</v>
      </c>
      <c r="AL113" s="46">
        <v>0</v>
      </c>
      <c r="AM113" s="46">
        <v>1</v>
      </c>
      <c r="AN113" s="46">
        <v>1</v>
      </c>
      <c r="AO113" s="46">
        <v>1</v>
      </c>
      <c r="AP113" s="46">
        <v>1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28</v>
      </c>
      <c r="N114" s="47" t="s">
        <v>64</v>
      </c>
      <c r="O114" s="47" t="s">
        <v>24</v>
      </c>
      <c r="P114" s="47" t="s">
        <v>64</v>
      </c>
      <c r="Q114" s="47" t="s">
        <v>28</v>
      </c>
      <c r="R114" s="47" t="s">
        <v>27</v>
      </c>
      <c r="S114" s="33" t="s">
        <v>28</v>
      </c>
      <c r="U114" s="46">
        <f t="shared" si="12"/>
        <v>15</v>
      </c>
      <c r="V114" s="46">
        <f t="shared" si="12"/>
        <v>14</v>
      </c>
      <c r="W114" s="46">
        <f t="shared" si="12"/>
        <v>8</v>
      </c>
      <c r="X114" s="46">
        <f t="shared" si="11"/>
        <v>14</v>
      </c>
      <c r="Y114" s="46">
        <f t="shared" si="11"/>
        <v>15</v>
      </c>
      <c r="Z114" s="46">
        <f t="shared" si="11"/>
        <v>11</v>
      </c>
      <c r="AA114" s="46">
        <f t="shared" si="11"/>
        <v>15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254</v>
      </c>
      <c r="AL114" s="46">
        <v>0</v>
      </c>
      <c r="AM114" s="46">
        <v>2</v>
      </c>
      <c r="AN114" s="46">
        <v>1</v>
      </c>
      <c r="AO114" s="46">
        <v>1</v>
      </c>
      <c r="AP114" s="46">
        <v>1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89</v>
      </c>
      <c r="N115" s="47" t="s">
        <v>27</v>
      </c>
      <c r="O115" s="47" t="s">
        <v>252</v>
      </c>
      <c r="P115" s="47" t="s">
        <v>20</v>
      </c>
      <c r="Q115" s="47" t="s">
        <v>89</v>
      </c>
      <c r="R115" s="47" t="s">
        <v>24</v>
      </c>
      <c r="S115" s="33" t="s">
        <v>21</v>
      </c>
      <c r="U115" s="46">
        <f t="shared" si="12"/>
        <v>5</v>
      </c>
      <c r="V115" s="46">
        <f t="shared" si="12"/>
        <v>11</v>
      </c>
      <c r="W115" s="46">
        <f t="shared" si="12"/>
        <v>0</v>
      </c>
      <c r="X115" s="46">
        <f t="shared" si="11"/>
        <v>6</v>
      </c>
      <c r="Y115" s="46">
        <f t="shared" si="11"/>
        <v>5</v>
      </c>
      <c r="Z115" s="46">
        <f t="shared" si="11"/>
        <v>8</v>
      </c>
      <c r="AA115" s="46">
        <f t="shared" si="11"/>
        <v>12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203" t="s">
        <v>101</v>
      </c>
      <c r="AL115" s="203">
        <v>0</v>
      </c>
      <c r="AM115" s="203">
        <v>2</v>
      </c>
      <c r="AN115" s="203">
        <v>2</v>
      </c>
      <c r="AO115" s="203">
        <v>2</v>
      </c>
      <c r="AP115" s="203">
        <v>2</v>
      </c>
      <c r="AQ115" s="203">
        <v>0</v>
      </c>
      <c r="AR115" s="203">
        <v>0</v>
      </c>
      <c r="AS115" s="200">
        <v>24</v>
      </c>
    </row>
    <row r="116" spans="12:46">
      <c r="L116" s="19">
        <v>112</v>
      </c>
      <c r="M116" s="47" t="s">
        <v>20</v>
      </c>
      <c r="N116" s="47" t="s">
        <v>27</v>
      </c>
      <c r="O116" s="47" t="s">
        <v>28</v>
      </c>
      <c r="P116" s="47" t="s">
        <v>254</v>
      </c>
      <c r="Q116" s="47" t="s">
        <v>89</v>
      </c>
      <c r="R116" s="47" t="s">
        <v>27</v>
      </c>
      <c r="S116" s="33" t="s">
        <v>21</v>
      </c>
      <c r="U116" s="46">
        <f t="shared" si="12"/>
        <v>6</v>
      </c>
      <c r="V116" s="46">
        <f t="shared" si="12"/>
        <v>11</v>
      </c>
      <c r="W116" s="46">
        <f t="shared" si="12"/>
        <v>15</v>
      </c>
      <c r="X116" s="46">
        <f t="shared" si="11"/>
        <v>0</v>
      </c>
      <c r="Y116" s="46">
        <f t="shared" si="11"/>
        <v>5</v>
      </c>
      <c r="Z116" s="46">
        <f t="shared" si="11"/>
        <v>11</v>
      </c>
      <c r="AA116" s="46">
        <f t="shared" si="11"/>
        <v>12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203" t="s">
        <v>269</v>
      </c>
      <c r="AL116" s="203">
        <v>0</v>
      </c>
      <c r="AM116" s="203">
        <v>0</v>
      </c>
      <c r="AN116" s="203">
        <v>0</v>
      </c>
      <c r="AO116" s="203">
        <v>0</v>
      </c>
      <c r="AP116" s="203">
        <v>0</v>
      </c>
      <c r="AQ116" s="203">
        <v>0</v>
      </c>
      <c r="AR116" s="203">
        <v>0</v>
      </c>
      <c r="AS116" s="200">
        <v>25</v>
      </c>
    </row>
    <row r="117" spans="12:46">
      <c r="L117" s="18">
        <v>113</v>
      </c>
      <c r="M117" s="47" t="s">
        <v>29</v>
      </c>
      <c r="N117" s="47" t="s">
        <v>21</v>
      </c>
      <c r="O117" s="47" t="s">
        <v>89</v>
      </c>
      <c r="P117" s="47" t="s">
        <v>28</v>
      </c>
      <c r="Q117" s="47" t="s">
        <v>89</v>
      </c>
      <c r="R117" s="47" t="s">
        <v>27</v>
      </c>
      <c r="S117" s="33" t="s">
        <v>27</v>
      </c>
      <c r="U117" s="46">
        <f t="shared" si="12"/>
        <v>16</v>
      </c>
      <c r="V117" s="46">
        <f t="shared" si="12"/>
        <v>12</v>
      </c>
      <c r="W117" s="46">
        <f t="shared" si="12"/>
        <v>5</v>
      </c>
      <c r="X117" s="46">
        <f t="shared" si="11"/>
        <v>15</v>
      </c>
      <c r="Y117" s="46">
        <f t="shared" si="11"/>
        <v>5</v>
      </c>
      <c r="Z117" s="46">
        <f t="shared" si="11"/>
        <v>11</v>
      </c>
      <c r="AA117" s="46">
        <f t="shared" si="11"/>
        <v>11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27</v>
      </c>
      <c r="N118" s="47" t="s">
        <v>21</v>
      </c>
      <c r="O118" s="47" t="s">
        <v>26</v>
      </c>
      <c r="P118" s="47" t="s">
        <v>26</v>
      </c>
      <c r="Q118" s="47" t="s">
        <v>18</v>
      </c>
      <c r="R118" s="47" t="s">
        <v>20</v>
      </c>
      <c r="S118" s="33" t="s">
        <v>27</v>
      </c>
      <c r="U118" s="46">
        <f t="shared" si="12"/>
        <v>11</v>
      </c>
      <c r="V118" s="46">
        <f t="shared" si="12"/>
        <v>12</v>
      </c>
      <c r="W118" s="46">
        <f t="shared" si="12"/>
        <v>7</v>
      </c>
      <c r="X118" s="46">
        <f t="shared" si="11"/>
        <v>7</v>
      </c>
      <c r="Y118" s="46">
        <f t="shared" si="11"/>
        <v>10</v>
      </c>
      <c r="Z118" s="46">
        <f t="shared" si="11"/>
        <v>6</v>
      </c>
      <c r="AA118" s="46">
        <f t="shared" si="11"/>
        <v>11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274</v>
      </c>
    </row>
    <row r="119" spans="12:46">
      <c r="L119" s="18">
        <v>115</v>
      </c>
      <c r="M119" s="47" t="s">
        <v>29</v>
      </c>
      <c r="N119" s="47" t="s">
        <v>89</v>
      </c>
      <c r="O119" s="47" t="s">
        <v>18</v>
      </c>
      <c r="P119" s="47" t="s">
        <v>242</v>
      </c>
      <c r="Q119" s="47" t="s">
        <v>236</v>
      </c>
      <c r="R119" s="47" t="s">
        <v>20</v>
      </c>
      <c r="S119" s="33" t="s">
        <v>69</v>
      </c>
      <c r="U119" s="46">
        <f t="shared" si="12"/>
        <v>16</v>
      </c>
      <c r="V119" s="46">
        <f t="shared" si="12"/>
        <v>5</v>
      </c>
      <c r="W119" s="46">
        <f t="shared" si="12"/>
        <v>10</v>
      </c>
      <c r="X119" s="46">
        <f t="shared" si="11"/>
        <v>0</v>
      </c>
      <c r="Y119" s="46">
        <f t="shared" si="11"/>
        <v>0</v>
      </c>
      <c r="Z119" s="46">
        <f t="shared" si="11"/>
        <v>6</v>
      </c>
      <c r="AA119" s="46">
        <f t="shared" ref="AA119:AA124" si="13">VLOOKUP(S119, $A$4:$J$29, 9, 0)</f>
        <v>3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277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29</v>
      </c>
      <c r="N120" s="47" t="s">
        <v>29</v>
      </c>
      <c r="O120" s="47" t="s">
        <v>24</v>
      </c>
      <c r="P120" s="47" t="s">
        <v>64</v>
      </c>
      <c r="Q120" s="47" t="s">
        <v>21</v>
      </c>
      <c r="R120" s="47" t="s">
        <v>27</v>
      </c>
      <c r="S120" s="33" t="s">
        <v>69</v>
      </c>
      <c r="U120" s="46">
        <f t="shared" si="12"/>
        <v>16</v>
      </c>
      <c r="V120" s="46">
        <f t="shared" si="12"/>
        <v>16</v>
      </c>
      <c r="W120" s="46">
        <f t="shared" si="12"/>
        <v>8</v>
      </c>
      <c r="X120" s="46">
        <f t="shared" si="12"/>
        <v>14</v>
      </c>
      <c r="Y120" s="46">
        <f t="shared" si="12"/>
        <v>12</v>
      </c>
      <c r="Z120" s="46">
        <f t="shared" si="12"/>
        <v>11</v>
      </c>
      <c r="AA120" s="46">
        <f t="shared" si="13"/>
        <v>3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64</v>
      </c>
      <c r="N121" s="47" t="s">
        <v>29</v>
      </c>
      <c r="O121" s="47" t="s">
        <v>24</v>
      </c>
      <c r="P121" s="47" t="s">
        <v>27</v>
      </c>
      <c r="Q121" s="47" t="s">
        <v>21</v>
      </c>
      <c r="R121" s="47" t="s">
        <v>27</v>
      </c>
      <c r="S121" s="33" t="s">
        <v>69</v>
      </c>
      <c r="U121" s="46">
        <f t="shared" ref="U121:Z124" si="14">VLOOKUP(M121, $A$4:$J$29, 9, 0)</f>
        <v>14</v>
      </c>
      <c r="V121" s="46">
        <f t="shared" si="14"/>
        <v>16</v>
      </c>
      <c r="W121" s="46">
        <f t="shared" si="14"/>
        <v>8</v>
      </c>
      <c r="X121" s="46">
        <f t="shared" si="14"/>
        <v>11</v>
      </c>
      <c r="Y121" s="46">
        <f t="shared" si="14"/>
        <v>12</v>
      </c>
      <c r="Z121" s="46">
        <f t="shared" si="14"/>
        <v>11</v>
      </c>
      <c r="AA121" s="46">
        <f t="shared" si="13"/>
        <v>3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5</v>
      </c>
      <c r="AM121" s="46">
        <v>5</v>
      </c>
      <c r="AN121" s="46">
        <v>5</v>
      </c>
      <c r="AO121" s="46">
        <v>5</v>
      </c>
      <c r="AP121" s="46">
        <v>5</v>
      </c>
      <c r="AQ121" s="46">
        <v>5</v>
      </c>
      <c r="AR121" s="46">
        <v>0</v>
      </c>
      <c r="AS121" s="5">
        <v>1</v>
      </c>
    </row>
    <row r="122" spans="12:46">
      <c r="L122" s="19">
        <v>118</v>
      </c>
      <c r="M122" s="47" t="s">
        <v>29</v>
      </c>
      <c r="N122" s="47" t="s">
        <v>250</v>
      </c>
      <c r="O122" s="47" t="s">
        <v>64</v>
      </c>
      <c r="P122" s="47" t="s">
        <v>27</v>
      </c>
      <c r="Q122" s="47" t="s">
        <v>89</v>
      </c>
      <c r="R122" s="47" t="s">
        <v>24</v>
      </c>
      <c r="S122" s="33" t="s">
        <v>26</v>
      </c>
      <c r="U122" s="46">
        <f t="shared" si="14"/>
        <v>16</v>
      </c>
      <c r="V122" s="46">
        <f t="shared" si="14"/>
        <v>0</v>
      </c>
      <c r="W122" s="46">
        <f t="shared" si="14"/>
        <v>14</v>
      </c>
      <c r="X122" s="46">
        <f t="shared" si="14"/>
        <v>11</v>
      </c>
      <c r="Y122" s="46">
        <f t="shared" si="14"/>
        <v>5</v>
      </c>
      <c r="Z122" s="46">
        <f t="shared" si="14"/>
        <v>8</v>
      </c>
      <c r="AA122" s="46">
        <f t="shared" si="13"/>
        <v>7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203" t="s">
        <v>20</v>
      </c>
      <c r="AL122" s="203">
        <v>40</v>
      </c>
      <c r="AM122" s="203">
        <v>0</v>
      </c>
      <c r="AN122" s="203">
        <v>1</v>
      </c>
      <c r="AO122" s="203">
        <v>1</v>
      </c>
      <c r="AP122" s="203">
        <v>70</v>
      </c>
      <c r="AQ122" s="203">
        <v>1</v>
      </c>
      <c r="AR122" s="203">
        <v>0</v>
      </c>
      <c r="AS122" s="200">
        <v>2</v>
      </c>
    </row>
    <row r="123" spans="12:46">
      <c r="L123" s="18">
        <v>119</v>
      </c>
      <c r="M123" s="47" t="s">
        <v>69</v>
      </c>
      <c r="N123" s="47" t="s">
        <v>69</v>
      </c>
      <c r="O123" s="47" t="s">
        <v>69</v>
      </c>
      <c r="P123" s="47" t="s">
        <v>69</v>
      </c>
      <c r="Q123" s="47" t="s">
        <v>69</v>
      </c>
      <c r="R123" s="47" t="s">
        <v>69</v>
      </c>
      <c r="S123" s="33" t="s">
        <v>26</v>
      </c>
      <c r="U123" s="46">
        <f t="shared" si="14"/>
        <v>3</v>
      </c>
      <c r="V123" s="46">
        <f t="shared" si="14"/>
        <v>3</v>
      </c>
      <c r="W123" s="46">
        <f t="shared" si="14"/>
        <v>3</v>
      </c>
      <c r="X123" s="46">
        <f t="shared" si="14"/>
        <v>3</v>
      </c>
      <c r="Y123" s="46">
        <f t="shared" si="14"/>
        <v>3</v>
      </c>
      <c r="Z123" s="46">
        <f t="shared" si="14"/>
        <v>3</v>
      </c>
      <c r="AA123" s="46">
        <f t="shared" si="13"/>
        <v>7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203" t="s">
        <v>21</v>
      </c>
      <c r="AL123" s="203">
        <v>1</v>
      </c>
      <c r="AM123" s="203">
        <v>70</v>
      </c>
      <c r="AN123" s="203">
        <v>1</v>
      </c>
      <c r="AO123" s="203">
        <v>70</v>
      </c>
      <c r="AP123" s="203">
        <v>1</v>
      </c>
      <c r="AQ123" s="203">
        <v>1</v>
      </c>
      <c r="AR123" s="203">
        <v>0</v>
      </c>
      <c r="AS123" s="200">
        <v>3</v>
      </c>
    </row>
    <row r="124" spans="12:46">
      <c r="L124" s="19">
        <v>120</v>
      </c>
      <c r="M124" s="47" t="s">
        <v>69</v>
      </c>
      <c r="N124" s="47" t="s">
        <v>69</v>
      </c>
      <c r="O124" s="47" t="s">
        <v>69</v>
      </c>
      <c r="P124" s="47" t="s">
        <v>69</v>
      </c>
      <c r="Q124" s="47" t="s">
        <v>69</v>
      </c>
      <c r="R124" s="47" t="s">
        <v>69</v>
      </c>
      <c r="S124" s="33" t="s">
        <v>26</v>
      </c>
      <c r="U124" s="46">
        <f t="shared" si="14"/>
        <v>3</v>
      </c>
      <c r="V124" s="46">
        <f t="shared" si="14"/>
        <v>3</v>
      </c>
      <c r="W124" s="46">
        <f t="shared" si="14"/>
        <v>3</v>
      </c>
      <c r="X124" s="46">
        <f t="shared" si="14"/>
        <v>3</v>
      </c>
      <c r="Y124" s="46">
        <f t="shared" si="14"/>
        <v>3</v>
      </c>
      <c r="Z124" s="46">
        <f t="shared" si="14"/>
        <v>3</v>
      </c>
      <c r="AA124" s="46">
        <f t="shared" si="13"/>
        <v>7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203" t="s">
        <v>17</v>
      </c>
      <c r="AL124" s="203">
        <v>0</v>
      </c>
      <c r="AM124" s="203">
        <v>1</v>
      </c>
      <c r="AN124" s="203">
        <v>5</v>
      </c>
      <c r="AO124" s="203">
        <v>0</v>
      </c>
      <c r="AP124" s="203">
        <v>1</v>
      </c>
      <c r="AQ124" s="203">
        <v>70</v>
      </c>
      <c r="AR124" s="203">
        <v>1</v>
      </c>
      <c r="AS124" s="200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203" t="s">
        <v>18</v>
      </c>
      <c r="AL125" s="203">
        <v>1</v>
      </c>
      <c r="AM125" s="203">
        <v>70</v>
      </c>
      <c r="AN125" s="203">
        <v>1</v>
      </c>
      <c r="AO125" s="203">
        <v>1</v>
      </c>
      <c r="AP125" s="203">
        <v>1</v>
      </c>
      <c r="AQ125" s="203">
        <v>70</v>
      </c>
      <c r="AR125" s="203">
        <v>1</v>
      </c>
      <c r="AS125" s="200">
        <v>5</v>
      </c>
    </row>
    <row r="126" spans="12:46">
      <c r="AK126" s="203" t="s">
        <v>64</v>
      </c>
      <c r="AL126" s="203">
        <v>5</v>
      </c>
      <c r="AM126" s="203">
        <v>1</v>
      </c>
      <c r="AN126" s="203">
        <v>70</v>
      </c>
      <c r="AO126" s="203">
        <v>1</v>
      </c>
      <c r="AP126" s="203">
        <v>70</v>
      </c>
      <c r="AQ126" s="203">
        <v>1</v>
      </c>
      <c r="AR126" s="203">
        <v>1</v>
      </c>
      <c r="AS126" s="200">
        <v>6</v>
      </c>
    </row>
    <row r="127" spans="12:46">
      <c r="AK127" s="203" t="s">
        <v>89</v>
      </c>
      <c r="AL127" s="203">
        <v>1</v>
      </c>
      <c r="AM127" s="203">
        <v>70</v>
      </c>
      <c r="AN127" s="203">
        <v>1</v>
      </c>
      <c r="AO127" s="203">
        <v>1</v>
      </c>
      <c r="AP127" s="203">
        <v>1</v>
      </c>
      <c r="AQ127" s="203">
        <v>70</v>
      </c>
      <c r="AR127" s="203">
        <v>1</v>
      </c>
      <c r="AS127" s="200">
        <v>7</v>
      </c>
    </row>
    <row r="128" spans="12:46">
      <c r="AK128" s="46" t="s">
        <v>24</v>
      </c>
      <c r="AL128" s="46">
        <v>0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0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203" t="s">
        <v>234</v>
      </c>
      <c r="AL133" s="203">
        <v>0</v>
      </c>
      <c r="AM133" s="203">
        <v>1</v>
      </c>
      <c r="AN133" s="203">
        <v>0</v>
      </c>
      <c r="AO133" s="203">
        <v>1</v>
      </c>
      <c r="AP133" s="203">
        <v>1</v>
      </c>
      <c r="AQ133" s="203">
        <v>0</v>
      </c>
      <c r="AR133" s="203">
        <v>0</v>
      </c>
      <c r="AS133" s="200">
        <v>13</v>
      </c>
      <c r="AT133" s="11"/>
    </row>
    <row r="134" spans="37:46">
      <c r="AK134" s="203" t="s">
        <v>236</v>
      </c>
      <c r="AL134" s="203">
        <v>0</v>
      </c>
      <c r="AM134" s="203">
        <v>2</v>
      </c>
      <c r="AN134" s="203">
        <v>1</v>
      </c>
      <c r="AO134" s="203">
        <v>2</v>
      </c>
      <c r="AP134" s="203">
        <v>1</v>
      </c>
      <c r="AQ134" s="203">
        <v>0</v>
      </c>
      <c r="AR134" s="203">
        <v>0</v>
      </c>
      <c r="AS134" s="200">
        <v>14</v>
      </c>
      <c r="AT134" s="11"/>
    </row>
    <row r="135" spans="37:46">
      <c r="AK135" s="203" t="s">
        <v>238</v>
      </c>
      <c r="AL135" s="203">
        <v>0</v>
      </c>
      <c r="AM135" s="203">
        <v>1</v>
      </c>
      <c r="AN135" s="203">
        <v>2</v>
      </c>
      <c r="AO135" s="203">
        <v>1</v>
      </c>
      <c r="AP135" s="203">
        <v>1</v>
      </c>
      <c r="AQ135" s="203">
        <v>0</v>
      </c>
      <c r="AR135" s="203">
        <v>0</v>
      </c>
      <c r="AS135" s="200">
        <v>15</v>
      </c>
      <c r="AT135" s="11"/>
    </row>
    <row r="136" spans="37:46">
      <c r="AK136" s="203" t="s">
        <v>240</v>
      </c>
      <c r="AL136" s="203">
        <v>0</v>
      </c>
      <c r="AM136" s="203">
        <v>2</v>
      </c>
      <c r="AN136" s="203">
        <v>1</v>
      </c>
      <c r="AO136" s="203">
        <v>1</v>
      </c>
      <c r="AP136" s="203">
        <v>1</v>
      </c>
      <c r="AQ136" s="203">
        <v>0</v>
      </c>
      <c r="AR136" s="203">
        <v>0</v>
      </c>
      <c r="AS136" s="200">
        <v>16</v>
      </c>
      <c r="AT136" s="11"/>
    </row>
    <row r="137" spans="37:46">
      <c r="AK137" s="203" t="s">
        <v>242</v>
      </c>
      <c r="AL137" s="203">
        <v>0</v>
      </c>
      <c r="AM137" s="203">
        <v>0</v>
      </c>
      <c r="AN137" s="203">
        <v>2</v>
      </c>
      <c r="AO137" s="203">
        <v>1</v>
      </c>
      <c r="AP137" s="203">
        <v>2</v>
      </c>
      <c r="AQ137" s="203">
        <v>0</v>
      </c>
      <c r="AR137" s="203">
        <v>0</v>
      </c>
      <c r="AS137" s="200">
        <v>17</v>
      </c>
      <c r="AT137" s="11"/>
    </row>
    <row r="138" spans="37:46">
      <c r="AK138" s="203" t="s">
        <v>244</v>
      </c>
      <c r="AL138" s="203">
        <v>0</v>
      </c>
      <c r="AM138" s="203">
        <v>2</v>
      </c>
      <c r="AN138" s="203">
        <v>1</v>
      </c>
      <c r="AO138" s="203">
        <v>1</v>
      </c>
      <c r="AP138" s="203">
        <v>2</v>
      </c>
      <c r="AQ138" s="203">
        <v>0</v>
      </c>
      <c r="AR138" s="203">
        <v>0</v>
      </c>
      <c r="AS138" s="200">
        <v>18</v>
      </c>
      <c r="AT138" s="11"/>
    </row>
    <row r="139" spans="37:46">
      <c r="AK139" s="46" t="s">
        <v>246</v>
      </c>
      <c r="AL139" s="46">
        <v>0</v>
      </c>
      <c r="AM139" s="46">
        <v>2</v>
      </c>
      <c r="AN139" s="46">
        <v>1</v>
      </c>
      <c r="AO139" s="46">
        <v>1</v>
      </c>
      <c r="AP139" s="46">
        <v>2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248</v>
      </c>
      <c r="AL140" s="46">
        <v>0</v>
      </c>
      <c r="AM140" s="46">
        <v>2</v>
      </c>
      <c r="AN140" s="46">
        <v>1</v>
      </c>
      <c r="AO140" s="46">
        <v>2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250</v>
      </c>
      <c r="AL141" s="46">
        <v>0</v>
      </c>
      <c r="AM141" s="46">
        <v>0</v>
      </c>
      <c r="AN141" s="46">
        <v>2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252</v>
      </c>
      <c r="AL142" s="46">
        <v>0</v>
      </c>
      <c r="AM142" s="46">
        <v>4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254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203" t="s">
        <v>101</v>
      </c>
      <c r="AL144" s="203">
        <v>0</v>
      </c>
      <c r="AM144" s="203">
        <v>0</v>
      </c>
      <c r="AN144" s="203">
        <v>0</v>
      </c>
      <c r="AO144" s="203">
        <v>0</v>
      </c>
      <c r="AP144" s="203">
        <v>0</v>
      </c>
      <c r="AQ144" s="203">
        <v>0</v>
      </c>
      <c r="AR144" s="203">
        <v>0</v>
      </c>
      <c r="AS144" s="200">
        <v>24</v>
      </c>
      <c r="AT144" s="11"/>
    </row>
    <row r="145" spans="37:46">
      <c r="AK145" s="203" t="s">
        <v>269</v>
      </c>
      <c r="AL145" s="203">
        <v>0</v>
      </c>
      <c r="AM145" s="203">
        <v>0</v>
      </c>
      <c r="AN145" s="203">
        <v>0</v>
      </c>
      <c r="AO145" s="203">
        <v>0</v>
      </c>
      <c r="AP145" s="203">
        <v>0</v>
      </c>
      <c r="AQ145" s="203">
        <v>0</v>
      </c>
      <c r="AR145" s="203">
        <v>0</v>
      </c>
      <c r="AS145" s="200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99"/>
      <c r="N304" s="199"/>
      <c r="O304" s="199"/>
      <c r="P304" s="199"/>
      <c r="Q304" s="199"/>
      <c r="R304" s="199"/>
      <c r="S304" s="199"/>
      <c r="T304" s="1"/>
      <c r="U304" s="1"/>
      <c r="V304" s="199"/>
      <c r="W304" s="199"/>
      <c r="X304" s="199"/>
      <c r="Y304" s="199"/>
      <c r="Z304" s="19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1" spans="37:45">
      <c r="AK321" s="28"/>
      <c r="AL321" s="28"/>
      <c r="AM321" s="28"/>
      <c r="AN321" s="28"/>
      <c r="AO321" s="28"/>
      <c r="AP321" s="28"/>
      <c r="AQ321" s="28"/>
      <c r="AR321" s="28"/>
      <c r="AS321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94" priority="1" operator="equal">
      <formula>"C1"</formula>
    </cfRule>
    <cfRule type="cellIs" dxfId="93" priority="2" operator="equal">
      <formula>"G6"</formula>
    </cfRule>
    <cfRule type="cellIs" dxfId="92" priority="3" operator="equal">
      <formula>"G5"</formula>
    </cfRule>
    <cfRule type="cellIs" dxfId="91" priority="4" operator="equal">
      <formula>"G4"</formula>
    </cfRule>
    <cfRule type="cellIs" dxfId="90" priority="5" operator="equal">
      <formula>"G3"</formula>
    </cfRule>
    <cfRule type="cellIs" dxfId="89" priority="6" operator="equal">
      <formula>"G2"</formula>
    </cfRule>
    <cfRule type="cellIs" dxfId="88" priority="7" operator="equal">
      <formula>"G1"</formula>
    </cfRule>
    <cfRule type="cellIs" dxfId="87" priority="8" operator="equal">
      <formula>"M5"</formula>
    </cfRule>
    <cfRule type="cellIs" dxfId="86" priority="9" operator="equal">
      <formula>"M4"</formula>
    </cfRule>
    <cfRule type="cellIs" dxfId="85" priority="10" operator="equal">
      <formula>"M3"</formula>
    </cfRule>
    <cfRule type="cellIs" dxfId="84" priority="11" operator="equal">
      <formula>"M6"</formula>
    </cfRule>
    <cfRule type="cellIs" dxfId="83" priority="12" operator="equal">
      <formula>"M2"</formula>
    </cfRule>
    <cfRule type="cellIs" dxfId="8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>
    <tabColor theme="3" tint="0.59999389629810485"/>
  </sheetPr>
  <dimension ref="A2:AT405"/>
  <sheetViews>
    <sheetView zoomScaleNormal="100" workbookViewId="0">
      <selection activeCell="AD19" sqref="AD19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99" customWidth="1"/>
    <col min="20" max="20" width="8.88671875" style="1" customWidth="1"/>
    <col min="21" max="21" width="5.5546875" style="1" customWidth="1"/>
    <col min="22" max="26" width="5.5546875" style="19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231</v>
      </c>
      <c r="AC2" s="11" t="s">
        <v>232</v>
      </c>
      <c r="AD2" s="215"/>
      <c r="AE2" s="215"/>
      <c r="AF2" s="215"/>
      <c r="AG2" s="215"/>
      <c r="AH2" s="215"/>
      <c r="AI2" s="215"/>
      <c r="AK2" s="49" t="s">
        <v>276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99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277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98" t="str" cm="1">
        <f t="array" ref="A4:B29">Overview!$A$42:$B$67</f>
        <v>WW</v>
      </c>
      <c r="B4" s="198" t="str">
        <v>Wild</v>
      </c>
      <c r="C4" s="101">
        <f t="shared" ref="C4:C29" si="0">COUNTIF(M$4:M$304,$A4)</f>
        <v>0</v>
      </c>
      <c r="D4" s="101">
        <f t="shared" ref="D4:I19" si="1">COUNTIF(N$4:N$304,$A4)</f>
        <v>0</v>
      </c>
      <c r="E4" s="101">
        <f t="shared" si="1"/>
        <v>0</v>
      </c>
      <c r="F4" s="101">
        <f t="shared" si="1"/>
        <v>0</v>
      </c>
      <c r="G4" s="101">
        <f t="shared" si="1"/>
        <v>0</v>
      </c>
      <c r="H4" s="101">
        <f t="shared" si="1"/>
        <v>0</v>
      </c>
      <c r="I4" s="101">
        <f t="shared" si="1"/>
        <v>0</v>
      </c>
      <c r="J4" s="198">
        <v>0</v>
      </c>
      <c r="K4" s="43"/>
      <c r="L4" s="19">
        <v>0</v>
      </c>
      <c r="M4" s="205" t="s">
        <v>89</v>
      </c>
      <c r="N4" s="205" t="s">
        <v>89</v>
      </c>
      <c r="O4" s="205" t="s">
        <v>26</v>
      </c>
      <c r="P4" s="205" t="s">
        <v>64</v>
      </c>
      <c r="Q4" s="205" t="s">
        <v>18</v>
      </c>
      <c r="R4" s="205" t="s">
        <v>24</v>
      </c>
      <c r="S4" s="206" t="s">
        <v>24</v>
      </c>
      <c r="U4" s="207">
        <f t="shared" ref="U4:AA19" si="2">VLOOKUP(M4, $A$4:$J$29, 9, 0)</f>
        <v>7</v>
      </c>
      <c r="V4" s="207">
        <f t="shared" si="2"/>
        <v>7</v>
      </c>
      <c r="W4" s="207">
        <f t="shared" si="2"/>
        <v>7</v>
      </c>
      <c r="X4" s="207">
        <f t="shared" si="2"/>
        <v>14</v>
      </c>
      <c r="Y4" s="207">
        <f t="shared" si="2"/>
        <v>10</v>
      </c>
      <c r="Z4" s="207">
        <f t="shared" si="2"/>
        <v>11</v>
      </c>
      <c r="AA4" s="207">
        <f t="shared" si="2"/>
        <v>11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98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si="0"/>
        <v>0</v>
      </c>
      <c r="D5" s="12">
        <f t="shared" si="1"/>
        <v>0</v>
      </c>
      <c r="E5" s="12">
        <f t="shared" si="1"/>
        <v>0</v>
      </c>
      <c r="F5" s="12">
        <f t="shared" si="1"/>
        <v>0</v>
      </c>
      <c r="G5" s="12">
        <f t="shared" si="1"/>
        <v>0</v>
      </c>
      <c r="H5" s="12">
        <f t="shared" si="1"/>
        <v>0</v>
      </c>
      <c r="I5" s="12">
        <f t="shared" si="1"/>
        <v>0</v>
      </c>
      <c r="J5" s="5">
        <v>1</v>
      </c>
      <c r="K5" s="43"/>
      <c r="L5" s="18">
        <v>1</v>
      </c>
      <c r="M5" s="47" t="s">
        <v>26</v>
      </c>
      <c r="N5" s="47" t="s">
        <v>28</v>
      </c>
      <c r="O5" s="47" t="s">
        <v>26</v>
      </c>
      <c r="P5" s="47" t="s">
        <v>24</v>
      </c>
      <c r="Q5" s="47" t="s">
        <v>240</v>
      </c>
      <c r="R5" s="47" t="s">
        <v>26</v>
      </c>
      <c r="S5" s="33" t="s">
        <v>24</v>
      </c>
      <c r="U5" s="46">
        <f t="shared" si="2"/>
        <v>7</v>
      </c>
      <c r="V5" s="46">
        <f t="shared" si="2"/>
        <v>15</v>
      </c>
      <c r="W5" s="46">
        <f t="shared" si="2"/>
        <v>7</v>
      </c>
      <c r="X5" s="46">
        <f t="shared" si="2"/>
        <v>11</v>
      </c>
      <c r="Y5" s="46">
        <f t="shared" si="2"/>
        <v>0</v>
      </c>
      <c r="Z5" s="46">
        <f t="shared" si="2"/>
        <v>7</v>
      </c>
      <c r="AA5" s="46">
        <f t="shared" si="2"/>
        <v>11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5</v>
      </c>
      <c r="AM5" s="46">
        <v>3</v>
      </c>
      <c r="AN5" s="46">
        <v>3</v>
      </c>
      <c r="AO5" s="46">
        <v>5</v>
      </c>
      <c r="AP5" s="46">
        <v>5</v>
      </c>
      <c r="AQ5" s="46">
        <v>5</v>
      </c>
      <c r="AR5" s="46">
        <v>0</v>
      </c>
      <c r="AS5" s="5">
        <v>1</v>
      </c>
    </row>
    <row r="6" spans="1:45" ht="15.9" customHeight="1">
      <c r="A6" s="200" t="str">
        <v>M1</v>
      </c>
      <c r="B6" s="200" t="str">
        <v>M1</v>
      </c>
      <c r="C6" s="202">
        <f t="shared" si="0"/>
        <v>0</v>
      </c>
      <c r="D6" s="202">
        <f t="shared" si="1"/>
        <v>0</v>
      </c>
      <c r="E6" s="202">
        <f t="shared" si="1"/>
        <v>0</v>
      </c>
      <c r="F6" s="202">
        <f t="shared" si="1"/>
        <v>0</v>
      </c>
      <c r="G6" s="202">
        <f t="shared" si="1"/>
        <v>0</v>
      </c>
      <c r="H6" s="202">
        <f t="shared" si="1"/>
        <v>0</v>
      </c>
      <c r="I6" s="202">
        <f t="shared" si="1"/>
        <v>0</v>
      </c>
      <c r="J6" s="200">
        <v>2</v>
      </c>
      <c r="L6" s="19">
        <v>2</v>
      </c>
      <c r="M6" s="47" t="s">
        <v>28</v>
      </c>
      <c r="N6" s="47" t="s">
        <v>29</v>
      </c>
      <c r="O6" s="47" t="s">
        <v>21</v>
      </c>
      <c r="P6" s="47" t="s">
        <v>24</v>
      </c>
      <c r="Q6" s="47" t="s">
        <v>64</v>
      </c>
      <c r="R6" s="47" t="s">
        <v>64</v>
      </c>
      <c r="S6" s="33" t="s">
        <v>24</v>
      </c>
      <c r="U6" s="46">
        <f t="shared" si="2"/>
        <v>15</v>
      </c>
      <c r="V6" s="46">
        <f t="shared" si="2"/>
        <v>19</v>
      </c>
      <c r="W6" s="46">
        <f t="shared" si="2"/>
        <v>12</v>
      </c>
      <c r="X6" s="46">
        <f t="shared" si="2"/>
        <v>11</v>
      </c>
      <c r="Y6" s="46">
        <f t="shared" si="2"/>
        <v>14</v>
      </c>
      <c r="Z6" s="46">
        <f t="shared" si="2"/>
        <v>14</v>
      </c>
      <c r="AA6" s="46">
        <f t="shared" si="2"/>
        <v>11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203" t="s">
        <v>20</v>
      </c>
      <c r="AL6" s="203">
        <v>40</v>
      </c>
      <c r="AM6" s="203">
        <v>40</v>
      </c>
      <c r="AN6" s="203">
        <v>20</v>
      </c>
      <c r="AO6" s="203">
        <v>40</v>
      </c>
      <c r="AP6" s="203">
        <v>40</v>
      </c>
      <c r="AQ6" s="203">
        <v>1</v>
      </c>
      <c r="AR6" s="203">
        <v>1</v>
      </c>
      <c r="AS6" s="200">
        <v>2</v>
      </c>
    </row>
    <row r="7" spans="1:45" ht="15.9" customHeight="1">
      <c r="A7" s="200" t="str">
        <v>M2</v>
      </c>
      <c r="B7" s="200" t="str">
        <v>M2</v>
      </c>
      <c r="C7" s="202">
        <f t="shared" si="0"/>
        <v>1</v>
      </c>
      <c r="D7" s="202">
        <f t="shared" si="1"/>
        <v>12</v>
      </c>
      <c r="E7" s="202">
        <f t="shared" si="1"/>
        <v>7</v>
      </c>
      <c r="F7" s="202">
        <f t="shared" si="1"/>
        <v>3</v>
      </c>
      <c r="G7" s="202">
        <f t="shared" si="1"/>
        <v>9</v>
      </c>
      <c r="H7" s="202">
        <f t="shared" si="1"/>
        <v>0</v>
      </c>
      <c r="I7" s="202">
        <f t="shared" si="1"/>
        <v>12</v>
      </c>
      <c r="J7" s="200">
        <v>3</v>
      </c>
      <c r="L7" s="18">
        <v>3</v>
      </c>
      <c r="M7" s="47" t="s">
        <v>29</v>
      </c>
      <c r="N7" s="47" t="s">
        <v>27</v>
      </c>
      <c r="O7" s="47" t="s">
        <v>24</v>
      </c>
      <c r="P7" s="47" t="s">
        <v>24</v>
      </c>
      <c r="Q7" s="47" t="s">
        <v>64</v>
      </c>
      <c r="R7" s="47" t="s">
        <v>29</v>
      </c>
      <c r="S7" s="33" t="s">
        <v>24</v>
      </c>
      <c r="U7" s="46">
        <f t="shared" si="2"/>
        <v>19</v>
      </c>
      <c r="V7" s="46">
        <f t="shared" si="2"/>
        <v>12</v>
      </c>
      <c r="W7" s="46">
        <f t="shared" si="2"/>
        <v>11</v>
      </c>
      <c r="X7" s="46">
        <f t="shared" si="2"/>
        <v>11</v>
      </c>
      <c r="Y7" s="46">
        <f t="shared" si="2"/>
        <v>14</v>
      </c>
      <c r="Z7" s="46">
        <f t="shared" si="2"/>
        <v>19</v>
      </c>
      <c r="AA7" s="46">
        <f t="shared" si="2"/>
        <v>11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203" t="s">
        <v>21</v>
      </c>
      <c r="AL7" s="203">
        <v>10</v>
      </c>
      <c r="AM7" s="203">
        <v>32</v>
      </c>
      <c r="AN7" s="203">
        <v>40</v>
      </c>
      <c r="AO7" s="203">
        <v>40</v>
      </c>
      <c r="AP7" s="203">
        <v>1</v>
      </c>
      <c r="AQ7" s="203">
        <v>1</v>
      </c>
      <c r="AR7" s="203">
        <v>1</v>
      </c>
      <c r="AS7" s="200">
        <v>3</v>
      </c>
    </row>
    <row r="8" spans="1:45" ht="15.9" customHeight="1">
      <c r="A8" s="200" t="str">
        <v>M3</v>
      </c>
      <c r="B8" s="200" t="str">
        <v>M3</v>
      </c>
      <c r="C8" s="202">
        <f t="shared" si="0"/>
        <v>3</v>
      </c>
      <c r="D8" s="202">
        <f t="shared" si="1"/>
        <v>1</v>
      </c>
      <c r="E8" s="202">
        <f t="shared" si="1"/>
        <v>3</v>
      </c>
      <c r="F8" s="202">
        <f t="shared" si="1"/>
        <v>8</v>
      </c>
      <c r="G8" s="202">
        <f t="shared" si="1"/>
        <v>3</v>
      </c>
      <c r="H8" s="202">
        <f t="shared" si="1"/>
        <v>3</v>
      </c>
      <c r="I8" s="202">
        <f t="shared" si="1"/>
        <v>14</v>
      </c>
      <c r="J8" s="200">
        <v>4</v>
      </c>
      <c r="L8" s="19">
        <v>4</v>
      </c>
      <c r="M8" s="47" t="s">
        <v>26</v>
      </c>
      <c r="N8" s="47" t="s">
        <v>29</v>
      </c>
      <c r="O8" s="47" t="s">
        <v>238</v>
      </c>
      <c r="P8" s="47" t="s">
        <v>27</v>
      </c>
      <c r="Q8" s="47" t="s">
        <v>26</v>
      </c>
      <c r="R8" s="47" t="s">
        <v>29</v>
      </c>
      <c r="S8" s="33" t="s">
        <v>21</v>
      </c>
      <c r="U8" s="46">
        <f t="shared" si="2"/>
        <v>7</v>
      </c>
      <c r="V8" s="46">
        <f t="shared" si="2"/>
        <v>19</v>
      </c>
      <c r="W8" s="46">
        <f t="shared" si="2"/>
        <v>0</v>
      </c>
      <c r="X8" s="46">
        <f t="shared" si="2"/>
        <v>12</v>
      </c>
      <c r="Y8" s="46">
        <f t="shared" si="2"/>
        <v>7</v>
      </c>
      <c r="Z8" s="46">
        <f t="shared" si="2"/>
        <v>19</v>
      </c>
      <c r="AA8" s="46">
        <f t="shared" si="2"/>
        <v>12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203" t="s">
        <v>17</v>
      </c>
      <c r="AL8" s="203">
        <v>40</v>
      </c>
      <c r="AM8" s="203">
        <v>13</v>
      </c>
      <c r="AN8" s="203">
        <v>15</v>
      </c>
      <c r="AO8" s="203">
        <v>1</v>
      </c>
      <c r="AP8" s="203">
        <v>1</v>
      </c>
      <c r="AQ8" s="203">
        <v>40</v>
      </c>
      <c r="AR8" s="203">
        <v>1</v>
      </c>
      <c r="AS8" s="200">
        <v>4</v>
      </c>
    </row>
    <row r="9" spans="1:45" ht="15.9" customHeight="1">
      <c r="A9" s="200" t="str">
        <v>M4</v>
      </c>
      <c r="B9" s="200" t="str">
        <v>M4</v>
      </c>
      <c r="C9" s="202">
        <f t="shared" si="0"/>
        <v>8</v>
      </c>
      <c r="D9" s="202">
        <f t="shared" si="1"/>
        <v>1</v>
      </c>
      <c r="E9" s="202">
        <f t="shared" si="1"/>
        <v>16</v>
      </c>
      <c r="F9" s="202">
        <f t="shared" si="1"/>
        <v>3</v>
      </c>
      <c r="G9" s="202">
        <f t="shared" si="1"/>
        <v>15</v>
      </c>
      <c r="H9" s="202">
        <f t="shared" si="1"/>
        <v>5</v>
      </c>
      <c r="I9" s="202">
        <f t="shared" si="1"/>
        <v>10</v>
      </c>
      <c r="J9" s="200">
        <v>5</v>
      </c>
      <c r="L9" s="18">
        <v>5</v>
      </c>
      <c r="M9" s="47" t="s">
        <v>28</v>
      </c>
      <c r="N9" s="47" t="s">
        <v>21</v>
      </c>
      <c r="O9" s="47" t="s">
        <v>17</v>
      </c>
      <c r="P9" s="47" t="s">
        <v>27</v>
      </c>
      <c r="Q9" s="47" t="s">
        <v>26</v>
      </c>
      <c r="R9" s="47" t="s">
        <v>64</v>
      </c>
      <c r="S9" s="33" t="s">
        <v>21</v>
      </c>
      <c r="U9" s="46">
        <f t="shared" si="2"/>
        <v>15</v>
      </c>
      <c r="V9" s="46">
        <f t="shared" si="2"/>
        <v>12</v>
      </c>
      <c r="W9" s="46">
        <f t="shared" si="2"/>
        <v>14</v>
      </c>
      <c r="X9" s="46">
        <f t="shared" si="2"/>
        <v>12</v>
      </c>
      <c r="Y9" s="46">
        <f t="shared" si="2"/>
        <v>7</v>
      </c>
      <c r="Z9" s="46">
        <f t="shared" si="2"/>
        <v>14</v>
      </c>
      <c r="AA9" s="46">
        <f t="shared" si="2"/>
        <v>12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203" t="s">
        <v>18</v>
      </c>
      <c r="AL9" s="203">
        <v>10</v>
      </c>
      <c r="AM9" s="203">
        <v>40</v>
      </c>
      <c r="AN9" s="203">
        <v>40</v>
      </c>
      <c r="AO9" s="203">
        <v>40</v>
      </c>
      <c r="AP9" s="203">
        <v>8</v>
      </c>
      <c r="AQ9" s="203">
        <v>40</v>
      </c>
      <c r="AR9" s="203">
        <v>1</v>
      </c>
      <c r="AS9" s="200">
        <v>5</v>
      </c>
    </row>
    <row r="10" spans="1:45" ht="15.9" customHeight="1">
      <c r="A10" s="200" t="str">
        <v>M5</v>
      </c>
      <c r="B10" s="200" t="str">
        <v>M5</v>
      </c>
      <c r="C10" s="202">
        <f t="shared" si="0"/>
        <v>8</v>
      </c>
      <c r="D10" s="202">
        <f t="shared" si="1"/>
        <v>17</v>
      </c>
      <c r="E10" s="202">
        <f t="shared" si="1"/>
        <v>1</v>
      </c>
      <c r="F10" s="202">
        <f t="shared" si="1"/>
        <v>26</v>
      </c>
      <c r="G10" s="202">
        <f t="shared" si="1"/>
        <v>6</v>
      </c>
      <c r="H10" s="202">
        <f t="shared" si="1"/>
        <v>27</v>
      </c>
      <c r="I10" s="202">
        <f t="shared" si="1"/>
        <v>14</v>
      </c>
      <c r="J10" s="200">
        <v>6</v>
      </c>
      <c r="L10" s="19">
        <v>6</v>
      </c>
      <c r="M10" s="47" t="s">
        <v>26</v>
      </c>
      <c r="N10" s="47" t="s">
        <v>21</v>
      </c>
      <c r="O10" s="47" t="s">
        <v>24</v>
      </c>
      <c r="P10" s="47" t="s">
        <v>27</v>
      </c>
      <c r="Q10" s="47" t="s">
        <v>89</v>
      </c>
      <c r="R10" s="47" t="s">
        <v>64</v>
      </c>
      <c r="S10" s="33" t="s">
        <v>21</v>
      </c>
      <c r="U10" s="46">
        <f t="shared" si="2"/>
        <v>7</v>
      </c>
      <c r="V10" s="46">
        <f t="shared" si="2"/>
        <v>12</v>
      </c>
      <c r="W10" s="46">
        <f t="shared" si="2"/>
        <v>11</v>
      </c>
      <c r="X10" s="46">
        <f t="shared" si="2"/>
        <v>12</v>
      </c>
      <c r="Y10" s="46">
        <f t="shared" si="2"/>
        <v>7</v>
      </c>
      <c r="Z10" s="46">
        <f t="shared" si="2"/>
        <v>14</v>
      </c>
      <c r="AA10" s="46">
        <f t="shared" si="2"/>
        <v>12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203" t="s">
        <v>64</v>
      </c>
      <c r="AL10" s="203">
        <v>40</v>
      </c>
      <c r="AM10" s="203">
        <v>8</v>
      </c>
      <c r="AN10" s="203">
        <v>20</v>
      </c>
      <c r="AO10" s="203">
        <v>1</v>
      </c>
      <c r="AP10" s="203">
        <v>40</v>
      </c>
      <c r="AQ10" s="203">
        <v>1</v>
      </c>
      <c r="AR10" s="203">
        <v>1</v>
      </c>
      <c r="AS10" s="200">
        <v>6</v>
      </c>
    </row>
    <row r="11" spans="1:45" ht="15.9" customHeight="1">
      <c r="A11" s="200" t="str">
        <v>M6</v>
      </c>
      <c r="B11" s="200" t="str">
        <v>M6</v>
      </c>
      <c r="C11" s="202">
        <f t="shared" si="0"/>
        <v>13</v>
      </c>
      <c r="D11" s="202">
        <f t="shared" si="1"/>
        <v>10</v>
      </c>
      <c r="E11" s="202">
        <f t="shared" si="1"/>
        <v>1</v>
      </c>
      <c r="F11" s="202">
        <f t="shared" si="1"/>
        <v>3</v>
      </c>
      <c r="G11" s="202">
        <f t="shared" si="1"/>
        <v>28</v>
      </c>
      <c r="H11" s="202">
        <f t="shared" si="1"/>
        <v>3</v>
      </c>
      <c r="I11" s="202">
        <f t="shared" si="1"/>
        <v>7</v>
      </c>
      <c r="J11" s="200">
        <v>7</v>
      </c>
      <c r="L11" s="18">
        <v>7</v>
      </c>
      <c r="M11" s="47" t="s">
        <v>29</v>
      </c>
      <c r="N11" s="47" t="s">
        <v>89</v>
      </c>
      <c r="O11" s="47" t="s">
        <v>26</v>
      </c>
      <c r="P11" s="47" t="s">
        <v>29</v>
      </c>
      <c r="Q11" s="47" t="s">
        <v>28</v>
      </c>
      <c r="R11" s="47" t="s">
        <v>64</v>
      </c>
      <c r="S11" s="33" t="s">
        <v>21</v>
      </c>
      <c r="U11" s="46">
        <f t="shared" si="2"/>
        <v>19</v>
      </c>
      <c r="V11" s="46">
        <f t="shared" si="2"/>
        <v>7</v>
      </c>
      <c r="W11" s="46">
        <f t="shared" si="2"/>
        <v>7</v>
      </c>
      <c r="X11" s="46">
        <f t="shared" si="2"/>
        <v>19</v>
      </c>
      <c r="Y11" s="46">
        <f t="shared" si="2"/>
        <v>15</v>
      </c>
      <c r="Z11" s="46">
        <f t="shared" si="2"/>
        <v>14</v>
      </c>
      <c r="AA11" s="46">
        <f t="shared" si="2"/>
        <v>12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203" t="s">
        <v>89</v>
      </c>
      <c r="AL11" s="203">
        <v>10</v>
      </c>
      <c r="AM11" s="203">
        <v>40</v>
      </c>
      <c r="AN11" s="203">
        <v>40</v>
      </c>
      <c r="AO11" s="203">
        <v>40</v>
      </c>
      <c r="AP11" s="203">
        <v>8</v>
      </c>
      <c r="AQ11" s="203">
        <v>40</v>
      </c>
      <c r="AR11" s="203">
        <v>1</v>
      </c>
      <c r="AS11" s="200">
        <v>7</v>
      </c>
    </row>
    <row r="12" spans="1:45" ht="15.9" customHeight="1">
      <c r="A12" s="33" t="str">
        <v>A</v>
      </c>
      <c r="B12" s="46" t="str">
        <v>A</v>
      </c>
      <c r="C12" s="12">
        <f t="shared" si="0"/>
        <v>2</v>
      </c>
      <c r="D12" s="12">
        <f t="shared" si="1"/>
        <v>12</v>
      </c>
      <c r="E12" s="12">
        <f t="shared" si="1"/>
        <v>21</v>
      </c>
      <c r="F12" s="12">
        <f t="shared" si="1"/>
        <v>10</v>
      </c>
      <c r="G12" s="12">
        <f t="shared" si="1"/>
        <v>3</v>
      </c>
      <c r="H12" s="12">
        <f t="shared" si="1"/>
        <v>29</v>
      </c>
      <c r="I12" s="12">
        <f t="shared" si="1"/>
        <v>11</v>
      </c>
      <c r="J12" s="5">
        <v>8</v>
      </c>
      <c r="L12" s="19">
        <v>8</v>
      </c>
      <c r="M12" s="47" t="s">
        <v>64</v>
      </c>
      <c r="N12" s="47" t="s">
        <v>89</v>
      </c>
      <c r="O12" s="47" t="s">
        <v>26</v>
      </c>
      <c r="P12" s="47" t="s">
        <v>64</v>
      </c>
      <c r="Q12" s="47" t="s">
        <v>28</v>
      </c>
      <c r="R12" s="47" t="s">
        <v>89</v>
      </c>
      <c r="S12" s="33" t="s">
        <v>17</v>
      </c>
      <c r="U12" s="46">
        <f t="shared" si="2"/>
        <v>14</v>
      </c>
      <c r="V12" s="46">
        <f t="shared" si="2"/>
        <v>7</v>
      </c>
      <c r="W12" s="46">
        <f t="shared" si="2"/>
        <v>7</v>
      </c>
      <c r="X12" s="46">
        <f t="shared" si="2"/>
        <v>14</v>
      </c>
      <c r="Y12" s="46">
        <f t="shared" si="2"/>
        <v>15</v>
      </c>
      <c r="Z12" s="46">
        <f t="shared" si="2"/>
        <v>7</v>
      </c>
      <c r="AA12" s="46">
        <f t="shared" si="2"/>
        <v>14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0"/>
        <v>19</v>
      </c>
      <c r="D13" s="12">
        <f t="shared" si="1"/>
        <v>2</v>
      </c>
      <c r="E13" s="12">
        <f t="shared" si="1"/>
        <v>19</v>
      </c>
      <c r="F13" s="12">
        <f t="shared" si="1"/>
        <v>4</v>
      </c>
      <c r="G13" s="12">
        <f t="shared" si="1"/>
        <v>16</v>
      </c>
      <c r="H13" s="12">
        <f t="shared" si="1"/>
        <v>7</v>
      </c>
      <c r="I13" s="12">
        <f t="shared" si="1"/>
        <v>7</v>
      </c>
      <c r="J13" s="5">
        <v>9</v>
      </c>
      <c r="L13" s="18">
        <v>9</v>
      </c>
      <c r="M13" s="47" t="s">
        <v>28</v>
      </c>
      <c r="N13" s="47" t="s">
        <v>242</v>
      </c>
      <c r="O13" s="47" t="s">
        <v>17</v>
      </c>
      <c r="P13" s="47" t="s">
        <v>27</v>
      </c>
      <c r="Q13" s="47" t="s">
        <v>89</v>
      </c>
      <c r="R13" s="47" t="s">
        <v>64</v>
      </c>
      <c r="S13" s="33" t="s">
        <v>17</v>
      </c>
      <c r="U13" s="46">
        <f t="shared" si="2"/>
        <v>15</v>
      </c>
      <c r="V13" s="46">
        <f t="shared" si="2"/>
        <v>0</v>
      </c>
      <c r="W13" s="46">
        <f t="shared" si="2"/>
        <v>14</v>
      </c>
      <c r="X13" s="46">
        <f t="shared" si="2"/>
        <v>12</v>
      </c>
      <c r="Y13" s="46">
        <f t="shared" si="2"/>
        <v>7</v>
      </c>
      <c r="Z13" s="46">
        <f t="shared" si="2"/>
        <v>14</v>
      </c>
      <c r="AA13" s="46">
        <f t="shared" si="2"/>
        <v>14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0"/>
        <v>14</v>
      </c>
      <c r="D14" s="12">
        <f t="shared" si="1"/>
        <v>27</v>
      </c>
      <c r="E14" s="12">
        <f t="shared" si="1"/>
        <v>2</v>
      </c>
      <c r="F14" s="12">
        <f t="shared" si="1"/>
        <v>25</v>
      </c>
      <c r="G14" s="12">
        <f t="shared" si="1"/>
        <v>7</v>
      </c>
      <c r="H14" s="12">
        <f t="shared" si="1"/>
        <v>24</v>
      </c>
      <c r="I14" s="12">
        <f t="shared" si="1"/>
        <v>12</v>
      </c>
      <c r="J14" s="5">
        <v>10</v>
      </c>
      <c r="L14" s="19">
        <v>10</v>
      </c>
      <c r="M14" s="47" t="s">
        <v>28</v>
      </c>
      <c r="N14" s="47" t="s">
        <v>64</v>
      </c>
      <c r="O14" s="47" t="s">
        <v>28</v>
      </c>
      <c r="P14" s="47" t="s">
        <v>242</v>
      </c>
      <c r="Q14" s="47" t="s">
        <v>89</v>
      </c>
      <c r="R14" s="47" t="s">
        <v>64</v>
      </c>
      <c r="S14" s="33" t="s">
        <v>17</v>
      </c>
      <c r="U14" s="46">
        <f t="shared" si="2"/>
        <v>15</v>
      </c>
      <c r="V14" s="46">
        <f t="shared" si="2"/>
        <v>14</v>
      </c>
      <c r="W14" s="46">
        <f t="shared" si="2"/>
        <v>15</v>
      </c>
      <c r="X14" s="46">
        <f t="shared" si="2"/>
        <v>0</v>
      </c>
      <c r="Y14" s="46">
        <f t="shared" si="2"/>
        <v>7</v>
      </c>
      <c r="Z14" s="46">
        <f t="shared" si="2"/>
        <v>14</v>
      </c>
      <c r="AA14" s="46">
        <f t="shared" si="2"/>
        <v>14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0"/>
        <v>23</v>
      </c>
      <c r="D15" s="12">
        <f t="shared" si="1"/>
        <v>5</v>
      </c>
      <c r="E15" s="12">
        <f t="shared" si="1"/>
        <v>35</v>
      </c>
      <c r="F15" s="12">
        <f t="shared" si="1"/>
        <v>6</v>
      </c>
      <c r="G15" s="12">
        <f t="shared" si="1"/>
        <v>20</v>
      </c>
      <c r="H15" s="12">
        <f t="shared" si="1"/>
        <v>2</v>
      </c>
      <c r="I15" s="12">
        <f t="shared" si="1"/>
        <v>15</v>
      </c>
      <c r="J15" s="5">
        <v>11</v>
      </c>
      <c r="L15" s="18">
        <v>11</v>
      </c>
      <c r="M15" s="47" t="s">
        <v>29</v>
      </c>
      <c r="N15" s="47" t="s">
        <v>64</v>
      </c>
      <c r="O15" s="47" t="s">
        <v>28</v>
      </c>
      <c r="P15" s="47" t="s">
        <v>246</v>
      </c>
      <c r="Q15" s="47" t="s">
        <v>26</v>
      </c>
      <c r="R15" s="47" t="s">
        <v>89</v>
      </c>
      <c r="S15" s="33" t="s">
        <v>17</v>
      </c>
      <c r="U15" s="46">
        <f t="shared" si="2"/>
        <v>19</v>
      </c>
      <c r="V15" s="46">
        <f t="shared" si="2"/>
        <v>14</v>
      </c>
      <c r="W15" s="46">
        <f t="shared" si="2"/>
        <v>15</v>
      </c>
      <c r="X15" s="46">
        <f t="shared" si="2"/>
        <v>0</v>
      </c>
      <c r="Y15" s="46">
        <f t="shared" si="2"/>
        <v>7</v>
      </c>
      <c r="Z15" s="46">
        <f t="shared" si="2"/>
        <v>7</v>
      </c>
      <c r="AA15" s="46">
        <f t="shared" si="2"/>
        <v>14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0"/>
        <v>30</v>
      </c>
      <c r="D16" s="12">
        <f t="shared" si="1"/>
        <v>16</v>
      </c>
      <c r="E16" s="12">
        <f t="shared" si="1"/>
        <v>5</v>
      </c>
      <c r="F16" s="12">
        <f t="shared" si="1"/>
        <v>19</v>
      </c>
      <c r="G16" s="12">
        <f t="shared" si="1"/>
        <v>5</v>
      </c>
      <c r="H16" s="12">
        <f t="shared" si="1"/>
        <v>21</v>
      </c>
      <c r="I16" s="12">
        <f t="shared" si="1"/>
        <v>19</v>
      </c>
      <c r="J16" s="5">
        <v>12</v>
      </c>
      <c r="L16" s="19">
        <v>12</v>
      </c>
      <c r="M16" s="47" t="s">
        <v>29</v>
      </c>
      <c r="N16" s="47" t="s">
        <v>27</v>
      </c>
      <c r="O16" s="47" t="s">
        <v>236</v>
      </c>
      <c r="P16" s="47" t="s">
        <v>24</v>
      </c>
      <c r="Q16" s="47" t="s">
        <v>26</v>
      </c>
      <c r="R16" s="47" t="s">
        <v>89</v>
      </c>
      <c r="S16" s="33" t="s">
        <v>18</v>
      </c>
      <c r="U16" s="46">
        <f t="shared" si="2"/>
        <v>19</v>
      </c>
      <c r="V16" s="46">
        <f t="shared" si="2"/>
        <v>12</v>
      </c>
      <c r="W16" s="46">
        <f t="shared" si="2"/>
        <v>0</v>
      </c>
      <c r="X16" s="46">
        <f t="shared" si="2"/>
        <v>11</v>
      </c>
      <c r="Y16" s="46">
        <f t="shared" si="2"/>
        <v>7</v>
      </c>
      <c r="Z16" s="46">
        <f t="shared" si="2"/>
        <v>7</v>
      </c>
      <c r="AA16" s="46">
        <f t="shared" si="2"/>
        <v>10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</v>
      </c>
      <c r="AS16" s="5">
        <v>12</v>
      </c>
    </row>
    <row r="17" spans="1:45" ht="15.9" customHeight="1">
      <c r="A17" s="203" t="str">
        <v>G1</v>
      </c>
      <c r="B17" s="200" t="str">
        <v>Golden M1</v>
      </c>
      <c r="C17" s="202">
        <f t="shared" si="0"/>
        <v>0</v>
      </c>
      <c r="D17" s="202">
        <f t="shared" si="1"/>
        <v>0</v>
      </c>
      <c r="E17" s="202">
        <f t="shared" si="1"/>
        <v>0</v>
      </c>
      <c r="F17" s="202">
        <f t="shared" si="1"/>
        <v>0</v>
      </c>
      <c r="G17" s="202">
        <f t="shared" si="1"/>
        <v>0</v>
      </c>
      <c r="H17" s="202">
        <f t="shared" si="1"/>
        <v>0</v>
      </c>
      <c r="I17" s="202">
        <f t="shared" si="1"/>
        <v>0</v>
      </c>
      <c r="J17" s="200">
        <v>13</v>
      </c>
      <c r="L17" s="18">
        <v>13</v>
      </c>
      <c r="M17" s="47" t="s">
        <v>26</v>
      </c>
      <c r="N17" s="47" t="s">
        <v>27</v>
      </c>
      <c r="O17" s="47" t="s">
        <v>250</v>
      </c>
      <c r="P17" s="47" t="s">
        <v>24</v>
      </c>
      <c r="Q17" s="47" t="s">
        <v>89</v>
      </c>
      <c r="R17" s="47" t="s">
        <v>64</v>
      </c>
      <c r="S17" s="33" t="s">
        <v>18</v>
      </c>
      <c r="U17" s="46">
        <f t="shared" si="2"/>
        <v>7</v>
      </c>
      <c r="V17" s="46">
        <f t="shared" si="2"/>
        <v>12</v>
      </c>
      <c r="W17" s="46">
        <f t="shared" si="2"/>
        <v>0</v>
      </c>
      <c r="X17" s="46">
        <f t="shared" si="2"/>
        <v>11</v>
      </c>
      <c r="Y17" s="46">
        <f t="shared" si="2"/>
        <v>7</v>
      </c>
      <c r="Z17" s="46">
        <f t="shared" si="2"/>
        <v>14</v>
      </c>
      <c r="AA17" s="46">
        <f t="shared" si="2"/>
        <v>10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203" t="s">
        <v>234</v>
      </c>
      <c r="AL17" s="203">
        <v>0</v>
      </c>
      <c r="AM17" s="203">
        <v>12</v>
      </c>
      <c r="AN17" s="203">
        <v>3</v>
      </c>
      <c r="AO17" s="203">
        <v>5</v>
      </c>
      <c r="AP17" s="203">
        <v>3</v>
      </c>
      <c r="AQ17" s="203">
        <v>0</v>
      </c>
      <c r="AR17" s="203">
        <v>0</v>
      </c>
      <c r="AS17" s="200">
        <v>13</v>
      </c>
    </row>
    <row r="18" spans="1:45" s="199" customFormat="1" ht="15.9" customHeight="1">
      <c r="A18" s="203" t="str">
        <v>G2</v>
      </c>
      <c r="B18" s="200" t="str">
        <v>Golden M2</v>
      </c>
      <c r="C18" s="202">
        <f t="shared" si="0"/>
        <v>0</v>
      </c>
      <c r="D18" s="202">
        <f t="shared" si="1"/>
        <v>2</v>
      </c>
      <c r="E18" s="202">
        <f t="shared" si="1"/>
        <v>1</v>
      </c>
      <c r="F18" s="202">
        <f t="shared" si="1"/>
        <v>1</v>
      </c>
      <c r="G18" s="202">
        <f t="shared" si="1"/>
        <v>1</v>
      </c>
      <c r="H18" s="202">
        <f t="shared" si="1"/>
        <v>0</v>
      </c>
      <c r="I18" s="202">
        <f t="shared" si="1"/>
        <v>0</v>
      </c>
      <c r="J18" s="200">
        <v>14</v>
      </c>
      <c r="K18" s="41"/>
      <c r="L18" s="19">
        <v>14</v>
      </c>
      <c r="M18" s="47" t="s">
        <v>89</v>
      </c>
      <c r="N18" s="47" t="s">
        <v>244</v>
      </c>
      <c r="O18" s="47" t="s">
        <v>27</v>
      </c>
      <c r="P18" s="47" t="s">
        <v>89</v>
      </c>
      <c r="Q18" s="47" t="s">
        <v>89</v>
      </c>
      <c r="R18" s="47" t="s">
        <v>27</v>
      </c>
      <c r="S18" s="33" t="s">
        <v>18</v>
      </c>
      <c r="U18" s="46">
        <f t="shared" si="2"/>
        <v>7</v>
      </c>
      <c r="V18" s="46">
        <f t="shared" si="2"/>
        <v>0</v>
      </c>
      <c r="W18" s="46">
        <f t="shared" si="2"/>
        <v>12</v>
      </c>
      <c r="X18" s="46">
        <f t="shared" si="2"/>
        <v>7</v>
      </c>
      <c r="Y18" s="46">
        <f t="shared" si="2"/>
        <v>7</v>
      </c>
      <c r="Z18" s="46">
        <f t="shared" si="2"/>
        <v>12</v>
      </c>
      <c r="AA18" s="46">
        <f t="shared" si="2"/>
        <v>10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203" t="s">
        <v>236</v>
      </c>
      <c r="AL18" s="203">
        <v>0</v>
      </c>
      <c r="AM18" s="203">
        <v>8</v>
      </c>
      <c r="AN18" s="203">
        <v>15</v>
      </c>
      <c r="AO18" s="203">
        <v>2</v>
      </c>
      <c r="AP18" s="203">
        <v>2</v>
      </c>
      <c r="AQ18" s="203">
        <v>0</v>
      </c>
      <c r="AR18" s="203">
        <v>0</v>
      </c>
      <c r="AS18" s="200">
        <v>14</v>
      </c>
    </row>
    <row r="19" spans="1:45" ht="15.9" customHeight="1">
      <c r="A19" s="203" t="str">
        <v>G3</v>
      </c>
      <c r="B19" s="200" t="str">
        <v>Golden M3</v>
      </c>
      <c r="C19" s="202">
        <f t="shared" si="0"/>
        <v>0</v>
      </c>
      <c r="D19" s="202">
        <f t="shared" si="1"/>
        <v>0</v>
      </c>
      <c r="E19" s="202">
        <f t="shared" si="1"/>
        <v>1</v>
      </c>
      <c r="F19" s="202">
        <f t="shared" si="1"/>
        <v>1</v>
      </c>
      <c r="G19" s="202">
        <f t="shared" si="1"/>
        <v>1</v>
      </c>
      <c r="H19" s="202">
        <f t="shared" si="1"/>
        <v>0</v>
      </c>
      <c r="I19" s="202">
        <f t="shared" si="1"/>
        <v>0</v>
      </c>
      <c r="J19" s="200">
        <v>15</v>
      </c>
      <c r="K19" s="52"/>
      <c r="L19" s="18">
        <v>15</v>
      </c>
      <c r="M19" s="47" t="s">
        <v>28</v>
      </c>
      <c r="N19" s="47" t="s">
        <v>89</v>
      </c>
      <c r="O19" s="47" t="s">
        <v>18</v>
      </c>
      <c r="P19" s="47" t="s">
        <v>244</v>
      </c>
      <c r="Q19" s="47" t="s">
        <v>246</v>
      </c>
      <c r="R19" s="47" t="s">
        <v>64</v>
      </c>
      <c r="S19" s="33" t="s">
        <v>18</v>
      </c>
      <c r="U19" s="46">
        <f t="shared" si="2"/>
        <v>15</v>
      </c>
      <c r="V19" s="46">
        <f t="shared" si="2"/>
        <v>7</v>
      </c>
      <c r="W19" s="46">
        <f t="shared" si="2"/>
        <v>10</v>
      </c>
      <c r="X19" s="46">
        <f t="shared" si="2"/>
        <v>0</v>
      </c>
      <c r="Y19" s="46">
        <f t="shared" si="2"/>
        <v>0</v>
      </c>
      <c r="Z19" s="46">
        <f t="shared" si="2"/>
        <v>14</v>
      </c>
      <c r="AA19" s="46">
        <f t="shared" si="2"/>
        <v>10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203" t="s">
        <v>238</v>
      </c>
      <c r="AL19" s="203">
        <v>0</v>
      </c>
      <c r="AM19" s="203">
        <v>2</v>
      </c>
      <c r="AN19" s="203">
        <v>7</v>
      </c>
      <c r="AO19" s="203">
        <v>1</v>
      </c>
      <c r="AP19" s="203">
        <v>2</v>
      </c>
      <c r="AQ19" s="203">
        <v>0</v>
      </c>
      <c r="AR19" s="203">
        <v>0</v>
      </c>
      <c r="AS19" s="200">
        <v>15</v>
      </c>
    </row>
    <row r="20" spans="1:45" ht="15.9" customHeight="1">
      <c r="A20" s="203" t="str">
        <v>G4</v>
      </c>
      <c r="B20" s="200" t="str">
        <v>Golden M4</v>
      </c>
      <c r="C20" s="202">
        <f t="shared" si="0"/>
        <v>0</v>
      </c>
      <c r="D20" s="202">
        <f t="shared" ref="D20:D29" si="3">COUNTIF(N$4:N$304,$A20)</f>
        <v>1</v>
      </c>
      <c r="E20" s="202">
        <f t="shared" ref="E20:E29" si="4">COUNTIF(O$4:O$304,$A20)</f>
        <v>2</v>
      </c>
      <c r="F20" s="202">
        <f t="shared" ref="F20:F29" si="5">COUNTIF(P$4:P$304,$A20)</f>
        <v>1</v>
      </c>
      <c r="G20" s="202">
        <f t="shared" ref="G20:G29" si="6">COUNTIF(Q$4:Q$304,$A20)</f>
        <v>1</v>
      </c>
      <c r="H20" s="202">
        <f t="shared" ref="H20:H29" si="7">COUNTIF(R$4:R$304,$A20)</f>
        <v>0</v>
      </c>
      <c r="I20" s="202">
        <f t="shared" ref="I20:I29" si="8">COUNTIF(S$4:S$304,$A20)</f>
        <v>0</v>
      </c>
      <c r="J20" s="200">
        <v>16</v>
      </c>
      <c r="L20" s="19">
        <v>16</v>
      </c>
      <c r="M20" s="47" t="s">
        <v>29</v>
      </c>
      <c r="N20" s="47" t="s">
        <v>64</v>
      </c>
      <c r="O20" s="47" t="s">
        <v>18</v>
      </c>
      <c r="P20" s="47" t="s">
        <v>27</v>
      </c>
      <c r="Q20" s="47" t="s">
        <v>27</v>
      </c>
      <c r="R20" s="47" t="s">
        <v>64</v>
      </c>
      <c r="S20" s="33" t="s">
        <v>24</v>
      </c>
      <c r="U20" s="46">
        <f t="shared" ref="U20:AA56" si="9">VLOOKUP(M20, $A$4:$J$29, 9, 0)</f>
        <v>19</v>
      </c>
      <c r="V20" s="46">
        <f t="shared" si="9"/>
        <v>14</v>
      </c>
      <c r="W20" s="46">
        <f t="shared" si="9"/>
        <v>10</v>
      </c>
      <c r="X20" s="46">
        <f t="shared" si="9"/>
        <v>12</v>
      </c>
      <c r="Y20" s="46">
        <f t="shared" si="9"/>
        <v>12</v>
      </c>
      <c r="Z20" s="46">
        <f t="shared" si="9"/>
        <v>14</v>
      </c>
      <c r="AA20" s="46">
        <f t="shared" si="9"/>
        <v>11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203" t="s">
        <v>240</v>
      </c>
      <c r="AL20" s="203">
        <v>0</v>
      </c>
      <c r="AM20" s="203">
        <v>5</v>
      </c>
      <c r="AN20" s="203">
        <v>5</v>
      </c>
      <c r="AO20" s="203">
        <v>5</v>
      </c>
      <c r="AP20" s="203">
        <v>2</v>
      </c>
      <c r="AQ20" s="203">
        <v>0</v>
      </c>
      <c r="AR20" s="203">
        <v>0</v>
      </c>
      <c r="AS20" s="200">
        <v>16</v>
      </c>
    </row>
    <row r="21" spans="1:45" ht="15.9" customHeight="1">
      <c r="A21" s="203" t="str">
        <v>G5</v>
      </c>
      <c r="B21" s="200" t="str">
        <v>Golden M5</v>
      </c>
      <c r="C21" s="202">
        <f t="shared" si="0"/>
        <v>0</v>
      </c>
      <c r="D21" s="202">
        <f t="shared" si="3"/>
        <v>3</v>
      </c>
      <c r="E21" s="202">
        <f t="shared" si="4"/>
        <v>0</v>
      </c>
      <c r="F21" s="202">
        <f t="shared" si="5"/>
        <v>4</v>
      </c>
      <c r="G21" s="202">
        <f t="shared" si="6"/>
        <v>1</v>
      </c>
      <c r="H21" s="202">
        <f t="shared" si="7"/>
        <v>0</v>
      </c>
      <c r="I21" s="202">
        <f t="shared" si="8"/>
        <v>0</v>
      </c>
      <c r="J21" s="200">
        <v>17</v>
      </c>
      <c r="L21" s="18">
        <v>17</v>
      </c>
      <c r="M21" s="47" t="s">
        <v>64</v>
      </c>
      <c r="N21" s="47" t="s">
        <v>64</v>
      </c>
      <c r="O21" s="47" t="s">
        <v>240</v>
      </c>
      <c r="P21" s="47" t="s">
        <v>236</v>
      </c>
      <c r="Q21" s="47" t="s">
        <v>89</v>
      </c>
      <c r="R21" s="47" t="s">
        <v>64</v>
      </c>
      <c r="S21" s="33" t="s">
        <v>24</v>
      </c>
      <c r="U21" s="46">
        <f t="shared" si="9"/>
        <v>14</v>
      </c>
      <c r="V21" s="46">
        <f t="shared" si="9"/>
        <v>14</v>
      </c>
      <c r="W21" s="46">
        <f t="shared" si="9"/>
        <v>0</v>
      </c>
      <c r="X21" s="46">
        <f t="shared" si="9"/>
        <v>0</v>
      </c>
      <c r="Y21" s="46">
        <f t="shared" si="9"/>
        <v>7</v>
      </c>
      <c r="Z21" s="46">
        <f t="shared" si="9"/>
        <v>14</v>
      </c>
      <c r="AA21" s="46">
        <f t="shared" si="9"/>
        <v>11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203" t="s">
        <v>242</v>
      </c>
      <c r="AL21" s="203">
        <v>0</v>
      </c>
      <c r="AM21" s="203">
        <v>2</v>
      </c>
      <c r="AN21" s="203">
        <v>2</v>
      </c>
      <c r="AO21" s="203">
        <v>1</v>
      </c>
      <c r="AP21" s="203">
        <v>3</v>
      </c>
      <c r="AQ21" s="203">
        <v>0</v>
      </c>
      <c r="AR21" s="203">
        <v>0</v>
      </c>
      <c r="AS21" s="200">
        <v>17</v>
      </c>
    </row>
    <row r="22" spans="1:45" ht="15.9" customHeight="1">
      <c r="A22" s="203" t="str">
        <v>G6</v>
      </c>
      <c r="B22" s="200" t="str">
        <v>Golden M6</v>
      </c>
      <c r="C22" s="202">
        <f t="shared" si="0"/>
        <v>0</v>
      </c>
      <c r="D22" s="202">
        <f t="shared" si="3"/>
        <v>3</v>
      </c>
      <c r="E22" s="202">
        <f t="shared" si="4"/>
        <v>1</v>
      </c>
      <c r="F22" s="202">
        <f t="shared" si="5"/>
        <v>2</v>
      </c>
      <c r="G22" s="202">
        <f t="shared" si="6"/>
        <v>2</v>
      </c>
      <c r="H22" s="202">
        <f t="shared" si="7"/>
        <v>0</v>
      </c>
      <c r="I22" s="202">
        <f t="shared" si="8"/>
        <v>0</v>
      </c>
      <c r="J22" s="200">
        <v>18</v>
      </c>
      <c r="L22" s="19">
        <v>18</v>
      </c>
      <c r="M22" s="47" t="s">
        <v>29</v>
      </c>
      <c r="N22" s="47" t="s">
        <v>254</v>
      </c>
      <c r="O22" s="47" t="s">
        <v>26</v>
      </c>
      <c r="P22" s="47" t="s">
        <v>17</v>
      </c>
      <c r="Q22" s="47" t="s">
        <v>26</v>
      </c>
      <c r="R22" s="47" t="s">
        <v>18</v>
      </c>
      <c r="S22" s="47" t="s">
        <v>24</v>
      </c>
      <c r="U22" s="46">
        <f t="shared" si="9"/>
        <v>19</v>
      </c>
      <c r="V22" s="46">
        <f t="shared" si="9"/>
        <v>0</v>
      </c>
      <c r="W22" s="46">
        <f t="shared" si="9"/>
        <v>7</v>
      </c>
      <c r="X22" s="46">
        <f t="shared" si="9"/>
        <v>14</v>
      </c>
      <c r="Y22" s="46">
        <f t="shared" si="9"/>
        <v>7</v>
      </c>
      <c r="Z22" s="46">
        <f t="shared" si="9"/>
        <v>10</v>
      </c>
      <c r="AA22" s="46">
        <f t="shared" si="9"/>
        <v>11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203" t="s">
        <v>244</v>
      </c>
      <c r="AL22" s="203">
        <v>0</v>
      </c>
      <c r="AM22" s="203">
        <v>2</v>
      </c>
      <c r="AN22" s="203">
        <v>2</v>
      </c>
      <c r="AO22" s="203">
        <v>1</v>
      </c>
      <c r="AP22" s="203">
        <v>3</v>
      </c>
      <c r="AQ22" s="203">
        <v>0</v>
      </c>
      <c r="AR22" s="203">
        <v>0</v>
      </c>
      <c r="AS22" s="200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0"/>
        <v>0</v>
      </c>
      <c r="D23" s="12">
        <f t="shared" si="3"/>
        <v>1</v>
      </c>
      <c r="E23" s="12">
        <f t="shared" si="4"/>
        <v>2</v>
      </c>
      <c r="F23" s="12">
        <f t="shared" si="5"/>
        <v>1</v>
      </c>
      <c r="G23" s="12">
        <f t="shared" si="6"/>
        <v>1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89</v>
      </c>
      <c r="N23" s="47" t="s">
        <v>27</v>
      </c>
      <c r="O23" s="47" t="s">
        <v>24</v>
      </c>
      <c r="P23" s="47" t="s">
        <v>17</v>
      </c>
      <c r="Q23" s="47" t="s">
        <v>27</v>
      </c>
      <c r="R23" s="47" t="s">
        <v>29</v>
      </c>
      <c r="S23" s="33" t="s">
        <v>24</v>
      </c>
      <c r="U23" s="46">
        <f t="shared" si="9"/>
        <v>7</v>
      </c>
      <c r="V23" s="46">
        <f t="shared" si="9"/>
        <v>12</v>
      </c>
      <c r="W23" s="46">
        <f t="shared" si="9"/>
        <v>11</v>
      </c>
      <c r="X23" s="46">
        <f t="shared" si="9"/>
        <v>14</v>
      </c>
      <c r="Y23" s="46">
        <f t="shared" si="9"/>
        <v>12</v>
      </c>
      <c r="Z23" s="46">
        <f t="shared" si="9"/>
        <v>19</v>
      </c>
      <c r="AA23" s="46">
        <f t="shared" si="9"/>
        <v>11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246</v>
      </c>
      <c r="AL23" s="46">
        <v>0</v>
      </c>
      <c r="AM23" s="46">
        <v>5</v>
      </c>
      <c r="AN23" s="46">
        <v>6</v>
      </c>
      <c r="AO23" s="46">
        <v>1</v>
      </c>
      <c r="AP23" s="46">
        <v>3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0"/>
        <v>0</v>
      </c>
      <c r="D24" s="12">
        <f t="shared" si="3"/>
        <v>1</v>
      </c>
      <c r="E24" s="12">
        <f t="shared" si="4"/>
        <v>1</v>
      </c>
      <c r="F24" s="12">
        <f t="shared" si="5"/>
        <v>1</v>
      </c>
      <c r="G24" s="12">
        <f t="shared" si="6"/>
        <v>1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21</v>
      </c>
      <c r="N24" s="47" t="s">
        <v>27</v>
      </c>
      <c r="O24" s="47" t="s">
        <v>246</v>
      </c>
      <c r="P24" s="47" t="s">
        <v>27</v>
      </c>
      <c r="Q24" s="47" t="s">
        <v>26</v>
      </c>
      <c r="R24" s="47" t="s">
        <v>29</v>
      </c>
      <c r="S24" s="33" t="s">
        <v>27</v>
      </c>
      <c r="U24" s="46">
        <f t="shared" si="9"/>
        <v>12</v>
      </c>
      <c r="V24" s="46">
        <f t="shared" si="9"/>
        <v>12</v>
      </c>
      <c r="W24" s="46">
        <f t="shared" si="9"/>
        <v>0</v>
      </c>
      <c r="X24" s="46">
        <f t="shared" si="9"/>
        <v>12</v>
      </c>
      <c r="Y24" s="46">
        <f t="shared" si="9"/>
        <v>7</v>
      </c>
      <c r="Z24" s="46">
        <f t="shared" si="9"/>
        <v>19</v>
      </c>
      <c r="AA24" s="46">
        <f t="shared" si="9"/>
        <v>12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248</v>
      </c>
      <c r="AL24" s="46">
        <v>0</v>
      </c>
      <c r="AM24" s="46">
        <v>2</v>
      </c>
      <c r="AN24" s="46">
        <v>6</v>
      </c>
      <c r="AO24" s="46">
        <v>2</v>
      </c>
      <c r="AP24" s="46">
        <v>2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0"/>
        <v>0</v>
      </c>
      <c r="D25" s="12">
        <f t="shared" si="3"/>
        <v>1</v>
      </c>
      <c r="E25" s="12">
        <f t="shared" si="4"/>
        <v>1</v>
      </c>
      <c r="F25" s="12">
        <f t="shared" si="5"/>
        <v>1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27</v>
      </c>
      <c r="N25" s="47" t="s">
        <v>27</v>
      </c>
      <c r="O25" s="47" t="s">
        <v>18</v>
      </c>
      <c r="P25" s="47" t="s">
        <v>29</v>
      </c>
      <c r="Q25" s="47" t="s">
        <v>89</v>
      </c>
      <c r="R25" s="47" t="s">
        <v>29</v>
      </c>
      <c r="S25" s="33" t="s">
        <v>27</v>
      </c>
      <c r="U25" s="46">
        <f t="shared" si="9"/>
        <v>12</v>
      </c>
      <c r="V25" s="46">
        <f t="shared" si="9"/>
        <v>12</v>
      </c>
      <c r="W25" s="46">
        <f t="shared" si="9"/>
        <v>10</v>
      </c>
      <c r="X25" s="46">
        <f t="shared" si="9"/>
        <v>19</v>
      </c>
      <c r="Y25" s="46">
        <f t="shared" si="9"/>
        <v>7</v>
      </c>
      <c r="Z25" s="46">
        <f t="shared" si="9"/>
        <v>19</v>
      </c>
      <c r="AA25" s="46">
        <f t="shared" si="9"/>
        <v>12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250</v>
      </c>
      <c r="AL25" s="46">
        <v>0</v>
      </c>
      <c r="AM25" s="46">
        <v>10</v>
      </c>
      <c r="AN25" s="46">
        <v>6</v>
      </c>
      <c r="AO25" s="46">
        <v>1</v>
      </c>
      <c r="AP25" s="46">
        <v>4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0"/>
        <v>0</v>
      </c>
      <c r="D26" s="12">
        <f t="shared" si="3"/>
        <v>1</v>
      </c>
      <c r="E26" s="12">
        <f t="shared" si="4"/>
        <v>1</v>
      </c>
      <c r="F26" s="12">
        <f t="shared" si="5"/>
        <v>1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27</v>
      </c>
      <c r="N26" s="47" t="s">
        <v>29</v>
      </c>
      <c r="O26" s="47" t="s">
        <v>18</v>
      </c>
      <c r="P26" s="47" t="s">
        <v>29</v>
      </c>
      <c r="Q26" s="47" t="s">
        <v>29</v>
      </c>
      <c r="R26" s="47" t="s">
        <v>18</v>
      </c>
      <c r="S26" s="33" t="s">
        <v>27</v>
      </c>
      <c r="U26" s="46">
        <f t="shared" si="9"/>
        <v>12</v>
      </c>
      <c r="V26" s="46">
        <f t="shared" si="9"/>
        <v>19</v>
      </c>
      <c r="W26" s="46">
        <f t="shared" si="9"/>
        <v>10</v>
      </c>
      <c r="X26" s="46">
        <f t="shared" si="9"/>
        <v>19</v>
      </c>
      <c r="Y26" s="46">
        <f t="shared" si="9"/>
        <v>19</v>
      </c>
      <c r="Z26" s="46">
        <f t="shared" si="9"/>
        <v>10</v>
      </c>
      <c r="AA26" s="46">
        <f t="shared" si="9"/>
        <v>12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252</v>
      </c>
      <c r="AL26" s="46">
        <v>0</v>
      </c>
      <c r="AM26" s="46">
        <v>5</v>
      </c>
      <c r="AN26" s="46">
        <v>6</v>
      </c>
      <c r="AO26" s="46">
        <v>1</v>
      </c>
      <c r="AP26" s="46">
        <v>2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0"/>
        <v>0</v>
      </c>
      <c r="D27" s="12">
        <f t="shared" si="3"/>
        <v>1</v>
      </c>
      <c r="E27" s="12">
        <f t="shared" si="4"/>
        <v>1</v>
      </c>
      <c r="F27" s="12">
        <f t="shared" si="5"/>
        <v>1</v>
      </c>
      <c r="G27" s="12">
        <f t="shared" si="6"/>
        <v>0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18</v>
      </c>
      <c r="N27" s="47" t="s">
        <v>29</v>
      </c>
      <c r="O27" s="47" t="s">
        <v>18</v>
      </c>
      <c r="P27" s="47" t="s">
        <v>29</v>
      </c>
      <c r="Q27" s="47" t="s">
        <v>18</v>
      </c>
      <c r="R27" s="47" t="s">
        <v>18</v>
      </c>
      <c r="S27" s="33" t="s">
        <v>27</v>
      </c>
      <c r="U27" s="46">
        <f t="shared" si="9"/>
        <v>10</v>
      </c>
      <c r="V27" s="46">
        <f t="shared" si="9"/>
        <v>19</v>
      </c>
      <c r="W27" s="46">
        <f t="shared" si="9"/>
        <v>10</v>
      </c>
      <c r="X27" s="46">
        <f t="shared" si="9"/>
        <v>19</v>
      </c>
      <c r="Y27" s="46">
        <f t="shared" si="9"/>
        <v>10</v>
      </c>
      <c r="Z27" s="46">
        <f t="shared" si="9"/>
        <v>10</v>
      </c>
      <c r="AA27" s="46">
        <f t="shared" si="9"/>
        <v>12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254</v>
      </c>
      <c r="AL27" s="46">
        <v>0</v>
      </c>
      <c r="AM27" s="46">
        <v>2</v>
      </c>
      <c r="AN27" s="46">
        <v>6</v>
      </c>
      <c r="AO27" s="46">
        <v>1</v>
      </c>
      <c r="AP27" s="46">
        <v>2</v>
      </c>
      <c r="AQ27" s="46">
        <v>0</v>
      </c>
      <c r="AR27" s="46">
        <v>0</v>
      </c>
      <c r="AS27" s="5">
        <v>23</v>
      </c>
    </row>
    <row r="28" spans="1:45" ht="16.5" customHeight="1">
      <c r="A28" s="203" t="str">
        <v>MY</v>
      </c>
      <c r="B28" s="203" t="str">
        <v>Mystery</v>
      </c>
      <c r="C28" s="202">
        <f t="shared" si="0"/>
        <v>0</v>
      </c>
      <c r="D28" s="202">
        <f t="shared" si="3"/>
        <v>3</v>
      </c>
      <c r="E28" s="202">
        <f t="shared" si="4"/>
        <v>0</v>
      </c>
      <c r="F28" s="202">
        <f t="shared" si="5"/>
        <v>0</v>
      </c>
      <c r="G28" s="202">
        <f t="shared" si="6"/>
        <v>0</v>
      </c>
      <c r="H28" s="202">
        <f t="shared" si="7"/>
        <v>0</v>
      </c>
      <c r="I28" s="202">
        <f t="shared" si="8"/>
        <v>0</v>
      </c>
      <c r="J28" s="200">
        <v>24</v>
      </c>
      <c r="L28" s="19">
        <v>24</v>
      </c>
      <c r="M28" s="47" t="s">
        <v>18</v>
      </c>
      <c r="N28" s="47" t="s">
        <v>29</v>
      </c>
      <c r="O28" s="47" t="s">
        <v>28</v>
      </c>
      <c r="P28" s="47" t="s">
        <v>64</v>
      </c>
      <c r="Q28" s="47" t="s">
        <v>17</v>
      </c>
      <c r="R28" s="47" t="s">
        <v>24</v>
      </c>
      <c r="S28" s="33" t="s">
        <v>29</v>
      </c>
      <c r="U28" s="46">
        <f t="shared" si="9"/>
        <v>10</v>
      </c>
      <c r="V28" s="46">
        <f t="shared" si="9"/>
        <v>19</v>
      </c>
      <c r="W28" s="46">
        <f t="shared" si="9"/>
        <v>15</v>
      </c>
      <c r="X28" s="46">
        <f t="shared" si="9"/>
        <v>14</v>
      </c>
      <c r="Y28" s="46">
        <f t="shared" si="9"/>
        <v>14</v>
      </c>
      <c r="Z28" s="46">
        <f t="shared" si="9"/>
        <v>11</v>
      </c>
      <c r="AA28" s="46">
        <f t="shared" si="9"/>
        <v>19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203" t="s">
        <v>101</v>
      </c>
      <c r="AL28" s="203">
        <v>0</v>
      </c>
      <c r="AM28" s="203">
        <v>10</v>
      </c>
      <c r="AN28" s="203">
        <v>10</v>
      </c>
      <c r="AO28" s="203">
        <v>10</v>
      </c>
      <c r="AP28" s="203">
        <v>10</v>
      </c>
      <c r="AQ28" s="203">
        <v>0</v>
      </c>
      <c r="AR28" s="203">
        <v>0</v>
      </c>
      <c r="AS28" s="200">
        <v>24</v>
      </c>
    </row>
    <row r="29" spans="1:45" ht="16.5" customHeight="1">
      <c r="A29" s="203" t="str">
        <v>GM</v>
      </c>
      <c r="B29" s="203" t="str">
        <v>Golden Mystery</v>
      </c>
      <c r="C29" s="202">
        <f t="shared" si="0"/>
        <v>0</v>
      </c>
      <c r="D29" s="202">
        <f t="shared" si="3"/>
        <v>1</v>
      </c>
      <c r="E29" s="202">
        <f t="shared" si="4"/>
        <v>0</v>
      </c>
      <c r="F29" s="202">
        <f t="shared" si="5"/>
        <v>0</v>
      </c>
      <c r="G29" s="202">
        <f t="shared" si="6"/>
        <v>0</v>
      </c>
      <c r="H29" s="202">
        <f t="shared" si="7"/>
        <v>0</v>
      </c>
      <c r="I29" s="202">
        <f t="shared" si="8"/>
        <v>0</v>
      </c>
      <c r="J29" s="200">
        <v>25</v>
      </c>
      <c r="L29" s="18">
        <v>25</v>
      </c>
      <c r="M29" s="47" t="s">
        <v>89</v>
      </c>
      <c r="N29" s="47" t="s">
        <v>89</v>
      </c>
      <c r="O29" s="47" t="s">
        <v>28</v>
      </c>
      <c r="P29" s="47" t="s">
        <v>64</v>
      </c>
      <c r="Q29" s="47" t="s">
        <v>29</v>
      </c>
      <c r="R29" s="47" t="s">
        <v>64</v>
      </c>
      <c r="S29" s="33" t="s">
        <v>29</v>
      </c>
      <c r="U29" s="46">
        <f t="shared" si="9"/>
        <v>7</v>
      </c>
      <c r="V29" s="46">
        <f t="shared" si="9"/>
        <v>7</v>
      </c>
      <c r="W29" s="46">
        <f t="shared" si="9"/>
        <v>15</v>
      </c>
      <c r="X29" s="46">
        <f t="shared" si="9"/>
        <v>14</v>
      </c>
      <c r="Y29" s="46">
        <f t="shared" si="9"/>
        <v>19</v>
      </c>
      <c r="Z29" s="46">
        <f t="shared" si="9"/>
        <v>14</v>
      </c>
      <c r="AA29" s="46">
        <f t="shared" si="9"/>
        <v>19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203" t="s">
        <v>269</v>
      </c>
      <c r="AL29" s="203">
        <v>0</v>
      </c>
      <c r="AM29" s="203">
        <v>1</v>
      </c>
      <c r="AN29" s="203">
        <v>1</v>
      </c>
      <c r="AO29" s="203">
        <v>1</v>
      </c>
      <c r="AP29" s="203">
        <v>1</v>
      </c>
      <c r="AQ29" s="203">
        <v>0</v>
      </c>
      <c r="AR29" s="203">
        <v>0</v>
      </c>
      <c r="AS29" s="200">
        <v>25</v>
      </c>
    </row>
    <row r="30" spans="1:45" ht="16.5" customHeight="1">
      <c r="A30" s="199"/>
      <c r="B30" s="199"/>
      <c r="C30" s="219">
        <f>SUM(C4:C29)</f>
        <v>121</v>
      </c>
      <c r="D30" s="219">
        <f t="shared" ref="D30:I30" si="10">SUM(D4:D29)</f>
        <v>121</v>
      </c>
      <c r="E30" s="219">
        <f t="shared" si="10"/>
        <v>121</v>
      </c>
      <c r="F30" s="219">
        <f t="shared" si="10"/>
        <v>121</v>
      </c>
      <c r="G30" s="219">
        <f t="shared" si="10"/>
        <v>121</v>
      </c>
      <c r="H30" s="219">
        <f t="shared" si="10"/>
        <v>121</v>
      </c>
      <c r="I30" s="219">
        <f t="shared" si="10"/>
        <v>121</v>
      </c>
      <c r="J30" s="15"/>
      <c r="L30" s="19">
        <v>26</v>
      </c>
      <c r="M30" s="47" t="s">
        <v>28</v>
      </c>
      <c r="N30" s="47" t="s">
        <v>89</v>
      </c>
      <c r="O30" s="47" t="s">
        <v>89</v>
      </c>
      <c r="P30" s="47" t="s">
        <v>27</v>
      </c>
      <c r="Q30" s="47" t="s">
        <v>27</v>
      </c>
      <c r="R30" s="47" t="s">
        <v>27</v>
      </c>
      <c r="S30" s="33" t="s">
        <v>29</v>
      </c>
      <c r="U30" s="46">
        <f t="shared" si="9"/>
        <v>15</v>
      </c>
      <c r="V30" s="46">
        <f t="shared" si="9"/>
        <v>7</v>
      </c>
      <c r="W30" s="46">
        <f t="shared" si="9"/>
        <v>7</v>
      </c>
      <c r="X30" s="46">
        <f t="shared" si="9"/>
        <v>12</v>
      </c>
      <c r="Y30" s="46">
        <f t="shared" si="9"/>
        <v>12</v>
      </c>
      <c r="Z30" s="46">
        <f t="shared" si="9"/>
        <v>12</v>
      </c>
      <c r="AA30" s="46">
        <f t="shared" si="9"/>
        <v>19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84"/>
      <c r="E31" s="84"/>
      <c r="F31" s="84"/>
      <c r="G31" s="84"/>
      <c r="J31" s="15"/>
      <c r="L31" s="18">
        <v>27</v>
      </c>
      <c r="M31" s="47" t="s">
        <v>28</v>
      </c>
      <c r="N31" s="47" t="s">
        <v>24</v>
      </c>
      <c r="O31" s="47" t="s">
        <v>17</v>
      </c>
      <c r="P31" s="47" t="s">
        <v>27</v>
      </c>
      <c r="Q31" s="47" t="s">
        <v>27</v>
      </c>
      <c r="R31" s="47" t="s">
        <v>64</v>
      </c>
      <c r="S31" s="33" t="s">
        <v>29</v>
      </c>
      <c r="U31" s="46">
        <f t="shared" si="9"/>
        <v>15</v>
      </c>
      <c r="V31" s="46">
        <f t="shared" si="9"/>
        <v>11</v>
      </c>
      <c r="W31" s="46">
        <f t="shared" si="9"/>
        <v>14</v>
      </c>
      <c r="X31" s="46">
        <f t="shared" si="9"/>
        <v>12</v>
      </c>
      <c r="Y31" s="46">
        <f t="shared" si="9"/>
        <v>12</v>
      </c>
      <c r="Z31" s="46">
        <f t="shared" si="9"/>
        <v>14</v>
      </c>
      <c r="AA31" s="46">
        <f t="shared" si="9"/>
        <v>19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275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27</v>
      </c>
      <c r="N32" s="47" t="s">
        <v>24</v>
      </c>
      <c r="O32" s="47" t="s">
        <v>240</v>
      </c>
      <c r="P32" s="47" t="s">
        <v>238</v>
      </c>
      <c r="Q32" s="47" t="s">
        <v>89</v>
      </c>
      <c r="R32" s="47" t="s">
        <v>24</v>
      </c>
      <c r="S32" s="33" t="s">
        <v>28</v>
      </c>
      <c r="U32" s="46">
        <f t="shared" si="9"/>
        <v>12</v>
      </c>
      <c r="V32" s="46">
        <f t="shared" si="9"/>
        <v>11</v>
      </c>
      <c r="W32" s="46">
        <f t="shared" si="9"/>
        <v>0</v>
      </c>
      <c r="X32" s="46">
        <f t="shared" si="9"/>
        <v>0</v>
      </c>
      <c r="Y32" s="46">
        <f t="shared" si="9"/>
        <v>7</v>
      </c>
      <c r="Z32" s="46">
        <f t="shared" si="9"/>
        <v>11</v>
      </c>
      <c r="AA32" s="46">
        <f t="shared" si="9"/>
        <v>15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277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98" t="s">
        <v>72</v>
      </c>
      <c r="C33" s="204">
        <v>0</v>
      </c>
      <c r="D33" s="204">
        <v>105</v>
      </c>
      <c r="E33" s="204">
        <v>45</v>
      </c>
      <c r="F33" s="204">
        <v>175</v>
      </c>
      <c r="G33" s="204">
        <v>135</v>
      </c>
      <c r="H33" s="204">
        <v>0</v>
      </c>
      <c r="J33" s="15"/>
      <c r="L33" s="18">
        <v>29</v>
      </c>
      <c r="M33" s="47" t="s">
        <v>27</v>
      </c>
      <c r="N33" s="47" t="s">
        <v>24</v>
      </c>
      <c r="O33" s="47" t="s">
        <v>18</v>
      </c>
      <c r="P33" s="47" t="s">
        <v>27</v>
      </c>
      <c r="Q33" s="47" t="s">
        <v>89</v>
      </c>
      <c r="R33" s="47" t="s">
        <v>27</v>
      </c>
      <c r="S33" s="33" t="s">
        <v>28</v>
      </c>
      <c r="U33" s="46">
        <f t="shared" si="9"/>
        <v>12</v>
      </c>
      <c r="V33" s="46">
        <f t="shared" si="9"/>
        <v>11</v>
      </c>
      <c r="W33" s="46">
        <f t="shared" si="9"/>
        <v>10</v>
      </c>
      <c r="X33" s="46">
        <f t="shared" si="9"/>
        <v>12</v>
      </c>
      <c r="Y33" s="46">
        <f t="shared" si="9"/>
        <v>7</v>
      </c>
      <c r="Z33" s="46">
        <f t="shared" si="9"/>
        <v>12</v>
      </c>
      <c r="AA33" s="46">
        <f t="shared" si="9"/>
        <v>15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105</v>
      </c>
      <c r="E34" s="10">
        <v>45</v>
      </c>
      <c r="F34" s="10">
        <v>175</v>
      </c>
      <c r="G34" s="10">
        <v>135</v>
      </c>
      <c r="H34" s="10">
        <v>0</v>
      </c>
      <c r="L34" s="19">
        <v>30</v>
      </c>
      <c r="M34" s="47" t="s">
        <v>18</v>
      </c>
      <c r="N34" s="47" t="s">
        <v>28</v>
      </c>
      <c r="O34" s="47" t="s">
        <v>28</v>
      </c>
      <c r="P34" s="47" t="s">
        <v>26</v>
      </c>
      <c r="Q34" s="47" t="s">
        <v>26</v>
      </c>
      <c r="R34" s="47" t="s">
        <v>27</v>
      </c>
      <c r="S34" s="47" t="s">
        <v>28</v>
      </c>
      <c r="U34" s="46">
        <f t="shared" si="9"/>
        <v>10</v>
      </c>
      <c r="V34" s="46">
        <f t="shared" si="9"/>
        <v>15</v>
      </c>
      <c r="W34" s="46">
        <f t="shared" si="9"/>
        <v>15</v>
      </c>
      <c r="X34" s="46">
        <f t="shared" si="9"/>
        <v>7</v>
      </c>
      <c r="Y34" s="46">
        <f t="shared" si="9"/>
        <v>7</v>
      </c>
      <c r="Z34" s="46">
        <f t="shared" si="9"/>
        <v>12</v>
      </c>
      <c r="AA34" s="46">
        <f t="shared" si="9"/>
        <v>15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5</v>
      </c>
      <c r="AM34" s="46">
        <v>5</v>
      </c>
      <c r="AN34" s="46">
        <v>5</v>
      </c>
      <c r="AO34" s="46">
        <v>5</v>
      </c>
      <c r="AP34" s="46">
        <v>5</v>
      </c>
      <c r="AQ34" s="46">
        <v>5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675</v>
      </c>
      <c r="E35" s="10">
        <v>195</v>
      </c>
      <c r="F35" s="10">
        <v>475</v>
      </c>
      <c r="G35" s="10">
        <v>1075</v>
      </c>
      <c r="H35" s="10">
        <v>0</v>
      </c>
      <c r="L35" s="18">
        <v>31</v>
      </c>
      <c r="M35" s="47" t="s">
        <v>89</v>
      </c>
      <c r="N35" s="47" t="s">
        <v>27</v>
      </c>
      <c r="O35" s="47" t="s">
        <v>28</v>
      </c>
      <c r="P35" s="47" t="s">
        <v>248</v>
      </c>
      <c r="Q35" s="47" t="s">
        <v>29</v>
      </c>
      <c r="R35" s="47" t="s">
        <v>29</v>
      </c>
      <c r="S35" s="33" t="s">
        <v>28</v>
      </c>
      <c r="U35" s="46">
        <f t="shared" si="9"/>
        <v>7</v>
      </c>
      <c r="V35" s="46">
        <f t="shared" si="9"/>
        <v>12</v>
      </c>
      <c r="W35" s="46">
        <f t="shared" si="9"/>
        <v>15</v>
      </c>
      <c r="X35" s="46">
        <f t="shared" si="9"/>
        <v>0</v>
      </c>
      <c r="Y35" s="46">
        <f t="shared" si="9"/>
        <v>19</v>
      </c>
      <c r="Z35" s="46">
        <f t="shared" si="9"/>
        <v>19</v>
      </c>
      <c r="AA35" s="46">
        <f t="shared" si="9"/>
        <v>15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203" t="s">
        <v>20</v>
      </c>
      <c r="AL35" s="203">
        <v>15</v>
      </c>
      <c r="AM35" s="203">
        <v>42</v>
      </c>
      <c r="AN35" s="203">
        <v>20</v>
      </c>
      <c r="AO35" s="203">
        <v>10</v>
      </c>
      <c r="AP35" s="203">
        <v>40</v>
      </c>
      <c r="AQ35" s="203">
        <v>5</v>
      </c>
      <c r="AR35" s="203">
        <v>1</v>
      </c>
      <c r="AS35" s="200">
        <v>2</v>
      </c>
    </row>
    <row r="36" spans="1:45" ht="16.5" customHeight="1">
      <c r="B36" s="5" t="s">
        <v>76</v>
      </c>
      <c r="C36" s="10">
        <v>0</v>
      </c>
      <c r="D36" s="10">
        <v>675</v>
      </c>
      <c r="E36" s="10">
        <v>195</v>
      </c>
      <c r="F36" s="10">
        <v>475</v>
      </c>
      <c r="G36" s="10">
        <v>1075</v>
      </c>
      <c r="H36" s="10">
        <v>0</v>
      </c>
      <c r="L36" s="19">
        <v>32</v>
      </c>
      <c r="M36" s="47" t="s">
        <v>89</v>
      </c>
      <c r="N36" s="47" t="s">
        <v>27</v>
      </c>
      <c r="O36" s="47" t="s">
        <v>24</v>
      </c>
      <c r="P36" s="47" t="s">
        <v>24</v>
      </c>
      <c r="Q36" s="47" t="s">
        <v>29</v>
      </c>
      <c r="R36" s="47" t="s">
        <v>28</v>
      </c>
      <c r="S36" s="33" t="s">
        <v>64</v>
      </c>
      <c r="U36" s="46">
        <f t="shared" si="9"/>
        <v>7</v>
      </c>
      <c r="V36" s="46">
        <f t="shared" si="9"/>
        <v>12</v>
      </c>
      <c r="W36" s="46">
        <f t="shared" si="9"/>
        <v>11</v>
      </c>
      <c r="X36" s="46">
        <f t="shared" si="9"/>
        <v>11</v>
      </c>
      <c r="Y36" s="46">
        <f t="shared" si="9"/>
        <v>19</v>
      </c>
      <c r="Z36" s="46">
        <f t="shared" si="9"/>
        <v>15</v>
      </c>
      <c r="AA36" s="46">
        <f t="shared" si="9"/>
        <v>14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203" t="s">
        <v>21</v>
      </c>
      <c r="AL36" s="203">
        <v>40</v>
      </c>
      <c r="AM36" s="203">
        <v>15</v>
      </c>
      <c r="AN36" s="203">
        <v>40</v>
      </c>
      <c r="AO36" s="203">
        <v>42</v>
      </c>
      <c r="AP36" s="203">
        <v>40</v>
      </c>
      <c r="AQ36" s="203">
        <v>5</v>
      </c>
      <c r="AR36" s="203">
        <v>1</v>
      </c>
      <c r="AS36" s="200">
        <v>3</v>
      </c>
    </row>
    <row r="37" spans="1:45" ht="16.5" customHeight="1">
      <c r="B37" s="5" t="s">
        <v>74</v>
      </c>
      <c r="C37" s="10">
        <v>0</v>
      </c>
      <c r="D37" s="10">
        <v>463</v>
      </c>
      <c r="E37" s="10">
        <v>303</v>
      </c>
      <c r="F37" s="10">
        <v>330</v>
      </c>
      <c r="G37" s="10">
        <v>727</v>
      </c>
      <c r="H37" s="10">
        <v>0</v>
      </c>
      <c r="L37" s="18">
        <v>33</v>
      </c>
      <c r="M37" s="47" t="s">
        <v>28</v>
      </c>
      <c r="N37" s="47" t="s">
        <v>27</v>
      </c>
      <c r="O37" s="47" t="s">
        <v>28</v>
      </c>
      <c r="P37" s="47" t="s">
        <v>27</v>
      </c>
      <c r="Q37" s="47" t="s">
        <v>26</v>
      </c>
      <c r="R37" s="47" t="s">
        <v>24</v>
      </c>
      <c r="S37" s="33" t="s">
        <v>64</v>
      </c>
      <c r="U37" s="46">
        <f t="shared" si="9"/>
        <v>15</v>
      </c>
      <c r="V37" s="46">
        <f t="shared" si="9"/>
        <v>12</v>
      </c>
      <c r="W37" s="46">
        <f t="shared" si="9"/>
        <v>15</v>
      </c>
      <c r="X37" s="46">
        <f t="shared" si="9"/>
        <v>12</v>
      </c>
      <c r="Y37" s="46">
        <f t="shared" si="9"/>
        <v>7</v>
      </c>
      <c r="Z37" s="46">
        <f t="shared" si="9"/>
        <v>11</v>
      </c>
      <c r="AA37" s="46">
        <f t="shared" si="9"/>
        <v>14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203" t="s">
        <v>17</v>
      </c>
      <c r="AL37" s="203">
        <v>15</v>
      </c>
      <c r="AM37" s="203">
        <v>40</v>
      </c>
      <c r="AN37" s="203">
        <v>20</v>
      </c>
      <c r="AO37" s="203">
        <v>10</v>
      </c>
      <c r="AP37" s="203">
        <v>5</v>
      </c>
      <c r="AQ37" s="203">
        <v>40</v>
      </c>
      <c r="AR37" s="203">
        <v>1</v>
      </c>
      <c r="AS37" s="200">
        <v>4</v>
      </c>
    </row>
    <row r="38" spans="1:45" ht="16.5" customHeight="1">
      <c r="B38" s="5" t="s">
        <v>77</v>
      </c>
      <c r="C38" s="10">
        <v>0</v>
      </c>
      <c r="D38" s="10">
        <v>463</v>
      </c>
      <c r="E38" s="10">
        <v>303</v>
      </c>
      <c r="F38" s="10">
        <v>330</v>
      </c>
      <c r="G38" s="10">
        <v>727</v>
      </c>
      <c r="H38" s="10">
        <v>0</v>
      </c>
      <c r="L38" s="19">
        <v>34</v>
      </c>
      <c r="M38" s="47" t="s">
        <v>26</v>
      </c>
      <c r="N38" s="47" t="s">
        <v>64</v>
      </c>
      <c r="O38" s="47" t="s">
        <v>18</v>
      </c>
      <c r="P38" s="47" t="s">
        <v>29</v>
      </c>
      <c r="Q38" s="47" t="s">
        <v>26</v>
      </c>
      <c r="R38" s="47" t="s">
        <v>24</v>
      </c>
      <c r="S38" s="33" t="s">
        <v>64</v>
      </c>
      <c r="U38" s="46">
        <f t="shared" si="9"/>
        <v>7</v>
      </c>
      <c r="V38" s="46">
        <f t="shared" si="9"/>
        <v>14</v>
      </c>
      <c r="W38" s="46">
        <f t="shared" si="9"/>
        <v>10</v>
      </c>
      <c r="X38" s="46">
        <f t="shared" si="9"/>
        <v>19</v>
      </c>
      <c r="Y38" s="46">
        <f t="shared" si="9"/>
        <v>7</v>
      </c>
      <c r="Z38" s="46">
        <f t="shared" si="9"/>
        <v>11</v>
      </c>
      <c r="AA38" s="46">
        <f t="shared" si="9"/>
        <v>14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203" t="s">
        <v>18</v>
      </c>
      <c r="AL38" s="203">
        <v>40</v>
      </c>
      <c r="AM38" s="203">
        <v>15</v>
      </c>
      <c r="AN38" s="203">
        <v>40</v>
      </c>
      <c r="AO38" s="203">
        <v>10</v>
      </c>
      <c r="AP38" s="203">
        <v>5</v>
      </c>
      <c r="AQ38" s="203">
        <v>40</v>
      </c>
      <c r="AR38" s="203">
        <v>1</v>
      </c>
      <c r="AS38" s="200">
        <v>5</v>
      </c>
    </row>
    <row r="39" spans="1:45" ht="16.5" customHeight="1">
      <c r="B39" s="5" t="s">
        <v>78</v>
      </c>
      <c r="C39" s="10">
        <v>0</v>
      </c>
      <c r="D39" s="10">
        <v>463</v>
      </c>
      <c r="E39" s="10">
        <v>303</v>
      </c>
      <c r="F39" s="10">
        <v>330</v>
      </c>
      <c r="G39" s="10">
        <v>727</v>
      </c>
      <c r="H39" s="10">
        <v>0</v>
      </c>
      <c r="L39" s="18">
        <v>35</v>
      </c>
      <c r="M39" s="47" t="s">
        <v>64</v>
      </c>
      <c r="N39" s="47" t="s">
        <v>248</v>
      </c>
      <c r="O39" s="47" t="s">
        <v>18</v>
      </c>
      <c r="P39" s="47" t="s">
        <v>64</v>
      </c>
      <c r="Q39" s="47" t="s">
        <v>89</v>
      </c>
      <c r="R39" s="47" t="s">
        <v>24</v>
      </c>
      <c r="S39" s="33" t="s">
        <v>64</v>
      </c>
      <c r="U39" s="46">
        <f t="shared" si="9"/>
        <v>14</v>
      </c>
      <c r="V39" s="46">
        <f t="shared" si="9"/>
        <v>0</v>
      </c>
      <c r="W39" s="46">
        <f t="shared" si="9"/>
        <v>10</v>
      </c>
      <c r="X39" s="46">
        <f t="shared" si="9"/>
        <v>14</v>
      </c>
      <c r="Y39" s="46">
        <f t="shared" si="9"/>
        <v>7</v>
      </c>
      <c r="Z39" s="46">
        <f t="shared" si="9"/>
        <v>11</v>
      </c>
      <c r="AA39" s="46">
        <f t="shared" si="9"/>
        <v>14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203" t="s">
        <v>64</v>
      </c>
      <c r="AL39" s="203">
        <v>15</v>
      </c>
      <c r="AM39" s="203">
        <v>40</v>
      </c>
      <c r="AN39" s="203">
        <v>20</v>
      </c>
      <c r="AO39" s="203">
        <v>10</v>
      </c>
      <c r="AP39" s="203">
        <v>40</v>
      </c>
      <c r="AQ39" s="203">
        <v>5</v>
      </c>
      <c r="AR39" s="203">
        <v>1</v>
      </c>
      <c r="AS39" s="200">
        <v>6</v>
      </c>
    </row>
    <row r="40" spans="1:45" ht="16.5" customHeight="1">
      <c r="B40" s="5" t="s">
        <v>79</v>
      </c>
      <c r="C40" s="10">
        <v>0</v>
      </c>
      <c r="D40" s="10">
        <v>910</v>
      </c>
      <c r="E40" s="10">
        <v>610</v>
      </c>
      <c r="F40" s="10">
        <v>1373</v>
      </c>
      <c r="G40" s="10">
        <v>973</v>
      </c>
      <c r="H40" s="10">
        <v>0</v>
      </c>
      <c r="L40" s="19">
        <v>36</v>
      </c>
      <c r="M40" s="46" t="s">
        <v>29</v>
      </c>
      <c r="N40" s="46" t="s">
        <v>29</v>
      </c>
      <c r="O40" s="46" t="s">
        <v>28</v>
      </c>
      <c r="P40" s="46" t="s">
        <v>64</v>
      </c>
      <c r="Q40" s="46" t="s">
        <v>18</v>
      </c>
      <c r="R40" s="46" t="s">
        <v>26</v>
      </c>
      <c r="S40" s="46" t="s">
        <v>89</v>
      </c>
      <c r="U40" s="46">
        <f t="shared" si="9"/>
        <v>19</v>
      </c>
      <c r="V40" s="46">
        <f t="shared" si="9"/>
        <v>19</v>
      </c>
      <c r="W40" s="46">
        <f t="shared" si="9"/>
        <v>15</v>
      </c>
      <c r="X40" s="46">
        <f t="shared" si="9"/>
        <v>14</v>
      </c>
      <c r="Y40" s="46">
        <f t="shared" si="9"/>
        <v>10</v>
      </c>
      <c r="Z40" s="46">
        <f t="shared" si="9"/>
        <v>7</v>
      </c>
      <c r="AA40" s="46">
        <f t="shared" si="9"/>
        <v>7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203" t="s">
        <v>89</v>
      </c>
      <c r="AL40" s="203">
        <v>40</v>
      </c>
      <c r="AM40" s="203">
        <v>15</v>
      </c>
      <c r="AN40" s="203">
        <v>40</v>
      </c>
      <c r="AO40" s="203">
        <v>10</v>
      </c>
      <c r="AP40" s="203">
        <v>5</v>
      </c>
      <c r="AQ40" s="203">
        <v>40</v>
      </c>
      <c r="AR40" s="203">
        <v>1</v>
      </c>
      <c r="AS40" s="200">
        <v>7</v>
      </c>
    </row>
    <row r="41" spans="1:45" ht="16.5" customHeight="1">
      <c r="B41" s="5" t="s">
        <v>80</v>
      </c>
      <c r="C41" s="10">
        <v>0</v>
      </c>
      <c r="D41" s="10">
        <v>910</v>
      </c>
      <c r="E41" s="10">
        <v>610</v>
      </c>
      <c r="F41" s="10">
        <v>1373</v>
      </c>
      <c r="G41" s="10">
        <v>973</v>
      </c>
      <c r="H41" s="10">
        <v>0</v>
      </c>
      <c r="L41" s="18">
        <v>37</v>
      </c>
      <c r="M41" s="47" t="s">
        <v>89</v>
      </c>
      <c r="N41" s="47" t="s">
        <v>29</v>
      </c>
      <c r="O41" s="47" t="s">
        <v>28</v>
      </c>
      <c r="P41" s="47" t="s">
        <v>64</v>
      </c>
      <c r="Q41" s="47" t="s">
        <v>28</v>
      </c>
      <c r="R41" s="47" t="s">
        <v>26</v>
      </c>
      <c r="S41" s="33" t="s">
        <v>89</v>
      </c>
      <c r="U41" s="46">
        <f t="shared" si="9"/>
        <v>7</v>
      </c>
      <c r="V41" s="46">
        <f t="shared" si="9"/>
        <v>19</v>
      </c>
      <c r="W41" s="46">
        <f t="shared" si="9"/>
        <v>15</v>
      </c>
      <c r="X41" s="46">
        <f t="shared" si="9"/>
        <v>14</v>
      </c>
      <c r="Y41" s="46">
        <f t="shared" si="9"/>
        <v>15</v>
      </c>
      <c r="Z41" s="46">
        <f t="shared" si="9"/>
        <v>7</v>
      </c>
      <c r="AA41" s="46">
        <f t="shared" si="9"/>
        <v>7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40</v>
      </c>
      <c r="AM41" s="46">
        <v>15</v>
      </c>
      <c r="AN41" s="46">
        <v>40</v>
      </c>
      <c r="AO41" s="46">
        <v>10</v>
      </c>
      <c r="AP41" s="46">
        <v>10</v>
      </c>
      <c r="AQ41" s="46">
        <v>5</v>
      </c>
      <c r="AR41" s="46">
        <v>1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910</v>
      </c>
      <c r="E42" s="10">
        <v>610</v>
      </c>
      <c r="F42" s="10">
        <v>1373</v>
      </c>
      <c r="G42" s="10">
        <v>973</v>
      </c>
      <c r="H42" s="10">
        <v>0</v>
      </c>
      <c r="L42" s="19">
        <v>38</v>
      </c>
      <c r="M42" s="47" t="s">
        <v>89</v>
      </c>
      <c r="N42" s="47" t="s">
        <v>29</v>
      </c>
      <c r="O42" s="47" t="s">
        <v>18</v>
      </c>
      <c r="P42" s="47" t="s">
        <v>27</v>
      </c>
      <c r="Q42" s="47" t="s">
        <v>28</v>
      </c>
      <c r="R42" s="47" t="s">
        <v>24</v>
      </c>
      <c r="S42" s="33" t="s">
        <v>89</v>
      </c>
      <c r="U42" s="46">
        <f t="shared" si="9"/>
        <v>7</v>
      </c>
      <c r="V42" s="46">
        <f t="shared" si="9"/>
        <v>19</v>
      </c>
      <c r="W42" s="46">
        <f t="shared" si="9"/>
        <v>10</v>
      </c>
      <c r="X42" s="46">
        <f t="shared" si="9"/>
        <v>12</v>
      </c>
      <c r="Y42" s="46">
        <f t="shared" si="9"/>
        <v>15</v>
      </c>
      <c r="Z42" s="46">
        <f t="shared" si="9"/>
        <v>11</v>
      </c>
      <c r="AA42" s="46">
        <f t="shared" si="9"/>
        <v>7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15</v>
      </c>
      <c r="AM42" s="46">
        <v>40</v>
      </c>
      <c r="AN42" s="46">
        <v>20</v>
      </c>
      <c r="AO42" s="46">
        <v>40</v>
      </c>
      <c r="AP42" s="46">
        <v>40</v>
      </c>
      <c r="AQ42" s="46">
        <v>40</v>
      </c>
      <c r="AR42" s="46">
        <v>1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747</v>
      </c>
      <c r="E43" s="10">
        <v>1092</v>
      </c>
      <c r="F43" s="10">
        <v>780</v>
      </c>
      <c r="G43" s="10">
        <v>520</v>
      </c>
      <c r="H43" s="10">
        <v>0</v>
      </c>
      <c r="L43" s="18">
        <v>39</v>
      </c>
      <c r="M43" s="47" t="s">
        <v>28</v>
      </c>
      <c r="N43" s="47" t="s">
        <v>246</v>
      </c>
      <c r="O43" s="47" t="s">
        <v>29</v>
      </c>
      <c r="P43" s="47" t="s">
        <v>64</v>
      </c>
      <c r="Q43" s="47" t="s">
        <v>18</v>
      </c>
      <c r="R43" s="47" t="s">
        <v>24</v>
      </c>
      <c r="S43" s="33" t="s">
        <v>89</v>
      </c>
      <c r="U43" s="46">
        <f t="shared" si="9"/>
        <v>15</v>
      </c>
      <c r="V43" s="46">
        <f t="shared" si="9"/>
        <v>0</v>
      </c>
      <c r="W43" s="46">
        <f t="shared" si="9"/>
        <v>19</v>
      </c>
      <c r="X43" s="46">
        <f t="shared" si="9"/>
        <v>14</v>
      </c>
      <c r="Y43" s="46">
        <f t="shared" si="9"/>
        <v>10</v>
      </c>
      <c r="Z43" s="46">
        <f t="shared" si="9"/>
        <v>11</v>
      </c>
      <c r="AA43" s="46">
        <f t="shared" si="9"/>
        <v>7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40</v>
      </c>
      <c r="AM43" s="46">
        <v>15</v>
      </c>
      <c r="AN43" s="46">
        <v>40</v>
      </c>
      <c r="AO43" s="46">
        <v>10</v>
      </c>
      <c r="AP43" s="46">
        <v>5</v>
      </c>
      <c r="AQ43" s="46">
        <v>5</v>
      </c>
      <c r="AR43" s="46">
        <v>1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747</v>
      </c>
      <c r="E44" s="10">
        <v>1092</v>
      </c>
      <c r="F44" s="10">
        <v>780</v>
      </c>
      <c r="G44" s="10">
        <v>520</v>
      </c>
      <c r="H44" s="10">
        <v>0</v>
      </c>
      <c r="L44" s="19">
        <v>40</v>
      </c>
      <c r="M44" s="47" t="s">
        <v>29</v>
      </c>
      <c r="N44" s="47" t="s">
        <v>24</v>
      </c>
      <c r="O44" s="47" t="s">
        <v>28</v>
      </c>
      <c r="P44" s="47" t="s">
        <v>29</v>
      </c>
      <c r="Q44" s="47" t="s">
        <v>18</v>
      </c>
      <c r="R44" s="47" t="s">
        <v>27</v>
      </c>
      <c r="S44" s="33" t="s">
        <v>64</v>
      </c>
      <c r="U44" s="46">
        <f t="shared" si="9"/>
        <v>19</v>
      </c>
      <c r="V44" s="46">
        <f t="shared" si="9"/>
        <v>11</v>
      </c>
      <c r="W44" s="46">
        <f t="shared" si="9"/>
        <v>15</v>
      </c>
      <c r="X44" s="46">
        <f t="shared" si="9"/>
        <v>19</v>
      </c>
      <c r="Y44" s="46">
        <f t="shared" si="9"/>
        <v>10</v>
      </c>
      <c r="Z44" s="46">
        <f t="shared" si="9"/>
        <v>12</v>
      </c>
      <c r="AA44" s="46">
        <f t="shared" si="9"/>
        <v>14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15</v>
      </c>
      <c r="AM44" s="46">
        <v>40</v>
      </c>
      <c r="AN44" s="46">
        <v>35</v>
      </c>
      <c r="AO44" s="46">
        <v>10</v>
      </c>
      <c r="AP44" s="46">
        <v>5</v>
      </c>
      <c r="AQ44" s="46">
        <v>5</v>
      </c>
      <c r="AR44" s="46">
        <v>1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747</v>
      </c>
      <c r="E45" s="10">
        <v>1092</v>
      </c>
      <c r="F45" s="10">
        <v>780</v>
      </c>
      <c r="G45" s="10">
        <v>520</v>
      </c>
      <c r="H45" s="10">
        <v>0</v>
      </c>
      <c r="L45" s="18">
        <v>41</v>
      </c>
      <c r="M45" s="47" t="s">
        <v>18</v>
      </c>
      <c r="N45" s="47" t="s">
        <v>24</v>
      </c>
      <c r="O45" s="47" t="s">
        <v>28</v>
      </c>
      <c r="P45" s="47" t="s">
        <v>29</v>
      </c>
      <c r="Q45" s="47" t="s">
        <v>64</v>
      </c>
      <c r="R45" s="47" t="s">
        <v>27</v>
      </c>
      <c r="S45" s="33" t="s">
        <v>64</v>
      </c>
      <c r="U45" s="46">
        <f t="shared" si="9"/>
        <v>10</v>
      </c>
      <c r="V45" s="46">
        <f t="shared" si="9"/>
        <v>11</v>
      </c>
      <c r="W45" s="46">
        <f t="shared" si="9"/>
        <v>15</v>
      </c>
      <c r="X45" s="46">
        <f t="shared" si="9"/>
        <v>19</v>
      </c>
      <c r="Y45" s="46">
        <f t="shared" si="9"/>
        <v>14</v>
      </c>
      <c r="Z45" s="46">
        <f t="shared" si="9"/>
        <v>12</v>
      </c>
      <c r="AA45" s="46">
        <f t="shared" si="9"/>
        <v>14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40</v>
      </c>
      <c r="AM45" s="46">
        <v>15</v>
      </c>
      <c r="AN45" s="46">
        <v>15</v>
      </c>
      <c r="AO45" s="46">
        <v>10</v>
      </c>
      <c r="AP45" s="46">
        <v>5</v>
      </c>
      <c r="AQ45" s="46">
        <v>5</v>
      </c>
      <c r="AR45" s="46">
        <v>1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747</v>
      </c>
      <c r="E46" s="10">
        <v>1092</v>
      </c>
      <c r="F46" s="10">
        <v>780</v>
      </c>
      <c r="G46" s="10">
        <v>520</v>
      </c>
      <c r="H46" s="10">
        <v>0</v>
      </c>
      <c r="L46" s="19">
        <v>42</v>
      </c>
      <c r="M46" s="47" t="s">
        <v>27</v>
      </c>
      <c r="N46" s="47" t="s">
        <v>21</v>
      </c>
      <c r="O46" s="47" t="s">
        <v>244</v>
      </c>
      <c r="P46" s="47" t="s">
        <v>29</v>
      </c>
      <c r="Q46" s="47" t="s">
        <v>21</v>
      </c>
      <c r="R46" s="47" t="s">
        <v>24</v>
      </c>
      <c r="S46" s="33" t="s">
        <v>64</v>
      </c>
      <c r="U46" s="46">
        <f t="shared" si="9"/>
        <v>12</v>
      </c>
      <c r="V46" s="46">
        <f t="shared" si="9"/>
        <v>12</v>
      </c>
      <c r="W46" s="46">
        <f t="shared" si="9"/>
        <v>0</v>
      </c>
      <c r="X46" s="46">
        <f t="shared" si="9"/>
        <v>19</v>
      </c>
      <c r="Y46" s="46">
        <f t="shared" si="9"/>
        <v>12</v>
      </c>
      <c r="Z46" s="46">
        <f t="shared" si="9"/>
        <v>11</v>
      </c>
      <c r="AA46" s="46">
        <f t="shared" si="9"/>
        <v>14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203" t="s">
        <v>234</v>
      </c>
      <c r="AL46" s="203">
        <v>0</v>
      </c>
      <c r="AM46" s="203">
        <v>2</v>
      </c>
      <c r="AN46" s="203">
        <v>5</v>
      </c>
      <c r="AO46" s="203">
        <v>2</v>
      </c>
      <c r="AP46" s="203">
        <v>4</v>
      </c>
      <c r="AQ46" s="203">
        <v>0</v>
      </c>
      <c r="AR46" s="203">
        <v>0</v>
      </c>
      <c r="AS46" s="200">
        <v>12</v>
      </c>
    </row>
    <row r="47" spans="1:45" ht="16.5" customHeight="1">
      <c r="B47" s="5" t="s">
        <v>86</v>
      </c>
      <c r="C47" s="10">
        <v>1</v>
      </c>
      <c r="D47" s="10">
        <v>1340</v>
      </c>
      <c r="E47" s="10">
        <v>2410</v>
      </c>
      <c r="F47" s="10">
        <v>470</v>
      </c>
      <c r="G47" s="10">
        <v>400</v>
      </c>
      <c r="H47" s="10">
        <v>1</v>
      </c>
      <c r="L47" s="18">
        <v>43</v>
      </c>
      <c r="M47" s="47" t="s">
        <v>29</v>
      </c>
      <c r="N47" s="47" t="s">
        <v>21</v>
      </c>
      <c r="O47" s="47" t="s">
        <v>24</v>
      </c>
      <c r="P47" s="47" t="s">
        <v>27</v>
      </c>
      <c r="Q47" s="47" t="s">
        <v>89</v>
      </c>
      <c r="R47" s="47" t="s">
        <v>24</v>
      </c>
      <c r="S47" s="33" t="s">
        <v>21</v>
      </c>
      <c r="U47" s="46">
        <f t="shared" si="9"/>
        <v>19</v>
      </c>
      <c r="V47" s="46">
        <f t="shared" si="9"/>
        <v>12</v>
      </c>
      <c r="W47" s="46">
        <f t="shared" si="9"/>
        <v>11</v>
      </c>
      <c r="X47" s="46">
        <f t="shared" si="9"/>
        <v>12</v>
      </c>
      <c r="Y47" s="46">
        <f t="shared" si="9"/>
        <v>7</v>
      </c>
      <c r="Z47" s="46">
        <f t="shared" si="9"/>
        <v>11</v>
      </c>
      <c r="AA47" s="46">
        <f t="shared" si="9"/>
        <v>12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203" t="s">
        <v>236</v>
      </c>
      <c r="AL47" s="203">
        <v>0</v>
      </c>
      <c r="AM47" s="203">
        <v>2</v>
      </c>
      <c r="AN47" s="203">
        <v>2</v>
      </c>
      <c r="AO47" s="203">
        <v>2</v>
      </c>
      <c r="AP47" s="203">
        <v>2</v>
      </c>
      <c r="AQ47" s="203">
        <v>0</v>
      </c>
      <c r="AR47" s="203">
        <v>0</v>
      </c>
      <c r="AS47" s="200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26</v>
      </c>
      <c r="N48" s="47" t="s">
        <v>240</v>
      </c>
      <c r="O48" s="47" t="s">
        <v>26</v>
      </c>
      <c r="P48" s="47" t="s">
        <v>27</v>
      </c>
      <c r="Q48" s="47" t="s">
        <v>89</v>
      </c>
      <c r="R48" s="47" t="s">
        <v>26</v>
      </c>
      <c r="S48" s="33" t="s">
        <v>21</v>
      </c>
      <c r="U48" s="46">
        <f t="shared" si="9"/>
        <v>7</v>
      </c>
      <c r="V48" s="46">
        <f t="shared" si="9"/>
        <v>0</v>
      </c>
      <c r="W48" s="46">
        <f t="shared" si="9"/>
        <v>7</v>
      </c>
      <c r="X48" s="46">
        <f t="shared" si="9"/>
        <v>12</v>
      </c>
      <c r="Y48" s="46">
        <f t="shared" si="9"/>
        <v>7</v>
      </c>
      <c r="Z48" s="46">
        <f t="shared" si="9"/>
        <v>7</v>
      </c>
      <c r="AA48" s="46">
        <f t="shared" si="9"/>
        <v>12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203" t="s">
        <v>238</v>
      </c>
      <c r="AL48" s="203">
        <v>0</v>
      </c>
      <c r="AM48" s="203">
        <v>4</v>
      </c>
      <c r="AN48" s="203">
        <v>5</v>
      </c>
      <c r="AO48" s="203">
        <v>2</v>
      </c>
      <c r="AP48" s="203">
        <v>2</v>
      </c>
      <c r="AQ48" s="203">
        <v>0</v>
      </c>
      <c r="AR48" s="203">
        <v>0</v>
      </c>
      <c r="AS48" s="200">
        <v>14</v>
      </c>
    </row>
    <row r="49" spans="2:45" ht="16.5" customHeight="1">
      <c r="L49" s="18">
        <v>45</v>
      </c>
      <c r="M49" s="47" t="s">
        <v>26</v>
      </c>
      <c r="N49" s="47" t="s">
        <v>27</v>
      </c>
      <c r="O49" s="47" t="s">
        <v>248</v>
      </c>
      <c r="P49" s="47" t="s">
        <v>21</v>
      </c>
      <c r="Q49" s="47" t="s">
        <v>28</v>
      </c>
      <c r="R49" s="47" t="s">
        <v>26</v>
      </c>
      <c r="S49" s="33" t="s">
        <v>18</v>
      </c>
      <c r="U49" s="46">
        <f t="shared" si="9"/>
        <v>7</v>
      </c>
      <c r="V49" s="46">
        <f t="shared" si="9"/>
        <v>12</v>
      </c>
      <c r="W49" s="46">
        <f t="shared" si="9"/>
        <v>0</v>
      </c>
      <c r="X49" s="46">
        <f t="shared" si="9"/>
        <v>12</v>
      </c>
      <c r="Y49" s="46">
        <f t="shared" si="9"/>
        <v>15</v>
      </c>
      <c r="Z49" s="46">
        <f t="shared" si="9"/>
        <v>7</v>
      </c>
      <c r="AA49" s="46">
        <f t="shared" si="9"/>
        <v>10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203" t="s">
        <v>240</v>
      </c>
      <c r="AL49" s="203">
        <v>0</v>
      </c>
      <c r="AM49" s="203">
        <v>2</v>
      </c>
      <c r="AN49" s="203">
        <v>2</v>
      </c>
      <c r="AO49" s="203">
        <v>2</v>
      </c>
      <c r="AP49" s="203">
        <v>2</v>
      </c>
      <c r="AQ49" s="203">
        <v>0</v>
      </c>
      <c r="AR49" s="203">
        <v>0</v>
      </c>
      <c r="AS49" s="200">
        <v>15</v>
      </c>
    </row>
    <row r="50" spans="2:45" ht="16.5" customHeight="1">
      <c r="B50" s="214" t="s">
        <v>105</v>
      </c>
      <c r="C50" s="211" t="s">
        <v>271</v>
      </c>
      <c r="L50" s="19">
        <v>46</v>
      </c>
      <c r="M50" s="47" t="s">
        <v>28</v>
      </c>
      <c r="N50" s="47" t="s">
        <v>24</v>
      </c>
      <c r="O50" s="47" t="s">
        <v>21</v>
      </c>
      <c r="P50" s="47" t="s">
        <v>21</v>
      </c>
      <c r="Q50" s="47" t="s">
        <v>28</v>
      </c>
      <c r="R50" s="47" t="s">
        <v>64</v>
      </c>
      <c r="S50" s="33" t="s">
        <v>18</v>
      </c>
      <c r="U50" s="46">
        <f t="shared" si="9"/>
        <v>15</v>
      </c>
      <c r="V50" s="46">
        <f t="shared" si="9"/>
        <v>11</v>
      </c>
      <c r="W50" s="46">
        <f t="shared" si="9"/>
        <v>12</v>
      </c>
      <c r="X50" s="46">
        <f t="shared" si="9"/>
        <v>12</v>
      </c>
      <c r="Y50" s="46">
        <f t="shared" si="9"/>
        <v>15</v>
      </c>
      <c r="Z50" s="46">
        <f t="shared" si="9"/>
        <v>14</v>
      </c>
      <c r="AA50" s="46">
        <f t="shared" si="9"/>
        <v>10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203" t="s">
        <v>242</v>
      </c>
      <c r="AL50" s="203">
        <v>0</v>
      </c>
      <c r="AM50" s="203">
        <v>4</v>
      </c>
      <c r="AN50" s="203">
        <v>5</v>
      </c>
      <c r="AO50" s="203">
        <v>2</v>
      </c>
      <c r="AP50" s="203">
        <v>4</v>
      </c>
      <c r="AQ50" s="203">
        <v>0</v>
      </c>
      <c r="AR50" s="203">
        <v>0</v>
      </c>
      <c r="AS50" s="200">
        <v>16</v>
      </c>
    </row>
    <row r="51" spans="2:45" ht="16.5" customHeight="1">
      <c r="B51" s="212" t="s">
        <v>68</v>
      </c>
      <c r="C51" s="210">
        <v>0</v>
      </c>
      <c r="L51" s="18">
        <v>47</v>
      </c>
      <c r="M51" s="47" t="s">
        <v>27</v>
      </c>
      <c r="N51" s="47" t="s">
        <v>27</v>
      </c>
      <c r="O51" s="47" t="s">
        <v>24</v>
      </c>
      <c r="P51" s="47" t="s">
        <v>21</v>
      </c>
      <c r="Q51" s="47" t="s">
        <v>89</v>
      </c>
      <c r="R51" s="47" t="s">
        <v>64</v>
      </c>
      <c r="S51" s="33" t="s">
        <v>18</v>
      </c>
      <c r="U51" s="46">
        <f t="shared" si="9"/>
        <v>12</v>
      </c>
      <c r="V51" s="46">
        <f t="shared" si="9"/>
        <v>12</v>
      </c>
      <c r="W51" s="46">
        <f t="shared" si="9"/>
        <v>11</v>
      </c>
      <c r="X51" s="46">
        <f t="shared" si="9"/>
        <v>12</v>
      </c>
      <c r="Y51" s="46">
        <f t="shared" si="9"/>
        <v>7</v>
      </c>
      <c r="Z51" s="46">
        <f t="shared" si="9"/>
        <v>14</v>
      </c>
      <c r="AA51" s="46">
        <f t="shared" si="9"/>
        <v>10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203" t="s">
        <v>244</v>
      </c>
      <c r="AL51" s="203">
        <v>0</v>
      </c>
      <c r="AM51" s="203">
        <v>4</v>
      </c>
      <c r="AN51" s="203">
        <v>5</v>
      </c>
      <c r="AO51" s="203">
        <v>2</v>
      </c>
      <c r="AP51" s="203">
        <v>4</v>
      </c>
      <c r="AQ51" s="203">
        <v>0</v>
      </c>
      <c r="AR51" s="203">
        <v>0</v>
      </c>
      <c r="AS51" s="200">
        <v>17</v>
      </c>
    </row>
    <row r="52" spans="2:45" ht="16.5" customHeight="1">
      <c r="B52" s="213" t="s">
        <v>19</v>
      </c>
      <c r="C52" s="208">
        <v>0</v>
      </c>
      <c r="L52" s="19">
        <v>48</v>
      </c>
      <c r="M52" s="47" t="s">
        <v>29</v>
      </c>
      <c r="N52" s="47" t="s">
        <v>27</v>
      </c>
      <c r="O52" s="47" t="s">
        <v>24</v>
      </c>
      <c r="P52" s="47" t="s">
        <v>64</v>
      </c>
      <c r="Q52" s="47" t="s">
        <v>89</v>
      </c>
      <c r="R52" s="47" t="s">
        <v>27</v>
      </c>
      <c r="S52" s="33" t="s">
        <v>17</v>
      </c>
      <c r="U52" s="46">
        <f t="shared" si="9"/>
        <v>19</v>
      </c>
      <c r="V52" s="46">
        <f t="shared" si="9"/>
        <v>12</v>
      </c>
      <c r="W52" s="46">
        <f t="shared" si="9"/>
        <v>11</v>
      </c>
      <c r="X52" s="46">
        <f t="shared" si="9"/>
        <v>14</v>
      </c>
      <c r="Y52" s="46">
        <f t="shared" si="9"/>
        <v>7</v>
      </c>
      <c r="Z52" s="46">
        <f t="shared" si="9"/>
        <v>12</v>
      </c>
      <c r="AA52" s="46">
        <f t="shared" si="9"/>
        <v>14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246</v>
      </c>
      <c r="AL52" s="46">
        <v>0</v>
      </c>
      <c r="AM52" s="46">
        <v>4</v>
      </c>
      <c r="AN52" s="46">
        <v>2</v>
      </c>
      <c r="AO52" s="46">
        <v>2</v>
      </c>
      <c r="AP52" s="46">
        <v>4</v>
      </c>
      <c r="AQ52" s="46">
        <v>0</v>
      </c>
      <c r="AR52" s="46">
        <v>0</v>
      </c>
      <c r="AS52" s="5">
        <v>17</v>
      </c>
    </row>
    <row r="53" spans="2:45" ht="16.5" customHeight="1">
      <c r="B53" s="213" t="s">
        <v>20</v>
      </c>
      <c r="C53" s="208">
        <v>2</v>
      </c>
      <c r="L53" s="18">
        <v>49</v>
      </c>
      <c r="M53" s="47" t="s">
        <v>28</v>
      </c>
      <c r="N53" s="47" t="s">
        <v>64</v>
      </c>
      <c r="O53" s="47" t="s">
        <v>28</v>
      </c>
      <c r="P53" s="47" t="s">
        <v>64</v>
      </c>
      <c r="Q53" s="47" t="s">
        <v>27</v>
      </c>
      <c r="R53" s="47" t="s">
        <v>27</v>
      </c>
      <c r="S53" s="33" t="s">
        <v>17</v>
      </c>
      <c r="U53" s="46">
        <f t="shared" si="9"/>
        <v>15</v>
      </c>
      <c r="V53" s="46">
        <f t="shared" si="9"/>
        <v>14</v>
      </c>
      <c r="W53" s="46">
        <f t="shared" si="9"/>
        <v>15</v>
      </c>
      <c r="X53" s="46">
        <f t="shared" si="9"/>
        <v>14</v>
      </c>
      <c r="Y53" s="46">
        <f t="shared" si="9"/>
        <v>12</v>
      </c>
      <c r="Z53" s="46">
        <f t="shared" si="9"/>
        <v>12</v>
      </c>
      <c r="AA53" s="46">
        <f t="shared" si="9"/>
        <v>14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248</v>
      </c>
      <c r="AL53" s="46">
        <v>0</v>
      </c>
      <c r="AM53" s="46">
        <v>4</v>
      </c>
      <c r="AN53" s="46">
        <v>2</v>
      </c>
      <c r="AO53" s="46">
        <v>4</v>
      </c>
      <c r="AP53" s="46">
        <v>2</v>
      </c>
      <c r="AQ53" s="46">
        <v>0</v>
      </c>
      <c r="AR53" s="46">
        <v>0</v>
      </c>
      <c r="AS53" s="5">
        <v>18</v>
      </c>
    </row>
    <row r="54" spans="2:45" ht="16.5" customHeight="1">
      <c r="B54" s="213" t="s">
        <v>21</v>
      </c>
      <c r="C54" s="208">
        <v>3</v>
      </c>
      <c r="L54" s="19">
        <v>50</v>
      </c>
      <c r="M54" s="47" t="s">
        <v>89</v>
      </c>
      <c r="N54" s="47" t="s">
        <v>64</v>
      </c>
      <c r="O54" s="47" t="s">
        <v>28</v>
      </c>
      <c r="P54" s="47" t="s">
        <v>17</v>
      </c>
      <c r="Q54" s="47" t="s">
        <v>21</v>
      </c>
      <c r="R54" s="47" t="s">
        <v>29</v>
      </c>
      <c r="S54" s="33" t="s">
        <v>17</v>
      </c>
      <c r="U54" s="46">
        <f t="shared" si="9"/>
        <v>7</v>
      </c>
      <c r="V54" s="46">
        <f t="shared" si="9"/>
        <v>14</v>
      </c>
      <c r="W54" s="46">
        <f t="shared" si="9"/>
        <v>15</v>
      </c>
      <c r="X54" s="46">
        <f t="shared" si="9"/>
        <v>14</v>
      </c>
      <c r="Y54" s="46">
        <f t="shared" si="9"/>
        <v>12</v>
      </c>
      <c r="Z54" s="46">
        <f t="shared" si="9"/>
        <v>19</v>
      </c>
      <c r="AA54" s="46">
        <f t="shared" si="9"/>
        <v>14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250</v>
      </c>
      <c r="AL54" s="46">
        <v>0</v>
      </c>
      <c r="AM54" s="46">
        <v>4</v>
      </c>
      <c r="AN54" s="46">
        <v>5</v>
      </c>
      <c r="AO54" s="46">
        <v>2</v>
      </c>
      <c r="AP54" s="46">
        <v>2</v>
      </c>
      <c r="AQ54" s="46">
        <v>0</v>
      </c>
      <c r="AR54" s="46">
        <v>0</v>
      </c>
      <c r="AS54" s="5">
        <v>19</v>
      </c>
    </row>
    <row r="55" spans="2:45" ht="16.5" customHeight="1">
      <c r="B55" s="213" t="s">
        <v>17</v>
      </c>
      <c r="C55" s="208">
        <v>5</v>
      </c>
      <c r="L55" s="18">
        <v>51</v>
      </c>
      <c r="M55" s="47" t="s">
        <v>26</v>
      </c>
      <c r="N55" s="47" t="s">
        <v>242</v>
      </c>
      <c r="O55" s="47" t="s">
        <v>64</v>
      </c>
      <c r="P55" s="47" t="s">
        <v>17</v>
      </c>
      <c r="Q55" s="47" t="s">
        <v>21</v>
      </c>
      <c r="R55" s="47" t="s">
        <v>29</v>
      </c>
      <c r="S55" s="33" t="s">
        <v>64</v>
      </c>
      <c r="U55" s="46">
        <f t="shared" si="9"/>
        <v>7</v>
      </c>
      <c r="V55" s="46">
        <f t="shared" si="9"/>
        <v>0</v>
      </c>
      <c r="W55" s="46">
        <f t="shared" si="9"/>
        <v>14</v>
      </c>
      <c r="X55" s="46">
        <f t="shared" si="9"/>
        <v>14</v>
      </c>
      <c r="Y55" s="46">
        <f t="shared" si="9"/>
        <v>12</v>
      </c>
      <c r="Z55" s="46">
        <f t="shared" si="9"/>
        <v>19</v>
      </c>
      <c r="AA55" s="46">
        <f t="shared" si="9"/>
        <v>14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252</v>
      </c>
      <c r="AL55" s="46">
        <v>0</v>
      </c>
      <c r="AM55" s="46">
        <v>2</v>
      </c>
      <c r="AN55" s="46">
        <v>7</v>
      </c>
      <c r="AO55" s="46">
        <v>2</v>
      </c>
      <c r="AP55" s="46">
        <v>2</v>
      </c>
      <c r="AQ55" s="46">
        <v>0</v>
      </c>
      <c r="AR55" s="46">
        <v>0</v>
      </c>
      <c r="AS55" s="5">
        <v>20</v>
      </c>
    </row>
    <row r="56" spans="2:45" ht="16.5" customHeight="1">
      <c r="B56" s="213" t="s">
        <v>18</v>
      </c>
      <c r="C56" s="208">
        <v>8</v>
      </c>
      <c r="L56" s="19">
        <v>52</v>
      </c>
      <c r="M56" s="47" t="s">
        <v>28</v>
      </c>
      <c r="N56" s="47" t="s">
        <v>27</v>
      </c>
      <c r="O56" s="47" t="s">
        <v>26</v>
      </c>
      <c r="P56" s="47" t="s">
        <v>28</v>
      </c>
      <c r="Q56" s="47" t="s">
        <v>28</v>
      </c>
      <c r="R56" s="47" t="s">
        <v>24</v>
      </c>
      <c r="S56" s="33" t="s">
        <v>64</v>
      </c>
      <c r="U56" s="46">
        <f t="shared" si="9"/>
        <v>15</v>
      </c>
      <c r="V56" s="46">
        <f t="shared" si="9"/>
        <v>12</v>
      </c>
      <c r="W56" s="46">
        <f t="shared" si="9"/>
        <v>7</v>
      </c>
      <c r="X56" s="46">
        <f t="shared" ref="X56:AA119" si="11">VLOOKUP(P56, $A$4:$J$29, 9, 0)</f>
        <v>15</v>
      </c>
      <c r="Y56" s="46">
        <f t="shared" si="11"/>
        <v>15</v>
      </c>
      <c r="Z56" s="46">
        <f t="shared" si="11"/>
        <v>11</v>
      </c>
      <c r="AA56" s="46">
        <f t="shared" si="11"/>
        <v>14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254</v>
      </c>
      <c r="AL56" s="46">
        <v>0</v>
      </c>
      <c r="AM56" s="46">
        <v>4</v>
      </c>
      <c r="AN56" s="46">
        <v>7</v>
      </c>
      <c r="AO56" s="46">
        <v>2</v>
      </c>
      <c r="AP56" s="46">
        <v>2</v>
      </c>
      <c r="AQ56" s="46">
        <v>0</v>
      </c>
      <c r="AR56" s="46">
        <v>0</v>
      </c>
      <c r="AS56" s="5">
        <v>21</v>
      </c>
    </row>
    <row r="57" spans="2:45" ht="16.5" customHeight="1">
      <c r="B57" s="213" t="s">
        <v>64</v>
      </c>
      <c r="C57" s="208">
        <v>12</v>
      </c>
      <c r="L57" s="18">
        <v>53</v>
      </c>
      <c r="M57" s="47" t="s">
        <v>28</v>
      </c>
      <c r="N57" s="47" t="s">
        <v>27</v>
      </c>
      <c r="O57" s="47" t="s">
        <v>26</v>
      </c>
      <c r="P57" s="47" t="s">
        <v>28</v>
      </c>
      <c r="Q57" s="47" t="s">
        <v>24</v>
      </c>
      <c r="R57" s="47" t="s">
        <v>27</v>
      </c>
      <c r="S57" s="33" t="s">
        <v>64</v>
      </c>
      <c r="U57" s="46">
        <f t="shared" ref="U57:Z120" si="12">VLOOKUP(M57, $A$4:$J$29, 9, 0)</f>
        <v>15</v>
      </c>
      <c r="V57" s="46">
        <f t="shared" si="12"/>
        <v>12</v>
      </c>
      <c r="W57" s="46">
        <f t="shared" si="12"/>
        <v>7</v>
      </c>
      <c r="X57" s="46">
        <f t="shared" si="11"/>
        <v>15</v>
      </c>
      <c r="Y57" s="46">
        <f t="shared" si="11"/>
        <v>11</v>
      </c>
      <c r="Z57" s="46">
        <f t="shared" si="11"/>
        <v>12</v>
      </c>
      <c r="AA57" s="46">
        <f t="shared" si="11"/>
        <v>14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203" t="s">
        <v>101</v>
      </c>
      <c r="AL57" s="203">
        <v>0</v>
      </c>
      <c r="AM57" s="203">
        <v>10</v>
      </c>
      <c r="AN57" s="203">
        <v>10</v>
      </c>
      <c r="AO57" s="203">
        <v>10</v>
      </c>
      <c r="AP57" s="203">
        <v>10</v>
      </c>
      <c r="AQ57" s="203">
        <v>0</v>
      </c>
      <c r="AR57" s="203">
        <v>0</v>
      </c>
      <c r="AS57" s="200">
        <v>24</v>
      </c>
    </row>
    <row r="58" spans="2:45" ht="16.5" customHeight="1">
      <c r="B58" s="213" t="s">
        <v>95</v>
      </c>
      <c r="C58" s="208">
        <v>10</v>
      </c>
      <c r="L58" s="19">
        <v>54</v>
      </c>
      <c r="M58" s="47" t="s">
        <v>18</v>
      </c>
      <c r="N58" s="47" t="s">
        <v>29</v>
      </c>
      <c r="O58" s="47" t="s">
        <v>18</v>
      </c>
      <c r="P58" s="47" t="s">
        <v>64</v>
      </c>
      <c r="Q58" s="47" t="s">
        <v>24</v>
      </c>
      <c r="R58" s="47" t="s">
        <v>27</v>
      </c>
      <c r="S58" s="33" t="s">
        <v>89</v>
      </c>
      <c r="U58" s="46">
        <f t="shared" si="12"/>
        <v>10</v>
      </c>
      <c r="V58" s="46">
        <f t="shared" si="12"/>
        <v>19</v>
      </c>
      <c r="W58" s="46">
        <f t="shared" si="12"/>
        <v>10</v>
      </c>
      <c r="X58" s="46">
        <f t="shared" si="11"/>
        <v>14</v>
      </c>
      <c r="Y58" s="46">
        <f t="shared" si="11"/>
        <v>11</v>
      </c>
      <c r="Z58" s="46">
        <f t="shared" si="11"/>
        <v>12</v>
      </c>
      <c r="AA58" s="46">
        <f t="shared" si="11"/>
        <v>7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3</v>
      </c>
      <c r="AK58" s="203" t="s">
        <v>269</v>
      </c>
      <c r="AL58" s="203">
        <v>0</v>
      </c>
      <c r="AM58" s="203">
        <v>1</v>
      </c>
      <c r="AN58" s="203">
        <v>1</v>
      </c>
      <c r="AO58" s="203">
        <v>1</v>
      </c>
      <c r="AP58" s="203">
        <v>1</v>
      </c>
      <c r="AQ58" s="203">
        <v>0</v>
      </c>
      <c r="AR58" s="203">
        <v>0</v>
      </c>
      <c r="AS58" s="200">
        <v>25</v>
      </c>
    </row>
    <row r="59" spans="2:45" ht="16.5" customHeight="1">
      <c r="B59" s="213" t="s">
        <v>96</v>
      </c>
      <c r="C59" s="208">
        <v>10</v>
      </c>
      <c r="L59" s="18">
        <v>55</v>
      </c>
      <c r="M59" s="47" t="s">
        <v>18</v>
      </c>
      <c r="N59" s="47" t="s">
        <v>28</v>
      </c>
      <c r="O59" s="47" t="s">
        <v>28</v>
      </c>
      <c r="P59" s="47" t="s">
        <v>64</v>
      </c>
      <c r="Q59" s="47" t="s">
        <v>21</v>
      </c>
      <c r="R59" s="47" t="s">
        <v>64</v>
      </c>
      <c r="S59" s="33" t="s">
        <v>89</v>
      </c>
      <c r="U59" s="46">
        <f t="shared" si="12"/>
        <v>10</v>
      </c>
      <c r="V59" s="46">
        <f t="shared" si="12"/>
        <v>15</v>
      </c>
      <c r="W59" s="46">
        <f t="shared" si="12"/>
        <v>15</v>
      </c>
      <c r="X59" s="46">
        <f t="shared" si="11"/>
        <v>14</v>
      </c>
      <c r="Y59" s="46">
        <f t="shared" si="11"/>
        <v>12</v>
      </c>
      <c r="Z59" s="46">
        <f t="shared" si="11"/>
        <v>14</v>
      </c>
      <c r="AA59" s="46">
        <f t="shared" si="11"/>
        <v>7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209">
        <v>10</v>
      </c>
      <c r="L60" s="19">
        <v>56</v>
      </c>
      <c r="M60" s="47" t="s">
        <v>29</v>
      </c>
      <c r="N60" s="47" t="s">
        <v>28</v>
      </c>
      <c r="O60" s="47" t="s">
        <v>28</v>
      </c>
      <c r="P60" s="47" t="s">
        <v>242</v>
      </c>
      <c r="Q60" s="47" t="s">
        <v>21</v>
      </c>
      <c r="R60" s="47" t="s">
        <v>24</v>
      </c>
      <c r="S60" s="33" t="s">
        <v>89</v>
      </c>
      <c r="U60" s="46">
        <f t="shared" si="12"/>
        <v>19</v>
      </c>
      <c r="V60" s="46">
        <f t="shared" si="12"/>
        <v>15</v>
      </c>
      <c r="W60" s="46">
        <f t="shared" si="12"/>
        <v>15</v>
      </c>
      <c r="X60" s="46">
        <f t="shared" si="11"/>
        <v>0</v>
      </c>
      <c r="Y60" s="46">
        <f t="shared" si="11"/>
        <v>12</v>
      </c>
      <c r="Z60" s="46">
        <f t="shared" si="11"/>
        <v>11</v>
      </c>
      <c r="AA60" s="46">
        <f t="shared" si="11"/>
        <v>7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272</v>
      </c>
    </row>
    <row r="61" spans="2:45">
      <c r="B61" s="5" t="s">
        <v>38</v>
      </c>
      <c r="C61" s="209">
        <v>10</v>
      </c>
      <c r="L61" s="18">
        <v>57</v>
      </c>
      <c r="M61" s="47" t="s">
        <v>29</v>
      </c>
      <c r="N61" s="47" t="s">
        <v>27</v>
      </c>
      <c r="O61" s="47" t="s">
        <v>29</v>
      </c>
      <c r="P61" s="47" t="s">
        <v>18</v>
      </c>
      <c r="Q61" s="47" t="s">
        <v>28</v>
      </c>
      <c r="R61" s="47" t="s">
        <v>26</v>
      </c>
      <c r="S61" s="33" t="s">
        <v>26</v>
      </c>
      <c r="U61" s="46">
        <f t="shared" si="12"/>
        <v>19</v>
      </c>
      <c r="V61" s="46">
        <f t="shared" si="12"/>
        <v>12</v>
      </c>
      <c r="W61" s="46">
        <f t="shared" si="12"/>
        <v>19</v>
      </c>
      <c r="X61" s="46">
        <f t="shared" si="11"/>
        <v>10</v>
      </c>
      <c r="Y61" s="46">
        <f t="shared" si="11"/>
        <v>15</v>
      </c>
      <c r="Z61" s="46">
        <f t="shared" si="11"/>
        <v>7</v>
      </c>
      <c r="AA61" s="46">
        <f t="shared" si="11"/>
        <v>7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277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209">
        <v>10</v>
      </c>
      <c r="L62" s="19">
        <v>58</v>
      </c>
      <c r="M62" s="47" t="s">
        <v>89</v>
      </c>
      <c r="N62" s="47" t="s">
        <v>236</v>
      </c>
      <c r="O62" s="47" t="s">
        <v>24</v>
      </c>
      <c r="P62" s="47" t="s">
        <v>24</v>
      </c>
      <c r="Q62" s="47" t="s">
        <v>28</v>
      </c>
      <c r="R62" s="47" t="s">
        <v>24</v>
      </c>
      <c r="S62" s="33" t="s">
        <v>26</v>
      </c>
      <c r="U62" s="46">
        <f t="shared" si="12"/>
        <v>7</v>
      </c>
      <c r="V62" s="46">
        <f t="shared" si="12"/>
        <v>0</v>
      </c>
      <c r="W62" s="46">
        <f t="shared" si="12"/>
        <v>11</v>
      </c>
      <c r="X62" s="46">
        <f t="shared" si="11"/>
        <v>11</v>
      </c>
      <c r="Y62" s="46">
        <f t="shared" si="11"/>
        <v>15</v>
      </c>
      <c r="Z62" s="46">
        <f t="shared" si="11"/>
        <v>11</v>
      </c>
      <c r="AA62" s="46">
        <f t="shared" si="11"/>
        <v>7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209">
        <v>10</v>
      </c>
      <c r="L63" s="18">
        <v>59</v>
      </c>
      <c r="M63" s="47" t="s">
        <v>26</v>
      </c>
      <c r="N63" s="47" t="s">
        <v>64</v>
      </c>
      <c r="O63" s="47" t="s">
        <v>29</v>
      </c>
      <c r="P63" s="47" t="s">
        <v>17</v>
      </c>
      <c r="Q63" s="47" t="s">
        <v>89</v>
      </c>
      <c r="R63" s="47" t="s">
        <v>64</v>
      </c>
      <c r="S63" s="47" t="s">
        <v>17</v>
      </c>
      <c r="U63" s="46">
        <f t="shared" si="12"/>
        <v>7</v>
      </c>
      <c r="V63" s="46">
        <f t="shared" si="12"/>
        <v>14</v>
      </c>
      <c r="W63" s="46">
        <f t="shared" si="12"/>
        <v>19</v>
      </c>
      <c r="X63" s="46">
        <f t="shared" si="11"/>
        <v>14</v>
      </c>
      <c r="Y63" s="46">
        <f t="shared" si="11"/>
        <v>7</v>
      </c>
      <c r="Z63" s="46">
        <f t="shared" si="11"/>
        <v>14</v>
      </c>
      <c r="AA63" s="46">
        <f t="shared" si="11"/>
        <v>14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5</v>
      </c>
      <c r="AM63" s="46">
        <v>5</v>
      </c>
      <c r="AN63" s="46">
        <v>5</v>
      </c>
      <c r="AO63" s="46">
        <v>5</v>
      </c>
      <c r="AP63" s="46">
        <v>5</v>
      </c>
      <c r="AQ63" s="46">
        <v>5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26</v>
      </c>
      <c r="N64" s="47" t="s">
        <v>242</v>
      </c>
      <c r="O64" s="47" t="s">
        <v>254</v>
      </c>
      <c r="P64" s="47" t="s">
        <v>17</v>
      </c>
      <c r="Q64" s="47" t="s">
        <v>28</v>
      </c>
      <c r="R64" s="47" t="s">
        <v>24</v>
      </c>
      <c r="S64" s="33" t="s">
        <v>17</v>
      </c>
      <c r="U64" s="46">
        <f t="shared" si="12"/>
        <v>7</v>
      </c>
      <c r="V64" s="46">
        <f t="shared" si="12"/>
        <v>0</v>
      </c>
      <c r="W64" s="46">
        <f t="shared" si="12"/>
        <v>0</v>
      </c>
      <c r="X64" s="46">
        <f t="shared" si="11"/>
        <v>14</v>
      </c>
      <c r="Y64" s="46">
        <f t="shared" si="11"/>
        <v>15</v>
      </c>
      <c r="Z64" s="46">
        <f t="shared" si="11"/>
        <v>11</v>
      </c>
      <c r="AA64" s="46">
        <f t="shared" si="11"/>
        <v>14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203" t="s">
        <v>20</v>
      </c>
      <c r="AL64" s="203">
        <v>40</v>
      </c>
      <c r="AM64" s="203">
        <v>1</v>
      </c>
      <c r="AN64" s="203">
        <v>10</v>
      </c>
      <c r="AO64" s="203">
        <v>1</v>
      </c>
      <c r="AP64" s="203">
        <v>40</v>
      </c>
      <c r="AQ64" s="203">
        <v>1</v>
      </c>
      <c r="AR64" s="203">
        <v>0</v>
      </c>
      <c r="AS64" s="200">
        <v>2</v>
      </c>
    </row>
    <row r="65" spans="2:45" ht="16.5" customHeight="1">
      <c r="L65" s="18">
        <v>61</v>
      </c>
      <c r="M65" s="47" t="s">
        <v>28</v>
      </c>
      <c r="N65" s="47" t="s">
        <v>24</v>
      </c>
      <c r="O65" s="47" t="s">
        <v>26</v>
      </c>
      <c r="P65" s="47" t="s">
        <v>17</v>
      </c>
      <c r="Q65" s="47" t="s">
        <v>28</v>
      </c>
      <c r="R65" s="47" t="s">
        <v>24</v>
      </c>
      <c r="S65" s="33" t="s">
        <v>17</v>
      </c>
      <c r="U65" s="46">
        <f t="shared" si="12"/>
        <v>15</v>
      </c>
      <c r="V65" s="46">
        <f t="shared" si="12"/>
        <v>11</v>
      </c>
      <c r="W65" s="46">
        <f t="shared" si="12"/>
        <v>7</v>
      </c>
      <c r="X65" s="46">
        <f t="shared" si="11"/>
        <v>14</v>
      </c>
      <c r="Y65" s="46">
        <f t="shared" si="11"/>
        <v>15</v>
      </c>
      <c r="Z65" s="46">
        <f t="shared" si="11"/>
        <v>11</v>
      </c>
      <c r="AA65" s="46">
        <f t="shared" si="11"/>
        <v>14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203" t="s">
        <v>21</v>
      </c>
      <c r="AL65" s="203">
        <v>1</v>
      </c>
      <c r="AM65" s="203">
        <v>40</v>
      </c>
      <c r="AN65" s="203">
        <v>1</v>
      </c>
      <c r="AO65" s="203">
        <v>40</v>
      </c>
      <c r="AP65" s="203">
        <v>1</v>
      </c>
      <c r="AQ65" s="203">
        <v>1</v>
      </c>
      <c r="AR65" s="203">
        <v>1</v>
      </c>
      <c r="AS65" s="200">
        <v>3</v>
      </c>
    </row>
    <row r="66" spans="2:45" ht="16.5" customHeight="1">
      <c r="B66" s="214" t="s">
        <v>102</v>
      </c>
      <c r="C66" s="211" t="s">
        <v>271</v>
      </c>
      <c r="L66" s="19">
        <v>62</v>
      </c>
      <c r="M66" s="47" t="s">
        <v>26</v>
      </c>
      <c r="N66" s="47" t="s">
        <v>24</v>
      </c>
      <c r="O66" s="47" t="s">
        <v>26</v>
      </c>
      <c r="P66" s="47" t="s">
        <v>27</v>
      </c>
      <c r="Q66" s="47" t="s">
        <v>26</v>
      </c>
      <c r="R66" s="47" t="s">
        <v>26</v>
      </c>
      <c r="S66" s="33" t="s">
        <v>26</v>
      </c>
      <c r="U66" s="46">
        <f t="shared" si="12"/>
        <v>7</v>
      </c>
      <c r="V66" s="46">
        <f t="shared" si="12"/>
        <v>11</v>
      </c>
      <c r="W66" s="46">
        <f t="shared" si="12"/>
        <v>7</v>
      </c>
      <c r="X66" s="46">
        <f t="shared" si="11"/>
        <v>12</v>
      </c>
      <c r="Y66" s="46">
        <f t="shared" si="11"/>
        <v>7</v>
      </c>
      <c r="Z66" s="46">
        <f t="shared" si="11"/>
        <v>7</v>
      </c>
      <c r="AA66" s="46">
        <f t="shared" si="11"/>
        <v>7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203" t="s">
        <v>17</v>
      </c>
      <c r="AL66" s="203">
        <v>40</v>
      </c>
      <c r="AM66" s="203">
        <v>40</v>
      </c>
      <c r="AN66" s="203">
        <v>40</v>
      </c>
      <c r="AO66" s="203">
        <v>1</v>
      </c>
      <c r="AP66" s="203">
        <v>1</v>
      </c>
      <c r="AQ66" s="203">
        <v>40</v>
      </c>
      <c r="AR66" s="203">
        <v>1</v>
      </c>
      <c r="AS66" s="200">
        <v>4</v>
      </c>
    </row>
    <row r="67" spans="2:45" ht="16.5" customHeight="1">
      <c r="B67" s="212">
        <v>0</v>
      </c>
      <c r="C67" s="210">
        <v>0</v>
      </c>
      <c r="L67" s="18">
        <v>63</v>
      </c>
      <c r="M67" s="47" t="s">
        <v>29</v>
      </c>
      <c r="N67" s="47" t="s">
        <v>64</v>
      </c>
      <c r="O67" s="47" t="s">
        <v>26</v>
      </c>
      <c r="P67" s="47" t="s">
        <v>27</v>
      </c>
      <c r="Q67" s="47" t="s">
        <v>18</v>
      </c>
      <c r="R67" s="47" t="s">
        <v>29</v>
      </c>
      <c r="S67" s="33" t="s">
        <v>26</v>
      </c>
      <c r="U67" s="46">
        <f t="shared" si="12"/>
        <v>19</v>
      </c>
      <c r="V67" s="46">
        <f t="shared" si="12"/>
        <v>14</v>
      </c>
      <c r="W67" s="46">
        <f t="shared" si="12"/>
        <v>7</v>
      </c>
      <c r="X67" s="46">
        <f t="shared" si="11"/>
        <v>12</v>
      </c>
      <c r="Y67" s="46">
        <f t="shared" si="11"/>
        <v>10</v>
      </c>
      <c r="Z67" s="46">
        <f t="shared" si="11"/>
        <v>19</v>
      </c>
      <c r="AA67" s="46">
        <f t="shared" si="11"/>
        <v>7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203" t="s">
        <v>18</v>
      </c>
      <c r="AL67" s="203">
        <v>1</v>
      </c>
      <c r="AM67" s="203">
        <v>40</v>
      </c>
      <c r="AN67" s="203">
        <v>1</v>
      </c>
      <c r="AO67" s="203">
        <v>1</v>
      </c>
      <c r="AP67" s="203">
        <v>1</v>
      </c>
      <c r="AQ67" s="203">
        <v>40</v>
      </c>
      <c r="AR67" s="203">
        <v>1</v>
      </c>
      <c r="AS67" s="200">
        <v>5</v>
      </c>
    </row>
    <row r="68" spans="2:45" ht="16.5" customHeight="1">
      <c r="B68" s="213">
        <v>1</v>
      </c>
      <c r="C68" s="208">
        <v>0</v>
      </c>
      <c r="L68" s="19">
        <v>64</v>
      </c>
      <c r="M68" s="47" t="s">
        <v>17</v>
      </c>
      <c r="N68" s="47" t="s">
        <v>27</v>
      </c>
      <c r="O68" s="47" t="s">
        <v>18</v>
      </c>
      <c r="P68" s="47" t="s">
        <v>29</v>
      </c>
      <c r="Q68" s="47" t="s">
        <v>89</v>
      </c>
      <c r="R68" s="47" t="s">
        <v>29</v>
      </c>
      <c r="S68" s="33" t="s">
        <v>28</v>
      </c>
      <c r="U68" s="46">
        <f t="shared" si="12"/>
        <v>14</v>
      </c>
      <c r="V68" s="46">
        <f t="shared" si="12"/>
        <v>12</v>
      </c>
      <c r="W68" s="46">
        <f t="shared" si="12"/>
        <v>10</v>
      </c>
      <c r="X68" s="46">
        <f t="shared" si="11"/>
        <v>19</v>
      </c>
      <c r="Y68" s="46">
        <f t="shared" si="11"/>
        <v>7</v>
      </c>
      <c r="Z68" s="46">
        <f t="shared" si="11"/>
        <v>19</v>
      </c>
      <c r="AA68" s="46">
        <f t="shared" si="11"/>
        <v>15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203" t="s">
        <v>64</v>
      </c>
      <c r="AL68" s="203">
        <v>1</v>
      </c>
      <c r="AM68" s="203">
        <v>1</v>
      </c>
      <c r="AN68" s="203">
        <v>40</v>
      </c>
      <c r="AO68" s="203">
        <v>1</v>
      </c>
      <c r="AP68" s="203">
        <v>40</v>
      </c>
      <c r="AQ68" s="203">
        <v>1</v>
      </c>
      <c r="AR68" s="203">
        <v>1</v>
      </c>
      <c r="AS68" s="200">
        <v>6</v>
      </c>
    </row>
    <row r="69" spans="2:45" ht="16.5" customHeight="1">
      <c r="B69" s="213">
        <v>2</v>
      </c>
      <c r="C69" s="208">
        <v>100</v>
      </c>
      <c r="L69" s="18">
        <v>65</v>
      </c>
      <c r="M69" s="47" t="s">
        <v>27</v>
      </c>
      <c r="N69" s="47" t="s">
        <v>27</v>
      </c>
      <c r="O69" s="47" t="s">
        <v>24</v>
      </c>
      <c r="P69" s="47" t="s">
        <v>29</v>
      </c>
      <c r="Q69" s="47" t="s">
        <v>89</v>
      </c>
      <c r="R69" s="47" t="s">
        <v>27</v>
      </c>
      <c r="S69" s="33" t="s">
        <v>28</v>
      </c>
      <c r="U69" s="46">
        <f t="shared" si="12"/>
        <v>12</v>
      </c>
      <c r="V69" s="46">
        <f t="shared" si="12"/>
        <v>12</v>
      </c>
      <c r="W69" s="46">
        <f t="shared" si="12"/>
        <v>11</v>
      </c>
      <c r="X69" s="46">
        <f t="shared" si="11"/>
        <v>19</v>
      </c>
      <c r="Y69" s="46">
        <f t="shared" si="11"/>
        <v>7</v>
      </c>
      <c r="Z69" s="46">
        <f t="shared" si="11"/>
        <v>12</v>
      </c>
      <c r="AA69" s="46">
        <f t="shared" si="11"/>
        <v>15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203" t="s">
        <v>89</v>
      </c>
      <c r="AL69" s="203">
        <v>1</v>
      </c>
      <c r="AM69" s="203">
        <v>40</v>
      </c>
      <c r="AN69" s="203">
        <v>1</v>
      </c>
      <c r="AO69" s="203">
        <v>40</v>
      </c>
      <c r="AP69" s="203">
        <v>1</v>
      </c>
      <c r="AQ69" s="203">
        <v>1</v>
      </c>
      <c r="AR69" s="203">
        <v>1</v>
      </c>
      <c r="AS69" s="200">
        <v>7</v>
      </c>
    </row>
    <row r="70" spans="2:45" ht="16.5" customHeight="1">
      <c r="B70" s="213">
        <v>3</v>
      </c>
      <c r="C70" s="208">
        <v>100</v>
      </c>
      <c r="L70" s="19">
        <v>66</v>
      </c>
      <c r="M70" s="47" t="s">
        <v>27</v>
      </c>
      <c r="N70" s="47" t="s">
        <v>29</v>
      </c>
      <c r="O70" s="47" t="s">
        <v>24</v>
      </c>
      <c r="P70" s="47" t="s">
        <v>29</v>
      </c>
      <c r="Q70" s="47" t="s">
        <v>18</v>
      </c>
      <c r="R70" s="47" t="s">
        <v>24</v>
      </c>
      <c r="S70" s="33" t="s">
        <v>28</v>
      </c>
      <c r="U70" s="46">
        <f t="shared" si="12"/>
        <v>12</v>
      </c>
      <c r="V70" s="46">
        <f t="shared" si="12"/>
        <v>19</v>
      </c>
      <c r="W70" s="46">
        <f t="shared" si="12"/>
        <v>11</v>
      </c>
      <c r="X70" s="46">
        <f t="shared" si="11"/>
        <v>19</v>
      </c>
      <c r="Y70" s="46">
        <f t="shared" si="11"/>
        <v>10</v>
      </c>
      <c r="Z70" s="46">
        <f t="shared" si="11"/>
        <v>11</v>
      </c>
      <c r="AA70" s="46">
        <f t="shared" si="11"/>
        <v>15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</v>
      </c>
      <c r="AM70" s="46">
        <v>1</v>
      </c>
      <c r="AN70" s="46">
        <v>1</v>
      </c>
      <c r="AO70" s="46">
        <v>1</v>
      </c>
      <c r="AP70" s="46">
        <v>35</v>
      </c>
      <c r="AQ70" s="46">
        <v>1</v>
      </c>
      <c r="AR70" s="46">
        <v>1</v>
      </c>
      <c r="AS70" s="5">
        <v>8</v>
      </c>
    </row>
    <row r="71" spans="2:45" ht="16.5" customHeight="1">
      <c r="B71" s="213">
        <v>4</v>
      </c>
      <c r="C71" s="208">
        <v>15</v>
      </c>
      <c r="L71" s="18">
        <v>67</v>
      </c>
      <c r="M71" s="47" t="s">
        <v>18</v>
      </c>
      <c r="N71" s="47" t="s">
        <v>27</v>
      </c>
      <c r="O71" s="47" t="s">
        <v>24</v>
      </c>
      <c r="P71" s="47" t="s">
        <v>26</v>
      </c>
      <c r="Q71" s="47" t="s">
        <v>18</v>
      </c>
      <c r="R71" s="47" t="s">
        <v>64</v>
      </c>
      <c r="S71" s="33" t="s">
        <v>29</v>
      </c>
      <c r="U71" s="46">
        <f t="shared" si="12"/>
        <v>10</v>
      </c>
      <c r="V71" s="46">
        <f t="shared" si="12"/>
        <v>12</v>
      </c>
      <c r="W71" s="46">
        <f t="shared" si="12"/>
        <v>11</v>
      </c>
      <c r="X71" s="46">
        <f t="shared" si="11"/>
        <v>7</v>
      </c>
      <c r="Y71" s="46">
        <f t="shared" si="11"/>
        <v>10</v>
      </c>
      <c r="Z71" s="46">
        <f t="shared" si="11"/>
        <v>14</v>
      </c>
      <c r="AA71" s="46">
        <f t="shared" si="11"/>
        <v>19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1</v>
      </c>
      <c r="AM71" s="46">
        <v>40</v>
      </c>
      <c r="AN71" s="46">
        <v>1</v>
      </c>
      <c r="AO71" s="46">
        <v>40</v>
      </c>
      <c r="AP71" s="46">
        <v>1</v>
      </c>
      <c r="AQ71" s="46">
        <v>40</v>
      </c>
      <c r="AR71" s="46">
        <v>1</v>
      </c>
      <c r="AS71" s="5">
        <v>9</v>
      </c>
    </row>
    <row r="72" spans="2:45" ht="16.5" customHeight="1">
      <c r="B72" s="213">
        <v>5</v>
      </c>
      <c r="C72" s="208">
        <v>0</v>
      </c>
      <c r="L72" s="19">
        <v>68</v>
      </c>
      <c r="M72" s="47" t="s">
        <v>18</v>
      </c>
      <c r="N72" s="47" t="s">
        <v>27</v>
      </c>
      <c r="O72" s="47" t="s">
        <v>28</v>
      </c>
      <c r="P72" s="47" t="s">
        <v>242</v>
      </c>
      <c r="Q72" s="47" t="s">
        <v>242</v>
      </c>
      <c r="R72" s="47" t="s">
        <v>64</v>
      </c>
      <c r="S72" s="33" t="s">
        <v>21</v>
      </c>
      <c r="U72" s="46">
        <f t="shared" si="12"/>
        <v>10</v>
      </c>
      <c r="V72" s="46">
        <f t="shared" si="12"/>
        <v>12</v>
      </c>
      <c r="W72" s="46">
        <f t="shared" si="12"/>
        <v>15</v>
      </c>
      <c r="X72" s="46">
        <f t="shared" si="11"/>
        <v>0</v>
      </c>
      <c r="Y72" s="46">
        <f t="shared" si="11"/>
        <v>0</v>
      </c>
      <c r="Z72" s="46">
        <f t="shared" si="11"/>
        <v>14</v>
      </c>
      <c r="AA72" s="46">
        <f t="shared" si="11"/>
        <v>12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60</v>
      </c>
      <c r="AM72" s="46">
        <v>40</v>
      </c>
      <c r="AN72" s="46">
        <v>35</v>
      </c>
      <c r="AO72" s="46">
        <v>1</v>
      </c>
      <c r="AP72" s="46">
        <v>1</v>
      </c>
      <c r="AQ72" s="46">
        <v>1</v>
      </c>
      <c r="AR72" s="46">
        <v>1</v>
      </c>
      <c r="AS72" s="5">
        <v>10</v>
      </c>
    </row>
    <row r="73" spans="2:45" ht="16.5" customHeight="1">
      <c r="B73" s="213">
        <v>6</v>
      </c>
      <c r="C73" s="208">
        <v>0</v>
      </c>
      <c r="L73" s="18">
        <v>69</v>
      </c>
      <c r="M73" s="47" t="s">
        <v>26</v>
      </c>
      <c r="N73" s="47" t="s">
        <v>27</v>
      </c>
      <c r="O73" s="47" t="s">
        <v>28</v>
      </c>
      <c r="P73" s="47" t="s">
        <v>64</v>
      </c>
      <c r="Q73" s="47" t="s">
        <v>64</v>
      </c>
      <c r="R73" s="47" t="s">
        <v>29</v>
      </c>
      <c r="S73" s="33" t="s">
        <v>21</v>
      </c>
      <c r="U73" s="46">
        <f t="shared" si="12"/>
        <v>7</v>
      </c>
      <c r="V73" s="46">
        <f t="shared" si="12"/>
        <v>12</v>
      </c>
      <c r="W73" s="46">
        <f t="shared" si="12"/>
        <v>15</v>
      </c>
      <c r="X73" s="46">
        <f t="shared" si="11"/>
        <v>14</v>
      </c>
      <c r="Y73" s="46">
        <f t="shared" si="11"/>
        <v>14</v>
      </c>
      <c r="Z73" s="46">
        <f t="shared" si="11"/>
        <v>19</v>
      </c>
      <c r="AA73" s="46">
        <f t="shared" si="11"/>
        <v>12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1</v>
      </c>
      <c r="AM73" s="46">
        <v>40</v>
      </c>
      <c r="AN73" s="46">
        <v>1</v>
      </c>
      <c r="AO73" s="46">
        <v>1</v>
      </c>
      <c r="AP73" s="46">
        <v>1</v>
      </c>
      <c r="AQ73" s="46">
        <v>1</v>
      </c>
      <c r="AR73" s="46">
        <v>1</v>
      </c>
      <c r="AS73" s="5">
        <v>11</v>
      </c>
    </row>
    <row r="74" spans="2:45" ht="16.5" customHeight="1">
      <c r="B74" s="213">
        <v>7</v>
      </c>
      <c r="C74" s="208">
        <v>0</v>
      </c>
      <c r="L74" s="19">
        <v>70</v>
      </c>
      <c r="M74" s="47" t="s">
        <v>29</v>
      </c>
      <c r="N74" s="47" t="s">
        <v>252</v>
      </c>
      <c r="O74" s="47" t="s">
        <v>28</v>
      </c>
      <c r="P74" s="47" t="s">
        <v>64</v>
      </c>
      <c r="Q74" s="47" t="s">
        <v>18</v>
      </c>
      <c r="R74" s="47" t="s">
        <v>28</v>
      </c>
      <c r="S74" s="33" t="s">
        <v>17</v>
      </c>
      <c r="U74" s="46">
        <f t="shared" si="12"/>
        <v>19</v>
      </c>
      <c r="V74" s="46">
        <f t="shared" si="12"/>
        <v>0</v>
      </c>
      <c r="W74" s="46">
        <f t="shared" si="12"/>
        <v>15</v>
      </c>
      <c r="X74" s="46">
        <f t="shared" si="11"/>
        <v>14</v>
      </c>
      <c r="Y74" s="46">
        <f t="shared" si="11"/>
        <v>10</v>
      </c>
      <c r="Z74" s="46">
        <f t="shared" si="11"/>
        <v>15</v>
      </c>
      <c r="AA74" s="46">
        <f t="shared" si="11"/>
        <v>14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40</v>
      </c>
      <c r="AM74" s="46">
        <v>1</v>
      </c>
      <c r="AN74" s="46">
        <v>1</v>
      </c>
      <c r="AO74" s="46">
        <v>1</v>
      </c>
      <c r="AP74" s="46">
        <v>1</v>
      </c>
      <c r="AQ74" s="46">
        <v>1</v>
      </c>
      <c r="AR74" s="46">
        <v>1</v>
      </c>
      <c r="AS74" s="5">
        <v>12</v>
      </c>
    </row>
    <row r="75" spans="2:45" ht="16.5" customHeight="1">
      <c r="L75" s="18">
        <v>71</v>
      </c>
      <c r="M75" s="47" t="s">
        <v>29</v>
      </c>
      <c r="N75" s="47" t="s">
        <v>28</v>
      </c>
      <c r="O75" s="47" t="s">
        <v>26</v>
      </c>
      <c r="P75" s="47" t="s">
        <v>24</v>
      </c>
      <c r="Q75" s="47" t="s">
        <v>24</v>
      </c>
      <c r="R75" s="47" t="s">
        <v>24</v>
      </c>
      <c r="S75" s="33" t="s">
        <v>17</v>
      </c>
      <c r="U75" s="46">
        <f t="shared" si="12"/>
        <v>19</v>
      </c>
      <c r="V75" s="46">
        <f t="shared" si="12"/>
        <v>15</v>
      </c>
      <c r="W75" s="46">
        <f t="shared" si="12"/>
        <v>7</v>
      </c>
      <c r="X75" s="46">
        <f t="shared" si="11"/>
        <v>11</v>
      </c>
      <c r="Y75" s="46">
        <f t="shared" si="11"/>
        <v>11</v>
      </c>
      <c r="Z75" s="46">
        <f t="shared" si="11"/>
        <v>11</v>
      </c>
      <c r="AA75" s="46">
        <f t="shared" si="11"/>
        <v>14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203" t="s">
        <v>234</v>
      </c>
      <c r="AL75" s="203">
        <v>0</v>
      </c>
      <c r="AM75" s="203">
        <v>2</v>
      </c>
      <c r="AN75" s="203">
        <v>2</v>
      </c>
      <c r="AO75" s="203">
        <v>1</v>
      </c>
      <c r="AP75" s="203">
        <v>2</v>
      </c>
      <c r="AQ75" s="203">
        <v>0</v>
      </c>
      <c r="AR75" s="203">
        <v>0</v>
      </c>
      <c r="AS75" s="200">
        <v>13</v>
      </c>
    </row>
    <row r="76" spans="2:45" ht="16.5" customHeight="1">
      <c r="L76" s="19">
        <v>72</v>
      </c>
      <c r="M76" s="47" t="s">
        <v>26</v>
      </c>
      <c r="N76" s="47" t="s">
        <v>244</v>
      </c>
      <c r="O76" s="47" t="s">
        <v>18</v>
      </c>
      <c r="P76" s="47" t="s">
        <v>64</v>
      </c>
      <c r="Q76" s="47" t="s">
        <v>18</v>
      </c>
      <c r="R76" s="47" t="s">
        <v>24</v>
      </c>
      <c r="S76" s="33" t="s">
        <v>17</v>
      </c>
      <c r="U76" s="46">
        <f t="shared" si="12"/>
        <v>7</v>
      </c>
      <c r="V76" s="46">
        <f t="shared" si="12"/>
        <v>0</v>
      </c>
      <c r="W76" s="46">
        <f t="shared" si="12"/>
        <v>10</v>
      </c>
      <c r="X76" s="46">
        <f t="shared" si="11"/>
        <v>14</v>
      </c>
      <c r="Y76" s="46">
        <f t="shared" si="11"/>
        <v>10</v>
      </c>
      <c r="Z76" s="46">
        <f t="shared" si="11"/>
        <v>11</v>
      </c>
      <c r="AA76" s="46">
        <f t="shared" si="11"/>
        <v>14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203" t="s">
        <v>236</v>
      </c>
      <c r="AL76" s="203">
        <v>0</v>
      </c>
      <c r="AM76" s="203">
        <v>1</v>
      </c>
      <c r="AN76" s="203">
        <v>1</v>
      </c>
      <c r="AO76" s="203">
        <v>2</v>
      </c>
      <c r="AP76" s="203">
        <v>1</v>
      </c>
      <c r="AQ76" s="203">
        <v>0</v>
      </c>
      <c r="AR76" s="203">
        <v>0</v>
      </c>
      <c r="AS76" s="200">
        <v>14</v>
      </c>
    </row>
    <row r="77" spans="2:45" ht="16.5" customHeight="1">
      <c r="L77" s="18">
        <v>73</v>
      </c>
      <c r="M77" s="47" t="s">
        <v>28</v>
      </c>
      <c r="N77" s="47" t="s">
        <v>24</v>
      </c>
      <c r="O77" s="47" t="s">
        <v>28</v>
      </c>
      <c r="P77" s="47" t="s">
        <v>28</v>
      </c>
      <c r="Q77" s="47" t="s">
        <v>17</v>
      </c>
      <c r="R77" s="47" t="s">
        <v>17</v>
      </c>
      <c r="S77" s="33" t="s">
        <v>27</v>
      </c>
      <c r="U77" s="46">
        <f t="shared" si="12"/>
        <v>15</v>
      </c>
      <c r="V77" s="46">
        <f t="shared" si="12"/>
        <v>11</v>
      </c>
      <c r="W77" s="46">
        <f t="shared" si="12"/>
        <v>15</v>
      </c>
      <c r="X77" s="46">
        <f t="shared" si="11"/>
        <v>15</v>
      </c>
      <c r="Y77" s="46">
        <f t="shared" si="11"/>
        <v>14</v>
      </c>
      <c r="Z77" s="46">
        <f t="shared" si="11"/>
        <v>14</v>
      </c>
      <c r="AA77" s="46">
        <f t="shared" si="11"/>
        <v>12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203" t="s">
        <v>238</v>
      </c>
      <c r="AL77" s="203">
        <v>0</v>
      </c>
      <c r="AM77" s="203">
        <v>2</v>
      </c>
      <c r="AN77" s="203">
        <v>2</v>
      </c>
      <c r="AO77" s="203">
        <v>1</v>
      </c>
      <c r="AP77" s="203">
        <v>1</v>
      </c>
      <c r="AQ77" s="203">
        <v>0</v>
      </c>
      <c r="AR77" s="203">
        <v>0</v>
      </c>
      <c r="AS77" s="200">
        <v>15</v>
      </c>
    </row>
    <row r="78" spans="2:45" ht="16.5" customHeight="1">
      <c r="L78" s="19">
        <v>74</v>
      </c>
      <c r="M78" s="47" t="s">
        <v>64</v>
      </c>
      <c r="N78" s="47" t="s">
        <v>69</v>
      </c>
      <c r="O78" s="47" t="s">
        <v>28</v>
      </c>
      <c r="P78" s="47" t="s">
        <v>28</v>
      </c>
      <c r="Q78" s="47" t="s">
        <v>17</v>
      </c>
      <c r="R78" s="47" t="s">
        <v>17</v>
      </c>
      <c r="S78" s="33" t="s">
        <v>27</v>
      </c>
      <c r="U78" s="46">
        <f t="shared" si="12"/>
        <v>14</v>
      </c>
      <c r="V78" s="46">
        <f t="shared" si="12"/>
        <v>0</v>
      </c>
      <c r="W78" s="46">
        <f t="shared" si="12"/>
        <v>15</v>
      </c>
      <c r="X78" s="46">
        <f t="shared" si="11"/>
        <v>15</v>
      </c>
      <c r="Y78" s="46">
        <f t="shared" si="11"/>
        <v>14</v>
      </c>
      <c r="Z78" s="46">
        <f t="shared" si="11"/>
        <v>14</v>
      </c>
      <c r="AA78" s="46">
        <f t="shared" si="11"/>
        <v>12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203" t="s">
        <v>240</v>
      </c>
      <c r="AL78" s="203">
        <v>0</v>
      </c>
      <c r="AM78" s="203">
        <v>1</v>
      </c>
      <c r="AN78" s="203">
        <v>1</v>
      </c>
      <c r="AO78" s="203">
        <v>1</v>
      </c>
      <c r="AP78" s="203">
        <v>1</v>
      </c>
      <c r="AQ78" s="203">
        <v>0</v>
      </c>
      <c r="AR78" s="203">
        <v>0</v>
      </c>
      <c r="AS78" s="200">
        <v>16</v>
      </c>
    </row>
    <row r="79" spans="2:45" ht="16.5" customHeight="1">
      <c r="L79" s="18">
        <v>75</v>
      </c>
      <c r="M79" s="47" t="s">
        <v>29</v>
      </c>
      <c r="N79" s="47" t="s">
        <v>69</v>
      </c>
      <c r="O79" s="47" t="s">
        <v>24</v>
      </c>
      <c r="P79" s="47" t="s">
        <v>252</v>
      </c>
      <c r="Q79" s="47" t="s">
        <v>238</v>
      </c>
      <c r="R79" s="47" t="s">
        <v>17</v>
      </c>
      <c r="S79" s="33" t="s">
        <v>27</v>
      </c>
      <c r="U79" s="46">
        <f t="shared" si="12"/>
        <v>19</v>
      </c>
      <c r="V79" s="46">
        <f t="shared" si="12"/>
        <v>0</v>
      </c>
      <c r="W79" s="46">
        <f t="shared" si="12"/>
        <v>11</v>
      </c>
      <c r="X79" s="46">
        <f t="shared" si="11"/>
        <v>0</v>
      </c>
      <c r="Y79" s="46">
        <f t="shared" si="11"/>
        <v>0</v>
      </c>
      <c r="Z79" s="46">
        <f t="shared" si="11"/>
        <v>14</v>
      </c>
      <c r="AA79" s="46">
        <f t="shared" si="11"/>
        <v>12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203" t="s">
        <v>242</v>
      </c>
      <c r="AL79" s="203">
        <v>0</v>
      </c>
      <c r="AM79" s="203">
        <v>2</v>
      </c>
      <c r="AN79" s="203">
        <v>2</v>
      </c>
      <c r="AO79" s="203">
        <v>1</v>
      </c>
      <c r="AP79" s="203">
        <v>2</v>
      </c>
      <c r="AQ79" s="203">
        <v>0</v>
      </c>
      <c r="AR79" s="203">
        <v>0</v>
      </c>
      <c r="AS79" s="200">
        <v>17</v>
      </c>
    </row>
    <row r="80" spans="2:45">
      <c r="L80" s="19">
        <v>76</v>
      </c>
      <c r="M80" s="47" t="s">
        <v>29</v>
      </c>
      <c r="N80" s="47" t="s">
        <v>89</v>
      </c>
      <c r="O80" s="47" t="s">
        <v>26</v>
      </c>
      <c r="P80" s="47" t="s">
        <v>29</v>
      </c>
      <c r="Q80" s="47" t="s">
        <v>64</v>
      </c>
      <c r="R80" s="47" t="s">
        <v>64</v>
      </c>
      <c r="S80" s="47" t="s">
        <v>17</v>
      </c>
      <c r="U80" s="46">
        <f t="shared" si="12"/>
        <v>19</v>
      </c>
      <c r="V80" s="46">
        <f t="shared" si="12"/>
        <v>7</v>
      </c>
      <c r="W80" s="46">
        <f t="shared" si="12"/>
        <v>7</v>
      </c>
      <c r="X80" s="46">
        <f t="shared" si="11"/>
        <v>19</v>
      </c>
      <c r="Y80" s="46">
        <f t="shared" si="11"/>
        <v>14</v>
      </c>
      <c r="Z80" s="46">
        <f t="shared" si="11"/>
        <v>14</v>
      </c>
      <c r="AA80" s="46">
        <f t="shared" si="11"/>
        <v>14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203" t="s">
        <v>244</v>
      </c>
      <c r="AL80" s="203">
        <v>0</v>
      </c>
      <c r="AM80" s="203">
        <v>2</v>
      </c>
      <c r="AN80" s="203">
        <v>2</v>
      </c>
      <c r="AO80" s="203">
        <v>1</v>
      </c>
      <c r="AP80" s="203">
        <v>2</v>
      </c>
      <c r="AQ80" s="203">
        <v>0</v>
      </c>
      <c r="AR80" s="203">
        <v>0</v>
      </c>
      <c r="AS80" s="200">
        <v>18</v>
      </c>
    </row>
    <row r="81" spans="12:45">
      <c r="L81" s="18">
        <v>77</v>
      </c>
      <c r="M81" s="47" t="s">
        <v>27</v>
      </c>
      <c r="N81" s="47" t="s">
        <v>89</v>
      </c>
      <c r="O81" s="47" t="s">
        <v>26</v>
      </c>
      <c r="P81" s="47" t="s">
        <v>29</v>
      </c>
      <c r="Q81" s="47" t="s">
        <v>64</v>
      </c>
      <c r="R81" s="47" t="s">
        <v>64</v>
      </c>
      <c r="S81" s="33" t="s">
        <v>29</v>
      </c>
      <c r="U81" s="46">
        <f t="shared" si="12"/>
        <v>12</v>
      </c>
      <c r="V81" s="46">
        <f t="shared" si="12"/>
        <v>7</v>
      </c>
      <c r="W81" s="46">
        <f t="shared" si="12"/>
        <v>7</v>
      </c>
      <c r="X81" s="46">
        <f t="shared" si="11"/>
        <v>19</v>
      </c>
      <c r="Y81" s="46">
        <f t="shared" si="11"/>
        <v>14</v>
      </c>
      <c r="Z81" s="46">
        <f t="shared" si="11"/>
        <v>14</v>
      </c>
      <c r="AA81" s="46">
        <f t="shared" si="11"/>
        <v>19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246</v>
      </c>
      <c r="AL81" s="46">
        <v>0</v>
      </c>
      <c r="AM81" s="46">
        <v>2</v>
      </c>
      <c r="AN81" s="46">
        <v>1</v>
      </c>
      <c r="AO81" s="46">
        <v>1</v>
      </c>
      <c r="AP81" s="46">
        <v>7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28</v>
      </c>
      <c r="N82" s="47" t="s">
        <v>21</v>
      </c>
      <c r="O82" s="47" t="s">
        <v>26</v>
      </c>
      <c r="P82" s="47" t="s">
        <v>24</v>
      </c>
      <c r="Q82" s="47" t="s">
        <v>89</v>
      </c>
      <c r="R82" s="47" t="s">
        <v>64</v>
      </c>
      <c r="S82" s="33" t="s">
        <v>29</v>
      </c>
      <c r="U82" s="46">
        <f t="shared" si="12"/>
        <v>15</v>
      </c>
      <c r="V82" s="46">
        <f t="shared" si="12"/>
        <v>12</v>
      </c>
      <c r="W82" s="46">
        <f t="shared" si="12"/>
        <v>7</v>
      </c>
      <c r="X82" s="46">
        <f t="shared" si="11"/>
        <v>11</v>
      </c>
      <c r="Y82" s="46">
        <f t="shared" si="11"/>
        <v>7</v>
      </c>
      <c r="Z82" s="46">
        <f t="shared" si="11"/>
        <v>14</v>
      </c>
      <c r="AA82" s="46">
        <f t="shared" si="11"/>
        <v>19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248</v>
      </c>
      <c r="AL82" s="46">
        <v>0</v>
      </c>
      <c r="AM82" s="46">
        <v>2</v>
      </c>
      <c r="AN82" s="46">
        <v>1</v>
      </c>
      <c r="AO82" s="46">
        <v>2</v>
      </c>
      <c r="AP82" s="46">
        <v>1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64</v>
      </c>
      <c r="N83" s="47" t="s">
        <v>21</v>
      </c>
      <c r="O83" s="47" t="s">
        <v>18</v>
      </c>
      <c r="P83" s="47" t="s">
        <v>240</v>
      </c>
      <c r="Q83" s="47" t="s">
        <v>89</v>
      </c>
      <c r="R83" s="47" t="s">
        <v>29</v>
      </c>
      <c r="S83" s="33" t="s">
        <v>29</v>
      </c>
      <c r="U83" s="46">
        <f t="shared" si="12"/>
        <v>14</v>
      </c>
      <c r="V83" s="46">
        <f t="shared" si="12"/>
        <v>12</v>
      </c>
      <c r="W83" s="46">
        <f t="shared" si="12"/>
        <v>10</v>
      </c>
      <c r="X83" s="46">
        <f t="shared" si="11"/>
        <v>0</v>
      </c>
      <c r="Y83" s="46">
        <f t="shared" si="11"/>
        <v>7</v>
      </c>
      <c r="Z83" s="46">
        <f t="shared" si="11"/>
        <v>19</v>
      </c>
      <c r="AA83" s="46">
        <f t="shared" si="11"/>
        <v>19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250</v>
      </c>
      <c r="AL83" s="46">
        <v>0</v>
      </c>
      <c r="AM83" s="46">
        <v>2</v>
      </c>
      <c r="AN83" s="46">
        <v>7</v>
      </c>
      <c r="AO83" s="46">
        <v>1</v>
      </c>
      <c r="AP83" s="46">
        <v>1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64</v>
      </c>
      <c r="N84" s="47" t="s">
        <v>26</v>
      </c>
      <c r="O84" s="47" t="s">
        <v>28</v>
      </c>
      <c r="P84" s="47" t="s">
        <v>18</v>
      </c>
      <c r="Q84" s="47" t="s">
        <v>244</v>
      </c>
      <c r="R84" s="47" t="s">
        <v>27</v>
      </c>
      <c r="S84" s="33" t="s">
        <v>24</v>
      </c>
      <c r="U84" s="46">
        <f t="shared" si="12"/>
        <v>14</v>
      </c>
      <c r="V84" s="46">
        <f t="shared" si="12"/>
        <v>7</v>
      </c>
      <c r="W84" s="46">
        <f t="shared" si="12"/>
        <v>15</v>
      </c>
      <c r="X84" s="46">
        <f t="shared" si="11"/>
        <v>10</v>
      </c>
      <c r="Y84" s="46">
        <f t="shared" si="11"/>
        <v>0</v>
      </c>
      <c r="Z84" s="46">
        <f t="shared" si="11"/>
        <v>12</v>
      </c>
      <c r="AA84" s="46">
        <f t="shared" si="11"/>
        <v>11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252</v>
      </c>
      <c r="AL84" s="46">
        <v>0</v>
      </c>
      <c r="AM84" s="46">
        <v>1</v>
      </c>
      <c r="AN84" s="46">
        <v>1</v>
      </c>
      <c r="AO84" s="46">
        <v>1</v>
      </c>
      <c r="AP84" s="46">
        <v>1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28</v>
      </c>
      <c r="N85" s="47" t="s">
        <v>26</v>
      </c>
      <c r="O85" s="47" t="s">
        <v>21</v>
      </c>
      <c r="P85" s="47" t="s">
        <v>64</v>
      </c>
      <c r="Q85" s="47" t="s">
        <v>28</v>
      </c>
      <c r="R85" s="47" t="s">
        <v>27</v>
      </c>
      <c r="S85" s="33" t="s">
        <v>24</v>
      </c>
      <c r="U85" s="46">
        <f t="shared" si="12"/>
        <v>15</v>
      </c>
      <c r="V85" s="46">
        <f t="shared" si="12"/>
        <v>7</v>
      </c>
      <c r="W85" s="46">
        <f t="shared" si="12"/>
        <v>12</v>
      </c>
      <c r="X85" s="46">
        <f t="shared" si="11"/>
        <v>14</v>
      </c>
      <c r="Y85" s="46">
        <f t="shared" si="11"/>
        <v>15</v>
      </c>
      <c r="Z85" s="46">
        <f t="shared" si="11"/>
        <v>12</v>
      </c>
      <c r="AA85" s="46">
        <f t="shared" si="11"/>
        <v>11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254</v>
      </c>
      <c r="AL85" s="46">
        <v>0</v>
      </c>
      <c r="AM85" s="46">
        <v>2</v>
      </c>
      <c r="AN85" s="46">
        <v>1</v>
      </c>
      <c r="AO85" s="46">
        <v>1</v>
      </c>
      <c r="AP85" s="46">
        <v>1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29</v>
      </c>
      <c r="N86" s="47" t="s">
        <v>27</v>
      </c>
      <c r="O86" s="47" t="s">
        <v>21</v>
      </c>
      <c r="P86" s="47" t="s">
        <v>27</v>
      </c>
      <c r="Q86" s="47" t="s">
        <v>28</v>
      </c>
      <c r="R86" s="47" t="s">
        <v>24</v>
      </c>
      <c r="S86" s="33" t="s">
        <v>24</v>
      </c>
      <c r="U86" s="46">
        <f t="shared" si="12"/>
        <v>19</v>
      </c>
      <c r="V86" s="46">
        <f t="shared" si="12"/>
        <v>12</v>
      </c>
      <c r="W86" s="46">
        <f t="shared" si="12"/>
        <v>12</v>
      </c>
      <c r="X86" s="46">
        <f t="shared" si="11"/>
        <v>12</v>
      </c>
      <c r="Y86" s="46">
        <f t="shared" si="11"/>
        <v>15</v>
      </c>
      <c r="Z86" s="46">
        <f t="shared" si="11"/>
        <v>11</v>
      </c>
      <c r="AA86" s="46">
        <f t="shared" si="11"/>
        <v>11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203" t="s">
        <v>101</v>
      </c>
      <c r="AL86" s="203">
        <v>0</v>
      </c>
      <c r="AM86" s="203">
        <v>2</v>
      </c>
      <c r="AN86" s="203">
        <v>2</v>
      </c>
      <c r="AO86" s="203">
        <v>2</v>
      </c>
      <c r="AP86" s="203">
        <v>2</v>
      </c>
      <c r="AQ86" s="203">
        <v>0</v>
      </c>
      <c r="AR86" s="203">
        <v>0</v>
      </c>
      <c r="AS86" s="200">
        <v>24</v>
      </c>
    </row>
    <row r="87" spans="12:45">
      <c r="L87" s="18">
        <v>83</v>
      </c>
      <c r="M87" s="47" t="s">
        <v>28</v>
      </c>
      <c r="N87" s="47" t="s">
        <v>27</v>
      </c>
      <c r="O87" s="47" t="s">
        <v>21</v>
      </c>
      <c r="P87" s="47" t="s">
        <v>18</v>
      </c>
      <c r="Q87" s="47" t="s">
        <v>89</v>
      </c>
      <c r="R87" s="47" t="s">
        <v>29</v>
      </c>
      <c r="S87" s="33" t="s">
        <v>27</v>
      </c>
      <c r="U87" s="46">
        <f t="shared" si="12"/>
        <v>15</v>
      </c>
      <c r="V87" s="46">
        <f t="shared" si="12"/>
        <v>12</v>
      </c>
      <c r="W87" s="46">
        <f t="shared" si="12"/>
        <v>12</v>
      </c>
      <c r="X87" s="46">
        <f t="shared" si="11"/>
        <v>10</v>
      </c>
      <c r="Y87" s="46">
        <f t="shared" si="11"/>
        <v>7</v>
      </c>
      <c r="Z87" s="46">
        <f t="shared" si="11"/>
        <v>19</v>
      </c>
      <c r="AA87" s="46">
        <f t="shared" si="11"/>
        <v>12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1</v>
      </c>
      <c r="AK87" s="203" t="s">
        <v>269</v>
      </c>
      <c r="AL87" s="203">
        <v>0</v>
      </c>
      <c r="AM87" s="203">
        <v>0</v>
      </c>
      <c r="AN87" s="203">
        <v>0</v>
      </c>
      <c r="AO87" s="203">
        <v>0</v>
      </c>
      <c r="AP87" s="203">
        <v>0</v>
      </c>
      <c r="AQ87" s="203">
        <v>0</v>
      </c>
      <c r="AR87" s="203">
        <v>0</v>
      </c>
      <c r="AS87" s="200">
        <v>25</v>
      </c>
    </row>
    <row r="88" spans="12:45">
      <c r="L88" s="19">
        <v>84</v>
      </c>
      <c r="M88" s="47" t="s">
        <v>28</v>
      </c>
      <c r="N88" s="47" t="s">
        <v>64</v>
      </c>
      <c r="O88" s="47" t="s">
        <v>18</v>
      </c>
      <c r="P88" s="47" t="s">
        <v>27</v>
      </c>
      <c r="Q88" s="47" t="s">
        <v>21</v>
      </c>
      <c r="R88" s="47" t="s">
        <v>29</v>
      </c>
      <c r="S88" s="33" t="s">
        <v>27</v>
      </c>
      <c r="U88" s="46">
        <f t="shared" si="12"/>
        <v>15</v>
      </c>
      <c r="V88" s="46">
        <f t="shared" si="12"/>
        <v>14</v>
      </c>
      <c r="W88" s="46">
        <f t="shared" si="12"/>
        <v>10</v>
      </c>
      <c r="X88" s="46">
        <f t="shared" si="11"/>
        <v>12</v>
      </c>
      <c r="Y88" s="46">
        <f t="shared" si="11"/>
        <v>12</v>
      </c>
      <c r="Z88" s="46">
        <f t="shared" si="11"/>
        <v>19</v>
      </c>
      <c r="AA88" s="46">
        <f t="shared" si="11"/>
        <v>12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29</v>
      </c>
      <c r="N89" s="47" t="s">
        <v>24</v>
      </c>
      <c r="O89" s="47" t="s">
        <v>246</v>
      </c>
      <c r="P89" s="47" t="s">
        <v>27</v>
      </c>
      <c r="Q89" s="47" t="s">
        <v>26</v>
      </c>
      <c r="R89" s="47" t="s">
        <v>24</v>
      </c>
      <c r="S89" s="33" t="s">
        <v>27</v>
      </c>
      <c r="U89" s="46">
        <f t="shared" si="12"/>
        <v>19</v>
      </c>
      <c r="V89" s="46">
        <f t="shared" si="12"/>
        <v>11</v>
      </c>
      <c r="W89" s="46">
        <f t="shared" si="12"/>
        <v>0</v>
      </c>
      <c r="X89" s="46">
        <f t="shared" si="11"/>
        <v>12</v>
      </c>
      <c r="Y89" s="46">
        <f t="shared" si="11"/>
        <v>7</v>
      </c>
      <c r="Z89" s="46">
        <f t="shared" si="11"/>
        <v>11</v>
      </c>
      <c r="AA89" s="46">
        <f t="shared" si="11"/>
        <v>12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273</v>
      </c>
    </row>
    <row r="90" spans="12:45">
      <c r="L90" s="19">
        <v>86</v>
      </c>
      <c r="M90" s="47" t="s">
        <v>29</v>
      </c>
      <c r="N90" s="47" t="s">
        <v>29</v>
      </c>
      <c r="O90" s="47" t="s">
        <v>24</v>
      </c>
      <c r="P90" s="47" t="s">
        <v>27</v>
      </c>
      <c r="Q90" s="47" t="s">
        <v>18</v>
      </c>
      <c r="R90" s="47" t="s">
        <v>64</v>
      </c>
      <c r="S90" s="33" t="s">
        <v>29</v>
      </c>
      <c r="U90" s="46">
        <f t="shared" si="12"/>
        <v>19</v>
      </c>
      <c r="V90" s="46">
        <f t="shared" si="12"/>
        <v>19</v>
      </c>
      <c r="W90" s="46">
        <f t="shared" si="12"/>
        <v>11</v>
      </c>
      <c r="X90" s="46">
        <f t="shared" si="11"/>
        <v>12</v>
      </c>
      <c r="Y90" s="46">
        <f t="shared" si="11"/>
        <v>10</v>
      </c>
      <c r="Z90" s="46">
        <f t="shared" si="11"/>
        <v>14</v>
      </c>
      <c r="AA90" s="46">
        <f t="shared" si="11"/>
        <v>19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277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29</v>
      </c>
      <c r="N91" s="47" t="s">
        <v>29</v>
      </c>
      <c r="O91" s="47" t="s">
        <v>24</v>
      </c>
      <c r="P91" s="47" t="s">
        <v>29</v>
      </c>
      <c r="Q91" s="47" t="s">
        <v>27</v>
      </c>
      <c r="R91" s="47" t="s">
        <v>24</v>
      </c>
      <c r="S91" s="33" t="s">
        <v>64</v>
      </c>
      <c r="U91" s="46">
        <f t="shared" si="12"/>
        <v>19</v>
      </c>
      <c r="V91" s="46">
        <f t="shared" si="12"/>
        <v>19</v>
      </c>
      <c r="W91" s="46">
        <f t="shared" si="12"/>
        <v>11</v>
      </c>
      <c r="X91" s="46">
        <f t="shared" si="11"/>
        <v>19</v>
      </c>
      <c r="Y91" s="46">
        <f t="shared" si="11"/>
        <v>12</v>
      </c>
      <c r="Z91" s="46">
        <f t="shared" si="11"/>
        <v>11</v>
      </c>
      <c r="AA91" s="46">
        <f t="shared" si="11"/>
        <v>14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29</v>
      </c>
      <c r="N92" s="47" t="s">
        <v>17</v>
      </c>
      <c r="O92" s="47" t="s">
        <v>28</v>
      </c>
      <c r="P92" s="47" t="s">
        <v>29</v>
      </c>
      <c r="Q92" s="47" t="s">
        <v>27</v>
      </c>
      <c r="R92" s="47" t="s">
        <v>24</v>
      </c>
      <c r="S92" s="33" t="s">
        <v>64</v>
      </c>
      <c r="U92" s="46">
        <f t="shared" si="12"/>
        <v>19</v>
      </c>
      <c r="V92" s="46">
        <f t="shared" si="12"/>
        <v>14</v>
      </c>
      <c r="W92" s="46">
        <f t="shared" si="12"/>
        <v>15</v>
      </c>
      <c r="X92" s="46">
        <f t="shared" si="11"/>
        <v>19</v>
      </c>
      <c r="Y92" s="46">
        <f t="shared" si="11"/>
        <v>12</v>
      </c>
      <c r="Z92" s="46">
        <f t="shared" si="11"/>
        <v>11</v>
      </c>
      <c r="AA92" s="46">
        <f t="shared" si="11"/>
        <v>14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5</v>
      </c>
      <c r="AM92" s="46">
        <v>5</v>
      </c>
      <c r="AN92" s="46">
        <v>5</v>
      </c>
      <c r="AO92" s="46">
        <v>5</v>
      </c>
      <c r="AP92" s="46">
        <v>5</v>
      </c>
      <c r="AQ92" s="46">
        <v>5</v>
      </c>
      <c r="AR92" s="46">
        <v>0</v>
      </c>
      <c r="AS92" s="5">
        <v>1</v>
      </c>
    </row>
    <row r="93" spans="12:45">
      <c r="L93" s="18">
        <v>89</v>
      </c>
      <c r="M93" s="47" t="s">
        <v>28</v>
      </c>
      <c r="N93" s="47" t="s">
        <v>21</v>
      </c>
      <c r="O93" s="47" t="s">
        <v>28</v>
      </c>
      <c r="P93" s="47" t="s">
        <v>29</v>
      </c>
      <c r="Q93" s="47" t="s">
        <v>26</v>
      </c>
      <c r="R93" s="47" t="s">
        <v>24</v>
      </c>
      <c r="S93" s="33" t="s">
        <v>64</v>
      </c>
      <c r="U93" s="46">
        <f t="shared" si="12"/>
        <v>15</v>
      </c>
      <c r="V93" s="46">
        <f t="shared" si="12"/>
        <v>12</v>
      </c>
      <c r="W93" s="46">
        <f t="shared" si="12"/>
        <v>15</v>
      </c>
      <c r="X93" s="46">
        <f t="shared" si="11"/>
        <v>19</v>
      </c>
      <c r="Y93" s="46">
        <f t="shared" si="11"/>
        <v>7</v>
      </c>
      <c r="Z93" s="46">
        <f t="shared" si="11"/>
        <v>11</v>
      </c>
      <c r="AA93" s="46">
        <f t="shared" si="11"/>
        <v>14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203" t="s">
        <v>20</v>
      </c>
      <c r="AL93" s="203">
        <v>20</v>
      </c>
      <c r="AM93" s="203">
        <v>0</v>
      </c>
      <c r="AN93" s="203">
        <v>4</v>
      </c>
      <c r="AO93" s="203">
        <v>1</v>
      </c>
      <c r="AP93" s="203">
        <v>50</v>
      </c>
      <c r="AQ93" s="203">
        <v>1</v>
      </c>
      <c r="AR93" s="203">
        <v>0</v>
      </c>
      <c r="AS93" s="200">
        <v>2</v>
      </c>
    </row>
    <row r="94" spans="12:45">
      <c r="L94" s="19">
        <v>90</v>
      </c>
      <c r="M94" s="47" t="s">
        <v>24</v>
      </c>
      <c r="N94" s="47" t="s">
        <v>21</v>
      </c>
      <c r="O94" s="47" t="s">
        <v>18</v>
      </c>
      <c r="P94" s="47" t="s">
        <v>64</v>
      </c>
      <c r="Q94" s="47" t="s">
        <v>26</v>
      </c>
      <c r="R94" s="47" t="s">
        <v>27</v>
      </c>
      <c r="S94" s="33" t="s">
        <v>64</v>
      </c>
      <c r="U94" s="46">
        <f t="shared" si="12"/>
        <v>11</v>
      </c>
      <c r="V94" s="46">
        <f t="shared" si="12"/>
        <v>12</v>
      </c>
      <c r="W94" s="46">
        <f t="shared" si="12"/>
        <v>10</v>
      </c>
      <c r="X94" s="46">
        <f t="shared" si="11"/>
        <v>14</v>
      </c>
      <c r="Y94" s="46">
        <f t="shared" si="11"/>
        <v>7</v>
      </c>
      <c r="Z94" s="46">
        <f t="shared" si="11"/>
        <v>12</v>
      </c>
      <c r="AA94" s="46">
        <f t="shared" si="11"/>
        <v>14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203" t="s">
        <v>21</v>
      </c>
      <c r="AL94" s="203">
        <v>1</v>
      </c>
      <c r="AM94" s="203">
        <v>50</v>
      </c>
      <c r="AN94" s="203">
        <v>1</v>
      </c>
      <c r="AO94" s="203">
        <v>50</v>
      </c>
      <c r="AP94" s="203">
        <v>1</v>
      </c>
      <c r="AQ94" s="203">
        <v>1</v>
      </c>
      <c r="AR94" s="203">
        <v>0</v>
      </c>
      <c r="AS94" s="200">
        <v>3</v>
      </c>
    </row>
    <row r="95" spans="12:45">
      <c r="L95" s="18">
        <v>91</v>
      </c>
      <c r="M95" s="47" t="s">
        <v>28</v>
      </c>
      <c r="N95" s="47" t="s">
        <v>24</v>
      </c>
      <c r="O95" s="47" t="s">
        <v>28</v>
      </c>
      <c r="P95" s="47" t="s">
        <v>64</v>
      </c>
      <c r="Q95" s="47" t="s">
        <v>248</v>
      </c>
      <c r="R95" s="47" t="s">
        <v>27</v>
      </c>
      <c r="S95" s="33" t="s">
        <v>29</v>
      </c>
      <c r="U95" s="46">
        <f t="shared" si="12"/>
        <v>15</v>
      </c>
      <c r="V95" s="46">
        <f t="shared" si="12"/>
        <v>11</v>
      </c>
      <c r="W95" s="46">
        <f t="shared" si="12"/>
        <v>15</v>
      </c>
      <c r="X95" s="46">
        <f t="shared" si="11"/>
        <v>14</v>
      </c>
      <c r="Y95" s="46">
        <f t="shared" si="11"/>
        <v>0</v>
      </c>
      <c r="Z95" s="46">
        <f t="shared" si="11"/>
        <v>12</v>
      </c>
      <c r="AA95" s="46">
        <f t="shared" si="11"/>
        <v>19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203" t="s">
        <v>17</v>
      </c>
      <c r="AL95" s="203">
        <v>50</v>
      </c>
      <c r="AM95" s="203">
        <v>1</v>
      </c>
      <c r="AN95" s="203">
        <v>60</v>
      </c>
      <c r="AO95" s="203">
        <v>0</v>
      </c>
      <c r="AP95" s="203">
        <v>1</v>
      </c>
      <c r="AQ95" s="203">
        <v>50</v>
      </c>
      <c r="AR95" s="203">
        <v>1</v>
      </c>
      <c r="AS95" s="200">
        <v>4</v>
      </c>
    </row>
    <row r="96" spans="12:45">
      <c r="L96" s="19">
        <v>92</v>
      </c>
      <c r="M96" s="47" t="s">
        <v>64</v>
      </c>
      <c r="N96" s="47" t="s">
        <v>64</v>
      </c>
      <c r="O96" s="47" t="s">
        <v>28</v>
      </c>
      <c r="P96" s="47" t="s">
        <v>64</v>
      </c>
      <c r="Q96" s="47" t="s">
        <v>28</v>
      </c>
      <c r="R96" s="47" t="s">
        <v>64</v>
      </c>
      <c r="S96" s="33" t="s">
        <v>29</v>
      </c>
      <c r="U96" s="46">
        <f t="shared" si="12"/>
        <v>14</v>
      </c>
      <c r="V96" s="46">
        <f t="shared" si="12"/>
        <v>14</v>
      </c>
      <c r="W96" s="46">
        <f t="shared" si="12"/>
        <v>15</v>
      </c>
      <c r="X96" s="46">
        <f t="shared" si="11"/>
        <v>14</v>
      </c>
      <c r="Y96" s="46">
        <f t="shared" si="11"/>
        <v>15</v>
      </c>
      <c r="Z96" s="46">
        <f t="shared" si="11"/>
        <v>14</v>
      </c>
      <c r="AA96" s="46">
        <f t="shared" si="11"/>
        <v>19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203" t="s">
        <v>18</v>
      </c>
      <c r="AL96" s="203">
        <v>1</v>
      </c>
      <c r="AM96" s="203">
        <v>50</v>
      </c>
      <c r="AN96" s="203">
        <v>1</v>
      </c>
      <c r="AO96" s="203">
        <v>1</v>
      </c>
      <c r="AP96" s="203">
        <v>1</v>
      </c>
      <c r="AQ96" s="203">
        <v>50</v>
      </c>
      <c r="AR96" s="203">
        <v>1</v>
      </c>
      <c r="AS96" s="200">
        <v>5</v>
      </c>
    </row>
    <row r="97" spans="12:45">
      <c r="L97" s="18">
        <v>93</v>
      </c>
      <c r="M97" s="47" t="s">
        <v>24</v>
      </c>
      <c r="N97" s="47" t="s">
        <v>18</v>
      </c>
      <c r="O97" s="47" t="s">
        <v>29</v>
      </c>
      <c r="P97" s="47" t="s">
        <v>29</v>
      </c>
      <c r="Q97" s="47" t="s">
        <v>26</v>
      </c>
      <c r="R97" s="47" t="s">
        <v>64</v>
      </c>
      <c r="S97" s="33" t="s">
        <v>29</v>
      </c>
      <c r="U97" s="46">
        <f t="shared" si="12"/>
        <v>11</v>
      </c>
      <c r="V97" s="46">
        <f t="shared" si="12"/>
        <v>10</v>
      </c>
      <c r="W97" s="46">
        <f t="shared" si="12"/>
        <v>19</v>
      </c>
      <c r="X97" s="46">
        <f t="shared" si="11"/>
        <v>19</v>
      </c>
      <c r="Y97" s="46">
        <f t="shared" si="11"/>
        <v>7</v>
      </c>
      <c r="Z97" s="46">
        <f t="shared" si="11"/>
        <v>14</v>
      </c>
      <c r="AA97" s="46">
        <f t="shared" si="11"/>
        <v>19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203" t="s">
        <v>64</v>
      </c>
      <c r="AL97" s="203">
        <v>60</v>
      </c>
      <c r="AM97" s="203">
        <v>1</v>
      </c>
      <c r="AN97" s="203">
        <v>50</v>
      </c>
      <c r="AO97" s="203">
        <v>1</v>
      </c>
      <c r="AP97" s="203">
        <v>50</v>
      </c>
      <c r="AQ97" s="203">
        <v>1</v>
      </c>
      <c r="AR97" s="203">
        <v>1</v>
      </c>
      <c r="AS97" s="200">
        <v>6</v>
      </c>
    </row>
    <row r="98" spans="12:45">
      <c r="L98" s="19">
        <v>94</v>
      </c>
      <c r="M98" s="47" t="s">
        <v>26</v>
      </c>
      <c r="N98" s="47" t="s">
        <v>236</v>
      </c>
      <c r="O98" s="47" t="s">
        <v>28</v>
      </c>
      <c r="P98" s="47" t="s">
        <v>29</v>
      </c>
      <c r="Q98" s="47" t="s">
        <v>26</v>
      </c>
      <c r="R98" s="47" t="s">
        <v>64</v>
      </c>
      <c r="S98" s="33" t="s">
        <v>28</v>
      </c>
      <c r="U98" s="46">
        <f t="shared" si="12"/>
        <v>7</v>
      </c>
      <c r="V98" s="46">
        <f t="shared" si="12"/>
        <v>0</v>
      </c>
      <c r="W98" s="46">
        <f t="shared" si="12"/>
        <v>15</v>
      </c>
      <c r="X98" s="46">
        <f t="shared" si="11"/>
        <v>19</v>
      </c>
      <c r="Y98" s="46">
        <f t="shared" si="11"/>
        <v>7</v>
      </c>
      <c r="Z98" s="46">
        <f t="shared" si="11"/>
        <v>14</v>
      </c>
      <c r="AA98" s="46">
        <f t="shared" si="11"/>
        <v>15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203" t="s">
        <v>89</v>
      </c>
      <c r="AL98" s="203">
        <v>1</v>
      </c>
      <c r="AM98" s="203">
        <v>50</v>
      </c>
      <c r="AN98" s="203">
        <v>1</v>
      </c>
      <c r="AO98" s="203">
        <v>1</v>
      </c>
      <c r="AP98" s="203">
        <v>1</v>
      </c>
      <c r="AQ98" s="203">
        <v>50</v>
      </c>
      <c r="AR98" s="203">
        <v>1</v>
      </c>
      <c r="AS98" s="200">
        <v>7</v>
      </c>
    </row>
    <row r="99" spans="12:45">
      <c r="L99" s="18">
        <v>95</v>
      </c>
      <c r="M99" s="47" t="s">
        <v>26</v>
      </c>
      <c r="N99" s="47" t="s">
        <v>64</v>
      </c>
      <c r="O99" s="47" t="s">
        <v>28</v>
      </c>
      <c r="P99" s="47" t="s">
        <v>244</v>
      </c>
      <c r="Q99" s="47" t="s">
        <v>26</v>
      </c>
      <c r="R99" s="47" t="s">
        <v>29</v>
      </c>
      <c r="S99" s="33" t="s">
        <v>28</v>
      </c>
      <c r="U99" s="46">
        <f t="shared" si="12"/>
        <v>7</v>
      </c>
      <c r="V99" s="46">
        <f t="shared" si="12"/>
        <v>14</v>
      </c>
      <c r="W99" s="46">
        <f t="shared" si="12"/>
        <v>15</v>
      </c>
      <c r="X99" s="46">
        <f t="shared" si="11"/>
        <v>0</v>
      </c>
      <c r="Y99" s="46">
        <f t="shared" si="11"/>
        <v>7</v>
      </c>
      <c r="Z99" s="46">
        <f t="shared" si="11"/>
        <v>19</v>
      </c>
      <c r="AA99" s="46">
        <f t="shared" si="11"/>
        <v>15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0</v>
      </c>
      <c r="AM99" s="46">
        <v>1</v>
      </c>
      <c r="AN99" s="46">
        <v>40</v>
      </c>
      <c r="AO99" s="46">
        <v>1</v>
      </c>
      <c r="AP99" s="46">
        <v>50</v>
      </c>
      <c r="AQ99" s="46">
        <v>1</v>
      </c>
      <c r="AR99" s="46">
        <v>1</v>
      </c>
      <c r="AS99" s="5">
        <v>8</v>
      </c>
    </row>
    <row r="100" spans="12:45">
      <c r="L100" s="19">
        <v>96</v>
      </c>
      <c r="M100" s="47" t="s">
        <v>27</v>
      </c>
      <c r="N100" s="47" t="s">
        <v>64</v>
      </c>
      <c r="O100" s="47" t="s">
        <v>28</v>
      </c>
      <c r="P100" s="47" t="s">
        <v>89</v>
      </c>
      <c r="Q100" s="47" t="s">
        <v>89</v>
      </c>
      <c r="R100" s="47" t="s">
        <v>18</v>
      </c>
      <c r="S100" s="33" t="s">
        <v>28</v>
      </c>
      <c r="U100" s="46">
        <f t="shared" si="12"/>
        <v>12</v>
      </c>
      <c r="V100" s="46">
        <f t="shared" si="12"/>
        <v>14</v>
      </c>
      <c r="W100" s="46">
        <f t="shared" si="12"/>
        <v>15</v>
      </c>
      <c r="X100" s="46">
        <f t="shared" si="11"/>
        <v>7</v>
      </c>
      <c r="Y100" s="46">
        <f t="shared" si="11"/>
        <v>7</v>
      </c>
      <c r="Z100" s="46">
        <f t="shared" si="11"/>
        <v>10</v>
      </c>
      <c r="AA100" s="46">
        <f t="shared" si="11"/>
        <v>15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1</v>
      </c>
      <c r="AM100" s="46">
        <v>1</v>
      </c>
      <c r="AN100" s="46">
        <v>1</v>
      </c>
      <c r="AO100" s="46">
        <v>50</v>
      </c>
      <c r="AP100" s="46">
        <v>1</v>
      </c>
      <c r="AQ100" s="46">
        <v>50</v>
      </c>
      <c r="AR100" s="46">
        <v>1</v>
      </c>
      <c r="AS100" s="5">
        <v>9</v>
      </c>
    </row>
    <row r="101" spans="12:45">
      <c r="L101" s="18">
        <v>97</v>
      </c>
      <c r="M101" s="47" t="s">
        <v>29</v>
      </c>
      <c r="N101" s="47" t="s">
        <v>21</v>
      </c>
      <c r="O101" s="47" t="s">
        <v>24</v>
      </c>
      <c r="P101" s="47" t="s">
        <v>89</v>
      </c>
      <c r="Q101" s="47" t="s">
        <v>18</v>
      </c>
      <c r="R101" s="47" t="s">
        <v>18</v>
      </c>
      <c r="S101" s="33" t="s">
        <v>29</v>
      </c>
      <c r="U101" s="46">
        <f t="shared" si="12"/>
        <v>19</v>
      </c>
      <c r="V101" s="46">
        <f t="shared" si="12"/>
        <v>12</v>
      </c>
      <c r="W101" s="46">
        <f t="shared" si="12"/>
        <v>11</v>
      </c>
      <c r="X101" s="46">
        <f t="shared" si="11"/>
        <v>7</v>
      </c>
      <c r="Y101" s="46">
        <f t="shared" si="11"/>
        <v>10</v>
      </c>
      <c r="Z101" s="46">
        <f t="shared" si="11"/>
        <v>10</v>
      </c>
      <c r="AA101" s="46">
        <f t="shared" si="11"/>
        <v>19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20</v>
      </c>
      <c r="AM101" s="46">
        <v>1</v>
      </c>
      <c r="AN101" s="46">
        <v>15</v>
      </c>
      <c r="AO101" s="46">
        <v>1</v>
      </c>
      <c r="AP101" s="46">
        <v>1</v>
      </c>
      <c r="AQ101" s="46">
        <v>1</v>
      </c>
      <c r="AR101" s="46">
        <v>2</v>
      </c>
      <c r="AS101" s="5">
        <v>10</v>
      </c>
    </row>
    <row r="102" spans="12:45">
      <c r="L102" s="19">
        <v>98</v>
      </c>
      <c r="M102" s="47" t="s">
        <v>17</v>
      </c>
      <c r="N102" s="47" t="s">
        <v>89</v>
      </c>
      <c r="O102" s="47" t="s">
        <v>27</v>
      </c>
      <c r="P102" s="47" t="s">
        <v>27</v>
      </c>
      <c r="Q102" s="47" t="s">
        <v>28</v>
      </c>
      <c r="R102" s="47" t="s">
        <v>29</v>
      </c>
      <c r="S102" s="33" t="s">
        <v>18</v>
      </c>
      <c r="U102" s="46">
        <f t="shared" si="12"/>
        <v>14</v>
      </c>
      <c r="V102" s="46">
        <f t="shared" si="12"/>
        <v>7</v>
      </c>
      <c r="W102" s="46">
        <f t="shared" si="12"/>
        <v>12</v>
      </c>
      <c r="X102" s="46">
        <f t="shared" si="11"/>
        <v>12</v>
      </c>
      <c r="Y102" s="46">
        <f t="shared" si="11"/>
        <v>15</v>
      </c>
      <c r="Z102" s="46">
        <f t="shared" si="11"/>
        <v>19</v>
      </c>
      <c r="AA102" s="46">
        <f t="shared" si="11"/>
        <v>10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1</v>
      </c>
      <c r="AM102" s="46">
        <v>50</v>
      </c>
      <c r="AN102" s="46">
        <v>1</v>
      </c>
      <c r="AO102" s="46">
        <v>1</v>
      </c>
      <c r="AP102" s="46">
        <v>1</v>
      </c>
      <c r="AQ102" s="46">
        <v>1</v>
      </c>
      <c r="AR102" s="46">
        <v>1</v>
      </c>
      <c r="AS102" s="5">
        <v>11</v>
      </c>
    </row>
    <row r="103" spans="12:45">
      <c r="L103" s="18">
        <v>99</v>
      </c>
      <c r="M103" s="47" t="s">
        <v>28</v>
      </c>
      <c r="N103" s="47" t="s">
        <v>244</v>
      </c>
      <c r="O103" s="47" t="s">
        <v>26</v>
      </c>
      <c r="P103" s="47" t="s">
        <v>27</v>
      </c>
      <c r="Q103" s="47" t="s">
        <v>28</v>
      </c>
      <c r="R103" s="47" t="s">
        <v>29</v>
      </c>
      <c r="S103" s="33" t="s">
        <v>18</v>
      </c>
      <c r="U103" s="46">
        <f t="shared" si="12"/>
        <v>15</v>
      </c>
      <c r="V103" s="46">
        <f t="shared" si="12"/>
        <v>0</v>
      </c>
      <c r="W103" s="46">
        <f t="shared" si="12"/>
        <v>7</v>
      </c>
      <c r="X103" s="46">
        <f t="shared" si="11"/>
        <v>12</v>
      </c>
      <c r="Y103" s="46">
        <f t="shared" si="11"/>
        <v>15</v>
      </c>
      <c r="Z103" s="46">
        <f t="shared" si="11"/>
        <v>19</v>
      </c>
      <c r="AA103" s="46">
        <f t="shared" si="11"/>
        <v>10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50</v>
      </c>
      <c r="AM103" s="46">
        <v>1</v>
      </c>
      <c r="AN103" s="46">
        <v>1</v>
      </c>
      <c r="AO103" s="46">
        <v>1</v>
      </c>
      <c r="AP103" s="46">
        <v>1</v>
      </c>
      <c r="AQ103" s="46">
        <v>1</v>
      </c>
      <c r="AR103" s="46">
        <v>1</v>
      </c>
      <c r="AS103" s="5">
        <v>12</v>
      </c>
    </row>
    <row r="104" spans="12:45">
      <c r="L104" s="19">
        <v>100</v>
      </c>
      <c r="M104" s="47" t="s">
        <v>89</v>
      </c>
      <c r="N104" s="47" t="s">
        <v>64</v>
      </c>
      <c r="O104" s="47" t="s">
        <v>26</v>
      </c>
      <c r="P104" s="47" t="s">
        <v>250</v>
      </c>
      <c r="Q104" s="47" t="s">
        <v>18</v>
      </c>
      <c r="R104" s="47" t="s">
        <v>64</v>
      </c>
      <c r="S104" s="33" t="s">
        <v>18</v>
      </c>
      <c r="U104" s="46">
        <f t="shared" si="12"/>
        <v>7</v>
      </c>
      <c r="V104" s="46">
        <f t="shared" si="12"/>
        <v>14</v>
      </c>
      <c r="W104" s="46">
        <f t="shared" si="12"/>
        <v>7</v>
      </c>
      <c r="X104" s="46">
        <f t="shared" si="11"/>
        <v>0</v>
      </c>
      <c r="Y104" s="46">
        <f t="shared" si="11"/>
        <v>10</v>
      </c>
      <c r="Z104" s="46">
        <f t="shared" si="11"/>
        <v>14</v>
      </c>
      <c r="AA104" s="46">
        <f t="shared" si="11"/>
        <v>10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203" t="s">
        <v>234</v>
      </c>
      <c r="AL104" s="203">
        <v>0</v>
      </c>
      <c r="AM104" s="203">
        <v>2</v>
      </c>
      <c r="AN104" s="203">
        <v>2</v>
      </c>
      <c r="AO104" s="203">
        <v>1</v>
      </c>
      <c r="AP104" s="203">
        <v>2</v>
      </c>
      <c r="AQ104" s="203">
        <v>0</v>
      </c>
      <c r="AR104" s="203">
        <v>0</v>
      </c>
      <c r="AS104" s="200">
        <v>13</v>
      </c>
    </row>
    <row r="105" spans="12:45">
      <c r="L105" s="18">
        <v>101</v>
      </c>
      <c r="M105" s="47" t="s">
        <v>89</v>
      </c>
      <c r="N105" s="47" t="s">
        <v>69</v>
      </c>
      <c r="O105" s="47" t="s">
        <v>28</v>
      </c>
      <c r="P105" s="47" t="s">
        <v>64</v>
      </c>
      <c r="Q105" s="47" t="s">
        <v>252</v>
      </c>
      <c r="R105" s="47" t="s">
        <v>64</v>
      </c>
      <c r="S105" s="33" t="s">
        <v>28</v>
      </c>
      <c r="U105" s="46">
        <f t="shared" si="12"/>
        <v>7</v>
      </c>
      <c r="V105" s="46">
        <f t="shared" si="12"/>
        <v>0</v>
      </c>
      <c r="W105" s="46">
        <f t="shared" si="12"/>
        <v>15</v>
      </c>
      <c r="X105" s="46">
        <f t="shared" si="11"/>
        <v>14</v>
      </c>
      <c r="Y105" s="46">
        <f t="shared" si="11"/>
        <v>0</v>
      </c>
      <c r="Z105" s="46">
        <f t="shared" si="11"/>
        <v>14</v>
      </c>
      <c r="AA105" s="46">
        <f t="shared" si="11"/>
        <v>15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203" t="s">
        <v>236</v>
      </c>
      <c r="AL105" s="203">
        <v>0</v>
      </c>
      <c r="AM105" s="203">
        <v>1</v>
      </c>
      <c r="AN105" s="203">
        <v>1</v>
      </c>
      <c r="AO105" s="203">
        <v>2</v>
      </c>
      <c r="AP105" s="203">
        <v>1</v>
      </c>
      <c r="AQ105" s="203">
        <v>0</v>
      </c>
      <c r="AR105" s="203">
        <v>0</v>
      </c>
      <c r="AS105" s="200">
        <v>14</v>
      </c>
    </row>
    <row r="106" spans="12:45">
      <c r="L106" s="19">
        <v>102</v>
      </c>
      <c r="M106" s="47" t="s">
        <v>26</v>
      </c>
      <c r="N106" s="47" t="s">
        <v>268</v>
      </c>
      <c r="O106" s="47" t="s">
        <v>28</v>
      </c>
      <c r="P106" s="47" t="s">
        <v>24</v>
      </c>
      <c r="Q106" s="47" t="s">
        <v>28</v>
      </c>
      <c r="R106" s="47" t="s">
        <v>27</v>
      </c>
      <c r="S106" s="33" t="s">
        <v>28</v>
      </c>
      <c r="U106" s="46">
        <f t="shared" si="12"/>
        <v>7</v>
      </c>
      <c r="V106" s="46">
        <f t="shared" si="12"/>
        <v>0</v>
      </c>
      <c r="W106" s="46">
        <f t="shared" si="12"/>
        <v>15</v>
      </c>
      <c r="X106" s="46">
        <f t="shared" si="11"/>
        <v>11</v>
      </c>
      <c r="Y106" s="46">
        <f t="shared" si="11"/>
        <v>15</v>
      </c>
      <c r="Z106" s="46">
        <f t="shared" si="11"/>
        <v>12</v>
      </c>
      <c r="AA106" s="46">
        <f t="shared" si="11"/>
        <v>15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203" t="s">
        <v>238</v>
      </c>
      <c r="AL106" s="203">
        <v>0</v>
      </c>
      <c r="AM106" s="203">
        <v>2</v>
      </c>
      <c r="AN106" s="203">
        <v>2</v>
      </c>
      <c r="AO106" s="203">
        <v>1</v>
      </c>
      <c r="AP106" s="203">
        <v>1</v>
      </c>
      <c r="AQ106" s="203">
        <v>0</v>
      </c>
      <c r="AR106" s="203">
        <v>0</v>
      </c>
      <c r="AS106" s="200">
        <v>15</v>
      </c>
    </row>
    <row r="107" spans="12:45">
      <c r="L107" s="18">
        <v>103</v>
      </c>
      <c r="M107" s="47" t="s">
        <v>27</v>
      </c>
      <c r="N107" s="47" t="s">
        <v>64</v>
      </c>
      <c r="O107" s="47" t="s">
        <v>29</v>
      </c>
      <c r="P107" s="47" t="s">
        <v>27</v>
      </c>
      <c r="Q107" s="47" t="s">
        <v>28</v>
      </c>
      <c r="R107" s="47" t="s">
        <v>27</v>
      </c>
      <c r="S107" s="33" t="s">
        <v>21</v>
      </c>
      <c r="U107" s="46">
        <f t="shared" si="12"/>
        <v>12</v>
      </c>
      <c r="V107" s="46">
        <f t="shared" si="12"/>
        <v>14</v>
      </c>
      <c r="W107" s="46">
        <f t="shared" si="12"/>
        <v>19</v>
      </c>
      <c r="X107" s="46">
        <f t="shared" si="11"/>
        <v>12</v>
      </c>
      <c r="Y107" s="46">
        <f t="shared" si="11"/>
        <v>15</v>
      </c>
      <c r="Z107" s="46">
        <f t="shared" si="11"/>
        <v>12</v>
      </c>
      <c r="AA107" s="46">
        <f t="shared" si="11"/>
        <v>12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203" t="s">
        <v>240</v>
      </c>
      <c r="AL107" s="203">
        <v>0</v>
      </c>
      <c r="AM107" s="203">
        <v>1</v>
      </c>
      <c r="AN107" s="203">
        <v>1</v>
      </c>
      <c r="AO107" s="203">
        <v>1</v>
      </c>
      <c r="AP107" s="203">
        <v>1</v>
      </c>
      <c r="AQ107" s="203">
        <v>0</v>
      </c>
      <c r="AR107" s="203">
        <v>0</v>
      </c>
      <c r="AS107" s="200">
        <v>16</v>
      </c>
    </row>
    <row r="108" spans="12:45">
      <c r="L108" s="19">
        <v>104</v>
      </c>
      <c r="M108" s="47" t="s">
        <v>26</v>
      </c>
      <c r="N108" s="47" t="s">
        <v>64</v>
      </c>
      <c r="O108" s="47" t="s">
        <v>21</v>
      </c>
      <c r="P108" s="47" t="s">
        <v>27</v>
      </c>
      <c r="Q108" s="47" t="s">
        <v>89</v>
      </c>
      <c r="R108" s="47" t="s">
        <v>29</v>
      </c>
      <c r="S108" s="33" t="s">
        <v>21</v>
      </c>
      <c r="U108" s="46">
        <f t="shared" si="12"/>
        <v>7</v>
      </c>
      <c r="V108" s="46">
        <f t="shared" si="12"/>
        <v>14</v>
      </c>
      <c r="W108" s="46">
        <f t="shared" si="12"/>
        <v>12</v>
      </c>
      <c r="X108" s="46">
        <f t="shared" si="11"/>
        <v>12</v>
      </c>
      <c r="Y108" s="46">
        <f t="shared" si="11"/>
        <v>7</v>
      </c>
      <c r="Z108" s="46">
        <f t="shared" si="11"/>
        <v>19</v>
      </c>
      <c r="AA108" s="46">
        <f t="shared" si="11"/>
        <v>12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203" t="s">
        <v>242</v>
      </c>
      <c r="AL108" s="203">
        <v>0</v>
      </c>
      <c r="AM108" s="203">
        <v>2</v>
      </c>
      <c r="AN108" s="203">
        <v>2</v>
      </c>
      <c r="AO108" s="203">
        <v>1</v>
      </c>
      <c r="AP108" s="203">
        <v>2</v>
      </c>
      <c r="AQ108" s="203">
        <v>0</v>
      </c>
      <c r="AR108" s="203">
        <v>0</v>
      </c>
      <c r="AS108" s="200">
        <v>17</v>
      </c>
    </row>
    <row r="109" spans="12:45">
      <c r="L109" s="18">
        <v>105</v>
      </c>
      <c r="M109" s="47" t="s">
        <v>29</v>
      </c>
      <c r="N109" s="47" t="s">
        <v>29</v>
      </c>
      <c r="O109" s="47" t="s">
        <v>21</v>
      </c>
      <c r="P109" s="47" t="s">
        <v>17</v>
      </c>
      <c r="Q109" s="47" t="s">
        <v>28</v>
      </c>
      <c r="R109" s="47" t="s">
        <v>29</v>
      </c>
      <c r="S109" s="33" t="s">
        <v>29</v>
      </c>
      <c r="U109" s="46">
        <f t="shared" si="12"/>
        <v>19</v>
      </c>
      <c r="V109" s="46">
        <f t="shared" si="12"/>
        <v>19</v>
      </c>
      <c r="W109" s="46">
        <f t="shared" si="12"/>
        <v>12</v>
      </c>
      <c r="X109" s="46">
        <f t="shared" si="11"/>
        <v>14</v>
      </c>
      <c r="Y109" s="46">
        <f t="shared" si="11"/>
        <v>15</v>
      </c>
      <c r="Z109" s="46">
        <f t="shared" si="11"/>
        <v>19</v>
      </c>
      <c r="AA109" s="46">
        <f t="shared" si="11"/>
        <v>19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203" t="s">
        <v>244</v>
      </c>
      <c r="AL109" s="203">
        <v>0</v>
      </c>
      <c r="AM109" s="203">
        <v>2</v>
      </c>
      <c r="AN109" s="203">
        <v>2</v>
      </c>
      <c r="AO109" s="203">
        <v>1</v>
      </c>
      <c r="AP109" s="203">
        <v>2</v>
      </c>
      <c r="AQ109" s="203">
        <v>0</v>
      </c>
      <c r="AR109" s="203">
        <v>0</v>
      </c>
      <c r="AS109" s="200">
        <v>18</v>
      </c>
    </row>
    <row r="110" spans="12:45">
      <c r="L110" s="19">
        <v>106</v>
      </c>
      <c r="M110" s="47" t="s">
        <v>29</v>
      </c>
      <c r="N110" s="47" t="s">
        <v>27</v>
      </c>
      <c r="O110" s="47" t="s">
        <v>28</v>
      </c>
      <c r="P110" s="47" t="s">
        <v>64</v>
      </c>
      <c r="Q110" s="47" t="s">
        <v>29</v>
      </c>
      <c r="R110" s="47" t="s">
        <v>24</v>
      </c>
      <c r="S110" s="33" t="s">
        <v>29</v>
      </c>
      <c r="U110" s="46">
        <f t="shared" si="12"/>
        <v>19</v>
      </c>
      <c r="V110" s="46">
        <f t="shared" si="12"/>
        <v>12</v>
      </c>
      <c r="W110" s="46">
        <f t="shared" si="12"/>
        <v>15</v>
      </c>
      <c r="X110" s="46">
        <f t="shared" si="11"/>
        <v>14</v>
      </c>
      <c r="Y110" s="46">
        <f t="shared" si="11"/>
        <v>19</v>
      </c>
      <c r="Z110" s="46">
        <f t="shared" si="11"/>
        <v>11</v>
      </c>
      <c r="AA110" s="46">
        <f t="shared" si="11"/>
        <v>19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246</v>
      </c>
      <c r="AL110" s="46">
        <v>0</v>
      </c>
      <c r="AM110" s="46">
        <v>2</v>
      </c>
      <c r="AN110" s="46">
        <v>1</v>
      </c>
      <c r="AO110" s="46">
        <v>1</v>
      </c>
      <c r="AP110" s="46">
        <v>2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17</v>
      </c>
      <c r="N111" s="47" t="s">
        <v>27</v>
      </c>
      <c r="O111" s="47" t="s">
        <v>28</v>
      </c>
      <c r="P111" s="47" t="s">
        <v>28</v>
      </c>
      <c r="Q111" s="47" t="s">
        <v>18</v>
      </c>
      <c r="R111" s="47" t="s">
        <v>24</v>
      </c>
      <c r="S111" s="33" t="s">
        <v>29</v>
      </c>
      <c r="U111" s="46">
        <f t="shared" si="12"/>
        <v>14</v>
      </c>
      <c r="V111" s="46">
        <f t="shared" si="12"/>
        <v>12</v>
      </c>
      <c r="W111" s="46">
        <f t="shared" si="12"/>
        <v>15</v>
      </c>
      <c r="X111" s="46">
        <f t="shared" si="11"/>
        <v>15</v>
      </c>
      <c r="Y111" s="46">
        <f t="shared" si="11"/>
        <v>10</v>
      </c>
      <c r="Z111" s="46">
        <f t="shared" si="11"/>
        <v>11</v>
      </c>
      <c r="AA111" s="46">
        <f t="shared" si="11"/>
        <v>19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248</v>
      </c>
      <c r="AL111" s="46">
        <v>0</v>
      </c>
      <c r="AM111" s="46">
        <v>2</v>
      </c>
      <c r="AN111" s="46">
        <v>1</v>
      </c>
      <c r="AO111" s="46">
        <v>2</v>
      </c>
      <c r="AP111" s="46">
        <v>1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27</v>
      </c>
      <c r="N112" s="47" t="s">
        <v>21</v>
      </c>
      <c r="O112" s="47" t="s">
        <v>28</v>
      </c>
      <c r="P112" s="47" t="s">
        <v>29</v>
      </c>
      <c r="Q112" s="47" t="s">
        <v>244</v>
      </c>
      <c r="R112" s="47" t="s">
        <v>29</v>
      </c>
      <c r="S112" s="33" t="s">
        <v>28</v>
      </c>
      <c r="U112" s="46">
        <f t="shared" si="12"/>
        <v>12</v>
      </c>
      <c r="V112" s="46">
        <f t="shared" si="12"/>
        <v>12</v>
      </c>
      <c r="W112" s="46">
        <f t="shared" si="12"/>
        <v>15</v>
      </c>
      <c r="X112" s="46">
        <f t="shared" si="11"/>
        <v>19</v>
      </c>
      <c r="Y112" s="46">
        <f t="shared" si="11"/>
        <v>0</v>
      </c>
      <c r="Z112" s="46">
        <f t="shared" si="11"/>
        <v>19</v>
      </c>
      <c r="AA112" s="46">
        <f t="shared" si="11"/>
        <v>15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250</v>
      </c>
      <c r="AL112" s="46">
        <v>0</v>
      </c>
      <c r="AM112" s="46">
        <v>2</v>
      </c>
      <c r="AN112" s="46">
        <v>2</v>
      </c>
      <c r="AO112" s="46">
        <v>1</v>
      </c>
      <c r="AP112" s="46">
        <v>1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27</v>
      </c>
      <c r="N113" s="47" t="s">
        <v>24</v>
      </c>
      <c r="O113" s="47" t="s">
        <v>24</v>
      </c>
      <c r="P113" s="47" t="s">
        <v>64</v>
      </c>
      <c r="Q113" s="47" t="s">
        <v>89</v>
      </c>
      <c r="R113" s="47" t="s">
        <v>29</v>
      </c>
      <c r="S113" s="47" t="s">
        <v>28</v>
      </c>
      <c r="U113" s="46">
        <f t="shared" si="12"/>
        <v>12</v>
      </c>
      <c r="V113" s="46">
        <f t="shared" si="12"/>
        <v>11</v>
      </c>
      <c r="W113" s="46">
        <f t="shared" si="12"/>
        <v>11</v>
      </c>
      <c r="X113" s="46">
        <f t="shared" si="11"/>
        <v>14</v>
      </c>
      <c r="Y113" s="46">
        <f t="shared" si="11"/>
        <v>7</v>
      </c>
      <c r="Z113" s="46">
        <f t="shared" si="11"/>
        <v>19</v>
      </c>
      <c r="AA113" s="46">
        <f t="shared" si="11"/>
        <v>15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252</v>
      </c>
      <c r="AL113" s="46">
        <v>0</v>
      </c>
      <c r="AM113" s="46">
        <v>1</v>
      </c>
      <c r="AN113" s="46">
        <v>1</v>
      </c>
      <c r="AO113" s="46">
        <v>1</v>
      </c>
      <c r="AP113" s="46">
        <v>1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28</v>
      </c>
      <c r="N114" s="47" t="s">
        <v>64</v>
      </c>
      <c r="O114" s="47" t="s">
        <v>24</v>
      </c>
      <c r="P114" s="47" t="s">
        <v>64</v>
      </c>
      <c r="Q114" s="47" t="s">
        <v>28</v>
      </c>
      <c r="R114" s="47" t="s">
        <v>27</v>
      </c>
      <c r="S114" s="33" t="s">
        <v>28</v>
      </c>
      <c r="U114" s="46">
        <f t="shared" si="12"/>
        <v>15</v>
      </c>
      <c r="V114" s="46">
        <f t="shared" si="12"/>
        <v>14</v>
      </c>
      <c r="W114" s="46">
        <f t="shared" si="12"/>
        <v>11</v>
      </c>
      <c r="X114" s="46">
        <f t="shared" si="11"/>
        <v>14</v>
      </c>
      <c r="Y114" s="46">
        <f t="shared" si="11"/>
        <v>15</v>
      </c>
      <c r="Z114" s="46">
        <f t="shared" si="11"/>
        <v>12</v>
      </c>
      <c r="AA114" s="46">
        <f t="shared" si="11"/>
        <v>15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254</v>
      </c>
      <c r="AL114" s="46">
        <v>0</v>
      </c>
      <c r="AM114" s="46">
        <v>2</v>
      </c>
      <c r="AN114" s="46">
        <v>1</v>
      </c>
      <c r="AO114" s="46">
        <v>1</v>
      </c>
      <c r="AP114" s="46">
        <v>1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89</v>
      </c>
      <c r="N115" s="47" t="s">
        <v>27</v>
      </c>
      <c r="O115" s="47" t="s">
        <v>252</v>
      </c>
      <c r="P115" s="47" t="s">
        <v>26</v>
      </c>
      <c r="Q115" s="47" t="s">
        <v>89</v>
      </c>
      <c r="R115" s="47" t="s">
        <v>24</v>
      </c>
      <c r="S115" s="33" t="s">
        <v>21</v>
      </c>
      <c r="U115" s="46">
        <f t="shared" si="12"/>
        <v>7</v>
      </c>
      <c r="V115" s="46">
        <f t="shared" si="12"/>
        <v>12</v>
      </c>
      <c r="W115" s="46">
        <f t="shared" si="12"/>
        <v>0</v>
      </c>
      <c r="X115" s="46">
        <f t="shared" si="11"/>
        <v>7</v>
      </c>
      <c r="Y115" s="46">
        <f t="shared" si="11"/>
        <v>7</v>
      </c>
      <c r="Z115" s="46">
        <f t="shared" si="11"/>
        <v>11</v>
      </c>
      <c r="AA115" s="46">
        <f t="shared" si="11"/>
        <v>12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203" t="s">
        <v>101</v>
      </c>
      <c r="AL115" s="203">
        <v>0</v>
      </c>
      <c r="AM115" s="203">
        <v>2</v>
      </c>
      <c r="AN115" s="203">
        <v>2</v>
      </c>
      <c r="AO115" s="203">
        <v>2</v>
      </c>
      <c r="AP115" s="203">
        <v>2</v>
      </c>
      <c r="AQ115" s="203">
        <v>0</v>
      </c>
      <c r="AR115" s="203">
        <v>0</v>
      </c>
      <c r="AS115" s="200">
        <v>24</v>
      </c>
    </row>
    <row r="116" spans="12:46">
      <c r="L116" s="19">
        <v>112</v>
      </c>
      <c r="M116" s="47" t="s">
        <v>29</v>
      </c>
      <c r="N116" s="47" t="s">
        <v>27</v>
      </c>
      <c r="O116" s="47" t="s">
        <v>28</v>
      </c>
      <c r="P116" s="47" t="s">
        <v>254</v>
      </c>
      <c r="Q116" s="47" t="s">
        <v>89</v>
      </c>
      <c r="R116" s="47" t="s">
        <v>27</v>
      </c>
      <c r="S116" s="33" t="s">
        <v>21</v>
      </c>
      <c r="U116" s="46">
        <f t="shared" si="12"/>
        <v>19</v>
      </c>
      <c r="V116" s="46">
        <f t="shared" si="12"/>
        <v>12</v>
      </c>
      <c r="W116" s="46">
        <f t="shared" si="12"/>
        <v>15</v>
      </c>
      <c r="X116" s="46">
        <f t="shared" si="11"/>
        <v>0</v>
      </c>
      <c r="Y116" s="46">
        <f t="shared" si="11"/>
        <v>7</v>
      </c>
      <c r="Z116" s="46">
        <f t="shared" si="11"/>
        <v>12</v>
      </c>
      <c r="AA116" s="46">
        <f t="shared" si="11"/>
        <v>12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203" t="s">
        <v>269</v>
      </c>
      <c r="AL116" s="203">
        <v>0</v>
      </c>
      <c r="AM116" s="203">
        <v>0</v>
      </c>
      <c r="AN116" s="203">
        <v>0</v>
      </c>
      <c r="AO116" s="203">
        <v>0</v>
      </c>
      <c r="AP116" s="203">
        <v>0</v>
      </c>
      <c r="AQ116" s="203">
        <v>0</v>
      </c>
      <c r="AR116" s="203">
        <v>0</v>
      </c>
      <c r="AS116" s="200">
        <v>25</v>
      </c>
    </row>
    <row r="117" spans="12:46">
      <c r="L117" s="18">
        <v>113</v>
      </c>
      <c r="M117" s="47" t="s">
        <v>29</v>
      </c>
      <c r="N117" s="47" t="s">
        <v>21</v>
      </c>
      <c r="O117" s="47" t="s">
        <v>24</v>
      </c>
      <c r="P117" s="47" t="s">
        <v>28</v>
      </c>
      <c r="Q117" s="47" t="s">
        <v>89</v>
      </c>
      <c r="R117" s="47" t="s">
        <v>27</v>
      </c>
      <c r="S117" s="33" t="s">
        <v>27</v>
      </c>
      <c r="U117" s="46">
        <f t="shared" si="12"/>
        <v>19</v>
      </c>
      <c r="V117" s="46">
        <f t="shared" si="12"/>
        <v>12</v>
      </c>
      <c r="W117" s="46">
        <f t="shared" si="12"/>
        <v>11</v>
      </c>
      <c r="X117" s="46">
        <f t="shared" si="11"/>
        <v>15</v>
      </c>
      <c r="Y117" s="46">
        <f t="shared" si="11"/>
        <v>7</v>
      </c>
      <c r="Z117" s="46">
        <f t="shared" si="11"/>
        <v>12</v>
      </c>
      <c r="AA117" s="46">
        <f t="shared" si="11"/>
        <v>12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27</v>
      </c>
      <c r="N118" s="47" t="s">
        <v>21</v>
      </c>
      <c r="O118" s="47" t="s">
        <v>26</v>
      </c>
      <c r="P118" s="47" t="s">
        <v>26</v>
      </c>
      <c r="Q118" s="47" t="s">
        <v>18</v>
      </c>
      <c r="R118" s="47" t="s">
        <v>24</v>
      </c>
      <c r="S118" s="33" t="s">
        <v>27</v>
      </c>
      <c r="U118" s="46">
        <f t="shared" si="12"/>
        <v>12</v>
      </c>
      <c r="V118" s="46">
        <f t="shared" si="12"/>
        <v>12</v>
      </c>
      <c r="W118" s="46">
        <f t="shared" si="12"/>
        <v>7</v>
      </c>
      <c r="X118" s="46">
        <f t="shared" si="11"/>
        <v>7</v>
      </c>
      <c r="Y118" s="46">
        <f t="shared" si="11"/>
        <v>10</v>
      </c>
      <c r="Z118" s="46">
        <f t="shared" si="11"/>
        <v>11</v>
      </c>
      <c r="AA118" s="46">
        <f t="shared" si="11"/>
        <v>12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274</v>
      </c>
    </row>
    <row r="119" spans="12:46">
      <c r="L119" s="18">
        <v>115</v>
      </c>
      <c r="M119" s="47" t="s">
        <v>29</v>
      </c>
      <c r="N119" s="47" t="s">
        <v>89</v>
      </c>
      <c r="O119" s="47" t="s">
        <v>18</v>
      </c>
      <c r="P119" s="47" t="s">
        <v>242</v>
      </c>
      <c r="Q119" s="47" t="s">
        <v>236</v>
      </c>
      <c r="R119" s="47" t="s">
        <v>24</v>
      </c>
      <c r="S119" s="33" t="s">
        <v>29</v>
      </c>
      <c r="U119" s="46">
        <f t="shared" si="12"/>
        <v>19</v>
      </c>
      <c r="V119" s="46">
        <f t="shared" si="12"/>
        <v>7</v>
      </c>
      <c r="W119" s="46">
        <f t="shared" si="12"/>
        <v>10</v>
      </c>
      <c r="X119" s="46">
        <f t="shared" si="11"/>
        <v>0</v>
      </c>
      <c r="Y119" s="46">
        <f t="shared" si="11"/>
        <v>0</v>
      </c>
      <c r="Z119" s="46">
        <f t="shared" si="11"/>
        <v>11</v>
      </c>
      <c r="AA119" s="46">
        <f t="shared" ref="AA119:AA124" si="13">VLOOKUP(S119, $A$4:$J$29, 9, 0)</f>
        <v>19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277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29</v>
      </c>
      <c r="N120" s="47" t="s">
        <v>29</v>
      </c>
      <c r="O120" s="47" t="s">
        <v>24</v>
      </c>
      <c r="P120" s="47" t="s">
        <v>64</v>
      </c>
      <c r="Q120" s="47" t="s">
        <v>21</v>
      </c>
      <c r="R120" s="47" t="s">
        <v>27</v>
      </c>
      <c r="S120" s="33" t="s">
        <v>29</v>
      </c>
      <c r="U120" s="46">
        <f t="shared" si="12"/>
        <v>19</v>
      </c>
      <c r="V120" s="46">
        <f t="shared" si="12"/>
        <v>19</v>
      </c>
      <c r="W120" s="46">
        <f t="shared" si="12"/>
        <v>11</v>
      </c>
      <c r="X120" s="46">
        <f t="shared" si="12"/>
        <v>14</v>
      </c>
      <c r="Y120" s="46">
        <f t="shared" si="12"/>
        <v>12</v>
      </c>
      <c r="Z120" s="46">
        <f t="shared" si="12"/>
        <v>12</v>
      </c>
      <c r="AA120" s="46">
        <f t="shared" si="13"/>
        <v>19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64</v>
      </c>
      <c r="N121" s="47" t="s">
        <v>29</v>
      </c>
      <c r="O121" s="47" t="s">
        <v>24</v>
      </c>
      <c r="P121" s="47" t="s">
        <v>27</v>
      </c>
      <c r="Q121" s="47" t="s">
        <v>21</v>
      </c>
      <c r="R121" s="47" t="s">
        <v>27</v>
      </c>
      <c r="S121" s="33" t="s">
        <v>29</v>
      </c>
      <c r="U121" s="46">
        <f t="shared" ref="U121:Z124" si="14">VLOOKUP(M121, $A$4:$J$29, 9, 0)</f>
        <v>14</v>
      </c>
      <c r="V121" s="46">
        <f t="shared" si="14"/>
        <v>19</v>
      </c>
      <c r="W121" s="46">
        <f t="shared" si="14"/>
        <v>11</v>
      </c>
      <c r="X121" s="46">
        <f t="shared" si="14"/>
        <v>12</v>
      </c>
      <c r="Y121" s="46">
        <f t="shared" si="14"/>
        <v>12</v>
      </c>
      <c r="Z121" s="46">
        <f t="shared" si="14"/>
        <v>12</v>
      </c>
      <c r="AA121" s="46">
        <f t="shared" si="13"/>
        <v>19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5</v>
      </c>
      <c r="AM121" s="46">
        <v>5</v>
      </c>
      <c r="AN121" s="46">
        <v>5</v>
      </c>
      <c r="AO121" s="46">
        <v>5</v>
      </c>
      <c r="AP121" s="46">
        <v>5</v>
      </c>
      <c r="AQ121" s="46">
        <v>5</v>
      </c>
      <c r="AR121" s="46">
        <v>0</v>
      </c>
      <c r="AS121" s="5">
        <v>1</v>
      </c>
    </row>
    <row r="122" spans="12:46">
      <c r="L122" s="19">
        <v>118</v>
      </c>
      <c r="M122" s="47" t="s">
        <v>29</v>
      </c>
      <c r="N122" s="47" t="s">
        <v>250</v>
      </c>
      <c r="O122" s="47" t="s">
        <v>28</v>
      </c>
      <c r="P122" s="47" t="s">
        <v>27</v>
      </c>
      <c r="Q122" s="47" t="s">
        <v>89</v>
      </c>
      <c r="R122" s="47" t="s">
        <v>27</v>
      </c>
      <c r="S122" s="33" t="s">
        <v>26</v>
      </c>
      <c r="U122" s="46">
        <f t="shared" si="14"/>
        <v>19</v>
      </c>
      <c r="V122" s="46">
        <f t="shared" si="14"/>
        <v>0</v>
      </c>
      <c r="W122" s="46">
        <f t="shared" si="14"/>
        <v>15</v>
      </c>
      <c r="X122" s="46">
        <f t="shared" si="14"/>
        <v>12</v>
      </c>
      <c r="Y122" s="46">
        <f t="shared" si="14"/>
        <v>7</v>
      </c>
      <c r="Z122" s="46">
        <f t="shared" si="14"/>
        <v>12</v>
      </c>
      <c r="AA122" s="46">
        <f t="shared" si="13"/>
        <v>7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203" t="s">
        <v>20</v>
      </c>
      <c r="AL122" s="203">
        <v>40</v>
      </c>
      <c r="AM122" s="203">
        <v>0</v>
      </c>
      <c r="AN122" s="203">
        <v>1</v>
      </c>
      <c r="AO122" s="203">
        <v>1</v>
      </c>
      <c r="AP122" s="203">
        <v>70</v>
      </c>
      <c r="AQ122" s="203">
        <v>1</v>
      </c>
      <c r="AR122" s="203">
        <v>0</v>
      </c>
      <c r="AS122" s="200">
        <v>2</v>
      </c>
    </row>
    <row r="123" spans="12:46">
      <c r="L123" s="18">
        <v>119</v>
      </c>
      <c r="M123" s="47" t="s">
        <v>26</v>
      </c>
      <c r="N123" s="47" t="s">
        <v>27</v>
      </c>
      <c r="O123" s="47" t="s">
        <v>26</v>
      </c>
      <c r="P123" s="47" t="s">
        <v>64</v>
      </c>
      <c r="Q123" s="47" t="s">
        <v>21</v>
      </c>
      <c r="R123" s="47" t="s">
        <v>24</v>
      </c>
      <c r="S123" s="33" t="s">
        <v>26</v>
      </c>
      <c r="U123" s="46">
        <f t="shared" si="14"/>
        <v>7</v>
      </c>
      <c r="V123" s="46">
        <f t="shared" si="14"/>
        <v>12</v>
      </c>
      <c r="W123" s="46">
        <f t="shared" si="14"/>
        <v>7</v>
      </c>
      <c r="X123" s="46">
        <f t="shared" si="14"/>
        <v>14</v>
      </c>
      <c r="Y123" s="46">
        <f t="shared" si="14"/>
        <v>12</v>
      </c>
      <c r="Z123" s="46">
        <f t="shared" si="14"/>
        <v>11</v>
      </c>
      <c r="AA123" s="46">
        <f t="shared" si="13"/>
        <v>7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203" t="s">
        <v>21</v>
      </c>
      <c r="AL123" s="203">
        <v>1</v>
      </c>
      <c r="AM123" s="203">
        <v>70</v>
      </c>
      <c r="AN123" s="203">
        <v>1</v>
      </c>
      <c r="AO123" s="203">
        <v>70</v>
      </c>
      <c r="AP123" s="203">
        <v>1</v>
      </c>
      <c r="AQ123" s="203">
        <v>1</v>
      </c>
      <c r="AR123" s="203">
        <v>0</v>
      </c>
      <c r="AS123" s="200">
        <v>3</v>
      </c>
    </row>
    <row r="124" spans="12:46">
      <c r="L124" s="19">
        <v>120</v>
      </c>
      <c r="M124" s="47" t="s">
        <v>26</v>
      </c>
      <c r="N124" s="47" t="s">
        <v>29</v>
      </c>
      <c r="O124" s="47" t="s">
        <v>24</v>
      </c>
      <c r="P124" s="47" t="s">
        <v>64</v>
      </c>
      <c r="Q124" s="47" t="s">
        <v>89</v>
      </c>
      <c r="R124" s="47" t="s">
        <v>27</v>
      </c>
      <c r="S124" s="33" t="s">
        <v>26</v>
      </c>
      <c r="U124" s="46">
        <f t="shared" si="14"/>
        <v>7</v>
      </c>
      <c r="V124" s="46">
        <f t="shared" si="14"/>
        <v>19</v>
      </c>
      <c r="W124" s="46">
        <f t="shared" si="14"/>
        <v>11</v>
      </c>
      <c r="X124" s="46">
        <f t="shared" si="14"/>
        <v>14</v>
      </c>
      <c r="Y124" s="46">
        <f t="shared" si="14"/>
        <v>7</v>
      </c>
      <c r="Z124" s="46">
        <f t="shared" si="14"/>
        <v>12</v>
      </c>
      <c r="AA124" s="46">
        <f t="shared" si="13"/>
        <v>7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203" t="s">
        <v>17</v>
      </c>
      <c r="AL124" s="203">
        <v>0</v>
      </c>
      <c r="AM124" s="203">
        <v>1</v>
      </c>
      <c r="AN124" s="203">
        <v>5</v>
      </c>
      <c r="AO124" s="203">
        <v>0</v>
      </c>
      <c r="AP124" s="203">
        <v>1</v>
      </c>
      <c r="AQ124" s="203">
        <v>70</v>
      </c>
      <c r="AR124" s="203">
        <v>1</v>
      </c>
      <c r="AS124" s="200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203" t="s">
        <v>18</v>
      </c>
      <c r="AL125" s="203">
        <v>1</v>
      </c>
      <c r="AM125" s="203">
        <v>70</v>
      </c>
      <c r="AN125" s="203">
        <v>1</v>
      </c>
      <c r="AO125" s="203">
        <v>1</v>
      </c>
      <c r="AP125" s="203">
        <v>1</v>
      </c>
      <c r="AQ125" s="203">
        <v>70</v>
      </c>
      <c r="AR125" s="203">
        <v>1</v>
      </c>
      <c r="AS125" s="200">
        <v>5</v>
      </c>
    </row>
    <row r="126" spans="12:46">
      <c r="AK126" s="203" t="s">
        <v>64</v>
      </c>
      <c r="AL126" s="203">
        <v>5</v>
      </c>
      <c r="AM126" s="203">
        <v>1</v>
      </c>
      <c r="AN126" s="203">
        <v>70</v>
      </c>
      <c r="AO126" s="203">
        <v>1</v>
      </c>
      <c r="AP126" s="203">
        <v>70</v>
      </c>
      <c r="AQ126" s="203">
        <v>1</v>
      </c>
      <c r="AR126" s="203">
        <v>1</v>
      </c>
      <c r="AS126" s="200">
        <v>6</v>
      </c>
    </row>
    <row r="127" spans="12:46">
      <c r="AK127" s="203" t="s">
        <v>89</v>
      </c>
      <c r="AL127" s="203">
        <v>1</v>
      </c>
      <c r="AM127" s="203">
        <v>70</v>
      </c>
      <c r="AN127" s="203">
        <v>1</v>
      </c>
      <c r="AO127" s="203">
        <v>1</v>
      </c>
      <c r="AP127" s="203">
        <v>1</v>
      </c>
      <c r="AQ127" s="203">
        <v>70</v>
      </c>
      <c r="AR127" s="203">
        <v>1</v>
      </c>
      <c r="AS127" s="200">
        <v>7</v>
      </c>
    </row>
    <row r="128" spans="12:46">
      <c r="AK128" s="46" t="s">
        <v>24</v>
      </c>
      <c r="AL128" s="46">
        <v>0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0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203" t="s">
        <v>234</v>
      </c>
      <c r="AL133" s="203">
        <v>0</v>
      </c>
      <c r="AM133" s="203">
        <v>1</v>
      </c>
      <c r="AN133" s="203">
        <v>0</v>
      </c>
      <c r="AO133" s="203">
        <v>1</v>
      </c>
      <c r="AP133" s="203">
        <v>1</v>
      </c>
      <c r="AQ133" s="203">
        <v>0</v>
      </c>
      <c r="AR133" s="203">
        <v>0</v>
      </c>
      <c r="AS133" s="200">
        <v>13</v>
      </c>
      <c r="AT133" s="11"/>
    </row>
    <row r="134" spans="37:46">
      <c r="AK134" s="203" t="s">
        <v>236</v>
      </c>
      <c r="AL134" s="203">
        <v>0</v>
      </c>
      <c r="AM134" s="203">
        <v>2</v>
      </c>
      <c r="AN134" s="203">
        <v>1</v>
      </c>
      <c r="AO134" s="203">
        <v>2</v>
      </c>
      <c r="AP134" s="203">
        <v>1</v>
      </c>
      <c r="AQ134" s="203">
        <v>0</v>
      </c>
      <c r="AR134" s="203">
        <v>0</v>
      </c>
      <c r="AS134" s="200">
        <v>14</v>
      </c>
      <c r="AT134" s="11"/>
    </row>
    <row r="135" spans="37:46">
      <c r="AK135" s="203" t="s">
        <v>238</v>
      </c>
      <c r="AL135" s="203">
        <v>0</v>
      </c>
      <c r="AM135" s="203">
        <v>1</v>
      </c>
      <c r="AN135" s="203">
        <v>2</v>
      </c>
      <c r="AO135" s="203">
        <v>1</v>
      </c>
      <c r="AP135" s="203">
        <v>1</v>
      </c>
      <c r="AQ135" s="203">
        <v>0</v>
      </c>
      <c r="AR135" s="203">
        <v>0</v>
      </c>
      <c r="AS135" s="200">
        <v>15</v>
      </c>
      <c r="AT135" s="11"/>
    </row>
    <row r="136" spans="37:46">
      <c r="AK136" s="203" t="s">
        <v>240</v>
      </c>
      <c r="AL136" s="203">
        <v>0</v>
      </c>
      <c r="AM136" s="203">
        <v>2</v>
      </c>
      <c r="AN136" s="203">
        <v>1</v>
      </c>
      <c r="AO136" s="203">
        <v>1</v>
      </c>
      <c r="AP136" s="203">
        <v>1</v>
      </c>
      <c r="AQ136" s="203">
        <v>0</v>
      </c>
      <c r="AR136" s="203">
        <v>0</v>
      </c>
      <c r="AS136" s="200">
        <v>16</v>
      </c>
      <c r="AT136" s="11"/>
    </row>
    <row r="137" spans="37:46">
      <c r="AK137" s="203" t="s">
        <v>242</v>
      </c>
      <c r="AL137" s="203">
        <v>0</v>
      </c>
      <c r="AM137" s="203">
        <v>0</v>
      </c>
      <c r="AN137" s="203">
        <v>2</v>
      </c>
      <c r="AO137" s="203">
        <v>1</v>
      </c>
      <c r="AP137" s="203">
        <v>2</v>
      </c>
      <c r="AQ137" s="203">
        <v>0</v>
      </c>
      <c r="AR137" s="203">
        <v>0</v>
      </c>
      <c r="AS137" s="200">
        <v>17</v>
      </c>
      <c r="AT137" s="11"/>
    </row>
    <row r="138" spans="37:46">
      <c r="AK138" s="203" t="s">
        <v>244</v>
      </c>
      <c r="AL138" s="203">
        <v>0</v>
      </c>
      <c r="AM138" s="203">
        <v>2</v>
      </c>
      <c r="AN138" s="203">
        <v>1</v>
      </c>
      <c r="AO138" s="203">
        <v>1</v>
      </c>
      <c r="AP138" s="203">
        <v>2</v>
      </c>
      <c r="AQ138" s="203">
        <v>0</v>
      </c>
      <c r="AR138" s="203">
        <v>0</v>
      </c>
      <c r="AS138" s="200">
        <v>18</v>
      </c>
      <c r="AT138" s="11"/>
    </row>
    <row r="139" spans="37:46">
      <c r="AK139" s="46" t="s">
        <v>246</v>
      </c>
      <c r="AL139" s="46">
        <v>0</v>
      </c>
      <c r="AM139" s="46">
        <v>2</v>
      </c>
      <c r="AN139" s="46">
        <v>1</v>
      </c>
      <c r="AO139" s="46">
        <v>1</v>
      </c>
      <c r="AP139" s="46">
        <v>2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248</v>
      </c>
      <c r="AL140" s="46">
        <v>0</v>
      </c>
      <c r="AM140" s="46">
        <v>2</v>
      </c>
      <c r="AN140" s="46">
        <v>1</v>
      </c>
      <c r="AO140" s="46">
        <v>2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250</v>
      </c>
      <c r="AL141" s="46">
        <v>0</v>
      </c>
      <c r="AM141" s="46">
        <v>0</v>
      </c>
      <c r="AN141" s="46">
        <v>2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252</v>
      </c>
      <c r="AL142" s="46">
        <v>0</v>
      </c>
      <c r="AM142" s="46">
        <v>4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254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203" t="s">
        <v>101</v>
      </c>
      <c r="AL144" s="203">
        <v>0</v>
      </c>
      <c r="AM144" s="203">
        <v>0</v>
      </c>
      <c r="AN144" s="203">
        <v>0</v>
      </c>
      <c r="AO144" s="203">
        <v>0</v>
      </c>
      <c r="AP144" s="203">
        <v>0</v>
      </c>
      <c r="AQ144" s="203">
        <v>0</v>
      </c>
      <c r="AR144" s="203">
        <v>0</v>
      </c>
      <c r="AS144" s="200">
        <v>24</v>
      </c>
      <c r="AT144" s="11"/>
    </row>
    <row r="145" spans="37:46">
      <c r="AK145" s="203" t="s">
        <v>269</v>
      </c>
      <c r="AL145" s="203">
        <v>0</v>
      </c>
      <c r="AM145" s="203">
        <v>0</v>
      </c>
      <c r="AN145" s="203">
        <v>0</v>
      </c>
      <c r="AO145" s="203">
        <v>0</v>
      </c>
      <c r="AP145" s="203">
        <v>0</v>
      </c>
      <c r="AQ145" s="203">
        <v>0</v>
      </c>
      <c r="AR145" s="203">
        <v>0</v>
      </c>
      <c r="AS145" s="200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99"/>
      <c r="N304" s="199"/>
      <c r="O304" s="199"/>
      <c r="P304" s="199"/>
      <c r="Q304" s="199"/>
      <c r="R304" s="199"/>
      <c r="S304" s="199"/>
      <c r="T304" s="1"/>
      <c r="U304" s="1"/>
      <c r="V304" s="199"/>
      <c r="W304" s="199"/>
      <c r="X304" s="199"/>
      <c r="Y304" s="199"/>
      <c r="Z304" s="19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1" spans="37:45">
      <c r="AK321" s="28"/>
      <c r="AL321" s="28"/>
      <c r="AM321" s="28"/>
      <c r="AN321" s="28"/>
      <c r="AO321" s="28"/>
      <c r="AP321" s="28"/>
      <c r="AQ321" s="28"/>
      <c r="AR321" s="28"/>
      <c r="AS321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81" priority="1" operator="equal">
      <formula>"C1"</formula>
    </cfRule>
    <cfRule type="cellIs" dxfId="80" priority="2" operator="equal">
      <formula>"G6"</formula>
    </cfRule>
    <cfRule type="cellIs" dxfId="79" priority="3" operator="equal">
      <formula>"G5"</formula>
    </cfRule>
    <cfRule type="cellIs" dxfId="78" priority="4" operator="equal">
      <formula>"G4"</formula>
    </cfRule>
    <cfRule type="cellIs" dxfId="77" priority="5" operator="equal">
      <formula>"G3"</formula>
    </cfRule>
    <cfRule type="cellIs" dxfId="76" priority="6" operator="equal">
      <formula>"G2"</formula>
    </cfRule>
    <cfRule type="cellIs" dxfId="75" priority="7" operator="equal">
      <formula>"G1"</formula>
    </cfRule>
    <cfRule type="cellIs" dxfId="74" priority="8" operator="equal">
      <formula>"M5"</formula>
    </cfRule>
    <cfRule type="cellIs" dxfId="73" priority="9" operator="equal">
      <formula>"M4"</formula>
    </cfRule>
    <cfRule type="cellIs" dxfId="72" priority="10" operator="equal">
      <formula>"M3"</formula>
    </cfRule>
    <cfRule type="cellIs" dxfId="71" priority="11" operator="equal">
      <formula>"M6"</formula>
    </cfRule>
    <cfRule type="cellIs" dxfId="70" priority="12" operator="equal">
      <formula>"M2"</formula>
    </cfRule>
    <cfRule type="cellIs" dxfId="69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>
    <tabColor theme="3" tint="0.59999389629810485"/>
  </sheetPr>
  <dimension ref="A2:AT405"/>
  <sheetViews>
    <sheetView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99" customWidth="1"/>
    <col min="20" max="20" width="8.88671875" style="1" customWidth="1"/>
    <col min="21" max="21" width="5.5546875" style="1" customWidth="1"/>
    <col min="22" max="26" width="5.5546875" style="19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231</v>
      </c>
      <c r="AC2" s="11" t="s">
        <v>232</v>
      </c>
      <c r="AD2" s="215"/>
      <c r="AE2" s="215"/>
      <c r="AF2" s="215"/>
      <c r="AG2" s="215"/>
      <c r="AH2" s="215"/>
      <c r="AI2" s="215"/>
      <c r="AK2" s="49" t="s">
        <v>276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99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277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98" t="str" cm="1">
        <f t="array" ref="A4:B29">Overview!$A$42:$B$67</f>
        <v>WW</v>
      </c>
      <c r="B4" s="198" t="str">
        <v>Wild</v>
      </c>
      <c r="C4" s="101">
        <f t="shared" ref="C4:C29" si="0">COUNTIF(M$4:M$304,$A4)</f>
        <v>0</v>
      </c>
      <c r="D4" s="101">
        <f t="shared" ref="D4:I19" si="1">COUNTIF(N$4:N$304,$A4)</f>
        <v>0</v>
      </c>
      <c r="E4" s="101">
        <f t="shared" si="1"/>
        <v>0</v>
      </c>
      <c r="F4" s="101">
        <f t="shared" si="1"/>
        <v>0</v>
      </c>
      <c r="G4" s="101">
        <f t="shared" si="1"/>
        <v>0</v>
      </c>
      <c r="H4" s="101">
        <f t="shared" si="1"/>
        <v>0</v>
      </c>
      <c r="I4" s="101">
        <f t="shared" si="1"/>
        <v>0</v>
      </c>
      <c r="J4" s="198">
        <v>0</v>
      </c>
      <c r="K4" s="43"/>
      <c r="L4" s="19">
        <v>0</v>
      </c>
      <c r="M4" s="205" t="s">
        <v>89</v>
      </c>
      <c r="N4" s="205" t="s">
        <v>89</v>
      </c>
      <c r="O4" s="205" t="s">
        <v>26</v>
      </c>
      <c r="P4" s="205" t="s">
        <v>64</v>
      </c>
      <c r="Q4" s="205" t="s">
        <v>18</v>
      </c>
      <c r="R4" s="205" t="s">
        <v>24</v>
      </c>
      <c r="S4" s="206" t="s">
        <v>24</v>
      </c>
      <c r="U4" s="207">
        <f t="shared" ref="U4:AA19" si="2">VLOOKUP(M4, $A$4:$J$29, 9, 0)</f>
        <v>8</v>
      </c>
      <c r="V4" s="207">
        <f t="shared" si="2"/>
        <v>8</v>
      </c>
      <c r="W4" s="207">
        <f t="shared" si="2"/>
        <v>7</v>
      </c>
      <c r="X4" s="207">
        <f t="shared" si="2"/>
        <v>13</v>
      </c>
      <c r="Y4" s="207">
        <f t="shared" si="2"/>
        <v>10</v>
      </c>
      <c r="Z4" s="207">
        <f t="shared" si="2"/>
        <v>11</v>
      </c>
      <c r="AA4" s="207">
        <f t="shared" si="2"/>
        <v>11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98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si="0"/>
        <v>0</v>
      </c>
      <c r="D5" s="12">
        <f t="shared" si="1"/>
        <v>0</v>
      </c>
      <c r="E5" s="12">
        <f t="shared" si="1"/>
        <v>0</v>
      </c>
      <c r="F5" s="12">
        <f t="shared" si="1"/>
        <v>0</v>
      </c>
      <c r="G5" s="12">
        <f t="shared" si="1"/>
        <v>0</v>
      </c>
      <c r="H5" s="12">
        <f t="shared" si="1"/>
        <v>0</v>
      </c>
      <c r="I5" s="12">
        <f t="shared" si="1"/>
        <v>0</v>
      </c>
      <c r="J5" s="5">
        <v>1</v>
      </c>
      <c r="K5" s="43"/>
      <c r="L5" s="18">
        <v>1</v>
      </c>
      <c r="M5" s="47" t="s">
        <v>26</v>
      </c>
      <c r="N5" s="47" t="s">
        <v>28</v>
      </c>
      <c r="O5" s="47" t="s">
        <v>26</v>
      </c>
      <c r="P5" s="47" t="s">
        <v>24</v>
      </c>
      <c r="Q5" s="47" t="s">
        <v>240</v>
      </c>
      <c r="R5" s="47" t="s">
        <v>26</v>
      </c>
      <c r="S5" s="33" t="s">
        <v>24</v>
      </c>
      <c r="U5" s="46">
        <f t="shared" si="2"/>
        <v>7</v>
      </c>
      <c r="V5" s="46">
        <f t="shared" si="2"/>
        <v>15</v>
      </c>
      <c r="W5" s="46">
        <f t="shared" si="2"/>
        <v>7</v>
      </c>
      <c r="X5" s="46">
        <f t="shared" si="2"/>
        <v>11</v>
      </c>
      <c r="Y5" s="46">
        <f t="shared" si="2"/>
        <v>0</v>
      </c>
      <c r="Z5" s="46">
        <f t="shared" si="2"/>
        <v>7</v>
      </c>
      <c r="AA5" s="46">
        <f t="shared" si="2"/>
        <v>11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5</v>
      </c>
      <c r="AM5" s="46">
        <v>3</v>
      </c>
      <c r="AN5" s="46">
        <v>3</v>
      </c>
      <c r="AO5" s="46">
        <v>5</v>
      </c>
      <c r="AP5" s="46">
        <v>5</v>
      </c>
      <c r="AQ5" s="46">
        <v>5</v>
      </c>
      <c r="AR5" s="46">
        <v>0</v>
      </c>
      <c r="AS5" s="5">
        <v>1</v>
      </c>
    </row>
    <row r="6" spans="1:45" ht="15.9" customHeight="1">
      <c r="A6" s="200" t="str">
        <v>M1</v>
      </c>
      <c r="B6" s="200" t="str">
        <v>M1</v>
      </c>
      <c r="C6" s="202">
        <f t="shared" si="0"/>
        <v>1</v>
      </c>
      <c r="D6" s="202">
        <f t="shared" si="1"/>
        <v>0</v>
      </c>
      <c r="E6" s="202">
        <f t="shared" si="1"/>
        <v>1</v>
      </c>
      <c r="F6" s="202">
        <f t="shared" si="1"/>
        <v>1</v>
      </c>
      <c r="G6" s="202">
        <f t="shared" si="1"/>
        <v>0</v>
      </c>
      <c r="H6" s="202">
        <f t="shared" si="1"/>
        <v>1</v>
      </c>
      <c r="I6" s="202">
        <f t="shared" si="1"/>
        <v>1</v>
      </c>
      <c r="J6" s="200">
        <v>2</v>
      </c>
      <c r="L6" s="19">
        <v>2</v>
      </c>
      <c r="M6" s="47" t="s">
        <v>28</v>
      </c>
      <c r="N6" s="47" t="s">
        <v>29</v>
      </c>
      <c r="O6" s="47" t="s">
        <v>21</v>
      </c>
      <c r="P6" s="47" t="s">
        <v>24</v>
      </c>
      <c r="Q6" s="47" t="s">
        <v>64</v>
      </c>
      <c r="R6" s="47" t="s">
        <v>64</v>
      </c>
      <c r="S6" s="33" t="s">
        <v>24</v>
      </c>
      <c r="U6" s="46">
        <f t="shared" si="2"/>
        <v>15</v>
      </c>
      <c r="V6" s="46">
        <f t="shared" si="2"/>
        <v>18</v>
      </c>
      <c r="W6" s="46">
        <f t="shared" si="2"/>
        <v>12</v>
      </c>
      <c r="X6" s="46">
        <f t="shared" si="2"/>
        <v>11</v>
      </c>
      <c r="Y6" s="46">
        <f t="shared" si="2"/>
        <v>13</v>
      </c>
      <c r="Z6" s="46">
        <f t="shared" si="2"/>
        <v>13</v>
      </c>
      <c r="AA6" s="46">
        <f t="shared" si="2"/>
        <v>11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203" t="s">
        <v>20</v>
      </c>
      <c r="AL6" s="203">
        <v>40</v>
      </c>
      <c r="AM6" s="203">
        <v>40</v>
      </c>
      <c r="AN6" s="203">
        <v>20</v>
      </c>
      <c r="AO6" s="203">
        <v>40</v>
      </c>
      <c r="AP6" s="203">
        <v>40</v>
      </c>
      <c r="AQ6" s="203">
        <v>1</v>
      </c>
      <c r="AR6" s="203">
        <v>1</v>
      </c>
      <c r="AS6" s="200">
        <v>2</v>
      </c>
    </row>
    <row r="7" spans="1:45" ht="15.9" customHeight="1">
      <c r="A7" s="200" t="str">
        <v>M2</v>
      </c>
      <c r="B7" s="200" t="str">
        <v>M2</v>
      </c>
      <c r="C7" s="202">
        <f t="shared" si="0"/>
        <v>1</v>
      </c>
      <c r="D7" s="202">
        <f t="shared" si="1"/>
        <v>12</v>
      </c>
      <c r="E7" s="202">
        <f t="shared" si="1"/>
        <v>7</v>
      </c>
      <c r="F7" s="202">
        <f t="shared" si="1"/>
        <v>3</v>
      </c>
      <c r="G7" s="202">
        <f t="shared" si="1"/>
        <v>9</v>
      </c>
      <c r="H7" s="202">
        <f t="shared" si="1"/>
        <v>0</v>
      </c>
      <c r="I7" s="202">
        <f t="shared" si="1"/>
        <v>12</v>
      </c>
      <c r="J7" s="200">
        <v>3</v>
      </c>
      <c r="L7" s="18">
        <v>3</v>
      </c>
      <c r="M7" s="47" t="s">
        <v>29</v>
      </c>
      <c r="N7" s="47" t="s">
        <v>27</v>
      </c>
      <c r="O7" s="47" t="s">
        <v>24</v>
      </c>
      <c r="P7" s="47" t="s">
        <v>24</v>
      </c>
      <c r="Q7" s="47" t="s">
        <v>64</v>
      </c>
      <c r="R7" s="47" t="s">
        <v>29</v>
      </c>
      <c r="S7" s="33" t="s">
        <v>24</v>
      </c>
      <c r="U7" s="46">
        <f t="shared" si="2"/>
        <v>18</v>
      </c>
      <c r="V7" s="46">
        <f t="shared" si="2"/>
        <v>12</v>
      </c>
      <c r="W7" s="46">
        <f t="shared" si="2"/>
        <v>11</v>
      </c>
      <c r="X7" s="46">
        <f t="shared" si="2"/>
        <v>11</v>
      </c>
      <c r="Y7" s="46">
        <f t="shared" si="2"/>
        <v>13</v>
      </c>
      <c r="Z7" s="46">
        <f t="shared" si="2"/>
        <v>18</v>
      </c>
      <c r="AA7" s="46">
        <f t="shared" si="2"/>
        <v>11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203" t="s">
        <v>21</v>
      </c>
      <c r="AL7" s="203">
        <v>10</v>
      </c>
      <c r="AM7" s="203">
        <v>32</v>
      </c>
      <c r="AN7" s="203">
        <v>40</v>
      </c>
      <c r="AO7" s="203">
        <v>40</v>
      </c>
      <c r="AP7" s="203">
        <v>1</v>
      </c>
      <c r="AQ7" s="203">
        <v>1</v>
      </c>
      <c r="AR7" s="203">
        <v>1</v>
      </c>
      <c r="AS7" s="200">
        <v>3</v>
      </c>
    </row>
    <row r="8" spans="1:45" ht="15.9" customHeight="1">
      <c r="A8" s="200" t="str">
        <v>M3</v>
      </c>
      <c r="B8" s="200" t="str">
        <v>M3</v>
      </c>
      <c r="C8" s="202">
        <f t="shared" si="0"/>
        <v>3</v>
      </c>
      <c r="D8" s="202">
        <f t="shared" si="1"/>
        <v>1</v>
      </c>
      <c r="E8" s="202">
        <f t="shared" si="1"/>
        <v>3</v>
      </c>
      <c r="F8" s="202">
        <f t="shared" si="1"/>
        <v>8</v>
      </c>
      <c r="G8" s="202">
        <f t="shared" si="1"/>
        <v>3</v>
      </c>
      <c r="H8" s="202">
        <f t="shared" si="1"/>
        <v>3</v>
      </c>
      <c r="I8" s="202">
        <f t="shared" si="1"/>
        <v>14</v>
      </c>
      <c r="J8" s="200">
        <v>4</v>
      </c>
      <c r="L8" s="19">
        <v>4</v>
      </c>
      <c r="M8" s="47" t="s">
        <v>26</v>
      </c>
      <c r="N8" s="47" t="s">
        <v>29</v>
      </c>
      <c r="O8" s="47" t="s">
        <v>238</v>
      </c>
      <c r="P8" s="47" t="s">
        <v>27</v>
      </c>
      <c r="Q8" s="47" t="s">
        <v>26</v>
      </c>
      <c r="R8" s="47" t="s">
        <v>29</v>
      </c>
      <c r="S8" s="33" t="s">
        <v>21</v>
      </c>
      <c r="U8" s="46">
        <f t="shared" si="2"/>
        <v>7</v>
      </c>
      <c r="V8" s="46">
        <f t="shared" si="2"/>
        <v>18</v>
      </c>
      <c r="W8" s="46">
        <f t="shared" si="2"/>
        <v>0</v>
      </c>
      <c r="X8" s="46">
        <f t="shared" si="2"/>
        <v>12</v>
      </c>
      <c r="Y8" s="46">
        <f t="shared" si="2"/>
        <v>7</v>
      </c>
      <c r="Z8" s="46">
        <f t="shared" si="2"/>
        <v>18</v>
      </c>
      <c r="AA8" s="46">
        <f t="shared" si="2"/>
        <v>12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203" t="s">
        <v>17</v>
      </c>
      <c r="AL8" s="203">
        <v>40</v>
      </c>
      <c r="AM8" s="203">
        <v>13</v>
      </c>
      <c r="AN8" s="203">
        <v>15</v>
      </c>
      <c r="AO8" s="203">
        <v>1</v>
      </c>
      <c r="AP8" s="203">
        <v>1</v>
      </c>
      <c r="AQ8" s="203">
        <v>40</v>
      </c>
      <c r="AR8" s="203">
        <v>1</v>
      </c>
      <c r="AS8" s="200">
        <v>4</v>
      </c>
    </row>
    <row r="9" spans="1:45" ht="15.9" customHeight="1">
      <c r="A9" s="200" t="str">
        <v>M4</v>
      </c>
      <c r="B9" s="200" t="str">
        <v>M4</v>
      </c>
      <c r="C9" s="202">
        <f t="shared" si="0"/>
        <v>8</v>
      </c>
      <c r="D9" s="202">
        <f t="shared" si="1"/>
        <v>1</v>
      </c>
      <c r="E9" s="202">
        <f t="shared" si="1"/>
        <v>16</v>
      </c>
      <c r="F9" s="202">
        <f t="shared" si="1"/>
        <v>3</v>
      </c>
      <c r="G9" s="202">
        <f t="shared" si="1"/>
        <v>15</v>
      </c>
      <c r="H9" s="202">
        <f t="shared" si="1"/>
        <v>5</v>
      </c>
      <c r="I9" s="202">
        <f t="shared" si="1"/>
        <v>10</v>
      </c>
      <c r="J9" s="200">
        <v>5</v>
      </c>
      <c r="L9" s="18">
        <v>5</v>
      </c>
      <c r="M9" s="47" t="s">
        <v>28</v>
      </c>
      <c r="N9" s="47" t="s">
        <v>21</v>
      </c>
      <c r="O9" s="47" t="s">
        <v>17</v>
      </c>
      <c r="P9" s="47" t="s">
        <v>27</v>
      </c>
      <c r="Q9" s="47" t="s">
        <v>26</v>
      </c>
      <c r="R9" s="47" t="s">
        <v>64</v>
      </c>
      <c r="S9" s="33" t="s">
        <v>21</v>
      </c>
      <c r="U9" s="46">
        <f t="shared" si="2"/>
        <v>15</v>
      </c>
      <c r="V9" s="46">
        <f t="shared" si="2"/>
        <v>12</v>
      </c>
      <c r="W9" s="46">
        <f t="shared" si="2"/>
        <v>14</v>
      </c>
      <c r="X9" s="46">
        <f t="shared" si="2"/>
        <v>12</v>
      </c>
      <c r="Y9" s="46">
        <f t="shared" si="2"/>
        <v>7</v>
      </c>
      <c r="Z9" s="46">
        <f t="shared" si="2"/>
        <v>13</v>
      </c>
      <c r="AA9" s="46">
        <f t="shared" si="2"/>
        <v>12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203" t="s">
        <v>18</v>
      </c>
      <c r="AL9" s="203">
        <v>10</v>
      </c>
      <c r="AM9" s="203">
        <v>40</v>
      </c>
      <c r="AN9" s="203">
        <v>40</v>
      </c>
      <c r="AO9" s="203">
        <v>40</v>
      </c>
      <c r="AP9" s="203">
        <v>8</v>
      </c>
      <c r="AQ9" s="203">
        <v>40</v>
      </c>
      <c r="AR9" s="203">
        <v>1</v>
      </c>
      <c r="AS9" s="200">
        <v>5</v>
      </c>
    </row>
    <row r="10" spans="1:45" ht="15.9" customHeight="1">
      <c r="A10" s="200" t="str">
        <v>M5</v>
      </c>
      <c r="B10" s="200" t="str">
        <v>M5</v>
      </c>
      <c r="C10" s="202">
        <f t="shared" si="0"/>
        <v>8</v>
      </c>
      <c r="D10" s="202">
        <f t="shared" si="1"/>
        <v>17</v>
      </c>
      <c r="E10" s="202">
        <f t="shared" si="1"/>
        <v>1</v>
      </c>
      <c r="F10" s="202">
        <f t="shared" si="1"/>
        <v>26</v>
      </c>
      <c r="G10" s="202">
        <f t="shared" si="1"/>
        <v>6</v>
      </c>
      <c r="H10" s="202">
        <f t="shared" si="1"/>
        <v>27</v>
      </c>
      <c r="I10" s="202">
        <f t="shared" si="1"/>
        <v>13</v>
      </c>
      <c r="J10" s="200">
        <v>6</v>
      </c>
      <c r="L10" s="19">
        <v>6</v>
      </c>
      <c r="M10" s="47" t="s">
        <v>26</v>
      </c>
      <c r="N10" s="47" t="s">
        <v>21</v>
      </c>
      <c r="O10" s="47" t="s">
        <v>24</v>
      </c>
      <c r="P10" s="47" t="s">
        <v>27</v>
      </c>
      <c r="Q10" s="47" t="s">
        <v>89</v>
      </c>
      <c r="R10" s="47" t="s">
        <v>64</v>
      </c>
      <c r="S10" s="33" t="s">
        <v>21</v>
      </c>
      <c r="U10" s="46">
        <f t="shared" si="2"/>
        <v>7</v>
      </c>
      <c r="V10" s="46">
        <f t="shared" si="2"/>
        <v>12</v>
      </c>
      <c r="W10" s="46">
        <f t="shared" si="2"/>
        <v>11</v>
      </c>
      <c r="X10" s="46">
        <f t="shared" si="2"/>
        <v>12</v>
      </c>
      <c r="Y10" s="46">
        <f t="shared" si="2"/>
        <v>8</v>
      </c>
      <c r="Z10" s="46">
        <f t="shared" si="2"/>
        <v>13</v>
      </c>
      <c r="AA10" s="46">
        <f t="shared" si="2"/>
        <v>12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203" t="s">
        <v>64</v>
      </c>
      <c r="AL10" s="203">
        <v>40</v>
      </c>
      <c r="AM10" s="203">
        <v>8</v>
      </c>
      <c r="AN10" s="203">
        <v>20</v>
      </c>
      <c r="AO10" s="203">
        <v>1</v>
      </c>
      <c r="AP10" s="203">
        <v>40</v>
      </c>
      <c r="AQ10" s="203">
        <v>1</v>
      </c>
      <c r="AR10" s="203">
        <v>1</v>
      </c>
      <c r="AS10" s="200">
        <v>6</v>
      </c>
    </row>
    <row r="11" spans="1:45" ht="15.9" customHeight="1">
      <c r="A11" s="200" t="str">
        <v>M6</v>
      </c>
      <c r="B11" s="200" t="str">
        <v>M6</v>
      </c>
      <c r="C11" s="202">
        <f t="shared" si="0"/>
        <v>13</v>
      </c>
      <c r="D11" s="202">
        <f t="shared" si="1"/>
        <v>10</v>
      </c>
      <c r="E11" s="202">
        <f t="shared" si="1"/>
        <v>1</v>
      </c>
      <c r="F11" s="202">
        <f t="shared" si="1"/>
        <v>3</v>
      </c>
      <c r="G11" s="202">
        <f t="shared" si="1"/>
        <v>28</v>
      </c>
      <c r="H11" s="202">
        <f t="shared" si="1"/>
        <v>2</v>
      </c>
      <c r="I11" s="202">
        <f t="shared" si="1"/>
        <v>8</v>
      </c>
      <c r="J11" s="200">
        <v>7</v>
      </c>
      <c r="L11" s="18">
        <v>7</v>
      </c>
      <c r="M11" s="47" t="s">
        <v>29</v>
      </c>
      <c r="N11" s="47" t="s">
        <v>89</v>
      </c>
      <c r="O11" s="47" t="s">
        <v>26</v>
      </c>
      <c r="P11" s="47" t="s">
        <v>29</v>
      </c>
      <c r="Q11" s="47" t="s">
        <v>28</v>
      </c>
      <c r="R11" s="47" t="s">
        <v>64</v>
      </c>
      <c r="S11" s="33" t="s">
        <v>21</v>
      </c>
      <c r="U11" s="46">
        <f t="shared" si="2"/>
        <v>18</v>
      </c>
      <c r="V11" s="46">
        <f t="shared" si="2"/>
        <v>8</v>
      </c>
      <c r="W11" s="46">
        <f t="shared" si="2"/>
        <v>7</v>
      </c>
      <c r="X11" s="46">
        <f t="shared" si="2"/>
        <v>18</v>
      </c>
      <c r="Y11" s="46">
        <f t="shared" si="2"/>
        <v>15</v>
      </c>
      <c r="Z11" s="46">
        <f t="shared" si="2"/>
        <v>13</v>
      </c>
      <c r="AA11" s="46">
        <f t="shared" si="2"/>
        <v>12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203" t="s">
        <v>89</v>
      </c>
      <c r="AL11" s="203">
        <v>10</v>
      </c>
      <c r="AM11" s="203">
        <v>40</v>
      </c>
      <c r="AN11" s="203">
        <v>40</v>
      </c>
      <c r="AO11" s="203">
        <v>40</v>
      </c>
      <c r="AP11" s="203">
        <v>8</v>
      </c>
      <c r="AQ11" s="203">
        <v>40</v>
      </c>
      <c r="AR11" s="203">
        <v>1</v>
      </c>
      <c r="AS11" s="200">
        <v>7</v>
      </c>
    </row>
    <row r="12" spans="1:45" ht="15.9" customHeight="1">
      <c r="A12" s="33" t="str">
        <v>A</v>
      </c>
      <c r="B12" s="46" t="str">
        <v>A</v>
      </c>
      <c r="C12" s="12">
        <f t="shared" si="0"/>
        <v>2</v>
      </c>
      <c r="D12" s="12">
        <f t="shared" si="1"/>
        <v>12</v>
      </c>
      <c r="E12" s="12">
        <f t="shared" si="1"/>
        <v>21</v>
      </c>
      <c r="F12" s="12">
        <f t="shared" si="1"/>
        <v>9</v>
      </c>
      <c r="G12" s="12">
        <f t="shared" si="1"/>
        <v>3</v>
      </c>
      <c r="H12" s="12">
        <f t="shared" si="1"/>
        <v>29</v>
      </c>
      <c r="I12" s="12">
        <f t="shared" si="1"/>
        <v>11</v>
      </c>
      <c r="J12" s="5">
        <v>8</v>
      </c>
      <c r="L12" s="19">
        <v>8</v>
      </c>
      <c r="M12" s="47" t="s">
        <v>64</v>
      </c>
      <c r="N12" s="47" t="s">
        <v>89</v>
      </c>
      <c r="O12" s="47" t="s">
        <v>20</v>
      </c>
      <c r="P12" s="47" t="s">
        <v>64</v>
      </c>
      <c r="Q12" s="47" t="s">
        <v>28</v>
      </c>
      <c r="R12" s="47" t="s">
        <v>89</v>
      </c>
      <c r="S12" s="33" t="s">
        <v>17</v>
      </c>
      <c r="U12" s="46">
        <f t="shared" si="2"/>
        <v>13</v>
      </c>
      <c r="V12" s="46">
        <f t="shared" si="2"/>
        <v>8</v>
      </c>
      <c r="W12" s="46">
        <f t="shared" si="2"/>
        <v>1</v>
      </c>
      <c r="X12" s="46">
        <f t="shared" si="2"/>
        <v>13</v>
      </c>
      <c r="Y12" s="46">
        <f t="shared" si="2"/>
        <v>15</v>
      </c>
      <c r="Z12" s="46">
        <f t="shared" si="2"/>
        <v>8</v>
      </c>
      <c r="AA12" s="46">
        <f t="shared" si="2"/>
        <v>14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0"/>
        <v>19</v>
      </c>
      <c r="D13" s="12">
        <f t="shared" si="1"/>
        <v>2</v>
      </c>
      <c r="E13" s="12">
        <f t="shared" si="1"/>
        <v>18</v>
      </c>
      <c r="F13" s="12">
        <f t="shared" si="1"/>
        <v>4</v>
      </c>
      <c r="G13" s="12">
        <f t="shared" si="1"/>
        <v>16</v>
      </c>
      <c r="H13" s="12">
        <f t="shared" si="1"/>
        <v>7</v>
      </c>
      <c r="I13" s="12">
        <f t="shared" si="1"/>
        <v>7</v>
      </c>
      <c r="J13" s="5">
        <v>9</v>
      </c>
      <c r="L13" s="18">
        <v>9</v>
      </c>
      <c r="M13" s="47" t="s">
        <v>28</v>
      </c>
      <c r="N13" s="47" t="s">
        <v>242</v>
      </c>
      <c r="O13" s="47" t="s">
        <v>17</v>
      </c>
      <c r="P13" s="47" t="s">
        <v>27</v>
      </c>
      <c r="Q13" s="47" t="s">
        <v>89</v>
      </c>
      <c r="R13" s="47" t="s">
        <v>64</v>
      </c>
      <c r="S13" s="33" t="s">
        <v>17</v>
      </c>
      <c r="U13" s="46">
        <f t="shared" si="2"/>
        <v>15</v>
      </c>
      <c r="V13" s="46">
        <f t="shared" si="2"/>
        <v>0</v>
      </c>
      <c r="W13" s="46">
        <f t="shared" si="2"/>
        <v>14</v>
      </c>
      <c r="X13" s="46">
        <f t="shared" si="2"/>
        <v>12</v>
      </c>
      <c r="Y13" s="46">
        <f t="shared" si="2"/>
        <v>8</v>
      </c>
      <c r="Z13" s="46">
        <f t="shared" si="2"/>
        <v>13</v>
      </c>
      <c r="AA13" s="46">
        <f t="shared" si="2"/>
        <v>14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0"/>
        <v>14</v>
      </c>
      <c r="D14" s="12">
        <f t="shared" si="1"/>
        <v>27</v>
      </c>
      <c r="E14" s="12">
        <f t="shared" si="1"/>
        <v>2</v>
      </c>
      <c r="F14" s="12">
        <f t="shared" si="1"/>
        <v>25</v>
      </c>
      <c r="G14" s="12">
        <f t="shared" si="1"/>
        <v>7</v>
      </c>
      <c r="H14" s="12">
        <f t="shared" si="1"/>
        <v>24</v>
      </c>
      <c r="I14" s="12">
        <f t="shared" si="1"/>
        <v>12</v>
      </c>
      <c r="J14" s="5">
        <v>10</v>
      </c>
      <c r="L14" s="19">
        <v>10</v>
      </c>
      <c r="M14" s="47" t="s">
        <v>28</v>
      </c>
      <c r="N14" s="47" t="s">
        <v>64</v>
      </c>
      <c r="O14" s="47" t="s">
        <v>28</v>
      </c>
      <c r="P14" s="47" t="s">
        <v>242</v>
      </c>
      <c r="Q14" s="47" t="s">
        <v>89</v>
      </c>
      <c r="R14" s="47" t="s">
        <v>64</v>
      </c>
      <c r="S14" s="33" t="s">
        <v>17</v>
      </c>
      <c r="U14" s="46">
        <f t="shared" si="2"/>
        <v>15</v>
      </c>
      <c r="V14" s="46">
        <f t="shared" si="2"/>
        <v>13</v>
      </c>
      <c r="W14" s="46">
        <f t="shared" si="2"/>
        <v>15</v>
      </c>
      <c r="X14" s="46">
        <f t="shared" si="2"/>
        <v>0</v>
      </c>
      <c r="Y14" s="46">
        <f t="shared" si="2"/>
        <v>8</v>
      </c>
      <c r="Z14" s="46">
        <f t="shared" si="2"/>
        <v>13</v>
      </c>
      <c r="AA14" s="46">
        <f t="shared" si="2"/>
        <v>14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0"/>
        <v>23</v>
      </c>
      <c r="D15" s="12">
        <f t="shared" si="1"/>
        <v>5</v>
      </c>
      <c r="E15" s="12">
        <f t="shared" si="1"/>
        <v>35</v>
      </c>
      <c r="F15" s="12">
        <f t="shared" si="1"/>
        <v>6</v>
      </c>
      <c r="G15" s="12">
        <f t="shared" si="1"/>
        <v>20</v>
      </c>
      <c r="H15" s="12">
        <f t="shared" si="1"/>
        <v>2</v>
      </c>
      <c r="I15" s="12">
        <f t="shared" si="1"/>
        <v>15</v>
      </c>
      <c r="J15" s="5">
        <v>11</v>
      </c>
      <c r="L15" s="18">
        <v>11</v>
      </c>
      <c r="M15" s="47" t="s">
        <v>20</v>
      </c>
      <c r="N15" s="47" t="s">
        <v>64</v>
      </c>
      <c r="O15" s="47" t="s">
        <v>28</v>
      </c>
      <c r="P15" s="47" t="s">
        <v>246</v>
      </c>
      <c r="Q15" s="47" t="s">
        <v>26</v>
      </c>
      <c r="R15" s="47" t="s">
        <v>20</v>
      </c>
      <c r="S15" s="33" t="s">
        <v>17</v>
      </c>
      <c r="U15" s="46">
        <f t="shared" si="2"/>
        <v>1</v>
      </c>
      <c r="V15" s="46">
        <f t="shared" si="2"/>
        <v>13</v>
      </c>
      <c r="W15" s="46">
        <f t="shared" si="2"/>
        <v>15</v>
      </c>
      <c r="X15" s="46">
        <f t="shared" si="2"/>
        <v>0</v>
      </c>
      <c r="Y15" s="46">
        <f t="shared" si="2"/>
        <v>7</v>
      </c>
      <c r="Z15" s="46">
        <f t="shared" si="2"/>
        <v>1</v>
      </c>
      <c r="AA15" s="46">
        <f t="shared" si="2"/>
        <v>14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0"/>
        <v>29</v>
      </c>
      <c r="D16" s="12">
        <f t="shared" si="1"/>
        <v>16</v>
      </c>
      <c r="E16" s="12">
        <f t="shared" si="1"/>
        <v>5</v>
      </c>
      <c r="F16" s="12">
        <f t="shared" si="1"/>
        <v>19</v>
      </c>
      <c r="G16" s="12">
        <f t="shared" si="1"/>
        <v>5</v>
      </c>
      <c r="H16" s="12">
        <f t="shared" si="1"/>
        <v>21</v>
      </c>
      <c r="I16" s="12">
        <f t="shared" si="1"/>
        <v>18</v>
      </c>
      <c r="J16" s="5">
        <v>12</v>
      </c>
      <c r="L16" s="19">
        <v>12</v>
      </c>
      <c r="M16" s="47" t="s">
        <v>29</v>
      </c>
      <c r="N16" s="47" t="s">
        <v>27</v>
      </c>
      <c r="O16" s="47" t="s">
        <v>236</v>
      </c>
      <c r="P16" s="47" t="s">
        <v>20</v>
      </c>
      <c r="Q16" s="47" t="s">
        <v>26</v>
      </c>
      <c r="R16" s="47" t="s">
        <v>89</v>
      </c>
      <c r="S16" s="33" t="s">
        <v>18</v>
      </c>
      <c r="U16" s="46">
        <f t="shared" si="2"/>
        <v>18</v>
      </c>
      <c r="V16" s="46">
        <f t="shared" si="2"/>
        <v>12</v>
      </c>
      <c r="W16" s="46">
        <f t="shared" si="2"/>
        <v>0</v>
      </c>
      <c r="X16" s="46">
        <f t="shared" si="2"/>
        <v>1</v>
      </c>
      <c r="Y16" s="46">
        <f t="shared" si="2"/>
        <v>7</v>
      </c>
      <c r="Z16" s="46">
        <f t="shared" si="2"/>
        <v>8</v>
      </c>
      <c r="AA16" s="46">
        <f t="shared" si="2"/>
        <v>10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</v>
      </c>
      <c r="AS16" s="5">
        <v>12</v>
      </c>
    </row>
    <row r="17" spans="1:45" ht="15.9" customHeight="1">
      <c r="A17" s="203" t="str">
        <v>G1</v>
      </c>
      <c r="B17" s="200" t="str">
        <v>Golden M1</v>
      </c>
      <c r="C17" s="202">
        <f t="shared" si="0"/>
        <v>0</v>
      </c>
      <c r="D17" s="202">
        <f t="shared" si="1"/>
        <v>0</v>
      </c>
      <c r="E17" s="202">
        <f t="shared" si="1"/>
        <v>0</v>
      </c>
      <c r="F17" s="202">
        <f t="shared" si="1"/>
        <v>0</v>
      </c>
      <c r="G17" s="202">
        <f t="shared" si="1"/>
        <v>0</v>
      </c>
      <c r="H17" s="202">
        <f t="shared" si="1"/>
        <v>0</v>
      </c>
      <c r="I17" s="202">
        <f t="shared" si="1"/>
        <v>0</v>
      </c>
      <c r="J17" s="200">
        <v>13</v>
      </c>
      <c r="L17" s="18">
        <v>13</v>
      </c>
      <c r="M17" s="47" t="s">
        <v>26</v>
      </c>
      <c r="N17" s="47" t="s">
        <v>27</v>
      </c>
      <c r="O17" s="47" t="s">
        <v>250</v>
      </c>
      <c r="P17" s="47" t="s">
        <v>24</v>
      </c>
      <c r="Q17" s="47" t="s">
        <v>89</v>
      </c>
      <c r="R17" s="47" t="s">
        <v>64</v>
      </c>
      <c r="S17" s="33" t="s">
        <v>18</v>
      </c>
      <c r="U17" s="46">
        <f t="shared" si="2"/>
        <v>7</v>
      </c>
      <c r="V17" s="46">
        <f t="shared" si="2"/>
        <v>12</v>
      </c>
      <c r="W17" s="46">
        <f t="shared" si="2"/>
        <v>0</v>
      </c>
      <c r="X17" s="46">
        <f t="shared" si="2"/>
        <v>11</v>
      </c>
      <c r="Y17" s="46">
        <f t="shared" si="2"/>
        <v>8</v>
      </c>
      <c r="Z17" s="46">
        <f t="shared" si="2"/>
        <v>13</v>
      </c>
      <c r="AA17" s="46">
        <f t="shared" si="2"/>
        <v>10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203" t="s">
        <v>234</v>
      </c>
      <c r="AL17" s="203">
        <v>0</v>
      </c>
      <c r="AM17" s="203">
        <v>12</v>
      </c>
      <c r="AN17" s="203">
        <v>3</v>
      </c>
      <c r="AO17" s="203">
        <v>5</v>
      </c>
      <c r="AP17" s="203">
        <v>3</v>
      </c>
      <c r="AQ17" s="203">
        <v>0</v>
      </c>
      <c r="AR17" s="203">
        <v>0</v>
      </c>
      <c r="AS17" s="200">
        <v>13</v>
      </c>
    </row>
    <row r="18" spans="1:45" s="199" customFormat="1" ht="15.9" customHeight="1">
      <c r="A18" s="203" t="str">
        <v>G2</v>
      </c>
      <c r="B18" s="200" t="str">
        <v>Golden M2</v>
      </c>
      <c r="C18" s="202">
        <f t="shared" si="0"/>
        <v>0</v>
      </c>
      <c r="D18" s="202">
        <f t="shared" si="1"/>
        <v>2</v>
      </c>
      <c r="E18" s="202">
        <f t="shared" si="1"/>
        <v>1</v>
      </c>
      <c r="F18" s="202">
        <f t="shared" si="1"/>
        <v>1</v>
      </c>
      <c r="G18" s="202">
        <f t="shared" si="1"/>
        <v>1</v>
      </c>
      <c r="H18" s="202">
        <f t="shared" si="1"/>
        <v>0</v>
      </c>
      <c r="I18" s="202">
        <f t="shared" si="1"/>
        <v>0</v>
      </c>
      <c r="J18" s="200">
        <v>14</v>
      </c>
      <c r="K18" s="41"/>
      <c r="L18" s="19">
        <v>14</v>
      </c>
      <c r="M18" s="47" t="s">
        <v>89</v>
      </c>
      <c r="N18" s="47" t="s">
        <v>244</v>
      </c>
      <c r="O18" s="47" t="s">
        <v>27</v>
      </c>
      <c r="P18" s="47" t="s">
        <v>89</v>
      </c>
      <c r="Q18" s="47" t="s">
        <v>89</v>
      </c>
      <c r="R18" s="47" t="s">
        <v>27</v>
      </c>
      <c r="S18" s="33" t="s">
        <v>18</v>
      </c>
      <c r="U18" s="46">
        <f t="shared" si="2"/>
        <v>8</v>
      </c>
      <c r="V18" s="46">
        <f t="shared" si="2"/>
        <v>0</v>
      </c>
      <c r="W18" s="46">
        <f t="shared" si="2"/>
        <v>12</v>
      </c>
      <c r="X18" s="46">
        <f t="shared" si="2"/>
        <v>8</v>
      </c>
      <c r="Y18" s="46">
        <f t="shared" si="2"/>
        <v>8</v>
      </c>
      <c r="Z18" s="46">
        <f t="shared" si="2"/>
        <v>12</v>
      </c>
      <c r="AA18" s="46">
        <f t="shared" si="2"/>
        <v>10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203" t="s">
        <v>236</v>
      </c>
      <c r="AL18" s="203">
        <v>0</v>
      </c>
      <c r="AM18" s="203">
        <v>8</v>
      </c>
      <c r="AN18" s="203">
        <v>15</v>
      </c>
      <c r="AO18" s="203">
        <v>2</v>
      </c>
      <c r="AP18" s="203">
        <v>2</v>
      </c>
      <c r="AQ18" s="203">
        <v>0</v>
      </c>
      <c r="AR18" s="203">
        <v>0</v>
      </c>
      <c r="AS18" s="200">
        <v>14</v>
      </c>
    </row>
    <row r="19" spans="1:45" ht="15.9" customHeight="1">
      <c r="A19" s="203" t="str">
        <v>G3</v>
      </c>
      <c r="B19" s="200" t="str">
        <v>Golden M3</v>
      </c>
      <c r="C19" s="202">
        <f t="shared" si="0"/>
        <v>0</v>
      </c>
      <c r="D19" s="202">
        <f t="shared" si="1"/>
        <v>0</v>
      </c>
      <c r="E19" s="202">
        <f t="shared" si="1"/>
        <v>1</v>
      </c>
      <c r="F19" s="202">
        <f t="shared" si="1"/>
        <v>1</v>
      </c>
      <c r="G19" s="202">
        <f t="shared" si="1"/>
        <v>1</v>
      </c>
      <c r="H19" s="202">
        <f t="shared" si="1"/>
        <v>0</v>
      </c>
      <c r="I19" s="202">
        <f t="shared" si="1"/>
        <v>0</v>
      </c>
      <c r="J19" s="200">
        <v>15</v>
      </c>
      <c r="K19" s="52"/>
      <c r="L19" s="18">
        <v>15</v>
      </c>
      <c r="M19" s="47" t="s">
        <v>28</v>
      </c>
      <c r="N19" s="47" t="s">
        <v>89</v>
      </c>
      <c r="O19" s="47" t="s">
        <v>18</v>
      </c>
      <c r="P19" s="47" t="s">
        <v>244</v>
      </c>
      <c r="Q19" s="47" t="s">
        <v>246</v>
      </c>
      <c r="R19" s="47" t="s">
        <v>64</v>
      </c>
      <c r="S19" s="33" t="s">
        <v>18</v>
      </c>
      <c r="U19" s="46">
        <f t="shared" si="2"/>
        <v>15</v>
      </c>
      <c r="V19" s="46">
        <f t="shared" si="2"/>
        <v>8</v>
      </c>
      <c r="W19" s="46">
        <f t="shared" si="2"/>
        <v>10</v>
      </c>
      <c r="X19" s="46">
        <f t="shared" si="2"/>
        <v>0</v>
      </c>
      <c r="Y19" s="46">
        <f t="shared" si="2"/>
        <v>0</v>
      </c>
      <c r="Z19" s="46">
        <f t="shared" si="2"/>
        <v>13</v>
      </c>
      <c r="AA19" s="46">
        <f t="shared" si="2"/>
        <v>10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203" t="s">
        <v>238</v>
      </c>
      <c r="AL19" s="203">
        <v>0</v>
      </c>
      <c r="AM19" s="203">
        <v>2</v>
      </c>
      <c r="AN19" s="203">
        <v>7</v>
      </c>
      <c r="AO19" s="203">
        <v>1</v>
      </c>
      <c r="AP19" s="203">
        <v>2</v>
      </c>
      <c r="AQ19" s="203">
        <v>0</v>
      </c>
      <c r="AR19" s="203">
        <v>0</v>
      </c>
      <c r="AS19" s="200">
        <v>15</v>
      </c>
    </row>
    <row r="20" spans="1:45" ht="15.9" customHeight="1">
      <c r="A20" s="203" t="str">
        <v>G4</v>
      </c>
      <c r="B20" s="200" t="str">
        <v>Golden M4</v>
      </c>
      <c r="C20" s="202">
        <f t="shared" si="0"/>
        <v>0</v>
      </c>
      <c r="D20" s="202">
        <f t="shared" ref="D20:D29" si="3">COUNTIF(N$4:N$304,$A20)</f>
        <v>1</v>
      </c>
      <c r="E20" s="202">
        <f t="shared" ref="E20:E29" si="4">COUNTIF(O$4:O$304,$A20)</f>
        <v>2</v>
      </c>
      <c r="F20" s="202">
        <f t="shared" ref="F20:F29" si="5">COUNTIF(P$4:P$304,$A20)</f>
        <v>1</v>
      </c>
      <c r="G20" s="202">
        <f t="shared" ref="G20:G29" si="6">COUNTIF(Q$4:Q$304,$A20)</f>
        <v>1</v>
      </c>
      <c r="H20" s="202">
        <f t="shared" ref="H20:H29" si="7">COUNTIF(R$4:R$304,$A20)</f>
        <v>0</v>
      </c>
      <c r="I20" s="202">
        <f t="shared" ref="I20:I29" si="8">COUNTIF(S$4:S$304,$A20)</f>
        <v>0</v>
      </c>
      <c r="J20" s="200">
        <v>16</v>
      </c>
      <c r="L20" s="19">
        <v>16</v>
      </c>
      <c r="M20" s="47" t="s">
        <v>29</v>
      </c>
      <c r="N20" s="47" t="s">
        <v>64</v>
      </c>
      <c r="O20" s="47" t="s">
        <v>18</v>
      </c>
      <c r="P20" s="47" t="s">
        <v>27</v>
      </c>
      <c r="Q20" s="47" t="s">
        <v>27</v>
      </c>
      <c r="R20" s="47" t="s">
        <v>64</v>
      </c>
      <c r="S20" s="33" t="s">
        <v>24</v>
      </c>
      <c r="U20" s="46">
        <f t="shared" ref="U20:AA56" si="9">VLOOKUP(M20, $A$4:$J$29, 9, 0)</f>
        <v>18</v>
      </c>
      <c r="V20" s="46">
        <f t="shared" si="9"/>
        <v>13</v>
      </c>
      <c r="W20" s="46">
        <f t="shared" si="9"/>
        <v>10</v>
      </c>
      <c r="X20" s="46">
        <f t="shared" si="9"/>
        <v>12</v>
      </c>
      <c r="Y20" s="46">
        <f t="shared" si="9"/>
        <v>12</v>
      </c>
      <c r="Z20" s="46">
        <f t="shared" si="9"/>
        <v>13</v>
      </c>
      <c r="AA20" s="46">
        <f t="shared" si="9"/>
        <v>11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203" t="s">
        <v>240</v>
      </c>
      <c r="AL20" s="203">
        <v>0</v>
      </c>
      <c r="AM20" s="203">
        <v>5</v>
      </c>
      <c r="AN20" s="203">
        <v>5</v>
      </c>
      <c r="AO20" s="203">
        <v>5</v>
      </c>
      <c r="AP20" s="203">
        <v>2</v>
      </c>
      <c r="AQ20" s="203">
        <v>0</v>
      </c>
      <c r="AR20" s="203">
        <v>0</v>
      </c>
      <c r="AS20" s="200">
        <v>16</v>
      </c>
    </row>
    <row r="21" spans="1:45" ht="15.9" customHeight="1">
      <c r="A21" s="203" t="str">
        <v>G5</v>
      </c>
      <c r="B21" s="200" t="str">
        <v>Golden M5</v>
      </c>
      <c r="C21" s="202">
        <f t="shared" si="0"/>
        <v>0</v>
      </c>
      <c r="D21" s="202">
        <f t="shared" si="3"/>
        <v>3</v>
      </c>
      <c r="E21" s="202">
        <f t="shared" si="4"/>
        <v>0</v>
      </c>
      <c r="F21" s="202">
        <f t="shared" si="5"/>
        <v>4</v>
      </c>
      <c r="G21" s="202">
        <f t="shared" si="6"/>
        <v>1</v>
      </c>
      <c r="H21" s="202">
        <f t="shared" si="7"/>
        <v>0</v>
      </c>
      <c r="I21" s="202">
        <f t="shared" si="8"/>
        <v>0</v>
      </c>
      <c r="J21" s="200">
        <v>17</v>
      </c>
      <c r="L21" s="18">
        <v>17</v>
      </c>
      <c r="M21" s="47" t="s">
        <v>64</v>
      </c>
      <c r="N21" s="47" t="s">
        <v>64</v>
      </c>
      <c r="O21" s="47" t="s">
        <v>240</v>
      </c>
      <c r="P21" s="47" t="s">
        <v>236</v>
      </c>
      <c r="Q21" s="47" t="s">
        <v>89</v>
      </c>
      <c r="R21" s="47" t="s">
        <v>64</v>
      </c>
      <c r="S21" s="33" t="s">
        <v>24</v>
      </c>
      <c r="U21" s="46">
        <f t="shared" si="9"/>
        <v>13</v>
      </c>
      <c r="V21" s="46">
        <f t="shared" si="9"/>
        <v>13</v>
      </c>
      <c r="W21" s="46">
        <f t="shared" si="9"/>
        <v>0</v>
      </c>
      <c r="X21" s="46">
        <f t="shared" si="9"/>
        <v>0</v>
      </c>
      <c r="Y21" s="46">
        <f t="shared" si="9"/>
        <v>8</v>
      </c>
      <c r="Z21" s="46">
        <f t="shared" si="9"/>
        <v>13</v>
      </c>
      <c r="AA21" s="46">
        <f t="shared" si="9"/>
        <v>11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203" t="s">
        <v>242</v>
      </c>
      <c r="AL21" s="203">
        <v>0</v>
      </c>
      <c r="AM21" s="203">
        <v>2</v>
      </c>
      <c r="AN21" s="203">
        <v>2</v>
      </c>
      <c r="AO21" s="203">
        <v>1</v>
      </c>
      <c r="AP21" s="203">
        <v>3</v>
      </c>
      <c r="AQ21" s="203">
        <v>0</v>
      </c>
      <c r="AR21" s="203">
        <v>0</v>
      </c>
      <c r="AS21" s="200">
        <v>17</v>
      </c>
    </row>
    <row r="22" spans="1:45" ht="15.9" customHeight="1">
      <c r="A22" s="203" t="str">
        <v>G6</v>
      </c>
      <c r="B22" s="200" t="str">
        <v>Golden M6</v>
      </c>
      <c r="C22" s="202">
        <f t="shared" si="0"/>
        <v>0</v>
      </c>
      <c r="D22" s="202">
        <f t="shared" si="3"/>
        <v>3</v>
      </c>
      <c r="E22" s="202">
        <f t="shared" si="4"/>
        <v>1</v>
      </c>
      <c r="F22" s="202">
        <f t="shared" si="5"/>
        <v>2</v>
      </c>
      <c r="G22" s="202">
        <f t="shared" si="6"/>
        <v>2</v>
      </c>
      <c r="H22" s="202">
        <f t="shared" si="7"/>
        <v>0</v>
      </c>
      <c r="I22" s="202">
        <f t="shared" si="8"/>
        <v>0</v>
      </c>
      <c r="J22" s="200">
        <v>18</v>
      </c>
      <c r="L22" s="19">
        <v>18</v>
      </c>
      <c r="M22" s="47" t="s">
        <v>29</v>
      </c>
      <c r="N22" s="47" t="s">
        <v>254</v>
      </c>
      <c r="O22" s="47" t="s">
        <v>26</v>
      </c>
      <c r="P22" s="47" t="s">
        <v>17</v>
      </c>
      <c r="Q22" s="47" t="s">
        <v>26</v>
      </c>
      <c r="R22" s="47" t="s">
        <v>18</v>
      </c>
      <c r="S22" s="47" t="s">
        <v>24</v>
      </c>
      <c r="U22" s="46">
        <f t="shared" si="9"/>
        <v>18</v>
      </c>
      <c r="V22" s="46">
        <f t="shared" si="9"/>
        <v>0</v>
      </c>
      <c r="W22" s="46">
        <f t="shared" si="9"/>
        <v>7</v>
      </c>
      <c r="X22" s="46">
        <f t="shared" si="9"/>
        <v>14</v>
      </c>
      <c r="Y22" s="46">
        <f t="shared" si="9"/>
        <v>7</v>
      </c>
      <c r="Z22" s="46">
        <f t="shared" si="9"/>
        <v>10</v>
      </c>
      <c r="AA22" s="46">
        <f t="shared" si="9"/>
        <v>11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203" t="s">
        <v>244</v>
      </c>
      <c r="AL22" s="203">
        <v>0</v>
      </c>
      <c r="AM22" s="203">
        <v>2</v>
      </c>
      <c r="AN22" s="203">
        <v>2</v>
      </c>
      <c r="AO22" s="203">
        <v>1</v>
      </c>
      <c r="AP22" s="203">
        <v>3</v>
      </c>
      <c r="AQ22" s="203">
        <v>0</v>
      </c>
      <c r="AR22" s="203">
        <v>0</v>
      </c>
      <c r="AS22" s="200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0"/>
        <v>0</v>
      </c>
      <c r="D23" s="12">
        <f t="shared" si="3"/>
        <v>1</v>
      </c>
      <c r="E23" s="12">
        <f t="shared" si="4"/>
        <v>2</v>
      </c>
      <c r="F23" s="12">
        <f t="shared" si="5"/>
        <v>1</v>
      </c>
      <c r="G23" s="12">
        <f t="shared" si="6"/>
        <v>1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89</v>
      </c>
      <c r="N23" s="47" t="s">
        <v>27</v>
      </c>
      <c r="O23" s="47" t="s">
        <v>24</v>
      </c>
      <c r="P23" s="47" t="s">
        <v>17</v>
      </c>
      <c r="Q23" s="47" t="s">
        <v>27</v>
      </c>
      <c r="R23" s="47" t="s">
        <v>29</v>
      </c>
      <c r="S23" s="33" t="s">
        <v>24</v>
      </c>
      <c r="U23" s="46">
        <f t="shared" si="9"/>
        <v>8</v>
      </c>
      <c r="V23" s="46">
        <f t="shared" si="9"/>
        <v>12</v>
      </c>
      <c r="W23" s="46">
        <f t="shared" si="9"/>
        <v>11</v>
      </c>
      <c r="X23" s="46">
        <f t="shared" si="9"/>
        <v>14</v>
      </c>
      <c r="Y23" s="46">
        <f t="shared" si="9"/>
        <v>12</v>
      </c>
      <c r="Z23" s="46">
        <f t="shared" si="9"/>
        <v>18</v>
      </c>
      <c r="AA23" s="46">
        <f t="shared" si="9"/>
        <v>11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246</v>
      </c>
      <c r="AL23" s="46">
        <v>0</v>
      </c>
      <c r="AM23" s="46">
        <v>5</v>
      </c>
      <c r="AN23" s="46">
        <v>6</v>
      </c>
      <c r="AO23" s="46">
        <v>1</v>
      </c>
      <c r="AP23" s="46">
        <v>3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0"/>
        <v>0</v>
      </c>
      <c r="D24" s="12">
        <f t="shared" si="3"/>
        <v>1</v>
      </c>
      <c r="E24" s="12">
        <f t="shared" si="4"/>
        <v>1</v>
      </c>
      <c r="F24" s="12">
        <f t="shared" si="5"/>
        <v>1</v>
      </c>
      <c r="G24" s="12">
        <f t="shared" si="6"/>
        <v>1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21</v>
      </c>
      <c r="N24" s="47" t="s">
        <v>27</v>
      </c>
      <c r="O24" s="47" t="s">
        <v>246</v>
      </c>
      <c r="P24" s="47" t="s">
        <v>27</v>
      </c>
      <c r="Q24" s="47" t="s">
        <v>26</v>
      </c>
      <c r="R24" s="47" t="s">
        <v>29</v>
      </c>
      <c r="S24" s="33" t="s">
        <v>27</v>
      </c>
      <c r="U24" s="46">
        <f t="shared" si="9"/>
        <v>12</v>
      </c>
      <c r="V24" s="46">
        <f t="shared" si="9"/>
        <v>12</v>
      </c>
      <c r="W24" s="46">
        <f t="shared" si="9"/>
        <v>0</v>
      </c>
      <c r="X24" s="46">
        <f t="shared" si="9"/>
        <v>12</v>
      </c>
      <c r="Y24" s="46">
        <f t="shared" si="9"/>
        <v>7</v>
      </c>
      <c r="Z24" s="46">
        <f t="shared" si="9"/>
        <v>18</v>
      </c>
      <c r="AA24" s="46">
        <f t="shared" si="9"/>
        <v>12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248</v>
      </c>
      <c r="AL24" s="46">
        <v>0</v>
      </c>
      <c r="AM24" s="46">
        <v>2</v>
      </c>
      <c r="AN24" s="46">
        <v>6</v>
      </c>
      <c r="AO24" s="46">
        <v>2</v>
      </c>
      <c r="AP24" s="46">
        <v>2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0"/>
        <v>0</v>
      </c>
      <c r="D25" s="12">
        <f t="shared" si="3"/>
        <v>1</v>
      </c>
      <c r="E25" s="12">
        <f t="shared" si="4"/>
        <v>1</v>
      </c>
      <c r="F25" s="12">
        <f t="shared" si="5"/>
        <v>1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27</v>
      </c>
      <c r="N25" s="47" t="s">
        <v>27</v>
      </c>
      <c r="O25" s="47" t="s">
        <v>18</v>
      </c>
      <c r="P25" s="47" t="s">
        <v>29</v>
      </c>
      <c r="Q25" s="47" t="s">
        <v>89</v>
      </c>
      <c r="R25" s="47" t="s">
        <v>29</v>
      </c>
      <c r="S25" s="33" t="s">
        <v>27</v>
      </c>
      <c r="U25" s="46">
        <f t="shared" si="9"/>
        <v>12</v>
      </c>
      <c r="V25" s="46">
        <f t="shared" si="9"/>
        <v>12</v>
      </c>
      <c r="W25" s="46">
        <f t="shared" si="9"/>
        <v>10</v>
      </c>
      <c r="X25" s="46">
        <f t="shared" si="9"/>
        <v>18</v>
      </c>
      <c r="Y25" s="46">
        <f t="shared" si="9"/>
        <v>8</v>
      </c>
      <c r="Z25" s="46">
        <f t="shared" si="9"/>
        <v>18</v>
      </c>
      <c r="AA25" s="46">
        <f t="shared" si="9"/>
        <v>12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250</v>
      </c>
      <c r="AL25" s="46">
        <v>0</v>
      </c>
      <c r="AM25" s="46">
        <v>10</v>
      </c>
      <c r="AN25" s="46">
        <v>6</v>
      </c>
      <c r="AO25" s="46">
        <v>1</v>
      </c>
      <c r="AP25" s="46">
        <v>4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0"/>
        <v>0</v>
      </c>
      <c r="D26" s="12">
        <f t="shared" si="3"/>
        <v>1</v>
      </c>
      <c r="E26" s="12">
        <f t="shared" si="4"/>
        <v>1</v>
      </c>
      <c r="F26" s="12">
        <f t="shared" si="5"/>
        <v>1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27</v>
      </c>
      <c r="N26" s="47" t="s">
        <v>29</v>
      </c>
      <c r="O26" s="47" t="s">
        <v>18</v>
      </c>
      <c r="P26" s="47" t="s">
        <v>29</v>
      </c>
      <c r="Q26" s="47" t="s">
        <v>29</v>
      </c>
      <c r="R26" s="47" t="s">
        <v>18</v>
      </c>
      <c r="S26" s="33" t="s">
        <v>27</v>
      </c>
      <c r="U26" s="46">
        <f t="shared" si="9"/>
        <v>12</v>
      </c>
      <c r="V26" s="46">
        <f t="shared" si="9"/>
        <v>18</v>
      </c>
      <c r="W26" s="46">
        <f t="shared" si="9"/>
        <v>10</v>
      </c>
      <c r="X26" s="46">
        <f t="shared" si="9"/>
        <v>18</v>
      </c>
      <c r="Y26" s="46">
        <f t="shared" si="9"/>
        <v>18</v>
      </c>
      <c r="Z26" s="46">
        <f t="shared" si="9"/>
        <v>10</v>
      </c>
      <c r="AA26" s="46">
        <f t="shared" si="9"/>
        <v>12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252</v>
      </c>
      <c r="AL26" s="46">
        <v>0</v>
      </c>
      <c r="AM26" s="46">
        <v>5</v>
      </c>
      <c r="AN26" s="46">
        <v>6</v>
      </c>
      <c r="AO26" s="46">
        <v>1</v>
      </c>
      <c r="AP26" s="46">
        <v>2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0"/>
        <v>0</v>
      </c>
      <c r="D27" s="12">
        <f t="shared" si="3"/>
        <v>1</v>
      </c>
      <c r="E27" s="12">
        <f t="shared" si="4"/>
        <v>1</v>
      </c>
      <c r="F27" s="12">
        <f t="shared" si="5"/>
        <v>1</v>
      </c>
      <c r="G27" s="12">
        <f t="shared" si="6"/>
        <v>0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18</v>
      </c>
      <c r="N27" s="47" t="s">
        <v>29</v>
      </c>
      <c r="O27" s="47" t="s">
        <v>18</v>
      </c>
      <c r="P27" s="47" t="s">
        <v>29</v>
      </c>
      <c r="Q27" s="47" t="s">
        <v>18</v>
      </c>
      <c r="R27" s="47" t="s">
        <v>18</v>
      </c>
      <c r="S27" s="33" t="s">
        <v>27</v>
      </c>
      <c r="U27" s="46">
        <f t="shared" si="9"/>
        <v>10</v>
      </c>
      <c r="V27" s="46">
        <f t="shared" si="9"/>
        <v>18</v>
      </c>
      <c r="W27" s="46">
        <f t="shared" si="9"/>
        <v>10</v>
      </c>
      <c r="X27" s="46">
        <f t="shared" si="9"/>
        <v>18</v>
      </c>
      <c r="Y27" s="46">
        <f t="shared" si="9"/>
        <v>10</v>
      </c>
      <c r="Z27" s="46">
        <f t="shared" si="9"/>
        <v>10</v>
      </c>
      <c r="AA27" s="46">
        <f t="shared" si="9"/>
        <v>12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254</v>
      </c>
      <c r="AL27" s="46">
        <v>0</v>
      </c>
      <c r="AM27" s="46">
        <v>2</v>
      </c>
      <c r="AN27" s="46">
        <v>6</v>
      </c>
      <c r="AO27" s="46">
        <v>1</v>
      </c>
      <c r="AP27" s="46">
        <v>2</v>
      </c>
      <c r="AQ27" s="46">
        <v>0</v>
      </c>
      <c r="AR27" s="46">
        <v>0</v>
      </c>
      <c r="AS27" s="5">
        <v>23</v>
      </c>
    </row>
    <row r="28" spans="1:45" ht="16.5" customHeight="1">
      <c r="A28" s="203" t="str">
        <v>MY</v>
      </c>
      <c r="B28" s="203" t="str">
        <v>Mystery</v>
      </c>
      <c r="C28" s="202">
        <f t="shared" si="0"/>
        <v>0</v>
      </c>
      <c r="D28" s="202">
        <f t="shared" si="3"/>
        <v>3</v>
      </c>
      <c r="E28" s="202">
        <f t="shared" si="4"/>
        <v>0</v>
      </c>
      <c r="F28" s="202">
        <f t="shared" si="5"/>
        <v>0</v>
      </c>
      <c r="G28" s="202">
        <f t="shared" si="6"/>
        <v>0</v>
      </c>
      <c r="H28" s="202">
        <f t="shared" si="7"/>
        <v>0</v>
      </c>
      <c r="I28" s="202">
        <f t="shared" si="8"/>
        <v>0</v>
      </c>
      <c r="J28" s="200">
        <v>24</v>
      </c>
      <c r="L28" s="19">
        <v>24</v>
      </c>
      <c r="M28" s="47" t="s">
        <v>18</v>
      </c>
      <c r="N28" s="47" t="s">
        <v>29</v>
      </c>
      <c r="O28" s="47" t="s">
        <v>28</v>
      </c>
      <c r="P28" s="47" t="s">
        <v>64</v>
      </c>
      <c r="Q28" s="47" t="s">
        <v>17</v>
      </c>
      <c r="R28" s="47" t="s">
        <v>24</v>
      </c>
      <c r="S28" s="33" t="s">
        <v>20</v>
      </c>
      <c r="U28" s="46">
        <f t="shared" si="9"/>
        <v>10</v>
      </c>
      <c r="V28" s="46">
        <f t="shared" si="9"/>
        <v>18</v>
      </c>
      <c r="W28" s="46">
        <f t="shared" si="9"/>
        <v>15</v>
      </c>
      <c r="X28" s="46">
        <f t="shared" si="9"/>
        <v>13</v>
      </c>
      <c r="Y28" s="46">
        <f t="shared" si="9"/>
        <v>14</v>
      </c>
      <c r="Z28" s="46">
        <f t="shared" si="9"/>
        <v>11</v>
      </c>
      <c r="AA28" s="46">
        <f t="shared" si="9"/>
        <v>1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203" t="s">
        <v>101</v>
      </c>
      <c r="AL28" s="203">
        <v>0</v>
      </c>
      <c r="AM28" s="203">
        <v>10</v>
      </c>
      <c r="AN28" s="203">
        <v>10</v>
      </c>
      <c r="AO28" s="203">
        <v>10</v>
      </c>
      <c r="AP28" s="203">
        <v>10</v>
      </c>
      <c r="AQ28" s="203">
        <v>0</v>
      </c>
      <c r="AR28" s="203">
        <v>0</v>
      </c>
      <c r="AS28" s="200">
        <v>24</v>
      </c>
    </row>
    <row r="29" spans="1:45" ht="16.5" customHeight="1">
      <c r="A29" s="203" t="str">
        <v>GM</v>
      </c>
      <c r="B29" s="203" t="str">
        <v>Golden Mystery</v>
      </c>
      <c r="C29" s="202">
        <f t="shared" si="0"/>
        <v>0</v>
      </c>
      <c r="D29" s="202">
        <f t="shared" si="3"/>
        <v>1</v>
      </c>
      <c r="E29" s="202">
        <f t="shared" si="4"/>
        <v>0</v>
      </c>
      <c r="F29" s="202">
        <f t="shared" si="5"/>
        <v>0</v>
      </c>
      <c r="G29" s="202">
        <f t="shared" si="6"/>
        <v>0</v>
      </c>
      <c r="H29" s="202">
        <f t="shared" si="7"/>
        <v>0</v>
      </c>
      <c r="I29" s="202">
        <f t="shared" si="8"/>
        <v>0</v>
      </c>
      <c r="J29" s="200">
        <v>25</v>
      </c>
      <c r="L29" s="18">
        <v>25</v>
      </c>
      <c r="M29" s="47" t="s">
        <v>89</v>
      </c>
      <c r="N29" s="47" t="s">
        <v>89</v>
      </c>
      <c r="O29" s="47" t="s">
        <v>28</v>
      </c>
      <c r="P29" s="47" t="s">
        <v>64</v>
      </c>
      <c r="Q29" s="47" t="s">
        <v>29</v>
      </c>
      <c r="R29" s="47" t="s">
        <v>64</v>
      </c>
      <c r="S29" s="33" t="s">
        <v>29</v>
      </c>
      <c r="U29" s="46">
        <f t="shared" si="9"/>
        <v>8</v>
      </c>
      <c r="V29" s="46">
        <f t="shared" si="9"/>
        <v>8</v>
      </c>
      <c r="W29" s="46">
        <f t="shared" si="9"/>
        <v>15</v>
      </c>
      <c r="X29" s="46">
        <f t="shared" si="9"/>
        <v>13</v>
      </c>
      <c r="Y29" s="46">
        <f t="shared" si="9"/>
        <v>18</v>
      </c>
      <c r="Z29" s="46">
        <f t="shared" si="9"/>
        <v>13</v>
      </c>
      <c r="AA29" s="46">
        <f t="shared" si="9"/>
        <v>18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203" t="s">
        <v>269</v>
      </c>
      <c r="AL29" s="203">
        <v>0</v>
      </c>
      <c r="AM29" s="203">
        <v>1</v>
      </c>
      <c r="AN29" s="203">
        <v>1</v>
      </c>
      <c r="AO29" s="203">
        <v>1</v>
      </c>
      <c r="AP29" s="203">
        <v>1</v>
      </c>
      <c r="AQ29" s="203">
        <v>0</v>
      </c>
      <c r="AR29" s="203">
        <v>0</v>
      </c>
      <c r="AS29" s="200">
        <v>25</v>
      </c>
    </row>
    <row r="30" spans="1:45" ht="16.5" customHeight="1">
      <c r="A30" s="199"/>
      <c r="B30" s="199"/>
      <c r="C30" s="219">
        <f>SUM(C4:C29)</f>
        <v>121</v>
      </c>
      <c r="D30" s="219">
        <f t="shared" ref="D30:I30" si="10">SUM(D4:D29)</f>
        <v>121</v>
      </c>
      <c r="E30" s="219">
        <f t="shared" si="10"/>
        <v>121</v>
      </c>
      <c r="F30" s="219">
        <f t="shared" si="10"/>
        <v>121</v>
      </c>
      <c r="G30" s="219">
        <f t="shared" si="10"/>
        <v>121</v>
      </c>
      <c r="H30" s="219">
        <f t="shared" si="10"/>
        <v>121</v>
      </c>
      <c r="I30" s="219">
        <f t="shared" si="10"/>
        <v>121</v>
      </c>
      <c r="J30" s="15"/>
      <c r="L30" s="19">
        <v>26</v>
      </c>
      <c r="M30" s="47" t="s">
        <v>28</v>
      </c>
      <c r="N30" s="47" t="s">
        <v>89</v>
      </c>
      <c r="O30" s="47" t="s">
        <v>89</v>
      </c>
      <c r="P30" s="47" t="s">
        <v>27</v>
      </c>
      <c r="Q30" s="47" t="s">
        <v>27</v>
      </c>
      <c r="R30" s="47" t="s">
        <v>27</v>
      </c>
      <c r="S30" s="33" t="s">
        <v>29</v>
      </c>
      <c r="U30" s="46">
        <f t="shared" si="9"/>
        <v>15</v>
      </c>
      <c r="V30" s="46">
        <f t="shared" si="9"/>
        <v>8</v>
      </c>
      <c r="W30" s="46">
        <f t="shared" si="9"/>
        <v>8</v>
      </c>
      <c r="X30" s="46">
        <f t="shared" si="9"/>
        <v>12</v>
      </c>
      <c r="Y30" s="46">
        <f t="shared" si="9"/>
        <v>12</v>
      </c>
      <c r="Z30" s="46">
        <f t="shared" si="9"/>
        <v>12</v>
      </c>
      <c r="AA30" s="46">
        <f t="shared" si="9"/>
        <v>18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84"/>
      <c r="E31" s="84"/>
      <c r="F31" s="84"/>
      <c r="G31" s="84"/>
      <c r="J31" s="15"/>
      <c r="L31" s="18">
        <v>27</v>
      </c>
      <c r="M31" s="47" t="s">
        <v>28</v>
      </c>
      <c r="N31" s="47" t="s">
        <v>24</v>
      </c>
      <c r="O31" s="47" t="s">
        <v>17</v>
      </c>
      <c r="P31" s="47" t="s">
        <v>27</v>
      </c>
      <c r="Q31" s="47" t="s">
        <v>27</v>
      </c>
      <c r="R31" s="47" t="s">
        <v>64</v>
      </c>
      <c r="S31" s="33" t="s">
        <v>29</v>
      </c>
      <c r="U31" s="46">
        <f t="shared" si="9"/>
        <v>15</v>
      </c>
      <c r="V31" s="46">
        <f t="shared" si="9"/>
        <v>11</v>
      </c>
      <c r="W31" s="46">
        <f t="shared" si="9"/>
        <v>14</v>
      </c>
      <c r="X31" s="46">
        <f t="shared" si="9"/>
        <v>12</v>
      </c>
      <c r="Y31" s="46">
        <f t="shared" si="9"/>
        <v>12</v>
      </c>
      <c r="Z31" s="46">
        <f t="shared" si="9"/>
        <v>13</v>
      </c>
      <c r="AA31" s="46">
        <f t="shared" si="9"/>
        <v>18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275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27</v>
      </c>
      <c r="N32" s="47" t="s">
        <v>24</v>
      </c>
      <c r="O32" s="47" t="s">
        <v>240</v>
      </c>
      <c r="P32" s="47" t="s">
        <v>238</v>
      </c>
      <c r="Q32" s="47" t="s">
        <v>89</v>
      </c>
      <c r="R32" s="47" t="s">
        <v>24</v>
      </c>
      <c r="S32" s="33" t="s">
        <v>28</v>
      </c>
      <c r="U32" s="46">
        <f t="shared" si="9"/>
        <v>12</v>
      </c>
      <c r="V32" s="46">
        <f t="shared" si="9"/>
        <v>11</v>
      </c>
      <c r="W32" s="46">
        <f t="shared" si="9"/>
        <v>0</v>
      </c>
      <c r="X32" s="46">
        <f t="shared" si="9"/>
        <v>0</v>
      </c>
      <c r="Y32" s="46">
        <f t="shared" si="9"/>
        <v>8</v>
      </c>
      <c r="Z32" s="46">
        <f t="shared" si="9"/>
        <v>11</v>
      </c>
      <c r="AA32" s="46">
        <f t="shared" si="9"/>
        <v>15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277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98" t="s">
        <v>72</v>
      </c>
      <c r="C33" s="204">
        <v>0</v>
      </c>
      <c r="D33" s="204">
        <v>105</v>
      </c>
      <c r="E33" s="204">
        <v>45</v>
      </c>
      <c r="F33" s="204">
        <v>175</v>
      </c>
      <c r="G33" s="204">
        <v>135</v>
      </c>
      <c r="H33" s="204">
        <v>0</v>
      </c>
      <c r="J33" s="15"/>
      <c r="L33" s="18">
        <v>29</v>
      </c>
      <c r="M33" s="47" t="s">
        <v>27</v>
      </c>
      <c r="N33" s="47" t="s">
        <v>24</v>
      </c>
      <c r="O33" s="47" t="s">
        <v>18</v>
      </c>
      <c r="P33" s="47" t="s">
        <v>27</v>
      </c>
      <c r="Q33" s="47" t="s">
        <v>89</v>
      </c>
      <c r="R33" s="47" t="s">
        <v>27</v>
      </c>
      <c r="S33" s="33" t="s">
        <v>28</v>
      </c>
      <c r="U33" s="46">
        <f t="shared" si="9"/>
        <v>12</v>
      </c>
      <c r="V33" s="46">
        <f t="shared" si="9"/>
        <v>11</v>
      </c>
      <c r="W33" s="46">
        <f t="shared" si="9"/>
        <v>10</v>
      </c>
      <c r="X33" s="46">
        <f t="shared" si="9"/>
        <v>12</v>
      </c>
      <c r="Y33" s="46">
        <f t="shared" si="9"/>
        <v>8</v>
      </c>
      <c r="Z33" s="46">
        <f t="shared" si="9"/>
        <v>12</v>
      </c>
      <c r="AA33" s="46">
        <f t="shared" si="9"/>
        <v>15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105</v>
      </c>
      <c r="E34" s="10">
        <v>45</v>
      </c>
      <c r="F34" s="10">
        <v>175</v>
      </c>
      <c r="G34" s="10">
        <v>135</v>
      </c>
      <c r="H34" s="10">
        <v>0</v>
      </c>
      <c r="L34" s="19">
        <v>30</v>
      </c>
      <c r="M34" s="47" t="s">
        <v>18</v>
      </c>
      <c r="N34" s="47" t="s">
        <v>28</v>
      </c>
      <c r="O34" s="47" t="s">
        <v>28</v>
      </c>
      <c r="P34" s="47" t="s">
        <v>26</v>
      </c>
      <c r="Q34" s="47" t="s">
        <v>26</v>
      </c>
      <c r="R34" s="47" t="s">
        <v>27</v>
      </c>
      <c r="S34" s="47" t="s">
        <v>28</v>
      </c>
      <c r="U34" s="46">
        <f t="shared" si="9"/>
        <v>10</v>
      </c>
      <c r="V34" s="46">
        <f t="shared" si="9"/>
        <v>15</v>
      </c>
      <c r="W34" s="46">
        <f t="shared" si="9"/>
        <v>15</v>
      </c>
      <c r="X34" s="46">
        <f t="shared" si="9"/>
        <v>7</v>
      </c>
      <c r="Y34" s="46">
        <f t="shared" si="9"/>
        <v>7</v>
      </c>
      <c r="Z34" s="46">
        <f t="shared" si="9"/>
        <v>12</v>
      </c>
      <c r="AA34" s="46">
        <f t="shared" si="9"/>
        <v>15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5</v>
      </c>
      <c r="AM34" s="46">
        <v>5</v>
      </c>
      <c r="AN34" s="46">
        <v>5</v>
      </c>
      <c r="AO34" s="46">
        <v>5</v>
      </c>
      <c r="AP34" s="46">
        <v>5</v>
      </c>
      <c r="AQ34" s="46">
        <v>5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675</v>
      </c>
      <c r="E35" s="10">
        <v>195</v>
      </c>
      <c r="F35" s="10">
        <v>475</v>
      </c>
      <c r="G35" s="10">
        <v>1075</v>
      </c>
      <c r="H35" s="10">
        <v>0</v>
      </c>
      <c r="L35" s="18">
        <v>31</v>
      </c>
      <c r="M35" s="47" t="s">
        <v>89</v>
      </c>
      <c r="N35" s="47" t="s">
        <v>27</v>
      </c>
      <c r="O35" s="47" t="s">
        <v>28</v>
      </c>
      <c r="P35" s="47" t="s">
        <v>248</v>
      </c>
      <c r="Q35" s="47" t="s">
        <v>29</v>
      </c>
      <c r="R35" s="47" t="s">
        <v>29</v>
      </c>
      <c r="S35" s="33" t="s">
        <v>28</v>
      </c>
      <c r="U35" s="46">
        <f t="shared" si="9"/>
        <v>8</v>
      </c>
      <c r="V35" s="46">
        <f t="shared" si="9"/>
        <v>12</v>
      </c>
      <c r="W35" s="46">
        <f t="shared" si="9"/>
        <v>15</v>
      </c>
      <c r="X35" s="46">
        <f t="shared" si="9"/>
        <v>0</v>
      </c>
      <c r="Y35" s="46">
        <f t="shared" si="9"/>
        <v>18</v>
      </c>
      <c r="Z35" s="46">
        <f t="shared" si="9"/>
        <v>18</v>
      </c>
      <c r="AA35" s="46">
        <f t="shared" si="9"/>
        <v>15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203" t="s">
        <v>20</v>
      </c>
      <c r="AL35" s="203">
        <v>15</v>
      </c>
      <c r="AM35" s="203">
        <v>42</v>
      </c>
      <c r="AN35" s="203">
        <v>20</v>
      </c>
      <c r="AO35" s="203">
        <v>10</v>
      </c>
      <c r="AP35" s="203">
        <v>40</v>
      </c>
      <c r="AQ35" s="203">
        <v>5</v>
      </c>
      <c r="AR35" s="203">
        <v>1</v>
      </c>
      <c r="AS35" s="200">
        <v>2</v>
      </c>
    </row>
    <row r="36" spans="1:45" ht="16.5" customHeight="1">
      <c r="B36" s="5" t="s">
        <v>76</v>
      </c>
      <c r="C36" s="10">
        <v>0</v>
      </c>
      <c r="D36" s="10">
        <v>675</v>
      </c>
      <c r="E36" s="10">
        <v>195</v>
      </c>
      <c r="F36" s="10">
        <v>475</v>
      </c>
      <c r="G36" s="10">
        <v>1075</v>
      </c>
      <c r="H36" s="10">
        <v>0</v>
      </c>
      <c r="L36" s="19">
        <v>32</v>
      </c>
      <c r="M36" s="47" t="s">
        <v>89</v>
      </c>
      <c r="N36" s="47" t="s">
        <v>27</v>
      </c>
      <c r="O36" s="47" t="s">
        <v>24</v>
      </c>
      <c r="P36" s="47" t="s">
        <v>24</v>
      </c>
      <c r="Q36" s="47" t="s">
        <v>29</v>
      </c>
      <c r="R36" s="47" t="s">
        <v>28</v>
      </c>
      <c r="S36" s="33" t="s">
        <v>89</v>
      </c>
      <c r="U36" s="46">
        <f t="shared" si="9"/>
        <v>8</v>
      </c>
      <c r="V36" s="46">
        <f t="shared" si="9"/>
        <v>12</v>
      </c>
      <c r="W36" s="46">
        <f t="shared" si="9"/>
        <v>11</v>
      </c>
      <c r="X36" s="46">
        <f t="shared" si="9"/>
        <v>11</v>
      </c>
      <c r="Y36" s="46">
        <f t="shared" si="9"/>
        <v>18</v>
      </c>
      <c r="Z36" s="46">
        <f t="shared" si="9"/>
        <v>15</v>
      </c>
      <c r="AA36" s="46">
        <f t="shared" si="9"/>
        <v>8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203" t="s">
        <v>21</v>
      </c>
      <c r="AL36" s="203">
        <v>40</v>
      </c>
      <c r="AM36" s="203">
        <v>15</v>
      </c>
      <c r="AN36" s="203">
        <v>40</v>
      </c>
      <c r="AO36" s="203">
        <v>42</v>
      </c>
      <c r="AP36" s="203">
        <v>40</v>
      </c>
      <c r="AQ36" s="203">
        <v>5</v>
      </c>
      <c r="AR36" s="203">
        <v>1</v>
      </c>
      <c r="AS36" s="200">
        <v>3</v>
      </c>
    </row>
    <row r="37" spans="1:45" ht="16.5" customHeight="1">
      <c r="B37" s="5" t="s">
        <v>74</v>
      </c>
      <c r="C37" s="10">
        <v>0</v>
      </c>
      <c r="D37" s="10">
        <v>463</v>
      </c>
      <c r="E37" s="10">
        <v>303</v>
      </c>
      <c r="F37" s="10">
        <v>330</v>
      </c>
      <c r="G37" s="10">
        <v>727</v>
      </c>
      <c r="H37" s="10">
        <v>0</v>
      </c>
      <c r="L37" s="18">
        <v>33</v>
      </c>
      <c r="M37" s="47" t="s">
        <v>28</v>
      </c>
      <c r="N37" s="47" t="s">
        <v>27</v>
      </c>
      <c r="O37" s="47" t="s">
        <v>28</v>
      </c>
      <c r="P37" s="47" t="s">
        <v>27</v>
      </c>
      <c r="Q37" s="47" t="s">
        <v>26</v>
      </c>
      <c r="R37" s="47" t="s">
        <v>24</v>
      </c>
      <c r="S37" s="33" t="s">
        <v>64</v>
      </c>
      <c r="U37" s="46">
        <f t="shared" si="9"/>
        <v>15</v>
      </c>
      <c r="V37" s="46">
        <f t="shared" si="9"/>
        <v>12</v>
      </c>
      <c r="W37" s="46">
        <f t="shared" si="9"/>
        <v>15</v>
      </c>
      <c r="X37" s="46">
        <f t="shared" si="9"/>
        <v>12</v>
      </c>
      <c r="Y37" s="46">
        <f t="shared" si="9"/>
        <v>7</v>
      </c>
      <c r="Z37" s="46">
        <f t="shared" si="9"/>
        <v>11</v>
      </c>
      <c r="AA37" s="46">
        <f t="shared" si="9"/>
        <v>13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203" t="s">
        <v>17</v>
      </c>
      <c r="AL37" s="203">
        <v>15</v>
      </c>
      <c r="AM37" s="203">
        <v>40</v>
      </c>
      <c r="AN37" s="203">
        <v>20</v>
      </c>
      <c r="AO37" s="203">
        <v>10</v>
      </c>
      <c r="AP37" s="203">
        <v>5</v>
      </c>
      <c r="AQ37" s="203">
        <v>40</v>
      </c>
      <c r="AR37" s="203">
        <v>1</v>
      </c>
      <c r="AS37" s="200">
        <v>4</v>
      </c>
    </row>
    <row r="38" spans="1:45" ht="16.5" customHeight="1">
      <c r="B38" s="5" t="s">
        <v>77</v>
      </c>
      <c r="C38" s="10">
        <v>0</v>
      </c>
      <c r="D38" s="10">
        <v>463</v>
      </c>
      <c r="E38" s="10">
        <v>303</v>
      </c>
      <c r="F38" s="10">
        <v>330</v>
      </c>
      <c r="G38" s="10">
        <v>727</v>
      </c>
      <c r="H38" s="10">
        <v>0</v>
      </c>
      <c r="L38" s="19">
        <v>34</v>
      </c>
      <c r="M38" s="47" t="s">
        <v>26</v>
      </c>
      <c r="N38" s="47" t="s">
        <v>64</v>
      </c>
      <c r="O38" s="47" t="s">
        <v>18</v>
      </c>
      <c r="P38" s="47" t="s">
        <v>29</v>
      </c>
      <c r="Q38" s="47" t="s">
        <v>26</v>
      </c>
      <c r="R38" s="47" t="s">
        <v>24</v>
      </c>
      <c r="S38" s="33" t="s">
        <v>64</v>
      </c>
      <c r="U38" s="46">
        <f t="shared" si="9"/>
        <v>7</v>
      </c>
      <c r="V38" s="46">
        <f t="shared" si="9"/>
        <v>13</v>
      </c>
      <c r="W38" s="46">
        <f t="shared" si="9"/>
        <v>10</v>
      </c>
      <c r="X38" s="46">
        <f t="shared" si="9"/>
        <v>18</v>
      </c>
      <c r="Y38" s="46">
        <f t="shared" si="9"/>
        <v>7</v>
      </c>
      <c r="Z38" s="46">
        <f t="shared" si="9"/>
        <v>11</v>
      </c>
      <c r="AA38" s="46">
        <f t="shared" si="9"/>
        <v>13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203" t="s">
        <v>18</v>
      </c>
      <c r="AL38" s="203">
        <v>40</v>
      </c>
      <c r="AM38" s="203">
        <v>15</v>
      </c>
      <c r="AN38" s="203">
        <v>40</v>
      </c>
      <c r="AO38" s="203">
        <v>10</v>
      </c>
      <c r="AP38" s="203">
        <v>5</v>
      </c>
      <c r="AQ38" s="203">
        <v>40</v>
      </c>
      <c r="AR38" s="203">
        <v>1</v>
      </c>
      <c r="AS38" s="200">
        <v>5</v>
      </c>
    </row>
    <row r="39" spans="1:45" ht="16.5" customHeight="1">
      <c r="B39" s="5" t="s">
        <v>78</v>
      </c>
      <c r="C39" s="10">
        <v>0</v>
      </c>
      <c r="D39" s="10">
        <v>463</v>
      </c>
      <c r="E39" s="10">
        <v>303</v>
      </c>
      <c r="F39" s="10">
        <v>330</v>
      </c>
      <c r="G39" s="10">
        <v>727</v>
      </c>
      <c r="H39" s="10">
        <v>0</v>
      </c>
      <c r="L39" s="18">
        <v>35</v>
      </c>
      <c r="M39" s="47" t="s">
        <v>64</v>
      </c>
      <c r="N39" s="47" t="s">
        <v>248</v>
      </c>
      <c r="O39" s="47" t="s">
        <v>18</v>
      </c>
      <c r="P39" s="47" t="s">
        <v>64</v>
      </c>
      <c r="Q39" s="47" t="s">
        <v>89</v>
      </c>
      <c r="R39" s="47" t="s">
        <v>24</v>
      </c>
      <c r="S39" s="33" t="s">
        <v>64</v>
      </c>
      <c r="U39" s="46">
        <f t="shared" si="9"/>
        <v>13</v>
      </c>
      <c r="V39" s="46">
        <f t="shared" si="9"/>
        <v>0</v>
      </c>
      <c r="W39" s="46">
        <f t="shared" si="9"/>
        <v>10</v>
      </c>
      <c r="X39" s="46">
        <f t="shared" si="9"/>
        <v>13</v>
      </c>
      <c r="Y39" s="46">
        <f t="shared" si="9"/>
        <v>8</v>
      </c>
      <c r="Z39" s="46">
        <f t="shared" si="9"/>
        <v>11</v>
      </c>
      <c r="AA39" s="46">
        <f t="shared" si="9"/>
        <v>13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203" t="s">
        <v>64</v>
      </c>
      <c r="AL39" s="203">
        <v>15</v>
      </c>
      <c r="AM39" s="203">
        <v>40</v>
      </c>
      <c r="AN39" s="203">
        <v>20</v>
      </c>
      <c r="AO39" s="203">
        <v>10</v>
      </c>
      <c r="AP39" s="203">
        <v>40</v>
      </c>
      <c r="AQ39" s="203">
        <v>5</v>
      </c>
      <c r="AR39" s="203">
        <v>1</v>
      </c>
      <c r="AS39" s="200">
        <v>6</v>
      </c>
    </row>
    <row r="40" spans="1:45" ht="16.5" customHeight="1">
      <c r="B40" s="5" t="s">
        <v>79</v>
      </c>
      <c r="C40" s="10">
        <v>0</v>
      </c>
      <c r="D40" s="10">
        <v>910</v>
      </c>
      <c r="E40" s="10">
        <v>610</v>
      </c>
      <c r="F40" s="10">
        <v>1373</v>
      </c>
      <c r="G40" s="10">
        <v>973</v>
      </c>
      <c r="H40" s="10">
        <v>0</v>
      </c>
      <c r="L40" s="19">
        <v>36</v>
      </c>
      <c r="M40" s="46" t="s">
        <v>29</v>
      </c>
      <c r="N40" s="46" t="s">
        <v>29</v>
      </c>
      <c r="O40" s="46" t="s">
        <v>28</v>
      </c>
      <c r="P40" s="46" t="s">
        <v>64</v>
      </c>
      <c r="Q40" s="46" t="s">
        <v>18</v>
      </c>
      <c r="R40" s="46" t="s">
        <v>26</v>
      </c>
      <c r="S40" s="46" t="s">
        <v>89</v>
      </c>
      <c r="U40" s="46">
        <f t="shared" si="9"/>
        <v>18</v>
      </c>
      <c r="V40" s="46">
        <f t="shared" si="9"/>
        <v>18</v>
      </c>
      <c r="W40" s="46">
        <f t="shared" si="9"/>
        <v>15</v>
      </c>
      <c r="X40" s="46">
        <f t="shared" si="9"/>
        <v>13</v>
      </c>
      <c r="Y40" s="46">
        <f t="shared" si="9"/>
        <v>10</v>
      </c>
      <c r="Z40" s="46">
        <f t="shared" si="9"/>
        <v>7</v>
      </c>
      <c r="AA40" s="46">
        <f t="shared" si="9"/>
        <v>8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203" t="s">
        <v>89</v>
      </c>
      <c r="AL40" s="203">
        <v>40</v>
      </c>
      <c r="AM40" s="203">
        <v>15</v>
      </c>
      <c r="AN40" s="203">
        <v>40</v>
      </c>
      <c r="AO40" s="203">
        <v>10</v>
      </c>
      <c r="AP40" s="203">
        <v>5</v>
      </c>
      <c r="AQ40" s="203">
        <v>40</v>
      </c>
      <c r="AR40" s="203">
        <v>1</v>
      </c>
      <c r="AS40" s="200">
        <v>7</v>
      </c>
    </row>
    <row r="41" spans="1:45" ht="16.5" customHeight="1">
      <c r="B41" s="5" t="s">
        <v>80</v>
      </c>
      <c r="C41" s="10">
        <v>0</v>
      </c>
      <c r="D41" s="10">
        <v>910</v>
      </c>
      <c r="E41" s="10">
        <v>610</v>
      </c>
      <c r="F41" s="10">
        <v>1373</v>
      </c>
      <c r="G41" s="10">
        <v>973</v>
      </c>
      <c r="H41" s="10">
        <v>0</v>
      </c>
      <c r="L41" s="18">
        <v>37</v>
      </c>
      <c r="M41" s="47" t="s">
        <v>89</v>
      </c>
      <c r="N41" s="47" t="s">
        <v>29</v>
      </c>
      <c r="O41" s="47" t="s">
        <v>28</v>
      </c>
      <c r="P41" s="47" t="s">
        <v>64</v>
      </c>
      <c r="Q41" s="47" t="s">
        <v>28</v>
      </c>
      <c r="R41" s="47" t="s">
        <v>26</v>
      </c>
      <c r="S41" s="33" t="s">
        <v>89</v>
      </c>
      <c r="U41" s="46">
        <f t="shared" si="9"/>
        <v>8</v>
      </c>
      <c r="V41" s="46">
        <f t="shared" si="9"/>
        <v>18</v>
      </c>
      <c r="W41" s="46">
        <f t="shared" si="9"/>
        <v>15</v>
      </c>
      <c r="X41" s="46">
        <f t="shared" si="9"/>
        <v>13</v>
      </c>
      <c r="Y41" s="46">
        <f t="shared" si="9"/>
        <v>15</v>
      </c>
      <c r="Z41" s="46">
        <f t="shared" si="9"/>
        <v>7</v>
      </c>
      <c r="AA41" s="46">
        <f t="shared" si="9"/>
        <v>8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40</v>
      </c>
      <c r="AM41" s="46">
        <v>15</v>
      </c>
      <c r="AN41" s="46">
        <v>40</v>
      </c>
      <c r="AO41" s="46">
        <v>10</v>
      </c>
      <c r="AP41" s="46">
        <v>10</v>
      </c>
      <c r="AQ41" s="46">
        <v>5</v>
      </c>
      <c r="AR41" s="46">
        <v>1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910</v>
      </c>
      <c r="E42" s="10">
        <v>610</v>
      </c>
      <c r="F42" s="10">
        <v>1373</v>
      </c>
      <c r="G42" s="10">
        <v>973</v>
      </c>
      <c r="H42" s="10">
        <v>0</v>
      </c>
      <c r="L42" s="19">
        <v>38</v>
      </c>
      <c r="M42" s="47" t="s">
        <v>89</v>
      </c>
      <c r="N42" s="47" t="s">
        <v>29</v>
      </c>
      <c r="O42" s="47" t="s">
        <v>18</v>
      </c>
      <c r="P42" s="47" t="s">
        <v>27</v>
      </c>
      <c r="Q42" s="47" t="s">
        <v>28</v>
      </c>
      <c r="R42" s="47" t="s">
        <v>24</v>
      </c>
      <c r="S42" s="33" t="s">
        <v>89</v>
      </c>
      <c r="U42" s="46">
        <f t="shared" si="9"/>
        <v>8</v>
      </c>
      <c r="V42" s="46">
        <f t="shared" si="9"/>
        <v>18</v>
      </c>
      <c r="W42" s="46">
        <f t="shared" si="9"/>
        <v>10</v>
      </c>
      <c r="X42" s="46">
        <f t="shared" si="9"/>
        <v>12</v>
      </c>
      <c r="Y42" s="46">
        <f t="shared" si="9"/>
        <v>15</v>
      </c>
      <c r="Z42" s="46">
        <f t="shared" si="9"/>
        <v>11</v>
      </c>
      <c r="AA42" s="46">
        <f t="shared" si="9"/>
        <v>8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15</v>
      </c>
      <c r="AM42" s="46">
        <v>40</v>
      </c>
      <c r="AN42" s="46">
        <v>20</v>
      </c>
      <c r="AO42" s="46">
        <v>40</v>
      </c>
      <c r="AP42" s="46">
        <v>40</v>
      </c>
      <c r="AQ42" s="46">
        <v>40</v>
      </c>
      <c r="AR42" s="46">
        <v>1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747</v>
      </c>
      <c r="E43" s="10">
        <v>1092</v>
      </c>
      <c r="F43" s="10">
        <v>780</v>
      </c>
      <c r="G43" s="10">
        <v>520</v>
      </c>
      <c r="H43" s="10">
        <v>0</v>
      </c>
      <c r="L43" s="18">
        <v>39</v>
      </c>
      <c r="M43" s="47" t="s">
        <v>28</v>
      </c>
      <c r="N43" s="47" t="s">
        <v>246</v>
      </c>
      <c r="O43" s="47" t="s">
        <v>29</v>
      </c>
      <c r="P43" s="47" t="s">
        <v>64</v>
      </c>
      <c r="Q43" s="47" t="s">
        <v>18</v>
      </c>
      <c r="R43" s="47" t="s">
        <v>24</v>
      </c>
      <c r="S43" s="33" t="s">
        <v>89</v>
      </c>
      <c r="U43" s="46">
        <f t="shared" si="9"/>
        <v>15</v>
      </c>
      <c r="V43" s="46">
        <f t="shared" si="9"/>
        <v>0</v>
      </c>
      <c r="W43" s="46">
        <f t="shared" si="9"/>
        <v>18</v>
      </c>
      <c r="X43" s="46">
        <f t="shared" si="9"/>
        <v>13</v>
      </c>
      <c r="Y43" s="46">
        <f t="shared" si="9"/>
        <v>10</v>
      </c>
      <c r="Z43" s="46">
        <f t="shared" si="9"/>
        <v>11</v>
      </c>
      <c r="AA43" s="46">
        <f t="shared" si="9"/>
        <v>8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40</v>
      </c>
      <c r="AM43" s="46">
        <v>15</v>
      </c>
      <c r="AN43" s="46">
        <v>40</v>
      </c>
      <c r="AO43" s="46">
        <v>10</v>
      </c>
      <c r="AP43" s="46">
        <v>5</v>
      </c>
      <c r="AQ43" s="46">
        <v>5</v>
      </c>
      <c r="AR43" s="46">
        <v>1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747</v>
      </c>
      <c r="E44" s="10">
        <v>1092</v>
      </c>
      <c r="F44" s="10">
        <v>780</v>
      </c>
      <c r="G44" s="10">
        <v>520</v>
      </c>
      <c r="H44" s="10">
        <v>0</v>
      </c>
      <c r="L44" s="19">
        <v>40</v>
      </c>
      <c r="M44" s="47" t="s">
        <v>29</v>
      </c>
      <c r="N44" s="47" t="s">
        <v>24</v>
      </c>
      <c r="O44" s="47" t="s">
        <v>28</v>
      </c>
      <c r="P44" s="47" t="s">
        <v>29</v>
      </c>
      <c r="Q44" s="47" t="s">
        <v>18</v>
      </c>
      <c r="R44" s="47" t="s">
        <v>27</v>
      </c>
      <c r="S44" s="33" t="s">
        <v>64</v>
      </c>
      <c r="U44" s="46">
        <f t="shared" si="9"/>
        <v>18</v>
      </c>
      <c r="V44" s="46">
        <f t="shared" si="9"/>
        <v>11</v>
      </c>
      <c r="W44" s="46">
        <f t="shared" si="9"/>
        <v>15</v>
      </c>
      <c r="X44" s="46">
        <f t="shared" si="9"/>
        <v>18</v>
      </c>
      <c r="Y44" s="46">
        <f t="shared" si="9"/>
        <v>10</v>
      </c>
      <c r="Z44" s="46">
        <f t="shared" si="9"/>
        <v>12</v>
      </c>
      <c r="AA44" s="46">
        <f t="shared" si="9"/>
        <v>13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15</v>
      </c>
      <c r="AM44" s="46">
        <v>40</v>
      </c>
      <c r="AN44" s="46">
        <v>35</v>
      </c>
      <c r="AO44" s="46">
        <v>10</v>
      </c>
      <c r="AP44" s="46">
        <v>5</v>
      </c>
      <c r="AQ44" s="46">
        <v>5</v>
      </c>
      <c r="AR44" s="46">
        <v>1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747</v>
      </c>
      <c r="E45" s="10">
        <v>1092</v>
      </c>
      <c r="F45" s="10">
        <v>780</v>
      </c>
      <c r="G45" s="10">
        <v>520</v>
      </c>
      <c r="H45" s="10">
        <v>0</v>
      </c>
      <c r="L45" s="18">
        <v>41</v>
      </c>
      <c r="M45" s="47" t="s">
        <v>18</v>
      </c>
      <c r="N45" s="47" t="s">
        <v>24</v>
      </c>
      <c r="O45" s="47" t="s">
        <v>28</v>
      </c>
      <c r="P45" s="47" t="s">
        <v>29</v>
      </c>
      <c r="Q45" s="47" t="s">
        <v>64</v>
      </c>
      <c r="R45" s="47" t="s">
        <v>27</v>
      </c>
      <c r="S45" s="33" t="s">
        <v>64</v>
      </c>
      <c r="U45" s="46">
        <f t="shared" si="9"/>
        <v>10</v>
      </c>
      <c r="V45" s="46">
        <f t="shared" si="9"/>
        <v>11</v>
      </c>
      <c r="W45" s="46">
        <f t="shared" si="9"/>
        <v>15</v>
      </c>
      <c r="X45" s="46">
        <f t="shared" si="9"/>
        <v>18</v>
      </c>
      <c r="Y45" s="46">
        <f t="shared" si="9"/>
        <v>13</v>
      </c>
      <c r="Z45" s="46">
        <f t="shared" si="9"/>
        <v>12</v>
      </c>
      <c r="AA45" s="46">
        <f t="shared" si="9"/>
        <v>13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40</v>
      </c>
      <c r="AM45" s="46">
        <v>15</v>
      </c>
      <c r="AN45" s="46">
        <v>15</v>
      </c>
      <c r="AO45" s="46">
        <v>10</v>
      </c>
      <c r="AP45" s="46">
        <v>5</v>
      </c>
      <c r="AQ45" s="46">
        <v>5</v>
      </c>
      <c r="AR45" s="46">
        <v>1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747</v>
      </c>
      <c r="E46" s="10">
        <v>1092</v>
      </c>
      <c r="F46" s="10">
        <v>780</v>
      </c>
      <c r="G46" s="10">
        <v>520</v>
      </c>
      <c r="H46" s="10">
        <v>0</v>
      </c>
      <c r="L46" s="19">
        <v>42</v>
      </c>
      <c r="M46" s="47" t="s">
        <v>27</v>
      </c>
      <c r="N46" s="47" t="s">
        <v>21</v>
      </c>
      <c r="O46" s="47" t="s">
        <v>244</v>
      </c>
      <c r="P46" s="47" t="s">
        <v>29</v>
      </c>
      <c r="Q46" s="47" t="s">
        <v>21</v>
      </c>
      <c r="R46" s="47" t="s">
        <v>24</v>
      </c>
      <c r="S46" s="33" t="s">
        <v>64</v>
      </c>
      <c r="U46" s="46">
        <f t="shared" si="9"/>
        <v>12</v>
      </c>
      <c r="V46" s="46">
        <f t="shared" si="9"/>
        <v>12</v>
      </c>
      <c r="W46" s="46">
        <f t="shared" si="9"/>
        <v>0</v>
      </c>
      <c r="X46" s="46">
        <f t="shared" si="9"/>
        <v>18</v>
      </c>
      <c r="Y46" s="46">
        <f t="shared" si="9"/>
        <v>12</v>
      </c>
      <c r="Z46" s="46">
        <f t="shared" si="9"/>
        <v>11</v>
      </c>
      <c r="AA46" s="46">
        <f t="shared" si="9"/>
        <v>13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203" t="s">
        <v>234</v>
      </c>
      <c r="AL46" s="203">
        <v>0</v>
      </c>
      <c r="AM46" s="203">
        <v>2</v>
      </c>
      <c r="AN46" s="203">
        <v>5</v>
      </c>
      <c r="AO46" s="203">
        <v>2</v>
      </c>
      <c r="AP46" s="203">
        <v>4</v>
      </c>
      <c r="AQ46" s="203">
        <v>0</v>
      </c>
      <c r="AR46" s="203">
        <v>0</v>
      </c>
      <c r="AS46" s="200">
        <v>12</v>
      </c>
    </row>
    <row r="47" spans="1:45" ht="16.5" customHeight="1">
      <c r="B47" s="5" t="s">
        <v>86</v>
      </c>
      <c r="C47" s="10">
        <v>1</v>
      </c>
      <c r="D47" s="10">
        <v>1340</v>
      </c>
      <c r="E47" s="10">
        <v>2410</v>
      </c>
      <c r="F47" s="10">
        <v>470</v>
      </c>
      <c r="G47" s="10">
        <v>400</v>
      </c>
      <c r="H47" s="10">
        <v>1</v>
      </c>
      <c r="L47" s="18">
        <v>43</v>
      </c>
      <c r="M47" s="47" t="s">
        <v>29</v>
      </c>
      <c r="N47" s="47" t="s">
        <v>21</v>
      </c>
      <c r="O47" s="47" t="s">
        <v>24</v>
      </c>
      <c r="P47" s="47" t="s">
        <v>27</v>
      </c>
      <c r="Q47" s="47" t="s">
        <v>89</v>
      </c>
      <c r="R47" s="47" t="s">
        <v>24</v>
      </c>
      <c r="S47" s="33" t="s">
        <v>21</v>
      </c>
      <c r="U47" s="46">
        <f t="shared" si="9"/>
        <v>18</v>
      </c>
      <c r="V47" s="46">
        <f t="shared" si="9"/>
        <v>12</v>
      </c>
      <c r="W47" s="46">
        <f t="shared" si="9"/>
        <v>11</v>
      </c>
      <c r="X47" s="46">
        <f t="shared" si="9"/>
        <v>12</v>
      </c>
      <c r="Y47" s="46">
        <f t="shared" si="9"/>
        <v>8</v>
      </c>
      <c r="Z47" s="46">
        <f t="shared" si="9"/>
        <v>11</v>
      </c>
      <c r="AA47" s="46">
        <f t="shared" si="9"/>
        <v>12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203" t="s">
        <v>236</v>
      </c>
      <c r="AL47" s="203">
        <v>0</v>
      </c>
      <c r="AM47" s="203">
        <v>2</v>
      </c>
      <c r="AN47" s="203">
        <v>2</v>
      </c>
      <c r="AO47" s="203">
        <v>2</v>
      </c>
      <c r="AP47" s="203">
        <v>2</v>
      </c>
      <c r="AQ47" s="203">
        <v>0</v>
      </c>
      <c r="AR47" s="203">
        <v>0</v>
      </c>
      <c r="AS47" s="200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26</v>
      </c>
      <c r="N48" s="47" t="s">
        <v>240</v>
      </c>
      <c r="O48" s="47" t="s">
        <v>26</v>
      </c>
      <c r="P48" s="47" t="s">
        <v>27</v>
      </c>
      <c r="Q48" s="47" t="s">
        <v>89</v>
      </c>
      <c r="R48" s="47" t="s">
        <v>26</v>
      </c>
      <c r="S48" s="33" t="s">
        <v>21</v>
      </c>
      <c r="U48" s="46">
        <f t="shared" si="9"/>
        <v>7</v>
      </c>
      <c r="V48" s="46">
        <f t="shared" si="9"/>
        <v>0</v>
      </c>
      <c r="W48" s="46">
        <f t="shared" si="9"/>
        <v>7</v>
      </c>
      <c r="X48" s="46">
        <f t="shared" si="9"/>
        <v>12</v>
      </c>
      <c r="Y48" s="46">
        <f t="shared" si="9"/>
        <v>8</v>
      </c>
      <c r="Z48" s="46">
        <f t="shared" si="9"/>
        <v>7</v>
      </c>
      <c r="AA48" s="46">
        <f t="shared" si="9"/>
        <v>12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203" t="s">
        <v>238</v>
      </c>
      <c r="AL48" s="203">
        <v>0</v>
      </c>
      <c r="AM48" s="203">
        <v>4</v>
      </c>
      <c r="AN48" s="203">
        <v>5</v>
      </c>
      <c r="AO48" s="203">
        <v>2</v>
      </c>
      <c r="AP48" s="203">
        <v>2</v>
      </c>
      <c r="AQ48" s="203">
        <v>0</v>
      </c>
      <c r="AR48" s="203">
        <v>0</v>
      </c>
      <c r="AS48" s="200">
        <v>14</v>
      </c>
    </row>
    <row r="49" spans="2:45" ht="16.5" customHeight="1">
      <c r="L49" s="18">
        <v>45</v>
      </c>
      <c r="M49" s="47" t="s">
        <v>26</v>
      </c>
      <c r="N49" s="47" t="s">
        <v>27</v>
      </c>
      <c r="O49" s="47" t="s">
        <v>248</v>
      </c>
      <c r="P49" s="47" t="s">
        <v>21</v>
      </c>
      <c r="Q49" s="47" t="s">
        <v>28</v>
      </c>
      <c r="R49" s="47" t="s">
        <v>26</v>
      </c>
      <c r="S49" s="33" t="s">
        <v>18</v>
      </c>
      <c r="U49" s="46">
        <f t="shared" si="9"/>
        <v>7</v>
      </c>
      <c r="V49" s="46">
        <f t="shared" si="9"/>
        <v>12</v>
      </c>
      <c r="W49" s="46">
        <f t="shared" si="9"/>
        <v>0</v>
      </c>
      <c r="X49" s="46">
        <f t="shared" si="9"/>
        <v>12</v>
      </c>
      <c r="Y49" s="46">
        <f t="shared" si="9"/>
        <v>15</v>
      </c>
      <c r="Z49" s="46">
        <f t="shared" si="9"/>
        <v>7</v>
      </c>
      <c r="AA49" s="46">
        <f t="shared" si="9"/>
        <v>10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203" t="s">
        <v>240</v>
      </c>
      <c r="AL49" s="203">
        <v>0</v>
      </c>
      <c r="AM49" s="203">
        <v>2</v>
      </c>
      <c r="AN49" s="203">
        <v>2</v>
      </c>
      <c r="AO49" s="203">
        <v>2</v>
      </c>
      <c r="AP49" s="203">
        <v>2</v>
      </c>
      <c r="AQ49" s="203">
        <v>0</v>
      </c>
      <c r="AR49" s="203">
        <v>0</v>
      </c>
      <c r="AS49" s="200">
        <v>15</v>
      </c>
    </row>
    <row r="50" spans="2:45" ht="16.5" customHeight="1">
      <c r="B50" s="214" t="s">
        <v>105</v>
      </c>
      <c r="C50" s="211" t="s">
        <v>271</v>
      </c>
      <c r="L50" s="19">
        <v>46</v>
      </c>
      <c r="M50" s="47" t="s">
        <v>28</v>
      </c>
      <c r="N50" s="47" t="s">
        <v>24</v>
      </c>
      <c r="O50" s="47" t="s">
        <v>21</v>
      </c>
      <c r="P50" s="47" t="s">
        <v>21</v>
      </c>
      <c r="Q50" s="47" t="s">
        <v>28</v>
      </c>
      <c r="R50" s="47" t="s">
        <v>64</v>
      </c>
      <c r="S50" s="33" t="s">
        <v>18</v>
      </c>
      <c r="U50" s="46">
        <f t="shared" si="9"/>
        <v>15</v>
      </c>
      <c r="V50" s="46">
        <f t="shared" si="9"/>
        <v>11</v>
      </c>
      <c r="W50" s="46">
        <f t="shared" si="9"/>
        <v>12</v>
      </c>
      <c r="X50" s="46">
        <f t="shared" si="9"/>
        <v>12</v>
      </c>
      <c r="Y50" s="46">
        <f t="shared" si="9"/>
        <v>15</v>
      </c>
      <c r="Z50" s="46">
        <f t="shared" si="9"/>
        <v>13</v>
      </c>
      <c r="AA50" s="46">
        <f t="shared" si="9"/>
        <v>10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203" t="s">
        <v>242</v>
      </c>
      <c r="AL50" s="203">
        <v>0</v>
      </c>
      <c r="AM50" s="203">
        <v>4</v>
      </c>
      <c r="AN50" s="203">
        <v>5</v>
      </c>
      <c r="AO50" s="203">
        <v>2</v>
      </c>
      <c r="AP50" s="203">
        <v>4</v>
      </c>
      <c r="AQ50" s="203">
        <v>0</v>
      </c>
      <c r="AR50" s="203">
        <v>0</v>
      </c>
      <c r="AS50" s="200">
        <v>16</v>
      </c>
    </row>
    <row r="51" spans="2:45" ht="16.5" customHeight="1">
      <c r="B51" s="212" t="s">
        <v>68</v>
      </c>
      <c r="C51" s="210">
        <v>0</v>
      </c>
      <c r="L51" s="18">
        <v>47</v>
      </c>
      <c r="M51" s="47" t="s">
        <v>27</v>
      </c>
      <c r="N51" s="47" t="s">
        <v>27</v>
      </c>
      <c r="O51" s="47" t="s">
        <v>24</v>
      </c>
      <c r="P51" s="47" t="s">
        <v>21</v>
      </c>
      <c r="Q51" s="47" t="s">
        <v>89</v>
      </c>
      <c r="R51" s="47" t="s">
        <v>64</v>
      </c>
      <c r="S51" s="33" t="s">
        <v>18</v>
      </c>
      <c r="U51" s="46">
        <f t="shared" si="9"/>
        <v>12</v>
      </c>
      <c r="V51" s="46">
        <f t="shared" si="9"/>
        <v>12</v>
      </c>
      <c r="W51" s="46">
        <f t="shared" si="9"/>
        <v>11</v>
      </c>
      <c r="X51" s="46">
        <f t="shared" si="9"/>
        <v>12</v>
      </c>
      <c r="Y51" s="46">
        <f t="shared" si="9"/>
        <v>8</v>
      </c>
      <c r="Z51" s="46">
        <f t="shared" si="9"/>
        <v>13</v>
      </c>
      <c r="AA51" s="46">
        <f t="shared" si="9"/>
        <v>10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203" t="s">
        <v>244</v>
      </c>
      <c r="AL51" s="203">
        <v>0</v>
      </c>
      <c r="AM51" s="203">
        <v>4</v>
      </c>
      <c r="AN51" s="203">
        <v>5</v>
      </c>
      <c r="AO51" s="203">
        <v>2</v>
      </c>
      <c r="AP51" s="203">
        <v>4</v>
      </c>
      <c r="AQ51" s="203">
        <v>0</v>
      </c>
      <c r="AR51" s="203">
        <v>0</v>
      </c>
      <c r="AS51" s="200">
        <v>17</v>
      </c>
    </row>
    <row r="52" spans="2:45" ht="16.5" customHeight="1">
      <c r="B52" s="213" t="s">
        <v>19</v>
      </c>
      <c r="C52" s="208">
        <v>0</v>
      </c>
      <c r="L52" s="19">
        <v>48</v>
      </c>
      <c r="M52" s="47" t="s">
        <v>29</v>
      </c>
      <c r="N52" s="47" t="s">
        <v>27</v>
      </c>
      <c r="O52" s="47" t="s">
        <v>24</v>
      </c>
      <c r="P52" s="47" t="s">
        <v>64</v>
      </c>
      <c r="Q52" s="47" t="s">
        <v>89</v>
      </c>
      <c r="R52" s="47" t="s">
        <v>27</v>
      </c>
      <c r="S52" s="33" t="s">
        <v>17</v>
      </c>
      <c r="U52" s="46">
        <f t="shared" si="9"/>
        <v>18</v>
      </c>
      <c r="V52" s="46">
        <f t="shared" si="9"/>
        <v>12</v>
      </c>
      <c r="W52" s="46">
        <f t="shared" si="9"/>
        <v>11</v>
      </c>
      <c r="X52" s="46">
        <f t="shared" si="9"/>
        <v>13</v>
      </c>
      <c r="Y52" s="46">
        <f t="shared" si="9"/>
        <v>8</v>
      </c>
      <c r="Z52" s="46">
        <f t="shared" si="9"/>
        <v>12</v>
      </c>
      <c r="AA52" s="46">
        <f t="shared" si="9"/>
        <v>14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246</v>
      </c>
      <c r="AL52" s="46">
        <v>0</v>
      </c>
      <c r="AM52" s="46">
        <v>4</v>
      </c>
      <c r="AN52" s="46">
        <v>2</v>
      </c>
      <c r="AO52" s="46">
        <v>2</v>
      </c>
      <c r="AP52" s="46">
        <v>4</v>
      </c>
      <c r="AQ52" s="46">
        <v>0</v>
      </c>
      <c r="AR52" s="46">
        <v>0</v>
      </c>
      <c r="AS52" s="5">
        <v>17</v>
      </c>
    </row>
    <row r="53" spans="2:45" ht="16.5" customHeight="1">
      <c r="B53" s="213" t="s">
        <v>20</v>
      </c>
      <c r="C53" s="208">
        <v>2</v>
      </c>
      <c r="L53" s="18">
        <v>49</v>
      </c>
      <c r="M53" s="47" t="s">
        <v>28</v>
      </c>
      <c r="N53" s="47" t="s">
        <v>64</v>
      </c>
      <c r="O53" s="47" t="s">
        <v>28</v>
      </c>
      <c r="P53" s="47" t="s">
        <v>64</v>
      </c>
      <c r="Q53" s="47" t="s">
        <v>27</v>
      </c>
      <c r="R53" s="47" t="s">
        <v>27</v>
      </c>
      <c r="S53" s="33" t="s">
        <v>17</v>
      </c>
      <c r="U53" s="46">
        <f t="shared" si="9"/>
        <v>15</v>
      </c>
      <c r="V53" s="46">
        <f t="shared" si="9"/>
        <v>13</v>
      </c>
      <c r="W53" s="46">
        <f t="shared" si="9"/>
        <v>15</v>
      </c>
      <c r="X53" s="46">
        <f t="shared" si="9"/>
        <v>13</v>
      </c>
      <c r="Y53" s="46">
        <f t="shared" si="9"/>
        <v>12</v>
      </c>
      <c r="Z53" s="46">
        <f t="shared" si="9"/>
        <v>12</v>
      </c>
      <c r="AA53" s="46">
        <f t="shared" si="9"/>
        <v>14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248</v>
      </c>
      <c r="AL53" s="46">
        <v>0</v>
      </c>
      <c r="AM53" s="46">
        <v>4</v>
      </c>
      <c r="AN53" s="46">
        <v>2</v>
      </c>
      <c r="AO53" s="46">
        <v>4</v>
      </c>
      <c r="AP53" s="46">
        <v>2</v>
      </c>
      <c r="AQ53" s="46">
        <v>0</v>
      </c>
      <c r="AR53" s="46">
        <v>0</v>
      </c>
      <c r="AS53" s="5">
        <v>18</v>
      </c>
    </row>
    <row r="54" spans="2:45" ht="16.5" customHeight="1">
      <c r="B54" s="213" t="s">
        <v>21</v>
      </c>
      <c r="C54" s="208">
        <v>3</v>
      </c>
      <c r="L54" s="19">
        <v>50</v>
      </c>
      <c r="M54" s="47" t="s">
        <v>89</v>
      </c>
      <c r="N54" s="47" t="s">
        <v>64</v>
      </c>
      <c r="O54" s="47" t="s">
        <v>28</v>
      </c>
      <c r="P54" s="47" t="s">
        <v>17</v>
      </c>
      <c r="Q54" s="47" t="s">
        <v>21</v>
      </c>
      <c r="R54" s="47" t="s">
        <v>29</v>
      </c>
      <c r="S54" s="33" t="s">
        <v>17</v>
      </c>
      <c r="U54" s="46">
        <f t="shared" si="9"/>
        <v>8</v>
      </c>
      <c r="V54" s="46">
        <f t="shared" si="9"/>
        <v>13</v>
      </c>
      <c r="W54" s="46">
        <f t="shared" si="9"/>
        <v>15</v>
      </c>
      <c r="X54" s="46">
        <f t="shared" si="9"/>
        <v>14</v>
      </c>
      <c r="Y54" s="46">
        <f t="shared" si="9"/>
        <v>12</v>
      </c>
      <c r="Z54" s="46">
        <f t="shared" si="9"/>
        <v>18</v>
      </c>
      <c r="AA54" s="46">
        <f t="shared" si="9"/>
        <v>14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250</v>
      </c>
      <c r="AL54" s="46">
        <v>0</v>
      </c>
      <c r="AM54" s="46">
        <v>4</v>
      </c>
      <c r="AN54" s="46">
        <v>5</v>
      </c>
      <c r="AO54" s="46">
        <v>2</v>
      </c>
      <c r="AP54" s="46">
        <v>2</v>
      </c>
      <c r="AQ54" s="46">
        <v>0</v>
      </c>
      <c r="AR54" s="46">
        <v>0</v>
      </c>
      <c r="AS54" s="5">
        <v>19</v>
      </c>
    </row>
    <row r="55" spans="2:45" ht="16.5" customHeight="1">
      <c r="B55" s="213" t="s">
        <v>17</v>
      </c>
      <c r="C55" s="208">
        <v>5</v>
      </c>
      <c r="L55" s="18">
        <v>51</v>
      </c>
      <c r="M55" s="47" t="s">
        <v>26</v>
      </c>
      <c r="N55" s="47" t="s">
        <v>242</v>
      </c>
      <c r="O55" s="47" t="s">
        <v>64</v>
      </c>
      <c r="P55" s="47" t="s">
        <v>17</v>
      </c>
      <c r="Q55" s="47" t="s">
        <v>21</v>
      </c>
      <c r="R55" s="47" t="s">
        <v>29</v>
      </c>
      <c r="S55" s="33" t="s">
        <v>64</v>
      </c>
      <c r="U55" s="46">
        <f t="shared" si="9"/>
        <v>7</v>
      </c>
      <c r="V55" s="46">
        <f t="shared" si="9"/>
        <v>0</v>
      </c>
      <c r="W55" s="46">
        <f t="shared" si="9"/>
        <v>13</v>
      </c>
      <c r="X55" s="46">
        <f t="shared" si="9"/>
        <v>14</v>
      </c>
      <c r="Y55" s="46">
        <f t="shared" si="9"/>
        <v>12</v>
      </c>
      <c r="Z55" s="46">
        <f t="shared" si="9"/>
        <v>18</v>
      </c>
      <c r="AA55" s="46">
        <f t="shared" si="9"/>
        <v>13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252</v>
      </c>
      <c r="AL55" s="46">
        <v>0</v>
      </c>
      <c r="AM55" s="46">
        <v>2</v>
      </c>
      <c r="AN55" s="46">
        <v>7</v>
      </c>
      <c r="AO55" s="46">
        <v>2</v>
      </c>
      <c r="AP55" s="46">
        <v>2</v>
      </c>
      <c r="AQ55" s="46">
        <v>0</v>
      </c>
      <c r="AR55" s="46">
        <v>0</v>
      </c>
      <c r="AS55" s="5">
        <v>20</v>
      </c>
    </row>
    <row r="56" spans="2:45" ht="16.5" customHeight="1">
      <c r="B56" s="213" t="s">
        <v>18</v>
      </c>
      <c r="C56" s="208">
        <v>8</v>
      </c>
      <c r="L56" s="19">
        <v>52</v>
      </c>
      <c r="M56" s="47" t="s">
        <v>28</v>
      </c>
      <c r="N56" s="47" t="s">
        <v>27</v>
      </c>
      <c r="O56" s="47" t="s">
        <v>26</v>
      </c>
      <c r="P56" s="47" t="s">
        <v>28</v>
      </c>
      <c r="Q56" s="47" t="s">
        <v>28</v>
      </c>
      <c r="R56" s="47" t="s">
        <v>24</v>
      </c>
      <c r="S56" s="33" t="s">
        <v>64</v>
      </c>
      <c r="U56" s="46">
        <f t="shared" si="9"/>
        <v>15</v>
      </c>
      <c r="V56" s="46">
        <f t="shared" si="9"/>
        <v>12</v>
      </c>
      <c r="W56" s="46">
        <f t="shared" si="9"/>
        <v>7</v>
      </c>
      <c r="X56" s="46">
        <f t="shared" ref="X56:AA119" si="11">VLOOKUP(P56, $A$4:$J$29, 9, 0)</f>
        <v>15</v>
      </c>
      <c r="Y56" s="46">
        <f t="shared" si="11"/>
        <v>15</v>
      </c>
      <c r="Z56" s="46">
        <f t="shared" si="11"/>
        <v>11</v>
      </c>
      <c r="AA56" s="46">
        <f t="shared" si="11"/>
        <v>13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254</v>
      </c>
      <c r="AL56" s="46">
        <v>0</v>
      </c>
      <c r="AM56" s="46">
        <v>4</v>
      </c>
      <c r="AN56" s="46">
        <v>7</v>
      </c>
      <c r="AO56" s="46">
        <v>2</v>
      </c>
      <c r="AP56" s="46">
        <v>2</v>
      </c>
      <c r="AQ56" s="46">
        <v>0</v>
      </c>
      <c r="AR56" s="46">
        <v>0</v>
      </c>
      <c r="AS56" s="5">
        <v>21</v>
      </c>
    </row>
    <row r="57" spans="2:45" ht="16.5" customHeight="1">
      <c r="B57" s="213" t="s">
        <v>64</v>
      </c>
      <c r="C57" s="208">
        <v>12</v>
      </c>
      <c r="L57" s="18">
        <v>53</v>
      </c>
      <c r="M57" s="47" t="s">
        <v>28</v>
      </c>
      <c r="N57" s="47" t="s">
        <v>27</v>
      </c>
      <c r="O57" s="47" t="s">
        <v>26</v>
      </c>
      <c r="P57" s="47" t="s">
        <v>28</v>
      </c>
      <c r="Q57" s="47" t="s">
        <v>24</v>
      </c>
      <c r="R57" s="47" t="s">
        <v>27</v>
      </c>
      <c r="S57" s="33" t="s">
        <v>64</v>
      </c>
      <c r="U57" s="46">
        <f t="shared" ref="U57:Z120" si="12">VLOOKUP(M57, $A$4:$J$29, 9, 0)</f>
        <v>15</v>
      </c>
      <c r="V57" s="46">
        <f t="shared" si="12"/>
        <v>12</v>
      </c>
      <c r="W57" s="46">
        <f t="shared" si="12"/>
        <v>7</v>
      </c>
      <c r="X57" s="46">
        <f t="shared" si="11"/>
        <v>15</v>
      </c>
      <c r="Y57" s="46">
        <f t="shared" si="11"/>
        <v>11</v>
      </c>
      <c r="Z57" s="46">
        <f t="shared" si="11"/>
        <v>12</v>
      </c>
      <c r="AA57" s="46">
        <f t="shared" si="11"/>
        <v>13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203" t="s">
        <v>101</v>
      </c>
      <c r="AL57" s="203">
        <v>0</v>
      </c>
      <c r="AM57" s="203">
        <v>10</v>
      </c>
      <c r="AN57" s="203">
        <v>10</v>
      </c>
      <c r="AO57" s="203">
        <v>10</v>
      </c>
      <c r="AP57" s="203">
        <v>10</v>
      </c>
      <c r="AQ57" s="203">
        <v>0</v>
      </c>
      <c r="AR57" s="203">
        <v>0</v>
      </c>
      <c r="AS57" s="200">
        <v>24</v>
      </c>
    </row>
    <row r="58" spans="2:45" ht="16.5" customHeight="1">
      <c r="B58" s="213" t="s">
        <v>95</v>
      </c>
      <c r="C58" s="208">
        <v>10</v>
      </c>
      <c r="L58" s="19">
        <v>54</v>
      </c>
      <c r="M58" s="47" t="s">
        <v>18</v>
      </c>
      <c r="N58" s="47" t="s">
        <v>29</v>
      </c>
      <c r="O58" s="47" t="s">
        <v>18</v>
      </c>
      <c r="P58" s="47" t="s">
        <v>64</v>
      </c>
      <c r="Q58" s="47" t="s">
        <v>24</v>
      </c>
      <c r="R58" s="47" t="s">
        <v>27</v>
      </c>
      <c r="S58" s="33" t="s">
        <v>89</v>
      </c>
      <c r="U58" s="46">
        <f t="shared" si="12"/>
        <v>10</v>
      </c>
      <c r="V58" s="46">
        <f t="shared" si="12"/>
        <v>18</v>
      </c>
      <c r="W58" s="46">
        <f t="shared" si="12"/>
        <v>10</v>
      </c>
      <c r="X58" s="46">
        <f t="shared" si="11"/>
        <v>13</v>
      </c>
      <c r="Y58" s="46">
        <f t="shared" si="11"/>
        <v>11</v>
      </c>
      <c r="Z58" s="46">
        <f t="shared" si="11"/>
        <v>12</v>
      </c>
      <c r="AA58" s="46">
        <f t="shared" si="11"/>
        <v>8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3</v>
      </c>
      <c r="AK58" s="203" t="s">
        <v>269</v>
      </c>
      <c r="AL58" s="203">
        <v>0</v>
      </c>
      <c r="AM58" s="203">
        <v>1</v>
      </c>
      <c r="AN58" s="203">
        <v>1</v>
      </c>
      <c r="AO58" s="203">
        <v>1</v>
      </c>
      <c r="AP58" s="203">
        <v>1</v>
      </c>
      <c r="AQ58" s="203">
        <v>0</v>
      </c>
      <c r="AR58" s="203">
        <v>0</v>
      </c>
      <c r="AS58" s="200">
        <v>25</v>
      </c>
    </row>
    <row r="59" spans="2:45" ht="16.5" customHeight="1">
      <c r="B59" s="213" t="s">
        <v>96</v>
      </c>
      <c r="C59" s="208">
        <v>10</v>
      </c>
      <c r="L59" s="18">
        <v>55</v>
      </c>
      <c r="M59" s="47" t="s">
        <v>18</v>
      </c>
      <c r="N59" s="47" t="s">
        <v>28</v>
      </c>
      <c r="O59" s="47" t="s">
        <v>28</v>
      </c>
      <c r="P59" s="47" t="s">
        <v>64</v>
      </c>
      <c r="Q59" s="47" t="s">
        <v>21</v>
      </c>
      <c r="R59" s="47" t="s">
        <v>64</v>
      </c>
      <c r="S59" s="33" t="s">
        <v>89</v>
      </c>
      <c r="U59" s="46">
        <f t="shared" si="12"/>
        <v>10</v>
      </c>
      <c r="V59" s="46">
        <f t="shared" si="12"/>
        <v>15</v>
      </c>
      <c r="W59" s="46">
        <f t="shared" si="12"/>
        <v>15</v>
      </c>
      <c r="X59" s="46">
        <f t="shared" si="11"/>
        <v>13</v>
      </c>
      <c r="Y59" s="46">
        <f t="shared" si="11"/>
        <v>12</v>
      </c>
      <c r="Z59" s="46">
        <f t="shared" si="11"/>
        <v>13</v>
      </c>
      <c r="AA59" s="46">
        <f t="shared" si="11"/>
        <v>8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209">
        <v>10</v>
      </c>
      <c r="L60" s="19">
        <v>56</v>
      </c>
      <c r="M60" s="47" t="s">
        <v>29</v>
      </c>
      <c r="N60" s="47" t="s">
        <v>28</v>
      </c>
      <c r="O60" s="47" t="s">
        <v>28</v>
      </c>
      <c r="P60" s="47" t="s">
        <v>242</v>
      </c>
      <c r="Q60" s="47" t="s">
        <v>21</v>
      </c>
      <c r="R60" s="47" t="s">
        <v>24</v>
      </c>
      <c r="S60" s="33" t="s">
        <v>89</v>
      </c>
      <c r="U60" s="46">
        <f t="shared" si="12"/>
        <v>18</v>
      </c>
      <c r="V60" s="46">
        <f t="shared" si="12"/>
        <v>15</v>
      </c>
      <c r="W60" s="46">
        <f t="shared" si="12"/>
        <v>15</v>
      </c>
      <c r="X60" s="46">
        <f t="shared" si="11"/>
        <v>0</v>
      </c>
      <c r="Y60" s="46">
        <f t="shared" si="11"/>
        <v>12</v>
      </c>
      <c r="Z60" s="46">
        <f t="shared" si="11"/>
        <v>11</v>
      </c>
      <c r="AA60" s="46">
        <f t="shared" si="11"/>
        <v>8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272</v>
      </c>
    </row>
    <row r="61" spans="2:45">
      <c r="B61" s="5" t="s">
        <v>38</v>
      </c>
      <c r="C61" s="209">
        <v>10</v>
      </c>
      <c r="L61" s="18">
        <v>57</v>
      </c>
      <c r="M61" s="47" t="s">
        <v>29</v>
      </c>
      <c r="N61" s="47" t="s">
        <v>27</v>
      </c>
      <c r="O61" s="47" t="s">
        <v>29</v>
      </c>
      <c r="P61" s="47" t="s">
        <v>18</v>
      </c>
      <c r="Q61" s="47" t="s">
        <v>28</v>
      </c>
      <c r="R61" s="47" t="s">
        <v>26</v>
      </c>
      <c r="S61" s="33" t="s">
        <v>26</v>
      </c>
      <c r="U61" s="46">
        <f t="shared" si="12"/>
        <v>18</v>
      </c>
      <c r="V61" s="46">
        <f t="shared" si="12"/>
        <v>12</v>
      </c>
      <c r="W61" s="46">
        <f t="shared" si="12"/>
        <v>18</v>
      </c>
      <c r="X61" s="46">
        <f t="shared" si="11"/>
        <v>10</v>
      </c>
      <c r="Y61" s="46">
        <f t="shared" si="11"/>
        <v>15</v>
      </c>
      <c r="Z61" s="46">
        <f t="shared" si="11"/>
        <v>7</v>
      </c>
      <c r="AA61" s="46">
        <f t="shared" si="11"/>
        <v>7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277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209">
        <v>10</v>
      </c>
      <c r="L62" s="19">
        <v>58</v>
      </c>
      <c r="M62" s="47" t="s">
        <v>89</v>
      </c>
      <c r="N62" s="47" t="s">
        <v>236</v>
      </c>
      <c r="O62" s="47" t="s">
        <v>24</v>
      </c>
      <c r="P62" s="47" t="s">
        <v>24</v>
      </c>
      <c r="Q62" s="47" t="s">
        <v>28</v>
      </c>
      <c r="R62" s="47" t="s">
        <v>24</v>
      </c>
      <c r="S62" s="33" t="s">
        <v>26</v>
      </c>
      <c r="U62" s="46">
        <f t="shared" si="12"/>
        <v>8</v>
      </c>
      <c r="V62" s="46">
        <f t="shared" si="12"/>
        <v>0</v>
      </c>
      <c r="W62" s="46">
        <f t="shared" si="12"/>
        <v>11</v>
      </c>
      <c r="X62" s="46">
        <f t="shared" si="11"/>
        <v>11</v>
      </c>
      <c r="Y62" s="46">
        <f t="shared" si="11"/>
        <v>15</v>
      </c>
      <c r="Z62" s="46">
        <f t="shared" si="11"/>
        <v>11</v>
      </c>
      <c r="AA62" s="46">
        <f t="shared" si="11"/>
        <v>7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209">
        <v>10</v>
      </c>
      <c r="L63" s="18">
        <v>59</v>
      </c>
      <c r="M63" s="47" t="s">
        <v>26</v>
      </c>
      <c r="N63" s="47" t="s">
        <v>64</v>
      </c>
      <c r="O63" s="47" t="s">
        <v>29</v>
      </c>
      <c r="P63" s="47" t="s">
        <v>17</v>
      </c>
      <c r="Q63" s="47" t="s">
        <v>89</v>
      </c>
      <c r="R63" s="47" t="s">
        <v>64</v>
      </c>
      <c r="S63" s="47" t="s">
        <v>17</v>
      </c>
      <c r="U63" s="46">
        <f t="shared" si="12"/>
        <v>7</v>
      </c>
      <c r="V63" s="46">
        <f t="shared" si="12"/>
        <v>13</v>
      </c>
      <c r="W63" s="46">
        <f t="shared" si="12"/>
        <v>18</v>
      </c>
      <c r="X63" s="46">
        <f t="shared" si="11"/>
        <v>14</v>
      </c>
      <c r="Y63" s="46">
        <f t="shared" si="11"/>
        <v>8</v>
      </c>
      <c r="Z63" s="46">
        <f t="shared" si="11"/>
        <v>13</v>
      </c>
      <c r="AA63" s="46">
        <f t="shared" si="11"/>
        <v>14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5</v>
      </c>
      <c r="AM63" s="46">
        <v>5</v>
      </c>
      <c r="AN63" s="46">
        <v>5</v>
      </c>
      <c r="AO63" s="46">
        <v>5</v>
      </c>
      <c r="AP63" s="46">
        <v>5</v>
      </c>
      <c r="AQ63" s="46">
        <v>5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26</v>
      </c>
      <c r="N64" s="47" t="s">
        <v>242</v>
      </c>
      <c r="O64" s="47" t="s">
        <v>254</v>
      </c>
      <c r="P64" s="47" t="s">
        <v>17</v>
      </c>
      <c r="Q64" s="47" t="s">
        <v>28</v>
      </c>
      <c r="R64" s="47" t="s">
        <v>24</v>
      </c>
      <c r="S64" s="33" t="s">
        <v>17</v>
      </c>
      <c r="U64" s="46">
        <f t="shared" si="12"/>
        <v>7</v>
      </c>
      <c r="V64" s="46">
        <f t="shared" si="12"/>
        <v>0</v>
      </c>
      <c r="W64" s="46">
        <f t="shared" si="12"/>
        <v>0</v>
      </c>
      <c r="X64" s="46">
        <f t="shared" si="11"/>
        <v>14</v>
      </c>
      <c r="Y64" s="46">
        <f t="shared" si="11"/>
        <v>15</v>
      </c>
      <c r="Z64" s="46">
        <f t="shared" si="11"/>
        <v>11</v>
      </c>
      <c r="AA64" s="46">
        <f t="shared" si="11"/>
        <v>14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203" t="s">
        <v>20</v>
      </c>
      <c r="AL64" s="203">
        <v>40</v>
      </c>
      <c r="AM64" s="203">
        <v>1</v>
      </c>
      <c r="AN64" s="203">
        <v>10</v>
      </c>
      <c r="AO64" s="203">
        <v>1</v>
      </c>
      <c r="AP64" s="203">
        <v>40</v>
      </c>
      <c r="AQ64" s="203">
        <v>1</v>
      </c>
      <c r="AR64" s="203">
        <v>0</v>
      </c>
      <c r="AS64" s="200">
        <v>2</v>
      </c>
    </row>
    <row r="65" spans="2:45" ht="16.5" customHeight="1">
      <c r="L65" s="18">
        <v>61</v>
      </c>
      <c r="M65" s="47" t="s">
        <v>28</v>
      </c>
      <c r="N65" s="47" t="s">
        <v>24</v>
      </c>
      <c r="O65" s="47" t="s">
        <v>26</v>
      </c>
      <c r="P65" s="47" t="s">
        <v>17</v>
      </c>
      <c r="Q65" s="47" t="s">
        <v>28</v>
      </c>
      <c r="R65" s="47" t="s">
        <v>24</v>
      </c>
      <c r="S65" s="33" t="s">
        <v>17</v>
      </c>
      <c r="U65" s="46">
        <f t="shared" si="12"/>
        <v>15</v>
      </c>
      <c r="V65" s="46">
        <f t="shared" si="12"/>
        <v>11</v>
      </c>
      <c r="W65" s="46">
        <f t="shared" si="12"/>
        <v>7</v>
      </c>
      <c r="X65" s="46">
        <f t="shared" si="11"/>
        <v>14</v>
      </c>
      <c r="Y65" s="46">
        <f t="shared" si="11"/>
        <v>15</v>
      </c>
      <c r="Z65" s="46">
        <f t="shared" si="11"/>
        <v>11</v>
      </c>
      <c r="AA65" s="46">
        <f t="shared" si="11"/>
        <v>14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203" t="s">
        <v>21</v>
      </c>
      <c r="AL65" s="203">
        <v>1</v>
      </c>
      <c r="AM65" s="203">
        <v>40</v>
      </c>
      <c r="AN65" s="203">
        <v>1</v>
      </c>
      <c r="AO65" s="203">
        <v>40</v>
      </c>
      <c r="AP65" s="203">
        <v>1</v>
      </c>
      <c r="AQ65" s="203">
        <v>1</v>
      </c>
      <c r="AR65" s="203">
        <v>1</v>
      </c>
      <c r="AS65" s="200">
        <v>3</v>
      </c>
    </row>
    <row r="66" spans="2:45" ht="16.5" customHeight="1">
      <c r="B66" s="214" t="s">
        <v>102</v>
      </c>
      <c r="C66" s="211" t="s">
        <v>271</v>
      </c>
      <c r="L66" s="19">
        <v>62</v>
      </c>
      <c r="M66" s="47" t="s">
        <v>26</v>
      </c>
      <c r="N66" s="47" t="s">
        <v>24</v>
      </c>
      <c r="O66" s="47" t="s">
        <v>26</v>
      </c>
      <c r="P66" s="47" t="s">
        <v>27</v>
      </c>
      <c r="Q66" s="47" t="s">
        <v>26</v>
      </c>
      <c r="R66" s="47" t="s">
        <v>26</v>
      </c>
      <c r="S66" s="33" t="s">
        <v>26</v>
      </c>
      <c r="U66" s="46">
        <f t="shared" si="12"/>
        <v>7</v>
      </c>
      <c r="V66" s="46">
        <f t="shared" si="12"/>
        <v>11</v>
      </c>
      <c r="W66" s="46">
        <f t="shared" si="12"/>
        <v>7</v>
      </c>
      <c r="X66" s="46">
        <f t="shared" si="11"/>
        <v>12</v>
      </c>
      <c r="Y66" s="46">
        <f t="shared" si="11"/>
        <v>7</v>
      </c>
      <c r="Z66" s="46">
        <f t="shared" si="11"/>
        <v>7</v>
      </c>
      <c r="AA66" s="46">
        <f t="shared" si="11"/>
        <v>7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203" t="s">
        <v>17</v>
      </c>
      <c r="AL66" s="203">
        <v>40</v>
      </c>
      <c r="AM66" s="203">
        <v>40</v>
      </c>
      <c r="AN66" s="203">
        <v>40</v>
      </c>
      <c r="AO66" s="203">
        <v>1</v>
      </c>
      <c r="AP66" s="203">
        <v>1</v>
      </c>
      <c r="AQ66" s="203">
        <v>40</v>
      </c>
      <c r="AR66" s="203">
        <v>1</v>
      </c>
      <c r="AS66" s="200">
        <v>4</v>
      </c>
    </row>
    <row r="67" spans="2:45" ht="16.5" customHeight="1">
      <c r="B67" s="212">
        <v>0</v>
      </c>
      <c r="C67" s="210">
        <v>500</v>
      </c>
      <c r="L67" s="18">
        <v>63</v>
      </c>
      <c r="M67" s="47" t="s">
        <v>29</v>
      </c>
      <c r="N67" s="47" t="s">
        <v>64</v>
      </c>
      <c r="O67" s="47" t="s">
        <v>26</v>
      </c>
      <c r="P67" s="47" t="s">
        <v>27</v>
      </c>
      <c r="Q67" s="47" t="s">
        <v>18</v>
      </c>
      <c r="R67" s="47" t="s">
        <v>29</v>
      </c>
      <c r="S67" s="33" t="s">
        <v>26</v>
      </c>
      <c r="U67" s="46">
        <f t="shared" si="12"/>
        <v>18</v>
      </c>
      <c r="V67" s="46">
        <f t="shared" si="12"/>
        <v>13</v>
      </c>
      <c r="W67" s="46">
        <f t="shared" si="12"/>
        <v>7</v>
      </c>
      <c r="X67" s="46">
        <f t="shared" si="11"/>
        <v>12</v>
      </c>
      <c r="Y67" s="46">
        <f t="shared" si="11"/>
        <v>10</v>
      </c>
      <c r="Z67" s="46">
        <f t="shared" si="11"/>
        <v>18</v>
      </c>
      <c r="AA67" s="46">
        <f t="shared" si="11"/>
        <v>7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203" t="s">
        <v>18</v>
      </c>
      <c r="AL67" s="203">
        <v>1</v>
      </c>
      <c r="AM67" s="203">
        <v>40</v>
      </c>
      <c r="AN67" s="203">
        <v>1</v>
      </c>
      <c r="AO67" s="203">
        <v>1</v>
      </c>
      <c r="AP67" s="203">
        <v>1</v>
      </c>
      <c r="AQ67" s="203">
        <v>40</v>
      </c>
      <c r="AR67" s="203">
        <v>1</v>
      </c>
      <c r="AS67" s="200">
        <v>5</v>
      </c>
    </row>
    <row r="68" spans="2:45" ht="16.5" customHeight="1">
      <c r="B68" s="213">
        <v>1</v>
      </c>
      <c r="C68" s="208">
        <v>200</v>
      </c>
      <c r="L68" s="19">
        <v>64</v>
      </c>
      <c r="M68" s="47" t="s">
        <v>17</v>
      </c>
      <c r="N68" s="47" t="s">
        <v>27</v>
      </c>
      <c r="O68" s="47" t="s">
        <v>18</v>
      </c>
      <c r="P68" s="47" t="s">
        <v>29</v>
      </c>
      <c r="Q68" s="47" t="s">
        <v>89</v>
      </c>
      <c r="R68" s="47" t="s">
        <v>29</v>
      </c>
      <c r="S68" s="33" t="s">
        <v>28</v>
      </c>
      <c r="U68" s="46">
        <f t="shared" si="12"/>
        <v>14</v>
      </c>
      <c r="V68" s="46">
        <f t="shared" si="12"/>
        <v>12</v>
      </c>
      <c r="W68" s="46">
        <f t="shared" si="12"/>
        <v>10</v>
      </c>
      <c r="X68" s="46">
        <f t="shared" si="11"/>
        <v>18</v>
      </c>
      <c r="Y68" s="46">
        <f t="shared" si="11"/>
        <v>8</v>
      </c>
      <c r="Z68" s="46">
        <f t="shared" si="11"/>
        <v>18</v>
      </c>
      <c r="AA68" s="46">
        <f t="shared" si="11"/>
        <v>15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203" t="s">
        <v>64</v>
      </c>
      <c r="AL68" s="203">
        <v>1</v>
      </c>
      <c r="AM68" s="203">
        <v>1</v>
      </c>
      <c r="AN68" s="203">
        <v>40</v>
      </c>
      <c r="AO68" s="203">
        <v>1</v>
      </c>
      <c r="AP68" s="203">
        <v>40</v>
      </c>
      <c r="AQ68" s="203">
        <v>1</v>
      </c>
      <c r="AR68" s="203">
        <v>1</v>
      </c>
      <c r="AS68" s="200">
        <v>6</v>
      </c>
    </row>
    <row r="69" spans="2:45" ht="16.5" customHeight="1">
      <c r="B69" s="213">
        <v>2</v>
      </c>
      <c r="C69" s="208">
        <v>0</v>
      </c>
      <c r="L69" s="18">
        <v>65</v>
      </c>
      <c r="M69" s="47" t="s">
        <v>27</v>
      </c>
      <c r="N69" s="47" t="s">
        <v>27</v>
      </c>
      <c r="O69" s="47" t="s">
        <v>24</v>
      </c>
      <c r="P69" s="47" t="s">
        <v>29</v>
      </c>
      <c r="Q69" s="47" t="s">
        <v>89</v>
      </c>
      <c r="R69" s="47" t="s">
        <v>27</v>
      </c>
      <c r="S69" s="33" t="s">
        <v>28</v>
      </c>
      <c r="U69" s="46">
        <f t="shared" si="12"/>
        <v>12</v>
      </c>
      <c r="V69" s="46">
        <f t="shared" si="12"/>
        <v>12</v>
      </c>
      <c r="W69" s="46">
        <f t="shared" si="12"/>
        <v>11</v>
      </c>
      <c r="X69" s="46">
        <f t="shared" si="11"/>
        <v>18</v>
      </c>
      <c r="Y69" s="46">
        <f t="shared" si="11"/>
        <v>8</v>
      </c>
      <c r="Z69" s="46">
        <f t="shared" si="11"/>
        <v>12</v>
      </c>
      <c r="AA69" s="46">
        <f t="shared" si="11"/>
        <v>15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203" t="s">
        <v>89</v>
      </c>
      <c r="AL69" s="203">
        <v>1</v>
      </c>
      <c r="AM69" s="203">
        <v>40</v>
      </c>
      <c r="AN69" s="203">
        <v>1</v>
      </c>
      <c r="AO69" s="203">
        <v>40</v>
      </c>
      <c r="AP69" s="203">
        <v>1</v>
      </c>
      <c r="AQ69" s="203">
        <v>1</v>
      </c>
      <c r="AR69" s="203">
        <v>1</v>
      </c>
      <c r="AS69" s="200">
        <v>7</v>
      </c>
    </row>
    <row r="70" spans="2:45" ht="16.5" customHeight="1">
      <c r="B70" s="213">
        <v>3</v>
      </c>
      <c r="C70" s="208">
        <v>0</v>
      </c>
      <c r="L70" s="19">
        <v>66</v>
      </c>
      <c r="M70" s="47" t="s">
        <v>27</v>
      </c>
      <c r="N70" s="47" t="s">
        <v>29</v>
      </c>
      <c r="O70" s="47" t="s">
        <v>24</v>
      </c>
      <c r="P70" s="47" t="s">
        <v>29</v>
      </c>
      <c r="Q70" s="47" t="s">
        <v>18</v>
      </c>
      <c r="R70" s="47" t="s">
        <v>24</v>
      </c>
      <c r="S70" s="33" t="s">
        <v>28</v>
      </c>
      <c r="U70" s="46">
        <f t="shared" si="12"/>
        <v>12</v>
      </c>
      <c r="V70" s="46">
        <f t="shared" si="12"/>
        <v>18</v>
      </c>
      <c r="W70" s="46">
        <f t="shared" si="12"/>
        <v>11</v>
      </c>
      <c r="X70" s="46">
        <f t="shared" si="11"/>
        <v>18</v>
      </c>
      <c r="Y70" s="46">
        <f t="shared" si="11"/>
        <v>10</v>
      </c>
      <c r="Z70" s="46">
        <f t="shared" si="11"/>
        <v>11</v>
      </c>
      <c r="AA70" s="46">
        <f t="shared" si="11"/>
        <v>15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</v>
      </c>
      <c r="AM70" s="46">
        <v>1</v>
      </c>
      <c r="AN70" s="46">
        <v>1</v>
      </c>
      <c r="AO70" s="46">
        <v>1</v>
      </c>
      <c r="AP70" s="46">
        <v>35</v>
      </c>
      <c r="AQ70" s="46">
        <v>1</v>
      </c>
      <c r="AR70" s="46">
        <v>1</v>
      </c>
      <c r="AS70" s="5">
        <v>8</v>
      </c>
    </row>
    <row r="71" spans="2:45" ht="16.5" customHeight="1">
      <c r="B71" s="213">
        <v>4</v>
      </c>
      <c r="C71" s="208">
        <v>0</v>
      </c>
      <c r="L71" s="18">
        <v>67</v>
      </c>
      <c r="M71" s="47" t="s">
        <v>18</v>
      </c>
      <c r="N71" s="47" t="s">
        <v>27</v>
      </c>
      <c r="O71" s="47" t="s">
        <v>24</v>
      </c>
      <c r="P71" s="47" t="s">
        <v>26</v>
      </c>
      <c r="Q71" s="47" t="s">
        <v>18</v>
      </c>
      <c r="R71" s="47" t="s">
        <v>64</v>
      </c>
      <c r="S71" s="33" t="s">
        <v>29</v>
      </c>
      <c r="U71" s="46">
        <f t="shared" si="12"/>
        <v>10</v>
      </c>
      <c r="V71" s="46">
        <f t="shared" si="12"/>
        <v>12</v>
      </c>
      <c r="W71" s="46">
        <f t="shared" si="12"/>
        <v>11</v>
      </c>
      <c r="X71" s="46">
        <f t="shared" si="11"/>
        <v>7</v>
      </c>
      <c r="Y71" s="46">
        <f t="shared" si="11"/>
        <v>10</v>
      </c>
      <c r="Z71" s="46">
        <f t="shared" si="11"/>
        <v>13</v>
      </c>
      <c r="AA71" s="46">
        <f t="shared" si="11"/>
        <v>18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1</v>
      </c>
      <c r="AM71" s="46">
        <v>40</v>
      </c>
      <c r="AN71" s="46">
        <v>1</v>
      </c>
      <c r="AO71" s="46">
        <v>40</v>
      </c>
      <c r="AP71" s="46">
        <v>1</v>
      </c>
      <c r="AQ71" s="46">
        <v>40</v>
      </c>
      <c r="AR71" s="46">
        <v>1</v>
      </c>
      <c r="AS71" s="5">
        <v>9</v>
      </c>
    </row>
    <row r="72" spans="2:45" ht="16.5" customHeight="1">
      <c r="B72" s="213">
        <v>5</v>
      </c>
      <c r="C72" s="208">
        <v>0</v>
      </c>
      <c r="L72" s="19">
        <v>68</v>
      </c>
      <c r="M72" s="47" t="s">
        <v>18</v>
      </c>
      <c r="N72" s="47" t="s">
        <v>27</v>
      </c>
      <c r="O72" s="47" t="s">
        <v>28</v>
      </c>
      <c r="P72" s="47" t="s">
        <v>242</v>
      </c>
      <c r="Q72" s="47" t="s">
        <v>242</v>
      </c>
      <c r="R72" s="47" t="s">
        <v>64</v>
      </c>
      <c r="S72" s="33" t="s">
        <v>21</v>
      </c>
      <c r="U72" s="46">
        <f t="shared" si="12"/>
        <v>10</v>
      </c>
      <c r="V72" s="46">
        <f t="shared" si="12"/>
        <v>12</v>
      </c>
      <c r="W72" s="46">
        <f t="shared" si="12"/>
        <v>15</v>
      </c>
      <c r="X72" s="46">
        <f t="shared" si="11"/>
        <v>0</v>
      </c>
      <c r="Y72" s="46">
        <f t="shared" si="11"/>
        <v>0</v>
      </c>
      <c r="Z72" s="46">
        <f t="shared" si="11"/>
        <v>13</v>
      </c>
      <c r="AA72" s="46">
        <f t="shared" si="11"/>
        <v>12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60</v>
      </c>
      <c r="AM72" s="46">
        <v>40</v>
      </c>
      <c r="AN72" s="46">
        <v>35</v>
      </c>
      <c r="AO72" s="46">
        <v>1</v>
      </c>
      <c r="AP72" s="46">
        <v>1</v>
      </c>
      <c r="AQ72" s="46">
        <v>1</v>
      </c>
      <c r="AR72" s="46">
        <v>1</v>
      </c>
      <c r="AS72" s="5">
        <v>10</v>
      </c>
    </row>
    <row r="73" spans="2:45" ht="16.5" customHeight="1">
      <c r="B73" s="213">
        <v>6</v>
      </c>
      <c r="C73" s="208">
        <v>0</v>
      </c>
      <c r="L73" s="18">
        <v>69</v>
      </c>
      <c r="M73" s="47" t="s">
        <v>26</v>
      </c>
      <c r="N73" s="47" t="s">
        <v>27</v>
      </c>
      <c r="O73" s="47" t="s">
        <v>28</v>
      </c>
      <c r="P73" s="47" t="s">
        <v>64</v>
      </c>
      <c r="Q73" s="47" t="s">
        <v>64</v>
      </c>
      <c r="R73" s="47" t="s">
        <v>29</v>
      </c>
      <c r="S73" s="33" t="s">
        <v>21</v>
      </c>
      <c r="U73" s="46">
        <f t="shared" si="12"/>
        <v>7</v>
      </c>
      <c r="V73" s="46">
        <f t="shared" si="12"/>
        <v>12</v>
      </c>
      <c r="W73" s="46">
        <f t="shared" si="12"/>
        <v>15</v>
      </c>
      <c r="X73" s="46">
        <f t="shared" si="11"/>
        <v>13</v>
      </c>
      <c r="Y73" s="46">
        <f t="shared" si="11"/>
        <v>13</v>
      </c>
      <c r="Z73" s="46">
        <f t="shared" si="11"/>
        <v>18</v>
      </c>
      <c r="AA73" s="46">
        <f t="shared" si="11"/>
        <v>12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1</v>
      </c>
      <c r="AM73" s="46">
        <v>40</v>
      </c>
      <c r="AN73" s="46">
        <v>1</v>
      </c>
      <c r="AO73" s="46">
        <v>1</v>
      </c>
      <c r="AP73" s="46">
        <v>1</v>
      </c>
      <c r="AQ73" s="46">
        <v>1</v>
      </c>
      <c r="AR73" s="46">
        <v>1</v>
      </c>
      <c r="AS73" s="5">
        <v>11</v>
      </c>
    </row>
    <row r="74" spans="2:45" ht="16.5" customHeight="1">
      <c r="B74" s="213">
        <v>7</v>
      </c>
      <c r="C74" s="208">
        <v>0</v>
      </c>
      <c r="L74" s="19">
        <v>70</v>
      </c>
      <c r="M74" s="47" t="s">
        <v>29</v>
      </c>
      <c r="N74" s="47" t="s">
        <v>252</v>
      </c>
      <c r="O74" s="47" t="s">
        <v>28</v>
      </c>
      <c r="P74" s="47" t="s">
        <v>64</v>
      </c>
      <c r="Q74" s="47" t="s">
        <v>18</v>
      </c>
      <c r="R74" s="47" t="s">
        <v>28</v>
      </c>
      <c r="S74" s="33" t="s">
        <v>17</v>
      </c>
      <c r="U74" s="46">
        <f t="shared" si="12"/>
        <v>18</v>
      </c>
      <c r="V74" s="46">
        <f t="shared" si="12"/>
        <v>0</v>
      </c>
      <c r="W74" s="46">
        <f t="shared" si="12"/>
        <v>15</v>
      </c>
      <c r="X74" s="46">
        <f t="shared" si="11"/>
        <v>13</v>
      </c>
      <c r="Y74" s="46">
        <f t="shared" si="11"/>
        <v>10</v>
      </c>
      <c r="Z74" s="46">
        <f t="shared" si="11"/>
        <v>15</v>
      </c>
      <c r="AA74" s="46">
        <f t="shared" si="11"/>
        <v>14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40</v>
      </c>
      <c r="AM74" s="46">
        <v>1</v>
      </c>
      <c r="AN74" s="46">
        <v>1</v>
      </c>
      <c r="AO74" s="46">
        <v>1</v>
      </c>
      <c r="AP74" s="46">
        <v>1</v>
      </c>
      <c r="AQ74" s="46">
        <v>1</v>
      </c>
      <c r="AR74" s="46">
        <v>1</v>
      </c>
      <c r="AS74" s="5">
        <v>12</v>
      </c>
    </row>
    <row r="75" spans="2:45" ht="16.5" customHeight="1">
      <c r="L75" s="18">
        <v>71</v>
      </c>
      <c r="M75" s="47" t="s">
        <v>29</v>
      </c>
      <c r="N75" s="47" t="s">
        <v>28</v>
      </c>
      <c r="O75" s="47" t="s">
        <v>26</v>
      </c>
      <c r="P75" s="47" t="s">
        <v>24</v>
      </c>
      <c r="Q75" s="47" t="s">
        <v>24</v>
      </c>
      <c r="R75" s="47" t="s">
        <v>24</v>
      </c>
      <c r="S75" s="33" t="s">
        <v>17</v>
      </c>
      <c r="U75" s="46">
        <f t="shared" si="12"/>
        <v>18</v>
      </c>
      <c r="V75" s="46">
        <f t="shared" si="12"/>
        <v>15</v>
      </c>
      <c r="W75" s="46">
        <f t="shared" si="12"/>
        <v>7</v>
      </c>
      <c r="X75" s="46">
        <f t="shared" si="11"/>
        <v>11</v>
      </c>
      <c r="Y75" s="46">
        <f t="shared" si="11"/>
        <v>11</v>
      </c>
      <c r="Z75" s="46">
        <f t="shared" si="11"/>
        <v>11</v>
      </c>
      <c r="AA75" s="46">
        <f t="shared" si="11"/>
        <v>14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203" t="s">
        <v>234</v>
      </c>
      <c r="AL75" s="203">
        <v>0</v>
      </c>
      <c r="AM75" s="203">
        <v>2</v>
      </c>
      <c r="AN75" s="203">
        <v>2</v>
      </c>
      <c r="AO75" s="203">
        <v>1</v>
      </c>
      <c r="AP75" s="203">
        <v>2</v>
      </c>
      <c r="AQ75" s="203">
        <v>0</v>
      </c>
      <c r="AR75" s="203">
        <v>0</v>
      </c>
      <c r="AS75" s="200">
        <v>13</v>
      </c>
    </row>
    <row r="76" spans="2:45" ht="16.5" customHeight="1">
      <c r="L76" s="19">
        <v>72</v>
      </c>
      <c r="M76" s="47" t="s">
        <v>26</v>
      </c>
      <c r="N76" s="47" t="s">
        <v>244</v>
      </c>
      <c r="O76" s="47" t="s">
        <v>18</v>
      </c>
      <c r="P76" s="47" t="s">
        <v>64</v>
      </c>
      <c r="Q76" s="47" t="s">
        <v>18</v>
      </c>
      <c r="R76" s="47" t="s">
        <v>24</v>
      </c>
      <c r="S76" s="33" t="s">
        <v>17</v>
      </c>
      <c r="U76" s="46">
        <f t="shared" si="12"/>
        <v>7</v>
      </c>
      <c r="V76" s="46">
        <f t="shared" si="12"/>
        <v>0</v>
      </c>
      <c r="W76" s="46">
        <f t="shared" si="12"/>
        <v>10</v>
      </c>
      <c r="X76" s="46">
        <f t="shared" si="11"/>
        <v>13</v>
      </c>
      <c r="Y76" s="46">
        <f t="shared" si="11"/>
        <v>10</v>
      </c>
      <c r="Z76" s="46">
        <f t="shared" si="11"/>
        <v>11</v>
      </c>
      <c r="AA76" s="46">
        <f t="shared" si="11"/>
        <v>14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203" t="s">
        <v>236</v>
      </c>
      <c r="AL76" s="203">
        <v>0</v>
      </c>
      <c r="AM76" s="203">
        <v>1</v>
      </c>
      <c r="AN76" s="203">
        <v>1</v>
      </c>
      <c r="AO76" s="203">
        <v>2</v>
      </c>
      <c r="AP76" s="203">
        <v>1</v>
      </c>
      <c r="AQ76" s="203">
        <v>0</v>
      </c>
      <c r="AR76" s="203">
        <v>0</v>
      </c>
      <c r="AS76" s="200">
        <v>14</v>
      </c>
    </row>
    <row r="77" spans="2:45" ht="16.5" customHeight="1">
      <c r="L77" s="18">
        <v>73</v>
      </c>
      <c r="M77" s="47" t="s">
        <v>28</v>
      </c>
      <c r="N77" s="47" t="s">
        <v>24</v>
      </c>
      <c r="O77" s="47" t="s">
        <v>28</v>
      </c>
      <c r="P77" s="47" t="s">
        <v>28</v>
      </c>
      <c r="Q77" s="47" t="s">
        <v>17</v>
      </c>
      <c r="R77" s="47" t="s">
        <v>17</v>
      </c>
      <c r="S77" s="33" t="s">
        <v>27</v>
      </c>
      <c r="U77" s="46">
        <f t="shared" si="12"/>
        <v>15</v>
      </c>
      <c r="V77" s="46">
        <f t="shared" si="12"/>
        <v>11</v>
      </c>
      <c r="W77" s="46">
        <f t="shared" si="12"/>
        <v>15</v>
      </c>
      <c r="X77" s="46">
        <f t="shared" si="11"/>
        <v>15</v>
      </c>
      <c r="Y77" s="46">
        <f t="shared" si="11"/>
        <v>14</v>
      </c>
      <c r="Z77" s="46">
        <f t="shared" si="11"/>
        <v>14</v>
      </c>
      <c r="AA77" s="46">
        <f t="shared" si="11"/>
        <v>12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203" t="s">
        <v>238</v>
      </c>
      <c r="AL77" s="203">
        <v>0</v>
      </c>
      <c r="AM77" s="203">
        <v>2</v>
      </c>
      <c r="AN77" s="203">
        <v>2</v>
      </c>
      <c r="AO77" s="203">
        <v>1</v>
      </c>
      <c r="AP77" s="203">
        <v>1</v>
      </c>
      <c r="AQ77" s="203">
        <v>0</v>
      </c>
      <c r="AR77" s="203">
        <v>0</v>
      </c>
      <c r="AS77" s="200">
        <v>15</v>
      </c>
    </row>
    <row r="78" spans="2:45" ht="16.5" customHeight="1">
      <c r="L78" s="19">
        <v>74</v>
      </c>
      <c r="M78" s="47" t="s">
        <v>64</v>
      </c>
      <c r="N78" s="47" t="s">
        <v>69</v>
      </c>
      <c r="O78" s="47" t="s">
        <v>28</v>
      </c>
      <c r="P78" s="47" t="s">
        <v>28</v>
      </c>
      <c r="Q78" s="47" t="s">
        <v>17</v>
      </c>
      <c r="R78" s="47" t="s">
        <v>17</v>
      </c>
      <c r="S78" s="33" t="s">
        <v>27</v>
      </c>
      <c r="U78" s="46">
        <f t="shared" si="12"/>
        <v>13</v>
      </c>
      <c r="V78" s="46">
        <f t="shared" si="12"/>
        <v>0</v>
      </c>
      <c r="W78" s="46">
        <f t="shared" si="12"/>
        <v>15</v>
      </c>
      <c r="X78" s="46">
        <f t="shared" si="11"/>
        <v>15</v>
      </c>
      <c r="Y78" s="46">
        <f t="shared" si="11"/>
        <v>14</v>
      </c>
      <c r="Z78" s="46">
        <f t="shared" si="11"/>
        <v>14</v>
      </c>
      <c r="AA78" s="46">
        <f t="shared" si="11"/>
        <v>12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203" t="s">
        <v>240</v>
      </c>
      <c r="AL78" s="203">
        <v>0</v>
      </c>
      <c r="AM78" s="203">
        <v>1</v>
      </c>
      <c r="AN78" s="203">
        <v>1</v>
      </c>
      <c r="AO78" s="203">
        <v>1</v>
      </c>
      <c r="AP78" s="203">
        <v>1</v>
      </c>
      <c r="AQ78" s="203">
        <v>0</v>
      </c>
      <c r="AR78" s="203">
        <v>0</v>
      </c>
      <c r="AS78" s="200">
        <v>16</v>
      </c>
    </row>
    <row r="79" spans="2:45" ht="16.5" customHeight="1">
      <c r="L79" s="18">
        <v>75</v>
      </c>
      <c r="M79" s="47" t="s">
        <v>29</v>
      </c>
      <c r="N79" s="47" t="s">
        <v>69</v>
      </c>
      <c r="O79" s="47" t="s">
        <v>24</v>
      </c>
      <c r="P79" s="47" t="s">
        <v>252</v>
      </c>
      <c r="Q79" s="47" t="s">
        <v>238</v>
      </c>
      <c r="R79" s="47" t="s">
        <v>17</v>
      </c>
      <c r="S79" s="33" t="s">
        <v>27</v>
      </c>
      <c r="U79" s="46">
        <f t="shared" si="12"/>
        <v>18</v>
      </c>
      <c r="V79" s="46">
        <f t="shared" si="12"/>
        <v>0</v>
      </c>
      <c r="W79" s="46">
        <f t="shared" si="12"/>
        <v>11</v>
      </c>
      <c r="X79" s="46">
        <f t="shared" si="11"/>
        <v>0</v>
      </c>
      <c r="Y79" s="46">
        <f t="shared" si="11"/>
        <v>0</v>
      </c>
      <c r="Z79" s="46">
        <f t="shared" si="11"/>
        <v>14</v>
      </c>
      <c r="AA79" s="46">
        <f t="shared" si="11"/>
        <v>12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203" t="s">
        <v>242</v>
      </c>
      <c r="AL79" s="203">
        <v>0</v>
      </c>
      <c r="AM79" s="203">
        <v>2</v>
      </c>
      <c r="AN79" s="203">
        <v>2</v>
      </c>
      <c r="AO79" s="203">
        <v>1</v>
      </c>
      <c r="AP79" s="203">
        <v>2</v>
      </c>
      <c r="AQ79" s="203">
        <v>0</v>
      </c>
      <c r="AR79" s="203">
        <v>0</v>
      </c>
      <c r="AS79" s="200">
        <v>17</v>
      </c>
    </row>
    <row r="80" spans="2:45">
      <c r="L80" s="19">
        <v>76</v>
      </c>
      <c r="M80" s="47" t="s">
        <v>29</v>
      </c>
      <c r="N80" s="47" t="s">
        <v>89</v>
      </c>
      <c r="O80" s="47" t="s">
        <v>26</v>
      </c>
      <c r="P80" s="47" t="s">
        <v>29</v>
      </c>
      <c r="Q80" s="47" t="s">
        <v>64</v>
      </c>
      <c r="R80" s="47" t="s">
        <v>64</v>
      </c>
      <c r="S80" s="47" t="s">
        <v>17</v>
      </c>
      <c r="U80" s="46">
        <f t="shared" si="12"/>
        <v>18</v>
      </c>
      <c r="V80" s="46">
        <f t="shared" si="12"/>
        <v>8</v>
      </c>
      <c r="W80" s="46">
        <f t="shared" si="12"/>
        <v>7</v>
      </c>
      <c r="X80" s="46">
        <f t="shared" si="11"/>
        <v>18</v>
      </c>
      <c r="Y80" s="46">
        <f t="shared" si="11"/>
        <v>13</v>
      </c>
      <c r="Z80" s="46">
        <f t="shared" si="11"/>
        <v>13</v>
      </c>
      <c r="AA80" s="46">
        <f t="shared" si="11"/>
        <v>14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203" t="s">
        <v>244</v>
      </c>
      <c r="AL80" s="203">
        <v>0</v>
      </c>
      <c r="AM80" s="203">
        <v>2</v>
      </c>
      <c r="AN80" s="203">
        <v>2</v>
      </c>
      <c r="AO80" s="203">
        <v>1</v>
      </c>
      <c r="AP80" s="203">
        <v>2</v>
      </c>
      <c r="AQ80" s="203">
        <v>0</v>
      </c>
      <c r="AR80" s="203">
        <v>0</v>
      </c>
      <c r="AS80" s="200">
        <v>18</v>
      </c>
    </row>
    <row r="81" spans="12:45">
      <c r="L81" s="18">
        <v>77</v>
      </c>
      <c r="M81" s="47" t="s">
        <v>27</v>
      </c>
      <c r="N81" s="47" t="s">
        <v>89</v>
      </c>
      <c r="O81" s="47" t="s">
        <v>26</v>
      </c>
      <c r="P81" s="47" t="s">
        <v>29</v>
      </c>
      <c r="Q81" s="47" t="s">
        <v>64</v>
      </c>
      <c r="R81" s="47" t="s">
        <v>64</v>
      </c>
      <c r="S81" s="33" t="s">
        <v>29</v>
      </c>
      <c r="U81" s="46">
        <f t="shared" si="12"/>
        <v>12</v>
      </c>
      <c r="V81" s="46">
        <f t="shared" si="12"/>
        <v>8</v>
      </c>
      <c r="W81" s="46">
        <f t="shared" si="12"/>
        <v>7</v>
      </c>
      <c r="X81" s="46">
        <f t="shared" si="11"/>
        <v>18</v>
      </c>
      <c r="Y81" s="46">
        <f t="shared" si="11"/>
        <v>13</v>
      </c>
      <c r="Z81" s="46">
        <f t="shared" si="11"/>
        <v>13</v>
      </c>
      <c r="AA81" s="46">
        <f t="shared" si="11"/>
        <v>18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246</v>
      </c>
      <c r="AL81" s="46">
        <v>0</v>
      </c>
      <c r="AM81" s="46">
        <v>2</v>
      </c>
      <c r="AN81" s="46">
        <v>1</v>
      </c>
      <c r="AO81" s="46">
        <v>1</v>
      </c>
      <c r="AP81" s="46">
        <v>7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28</v>
      </c>
      <c r="N82" s="47" t="s">
        <v>21</v>
      </c>
      <c r="O82" s="47" t="s">
        <v>26</v>
      </c>
      <c r="P82" s="47" t="s">
        <v>24</v>
      </c>
      <c r="Q82" s="47" t="s">
        <v>89</v>
      </c>
      <c r="R82" s="47" t="s">
        <v>64</v>
      </c>
      <c r="S82" s="33" t="s">
        <v>29</v>
      </c>
      <c r="U82" s="46">
        <f t="shared" si="12"/>
        <v>15</v>
      </c>
      <c r="V82" s="46">
        <f t="shared" si="12"/>
        <v>12</v>
      </c>
      <c r="W82" s="46">
        <f t="shared" si="12"/>
        <v>7</v>
      </c>
      <c r="X82" s="46">
        <f t="shared" si="11"/>
        <v>11</v>
      </c>
      <c r="Y82" s="46">
        <f t="shared" si="11"/>
        <v>8</v>
      </c>
      <c r="Z82" s="46">
        <f t="shared" si="11"/>
        <v>13</v>
      </c>
      <c r="AA82" s="46">
        <f t="shared" si="11"/>
        <v>18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248</v>
      </c>
      <c r="AL82" s="46">
        <v>0</v>
      </c>
      <c r="AM82" s="46">
        <v>2</v>
      </c>
      <c r="AN82" s="46">
        <v>1</v>
      </c>
      <c r="AO82" s="46">
        <v>2</v>
      </c>
      <c r="AP82" s="46">
        <v>1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64</v>
      </c>
      <c r="N83" s="47" t="s">
        <v>21</v>
      </c>
      <c r="O83" s="47" t="s">
        <v>18</v>
      </c>
      <c r="P83" s="47" t="s">
        <v>240</v>
      </c>
      <c r="Q83" s="47" t="s">
        <v>89</v>
      </c>
      <c r="R83" s="47" t="s">
        <v>29</v>
      </c>
      <c r="S83" s="33" t="s">
        <v>29</v>
      </c>
      <c r="U83" s="46">
        <f t="shared" si="12"/>
        <v>13</v>
      </c>
      <c r="V83" s="46">
        <f t="shared" si="12"/>
        <v>12</v>
      </c>
      <c r="W83" s="46">
        <f t="shared" si="12"/>
        <v>10</v>
      </c>
      <c r="X83" s="46">
        <f t="shared" si="11"/>
        <v>0</v>
      </c>
      <c r="Y83" s="46">
        <f t="shared" si="11"/>
        <v>8</v>
      </c>
      <c r="Z83" s="46">
        <f t="shared" si="11"/>
        <v>18</v>
      </c>
      <c r="AA83" s="46">
        <f t="shared" si="11"/>
        <v>18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250</v>
      </c>
      <c r="AL83" s="46">
        <v>0</v>
      </c>
      <c r="AM83" s="46">
        <v>2</v>
      </c>
      <c r="AN83" s="46">
        <v>7</v>
      </c>
      <c r="AO83" s="46">
        <v>1</v>
      </c>
      <c r="AP83" s="46">
        <v>1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64</v>
      </c>
      <c r="N84" s="47" t="s">
        <v>26</v>
      </c>
      <c r="O84" s="47" t="s">
        <v>28</v>
      </c>
      <c r="P84" s="47" t="s">
        <v>18</v>
      </c>
      <c r="Q84" s="47" t="s">
        <v>244</v>
      </c>
      <c r="R84" s="47" t="s">
        <v>27</v>
      </c>
      <c r="S84" s="33" t="s">
        <v>24</v>
      </c>
      <c r="U84" s="46">
        <f t="shared" si="12"/>
        <v>13</v>
      </c>
      <c r="V84" s="46">
        <f t="shared" si="12"/>
        <v>7</v>
      </c>
      <c r="W84" s="46">
        <f t="shared" si="12"/>
        <v>15</v>
      </c>
      <c r="X84" s="46">
        <f t="shared" si="11"/>
        <v>10</v>
      </c>
      <c r="Y84" s="46">
        <f t="shared" si="11"/>
        <v>0</v>
      </c>
      <c r="Z84" s="46">
        <f t="shared" si="11"/>
        <v>12</v>
      </c>
      <c r="AA84" s="46">
        <f t="shared" si="11"/>
        <v>11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252</v>
      </c>
      <c r="AL84" s="46">
        <v>0</v>
      </c>
      <c r="AM84" s="46">
        <v>1</v>
      </c>
      <c r="AN84" s="46">
        <v>1</v>
      </c>
      <c r="AO84" s="46">
        <v>1</v>
      </c>
      <c r="AP84" s="46">
        <v>1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28</v>
      </c>
      <c r="N85" s="47" t="s">
        <v>26</v>
      </c>
      <c r="O85" s="47" t="s">
        <v>21</v>
      </c>
      <c r="P85" s="47" t="s">
        <v>64</v>
      </c>
      <c r="Q85" s="47" t="s">
        <v>28</v>
      </c>
      <c r="R85" s="47" t="s">
        <v>27</v>
      </c>
      <c r="S85" s="33" t="s">
        <v>24</v>
      </c>
      <c r="U85" s="46">
        <f t="shared" si="12"/>
        <v>15</v>
      </c>
      <c r="V85" s="46">
        <f t="shared" si="12"/>
        <v>7</v>
      </c>
      <c r="W85" s="46">
        <f t="shared" si="12"/>
        <v>12</v>
      </c>
      <c r="X85" s="46">
        <f t="shared" si="11"/>
        <v>13</v>
      </c>
      <c r="Y85" s="46">
        <f t="shared" si="11"/>
        <v>15</v>
      </c>
      <c r="Z85" s="46">
        <f t="shared" si="11"/>
        <v>12</v>
      </c>
      <c r="AA85" s="46">
        <f t="shared" si="11"/>
        <v>11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254</v>
      </c>
      <c r="AL85" s="46">
        <v>0</v>
      </c>
      <c r="AM85" s="46">
        <v>2</v>
      </c>
      <c r="AN85" s="46">
        <v>1</v>
      </c>
      <c r="AO85" s="46">
        <v>1</v>
      </c>
      <c r="AP85" s="46">
        <v>1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29</v>
      </c>
      <c r="N86" s="47" t="s">
        <v>27</v>
      </c>
      <c r="O86" s="47" t="s">
        <v>21</v>
      </c>
      <c r="P86" s="47" t="s">
        <v>27</v>
      </c>
      <c r="Q86" s="47" t="s">
        <v>28</v>
      </c>
      <c r="R86" s="47" t="s">
        <v>24</v>
      </c>
      <c r="S86" s="33" t="s">
        <v>24</v>
      </c>
      <c r="U86" s="46">
        <f t="shared" si="12"/>
        <v>18</v>
      </c>
      <c r="V86" s="46">
        <f t="shared" si="12"/>
        <v>12</v>
      </c>
      <c r="W86" s="46">
        <f t="shared" si="12"/>
        <v>12</v>
      </c>
      <c r="X86" s="46">
        <f t="shared" si="11"/>
        <v>12</v>
      </c>
      <c r="Y86" s="46">
        <f t="shared" si="11"/>
        <v>15</v>
      </c>
      <c r="Z86" s="46">
        <f t="shared" si="11"/>
        <v>11</v>
      </c>
      <c r="AA86" s="46">
        <f t="shared" si="11"/>
        <v>11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203" t="s">
        <v>101</v>
      </c>
      <c r="AL86" s="203">
        <v>0</v>
      </c>
      <c r="AM86" s="203">
        <v>0</v>
      </c>
      <c r="AN86" s="203">
        <v>0</v>
      </c>
      <c r="AO86" s="203">
        <v>0</v>
      </c>
      <c r="AP86" s="203">
        <v>0</v>
      </c>
      <c r="AQ86" s="203">
        <v>0</v>
      </c>
      <c r="AR86" s="203">
        <v>0</v>
      </c>
      <c r="AS86" s="200">
        <v>24</v>
      </c>
    </row>
    <row r="87" spans="12:45">
      <c r="L87" s="18">
        <v>83</v>
      </c>
      <c r="M87" s="47" t="s">
        <v>28</v>
      </c>
      <c r="N87" s="47" t="s">
        <v>27</v>
      </c>
      <c r="O87" s="47" t="s">
        <v>21</v>
      </c>
      <c r="P87" s="47" t="s">
        <v>18</v>
      </c>
      <c r="Q87" s="47" t="s">
        <v>89</v>
      </c>
      <c r="R87" s="47" t="s">
        <v>29</v>
      </c>
      <c r="S87" s="33" t="s">
        <v>27</v>
      </c>
      <c r="U87" s="46">
        <f t="shared" si="12"/>
        <v>15</v>
      </c>
      <c r="V87" s="46">
        <f t="shared" si="12"/>
        <v>12</v>
      </c>
      <c r="W87" s="46">
        <f t="shared" si="12"/>
        <v>12</v>
      </c>
      <c r="X87" s="46">
        <f t="shared" si="11"/>
        <v>10</v>
      </c>
      <c r="Y87" s="46">
        <f t="shared" si="11"/>
        <v>8</v>
      </c>
      <c r="Z87" s="46">
        <f t="shared" si="11"/>
        <v>18</v>
      </c>
      <c r="AA87" s="46">
        <f t="shared" si="11"/>
        <v>12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1</v>
      </c>
      <c r="AK87" s="203" t="s">
        <v>269</v>
      </c>
      <c r="AL87" s="203">
        <v>0</v>
      </c>
      <c r="AM87" s="203">
        <v>0</v>
      </c>
      <c r="AN87" s="203">
        <v>0</v>
      </c>
      <c r="AO87" s="203">
        <v>0</v>
      </c>
      <c r="AP87" s="203">
        <v>0</v>
      </c>
      <c r="AQ87" s="203">
        <v>0</v>
      </c>
      <c r="AR87" s="203">
        <v>0</v>
      </c>
      <c r="AS87" s="200">
        <v>25</v>
      </c>
    </row>
    <row r="88" spans="12:45">
      <c r="L88" s="19">
        <v>84</v>
      </c>
      <c r="M88" s="47" t="s">
        <v>28</v>
      </c>
      <c r="N88" s="47" t="s">
        <v>64</v>
      </c>
      <c r="O88" s="47" t="s">
        <v>18</v>
      </c>
      <c r="P88" s="47" t="s">
        <v>27</v>
      </c>
      <c r="Q88" s="47" t="s">
        <v>21</v>
      </c>
      <c r="R88" s="47" t="s">
        <v>29</v>
      </c>
      <c r="S88" s="33" t="s">
        <v>27</v>
      </c>
      <c r="U88" s="46">
        <f t="shared" si="12"/>
        <v>15</v>
      </c>
      <c r="V88" s="46">
        <f t="shared" si="12"/>
        <v>13</v>
      </c>
      <c r="W88" s="46">
        <f t="shared" si="12"/>
        <v>10</v>
      </c>
      <c r="X88" s="46">
        <f t="shared" si="11"/>
        <v>12</v>
      </c>
      <c r="Y88" s="46">
        <f t="shared" si="11"/>
        <v>12</v>
      </c>
      <c r="Z88" s="46">
        <f t="shared" si="11"/>
        <v>18</v>
      </c>
      <c r="AA88" s="46">
        <f t="shared" si="11"/>
        <v>12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29</v>
      </c>
      <c r="N89" s="47" t="s">
        <v>24</v>
      </c>
      <c r="O89" s="47" t="s">
        <v>246</v>
      </c>
      <c r="P89" s="47" t="s">
        <v>27</v>
      </c>
      <c r="Q89" s="47" t="s">
        <v>26</v>
      </c>
      <c r="R89" s="47" t="s">
        <v>24</v>
      </c>
      <c r="S89" s="33" t="s">
        <v>27</v>
      </c>
      <c r="U89" s="46">
        <f t="shared" si="12"/>
        <v>18</v>
      </c>
      <c r="V89" s="46">
        <f t="shared" si="12"/>
        <v>11</v>
      </c>
      <c r="W89" s="46">
        <f t="shared" si="12"/>
        <v>0</v>
      </c>
      <c r="X89" s="46">
        <f t="shared" si="11"/>
        <v>12</v>
      </c>
      <c r="Y89" s="46">
        <f t="shared" si="11"/>
        <v>7</v>
      </c>
      <c r="Z89" s="46">
        <f t="shared" si="11"/>
        <v>11</v>
      </c>
      <c r="AA89" s="46">
        <f t="shared" si="11"/>
        <v>12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273</v>
      </c>
    </row>
    <row r="90" spans="12:45">
      <c r="L90" s="19">
        <v>86</v>
      </c>
      <c r="M90" s="47" t="s">
        <v>29</v>
      </c>
      <c r="N90" s="47" t="s">
        <v>29</v>
      </c>
      <c r="O90" s="47" t="s">
        <v>24</v>
      </c>
      <c r="P90" s="47" t="s">
        <v>27</v>
      </c>
      <c r="Q90" s="47" t="s">
        <v>18</v>
      </c>
      <c r="R90" s="47" t="s">
        <v>64</v>
      </c>
      <c r="S90" s="33" t="s">
        <v>29</v>
      </c>
      <c r="U90" s="46">
        <f t="shared" si="12"/>
        <v>18</v>
      </c>
      <c r="V90" s="46">
        <f t="shared" si="12"/>
        <v>18</v>
      </c>
      <c r="W90" s="46">
        <f t="shared" si="12"/>
        <v>11</v>
      </c>
      <c r="X90" s="46">
        <f t="shared" si="11"/>
        <v>12</v>
      </c>
      <c r="Y90" s="46">
        <f t="shared" si="11"/>
        <v>10</v>
      </c>
      <c r="Z90" s="46">
        <f t="shared" si="11"/>
        <v>13</v>
      </c>
      <c r="AA90" s="46">
        <f t="shared" si="11"/>
        <v>18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277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29</v>
      </c>
      <c r="N91" s="47" t="s">
        <v>29</v>
      </c>
      <c r="O91" s="47" t="s">
        <v>24</v>
      </c>
      <c r="P91" s="47" t="s">
        <v>29</v>
      </c>
      <c r="Q91" s="47" t="s">
        <v>27</v>
      </c>
      <c r="R91" s="47" t="s">
        <v>24</v>
      </c>
      <c r="S91" s="33" t="s">
        <v>64</v>
      </c>
      <c r="U91" s="46">
        <f t="shared" si="12"/>
        <v>18</v>
      </c>
      <c r="V91" s="46">
        <f t="shared" si="12"/>
        <v>18</v>
      </c>
      <c r="W91" s="46">
        <f t="shared" si="12"/>
        <v>11</v>
      </c>
      <c r="X91" s="46">
        <f t="shared" si="11"/>
        <v>18</v>
      </c>
      <c r="Y91" s="46">
        <f t="shared" si="11"/>
        <v>12</v>
      </c>
      <c r="Z91" s="46">
        <f t="shared" si="11"/>
        <v>11</v>
      </c>
      <c r="AA91" s="46">
        <f t="shared" si="11"/>
        <v>13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29</v>
      </c>
      <c r="N92" s="47" t="s">
        <v>17</v>
      </c>
      <c r="O92" s="47" t="s">
        <v>28</v>
      </c>
      <c r="P92" s="47" t="s">
        <v>29</v>
      </c>
      <c r="Q92" s="47" t="s">
        <v>27</v>
      </c>
      <c r="R92" s="47" t="s">
        <v>24</v>
      </c>
      <c r="S92" s="33" t="s">
        <v>64</v>
      </c>
      <c r="U92" s="46">
        <f t="shared" si="12"/>
        <v>18</v>
      </c>
      <c r="V92" s="46">
        <f t="shared" si="12"/>
        <v>14</v>
      </c>
      <c r="W92" s="46">
        <f t="shared" si="12"/>
        <v>15</v>
      </c>
      <c r="X92" s="46">
        <f t="shared" si="11"/>
        <v>18</v>
      </c>
      <c r="Y92" s="46">
        <f t="shared" si="11"/>
        <v>12</v>
      </c>
      <c r="Z92" s="46">
        <f t="shared" si="11"/>
        <v>11</v>
      </c>
      <c r="AA92" s="46">
        <f t="shared" si="11"/>
        <v>13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5</v>
      </c>
      <c r="AM92" s="46">
        <v>5</v>
      </c>
      <c r="AN92" s="46">
        <v>5</v>
      </c>
      <c r="AO92" s="46">
        <v>5</v>
      </c>
      <c r="AP92" s="46">
        <v>5</v>
      </c>
      <c r="AQ92" s="46">
        <v>5</v>
      </c>
      <c r="AR92" s="46">
        <v>0</v>
      </c>
      <c r="AS92" s="5">
        <v>1</v>
      </c>
    </row>
    <row r="93" spans="12:45">
      <c r="L93" s="18">
        <v>89</v>
      </c>
      <c r="M93" s="47" t="s">
        <v>28</v>
      </c>
      <c r="N93" s="47" t="s">
        <v>21</v>
      </c>
      <c r="O93" s="47" t="s">
        <v>28</v>
      </c>
      <c r="P93" s="47" t="s">
        <v>29</v>
      </c>
      <c r="Q93" s="47" t="s">
        <v>26</v>
      </c>
      <c r="R93" s="47" t="s">
        <v>24</v>
      </c>
      <c r="S93" s="33" t="s">
        <v>64</v>
      </c>
      <c r="U93" s="46">
        <f t="shared" si="12"/>
        <v>15</v>
      </c>
      <c r="V93" s="46">
        <f t="shared" si="12"/>
        <v>12</v>
      </c>
      <c r="W93" s="46">
        <f t="shared" si="12"/>
        <v>15</v>
      </c>
      <c r="X93" s="46">
        <f t="shared" si="11"/>
        <v>18</v>
      </c>
      <c r="Y93" s="46">
        <f t="shared" si="11"/>
        <v>7</v>
      </c>
      <c r="Z93" s="46">
        <f t="shared" si="11"/>
        <v>11</v>
      </c>
      <c r="AA93" s="46">
        <f t="shared" si="11"/>
        <v>13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203" t="s">
        <v>20</v>
      </c>
      <c r="AL93" s="203">
        <v>20</v>
      </c>
      <c r="AM93" s="203">
        <v>0</v>
      </c>
      <c r="AN93" s="203">
        <v>4</v>
      </c>
      <c r="AO93" s="203">
        <v>1</v>
      </c>
      <c r="AP93" s="203">
        <v>50</v>
      </c>
      <c r="AQ93" s="203">
        <v>1</v>
      </c>
      <c r="AR93" s="203">
        <v>0</v>
      </c>
      <c r="AS93" s="200">
        <v>2</v>
      </c>
    </row>
    <row r="94" spans="12:45">
      <c r="L94" s="19">
        <v>90</v>
      </c>
      <c r="M94" s="47" t="s">
        <v>24</v>
      </c>
      <c r="N94" s="47" t="s">
        <v>21</v>
      </c>
      <c r="O94" s="47" t="s">
        <v>18</v>
      </c>
      <c r="P94" s="47" t="s">
        <v>64</v>
      </c>
      <c r="Q94" s="47" t="s">
        <v>26</v>
      </c>
      <c r="R94" s="47" t="s">
        <v>27</v>
      </c>
      <c r="S94" s="33" t="s">
        <v>64</v>
      </c>
      <c r="U94" s="46">
        <f t="shared" si="12"/>
        <v>11</v>
      </c>
      <c r="V94" s="46">
        <f t="shared" si="12"/>
        <v>12</v>
      </c>
      <c r="W94" s="46">
        <f t="shared" si="12"/>
        <v>10</v>
      </c>
      <c r="X94" s="46">
        <f t="shared" si="11"/>
        <v>13</v>
      </c>
      <c r="Y94" s="46">
        <f t="shared" si="11"/>
        <v>7</v>
      </c>
      <c r="Z94" s="46">
        <f t="shared" si="11"/>
        <v>12</v>
      </c>
      <c r="AA94" s="46">
        <f t="shared" si="11"/>
        <v>13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203" t="s">
        <v>21</v>
      </c>
      <c r="AL94" s="203">
        <v>1</v>
      </c>
      <c r="AM94" s="203">
        <v>50</v>
      </c>
      <c r="AN94" s="203">
        <v>1</v>
      </c>
      <c r="AO94" s="203">
        <v>50</v>
      </c>
      <c r="AP94" s="203">
        <v>1</v>
      </c>
      <c r="AQ94" s="203">
        <v>1</v>
      </c>
      <c r="AR94" s="203">
        <v>0</v>
      </c>
      <c r="AS94" s="200">
        <v>3</v>
      </c>
    </row>
    <row r="95" spans="12:45">
      <c r="L95" s="18">
        <v>91</v>
      </c>
      <c r="M95" s="47" t="s">
        <v>28</v>
      </c>
      <c r="N95" s="47" t="s">
        <v>24</v>
      </c>
      <c r="O95" s="47" t="s">
        <v>28</v>
      </c>
      <c r="P95" s="47" t="s">
        <v>64</v>
      </c>
      <c r="Q95" s="47" t="s">
        <v>248</v>
      </c>
      <c r="R95" s="47" t="s">
        <v>27</v>
      </c>
      <c r="S95" s="33" t="s">
        <v>29</v>
      </c>
      <c r="U95" s="46">
        <f t="shared" si="12"/>
        <v>15</v>
      </c>
      <c r="V95" s="46">
        <f t="shared" si="12"/>
        <v>11</v>
      </c>
      <c r="W95" s="46">
        <f t="shared" si="12"/>
        <v>15</v>
      </c>
      <c r="X95" s="46">
        <f t="shared" si="11"/>
        <v>13</v>
      </c>
      <c r="Y95" s="46">
        <f t="shared" si="11"/>
        <v>0</v>
      </c>
      <c r="Z95" s="46">
        <f t="shared" si="11"/>
        <v>12</v>
      </c>
      <c r="AA95" s="46">
        <f t="shared" si="11"/>
        <v>18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203" t="s">
        <v>17</v>
      </c>
      <c r="AL95" s="203">
        <v>50</v>
      </c>
      <c r="AM95" s="203">
        <v>1</v>
      </c>
      <c r="AN95" s="203">
        <v>60</v>
      </c>
      <c r="AO95" s="203">
        <v>0</v>
      </c>
      <c r="AP95" s="203">
        <v>1</v>
      </c>
      <c r="AQ95" s="203">
        <v>50</v>
      </c>
      <c r="AR95" s="203">
        <v>1</v>
      </c>
      <c r="AS95" s="200">
        <v>4</v>
      </c>
    </row>
    <row r="96" spans="12:45">
      <c r="L96" s="19">
        <v>92</v>
      </c>
      <c r="M96" s="47" t="s">
        <v>64</v>
      </c>
      <c r="N96" s="47" t="s">
        <v>64</v>
      </c>
      <c r="O96" s="47" t="s">
        <v>28</v>
      </c>
      <c r="P96" s="47" t="s">
        <v>64</v>
      </c>
      <c r="Q96" s="47" t="s">
        <v>28</v>
      </c>
      <c r="R96" s="47" t="s">
        <v>64</v>
      </c>
      <c r="S96" s="33" t="s">
        <v>29</v>
      </c>
      <c r="U96" s="46">
        <f t="shared" si="12"/>
        <v>13</v>
      </c>
      <c r="V96" s="46">
        <f t="shared" si="12"/>
        <v>13</v>
      </c>
      <c r="W96" s="46">
        <f t="shared" si="12"/>
        <v>15</v>
      </c>
      <c r="X96" s="46">
        <f t="shared" si="11"/>
        <v>13</v>
      </c>
      <c r="Y96" s="46">
        <f t="shared" si="11"/>
        <v>15</v>
      </c>
      <c r="Z96" s="46">
        <f t="shared" si="11"/>
        <v>13</v>
      </c>
      <c r="AA96" s="46">
        <f t="shared" si="11"/>
        <v>18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203" t="s">
        <v>18</v>
      </c>
      <c r="AL96" s="203">
        <v>1</v>
      </c>
      <c r="AM96" s="203">
        <v>50</v>
      </c>
      <c r="AN96" s="203">
        <v>1</v>
      </c>
      <c r="AO96" s="203">
        <v>1</v>
      </c>
      <c r="AP96" s="203">
        <v>1</v>
      </c>
      <c r="AQ96" s="203">
        <v>50</v>
      </c>
      <c r="AR96" s="203">
        <v>1</v>
      </c>
      <c r="AS96" s="200">
        <v>5</v>
      </c>
    </row>
    <row r="97" spans="12:45">
      <c r="L97" s="18">
        <v>93</v>
      </c>
      <c r="M97" s="47" t="s">
        <v>24</v>
      </c>
      <c r="N97" s="47" t="s">
        <v>18</v>
      </c>
      <c r="O97" s="47" t="s">
        <v>29</v>
      </c>
      <c r="P97" s="47" t="s">
        <v>29</v>
      </c>
      <c r="Q97" s="47" t="s">
        <v>26</v>
      </c>
      <c r="R97" s="47" t="s">
        <v>64</v>
      </c>
      <c r="S97" s="33" t="s">
        <v>29</v>
      </c>
      <c r="U97" s="46">
        <f t="shared" si="12"/>
        <v>11</v>
      </c>
      <c r="V97" s="46">
        <f t="shared" si="12"/>
        <v>10</v>
      </c>
      <c r="W97" s="46">
        <f t="shared" si="12"/>
        <v>18</v>
      </c>
      <c r="X97" s="46">
        <f t="shared" si="11"/>
        <v>18</v>
      </c>
      <c r="Y97" s="46">
        <f t="shared" si="11"/>
        <v>7</v>
      </c>
      <c r="Z97" s="46">
        <f t="shared" si="11"/>
        <v>13</v>
      </c>
      <c r="AA97" s="46">
        <f t="shared" si="11"/>
        <v>18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203" t="s">
        <v>64</v>
      </c>
      <c r="AL97" s="203">
        <v>60</v>
      </c>
      <c r="AM97" s="203">
        <v>1</v>
      </c>
      <c r="AN97" s="203">
        <v>50</v>
      </c>
      <c r="AO97" s="203">
        <v>1</v>
      </c>
      <c r="AP97" s="203">
        <v>50</v>
      </c>
      <c r="AQ97" s="203">
        <v>1</v>
      </c>
      <c r="AR97" s="203">
        <v>1</v>
      </c>
      <c r="AS97" s="200">
        <v>6</v>
      </c>
    </row>
    <row r="98" spans="12:45">
      <c r="L98" s="19">
        <v>94</v>
      </c>
      <c r="M98" s="47" t="s">
        <v>26</v>
      </c>
      <c r="N98" s="47" t="s">
        <v>236</v>
      </c>
      <c r="O98" s="47" t="s">
        <v>28</v>
      </c>
      <c r="P98" s="47" t="s">
        <v>29</v>
      </c>
      <c r="Q98" s="47" t="s">
        <v>26</v>
      </c>
      <c r="R98" s="47" t="s">
        <v>64</v>
      </c>
      <c r="S98" s="33" t="s">
        <v>28</v>
      </c>
      <c r="U98" s="46">
        <f t="shared" si="12"/>
        <v>7</v>
      </c>
      <c r="V98" s="46">
        <f t="shared" si="12"/>
        <v>0</v>
      </c>
      <c r="W98" s="46">
        <f t="shared" si="12"/>
        <v>15</v>
      </c>
      <c r="X98" s="46">
        <f t="shared" si="11"/>
        <v>18</v>
      </c>
      <c r="Y98" s="46">
        <f t="shared" si="11"/>
        <v>7</v>
      </c>
      <c r="Z98" s="46">
        <f t="shared" si="11"/>
        <v>13</v>
      </c>
      <c r="AA98" s="46">
        <f t="shared" si="11"/>
        <v>15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203" t="s">
        <v>89</v>
      </c>
      <c r="AL98" s="203">
        <v>1</v>
      </c>
      <c r="AM98" s="203">
        <v>50</v>
      </c>
      <c r="AN98" s="203">
        <v>1</v>
      </c>
      <c r="AO98" s="203">
        <v>1</v>
      </c>
      <c r="AP98" s="203">
        <v>1</v>
      </c>
      <c r="AQ98" s="203">
        <v>50</v>
      </c>
      <c r="AR98" s="203">
        <v>1</v>
      </c>
      <c r="AS98" s="200">
        <v>7</v>
      </c>
    </row>
    <row r="99" spans="12:45">
      <c r="L99" s="18">
        <v>95</v>
      </c>
      <c r="M99" s="47" t="s">
        <v>26</v>
      </c>
      <c r="N99" s="47" t="s">
        <v>64</v>
      </c>
      <c r="O99" s="47" t="s">
        <v>28</v>
      </c>
      <c r="P99" s="47" t="s">
        <v>244</v>
      </c>
      <c r="Q99" s="47" t="s">
        <v>26</v>
      </c>
      <c r="R99" s="47" t="s">
        <v>29</v>
      </c>
      <c r="S99" s="33" t="s">
        <v>28</v>
      </c>
      <c r="U99" s="46">
        <f t="shared" si="12"/>
        <v>7</v>
      </c>
      <c r="V99" s="46">
        <f t="shared" si="12"/>
        <v>13</v>
      </c>
      <c r="W99" s="46">
        <f t="shared" si="12"/>
        <v>15</v>
      </c>
      <c r="X99" s="46">
        <f t="shared" si="11"/>
        <v>0</v>
      </c>
      <c r="Y99" s="46">
        <f t="shared" si="11"/>
        <v>7</v>
      </c>
      <c r="Z99" s="46">
        <f t="shared" si="11"/>
        <v>18</v>
      </c>
      <c r="AA99" s="46">
        <f t="shared" si="11"/>
        <v>15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0</v>
      </c>
      <c r="AM99" s="46">
        <v>1</v>
      </c>
      <c r="AN99" s="46">
        <v>40</v>
      </c>
      <c r="AO99" s="46">
        <v>1</v>
      </c>
      <c r="AP99" s="46">
        <v>50</v>
      </c>
      <c r="AQ99" s="46">
        <v>1</v>
      </c>
      <c r="AR99" s="46">
        <v>1</v>
      </c>
      <c r="AS99" s="5">
        <v>8</v>
      </c>
    </row>
    <row r="100" spans="12:45">
      <c r="L100" s="19">
        <v>96</v>
      </c>
      <c r="M100" s="47" t="s">
        <v>27</v>
      </c>
      <c r="N100" s="47" t="s">
        <v>64</v>
      </c>
      <c r="O100" s="47" t="s">
        <v>28</v>
      </c>
      <c r="P100" s="47" t="s">
        <v>89</v>
      </c>
      <c r="Q100" s="47" t="s">
        <v>89</v>
      </c>
      <c r="R100" s="47" t="s">
        <v>18</v>
      </c>
      <c r="S100" s="33" t="s">
        <v>28</v>
      </c>
      <c r="U100" s="46">
        <f t="shared" si="12"/>
        <v>12</v>
      </c>
      <c r="V100" s="46">
        <f t="shared" si="12"/>
        <v>13</v>
      </c>
      <c r="W100" s="46">
        <f t="shared" si="12"/>
        <v>15</v>
      </c>
      <c r="X100" s="46">
        <f t="shared" si="11"/>
        <v>8</v>
      </c>
      <c r="Y100" s="46">
        <f t="shared" si="11"/>
        <v>8</v>
      </c>
      <c r="Z100" s="46">
        <f t="shared" si="11"/>
        <v>10</v>
      </c>
      <c r="AA100" s="46">
        <f t="shared" si="11"/>
        <v>15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1</v>
      </c>
      <c r="AM100" s="46">
        <v>1</v>
      </c>
      <c r="AN100" s="46">
        <v>1</v>
      </c>
      <c r="AO100" s="46">
        <v>50</v>
      </c>
      <c r="AP100" s="46">
        <v>1</v>
      </c>
      <c r="AQ100" s="46">
        <v>50</v>
      </c>
      <c r="AR100" s="46">
        <v>1</v>
      </c>
      <c r="AS100" s="5">
        <v>9</v>
      </c>
    </row>
    <row r="101" spans="12:45">
      <c r="L101" s="18">
        <v>97</v>
      </c>
      <c r="M101" s="47" t="s">
        <v>29</v>
      </c>
      <c r="N101" s="47" t="s">
        <v>21</v>
      </c>
      <c r="O101" s="47" t="s">
        <v>24</v>
      </c>
      <c r="P101" s="47" t="s">
        <v>89</v>
      </c>
      <c r="Q101" s="47" t="s">
        <v>18</v>
      </c>
      <c r="R101" s="47" t="s">
        <v>18</v>
      </c>
      <c r="S101" s="33" t="s">
        <v>29</v>
      </c>
      <c r="U101" s="46">
        <f t="shared" si="12"/>
        <v>18</v>
      </c>
      <c r="V101" s="46">
        <f t="shared" si="12"/>
        <v>12</v>
      </c>
      <c r="W101" s="46">
        <f t="shared" si="12"/>
        <v>11</v>
      </c>
      <c r="X101" s="46">
        <f t="shared" si="11"/>
        <v>8</v>
      </c>
      <c r="Y101" s="46">
        <f t="shared" si="11"/>
        <v>10</v>
      </c>
      <c r="Z101" s="46">
        <f t="shared" si="11"/>
        <v>10</v>
      </c>
      <c r="AA101" s="46">
        <f t="shared" si="11"/>
        <v>18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20</v>
      </c>
      <c r="AM101" s="46">
        <v>1</v>
      </c>
      <c r="AN101" s="46">
        <v>15</v>
      </c>
      <c r="AO101" s="46">
        <v>1</v>
      </c>
      <c r="AP101" s="46">
        <v>1</v>
      </c>
      <c r="AQ101" s="46">
        <v>1</v>
      </c>
      <c r="AR101" s="46">
        <v>2</v>
      </c>
      <c r="AS101" s="5">
        <v>10</v>
      </c>
    </row>
    <row r="102" spans="12:45">
      <c r="L102" s="19">
        <v>98</v>
      </c>
      <c r="M102" s="47" t="s">
        <v>17</v>
      </c>
      <c r="N102" s="47" t="s">
        <v>89</v>
      </c>
      <c r="O102" s="47" t="s">
        <v>27</v>
      </c>
      <c r="P102" s="47" t="s">
        <v>27</v>
      </c>
      <c r="Q102" s="47" t="s">
        <v>28</v>
      </c>
      <c r="R102" s="47" t="s">
        <v>29</v>
      </c>
      <c r="S102" s="33" t="s">
        <v>18</v>
      </c>
      <c r="U102" s="46">
        <f t="shared" si="12"/>
        <v>14</v>
      </c>
      <c r="V102" s="46">
        <f t="shared" si="12"/>
        <v>8</v>
      </c>
      <c r="W102" s="46">
        <f t="shared" si="12"/>
        <v>12</v>
      </c>
      <c r="X102" s="46">
        <f t="shared" si="11"/>
        <v>12</v>
      </c>
      <c r="Y102" s="46">
        <f t="shared" si="11"/>
        <v>15</v>
      </c>
      <c r="Z102" s="46">
        <f t="shared" si="11"/>
        <v>18</v>
      </c>
      <c r="AA102" s="46">
        <f t="shared" si="11"/>
        <v>10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1</v>
      </c>
      <c r="AM102" s="46">
        <v>50</v>
      </c>
      <c r="AN102" s="46">
        <v>1</v>
      </c>
      <c r="AO102" s="46">
        <v>1</v>
      </c>
      <c r="AP102" s="46">
        <v>1</v>
      </c>
      <c r="AQ102" s="46">
        <v>1</v>
      </c>
      <c r="AR102" s="46">
        <v>1</v>
      </c>
      <c r="AS102" s="5">
        <v>11</v>
      </c>
    </row>
    <row r="103" spans="12:45">
      <c r="L103" s="18">
        <v>99</v>
      </c>
      <c r="M103" s="47" t="s">
        <v>28</v>
      </c>
      <c r="N103" s="47" t="s">
        <v>244</v>
      </c>
      <c r="O103" s="47" t="s">
        <v>26</v>
      </c>
      <c r="P103" s="47" t="s">
        <v>27</v>
      </c>
      <c r="Q103" s="47" t="s">
        <v>28</v>
      </c>
      <c r="R103" s="47" t="s">
        <v>29</v>
      </c>
      <c r="S103" s="33" t="s">
        <v>18</v>
      </c>
      <c r="U103" s="46">
        <f t="shared" si="12"/>
        <v>15</v>
      </c>
      <c r="V103" s="46">
        <f t="shared" si="12"/>
        <v>0</v>
      </c>
      <c r="W103" s="46">
        <f t="shared" si="12"/>
        <v>7</v>
      </c>
      <c r="X103" s="46">
        <f t="shared" si="11"/>
        <v>12</v>
      </c>
      <c r="Y103" s="46">
        <f t="shared" si="11"/>
        <v>15</v>
      </c>
      <c r="Z103" s="46">
        <f t="shared" si="11"/>
        <v>18</v>
      </c>
      <c r="AA103" s="46">
        <f t="shared" si="11"/>
        <v>10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50</v>
      </c>
      <c r="AM103" s="46">
        <v>1</v>
      </c>
      <c r="AN103" s="46">
        <v>1</v>
      </c>
      <c r="AO103" s="46">
        <v>1</v>
      </c>
      <c r="AP103" s="46">
        <v>1</v>
      </c>
      <c r="AQ103" s="46">
        <v>1</v>
      </c>
      <c r="AR103" s="46">
        <v>1</v>
      </c>
      <c r="AS103" s="5">
        <v>12</v>
      </c>
    </row>
    <row r="104" spans="12:45">
      <c r="L104" s="19">
        <v>100</v>
      </c>
      <c r="M104" s="47" t="s">
        <v>89</v>
      </c>
      <c r="N104" s="47" t="s">
        <v>64</v>
      </c>
      <c r="O104" s="47" t="s">
        <v>26</v>
      </c>
      <c r="P104" s="47" t="s">
        <v>250</v>
      </c>
      <c r="Q104" s="47" t="s">
        <v>18</v>
      </c>
      <c r="R104" s="47" t="s">
        <v>64</v>
      </c>
      <c r="S104" s="33" t="s">
        <v>18</v>
      </c>
      <c r="U104" s="46">
        <f t="shared" si="12"/>
        <v>8</v>
      </c>
      <c r="V104" s="46">
        <f t="shared" si="12"/>
        <v>13</v>
      </c>
      <c r="W104" s="46">
        <f t="shared" si="12"/>
        <v>7</v>
      </c>
      <c r="X104" s="46">
        <f t="shared" si="11"/>
        <v>0</v>
      </c>
      <c r="Y104" s="46">
        <f t="shared" si="11"/>
        <v>10</v>
      </c>
      <c r="Z104" s="46">
        <f t="shared" si="11"/>
        <v>13</v>
      </c>
      <c r="AA104" s="46">
        <f t="shared" si="11"/>
        <v>10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203" t="s">
        <v>234</v>
      </c>
      <c r="AL104" s="203">
        <v>0</v>
      </c>
      <c r="AM104" s="203">
        <v>2</v>
      </c>
      <c r="AN104" s="203">
        <v>2</v>
      </c>
      <c r="AO104" s="203">
        <v>1</v>
      </c>
      <c r="AP104" s="203">
        <v>2</v>
      </c>
      <c r="AQ104" s="203">
        <v>0</v>
      </c>
      <c r="AR104" s="203">
        <v>0</v>
      </c>
      <c r="AS104" s="200">
        <v>13</v>
      </c>
    </row>
    <row r="105" spans="12:45">
      <c r="L105" s="18">
        <v>101</v>
      </c>
      <c r="M105" s="47" t="s">
        <v>89</v>
      </c>
      <c r="N105" s="47" t="s">
        <v>69</v>
      </c>
      <c r="O105" s="47" t="s">
        <v>28</v>
      </c>
      <c r="P105" s="47" t="s">
        <v>64</v>
      </c>
      <c r="Q105" s="47" t="s">
        <v>252</v>
      </c>
      <c r="R105" s="47" t="s">
        <v>64</v>
      </c>
      <c r="S105" s="33" t="s">
        <v>28</v>
      </c>
      <c r="U105" s="46">
        <f t="shared" si="12"/>
        <v>8</v>
      </c>
      <c r="V105" s="46">
        <f t="shared" si="12"/>
        <v>0</v>
      </c>
      <c r="W105" s="46">
        <f t="shared" si="12"/>
        <v>15</v>
      </c>
      <c r="X105" s="46">
        <f t="shared" si="11"/>
        <v>13</v>
      </c>
      <c r="Y105" s="46">
        <f t="shared" si="11"/>
        <v>0</v>
      </c>
      <c r="Z105" s="46">
        <f t="shared" si="11"/>
        <v>13</v>
      </c>
      <c r="AA105" s="46">
        <f t="shared" si="11"/>
        <v>15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203" t="s">
        <v>236</v>
      </c>
      <c r="AL105" s="203">
        <v>0</v>
      </c>
      <c r="AM105" s="203">
        <v>1</v>
      </c>
      <c r="AN105" s="203">
        <v>1</v>
      </c>
      <c r="AO105" s="203">
        <v>2</v>
      </c>
      <c r="AP105" s="203">
        <v>1</v>
      </c>
      <c r="AQ105" s="203">
        <v>0</v>
      </c>
      <c r="AR105" s="203">
        <v>0</v>
      </c>
      <c r="AS105" s="200">
        <v>14</v>
      </c>
    </row>
    <row r="106" spans="12:45">
      <c r="L106" s="19">
        <v>102</v>
      </c>
      <c r="M106" s="47" t="s">
        <v>26</v>
      </c>
      <c r="N106" s="47" t="s">
        <v>268</v>
      </c>
      <c r="O106" s="47" t="s">
        <v>28</v>
      </c>
      <c r="P106" s="47" t="s">
        <v>24</v>
      </c>
      <c r="Q106" s="47" t="s">
        <v>28</v>
      </c>
      <c r="R106" s="47" t="s">
        <v>27</v>
      </c>
      <c r="S106" s="33" t="s">
        <v>28</v>
      </c>
      <c r="U106" s="46">
        <f t="shared" si="12"/>
        <v>7</v>
      </c>
      <c r="V106" s="46">
        <f t="shared" si="12"/>
        <v>0</v>
      </c>
      <c r="W106" s="46">
        <f t="shared" si="12"/>
        <v>15</v>
      </c>
      <c r="X106" s="46">
        <f t="shared" si="11"/>
        <v>11</v>
      </c>
      <c r="Y106" s="46">
        <f t="shared" si="11"/>
        <v>15</v>
      </c>
      <c r="Z106" s="46">
        <f t="shared" si="11"/>
        <v>12</v>
      </c>
      <c r="AA106" s="46">
        <f t="shared" si="11"/>
        <v>15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203" t="s">
        <v>238</v>
      </c>
      <c r="AL106" s="203">
        <v>0</v>
      </c>
      <c r="AM106" s="203">
        <v>2</v>
      </c>
      <c r="AN106" s="203">
        <v>2</v>
      </c>
      <c r="AO106" s="203">
        <v>1</v>
      </c>
      <c r="AP106" s="203">
        <v>1</v>
      </c>
      <c r="AQ106" s="203">
        <v>0</v>
      </c>
      <c r="AR106" s="203">
        <v>0</v>
      </c>
      <c r="AS106" s="200">
        <v>15</v>
      </c>
    </row>
    <row r="107" spans="12:45">
      <c r="L107" s="18">
        <v>103</v>
      </c>
      <c r="M107" s="47" t="s">
        <v>27</v>
      </c>
      <c r="N107" s="47" t="s">
        <v>64</v>
      </c>
      <c r="O107" s="47" t="s">
        <v>29</v>
      </c>
      <c r="P107" s="47" t="s">
        <v>27</v>
      </c>
      <c r="Q107" s="47" t="s">
        <v>28</v>
      </c>
      <c r="R107" s="47" t="s">
        <v>27</v>
      </c>
      <c r="S107" s="33" t="s">
        <v>21</v>
      </c>
      <c r="U107" s="46">
        <f t="shared" si="12"/>
        <v>12</v>
      </c>
      <c r="V107" s="46">
        <f t="shared" si="12"/>
        <v>13</v>
      </c>
      <c r="W107" s="46">
        <f t="shared" si="12"/>
        <v>18</v>
      </c>
      <c r="X107" s="46">
        <f t="shared" si="11"/>
        <v>12</v>
      </c>
      <c r="Y107" s="46">
        <f t="shared" si="11"/>
        <v>15</v>
      </c>
      <c r="Z107" s="46">
        <f t="shared" si="11"/>
        <v>12</v>
      </c>
      <c r="AA107" s="46">
        <f t="shared" si="11"/>
        <v>12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203" t="s">
        <v>240</v>
      </c>
      <c r="AL107" s="203">
        <v>0</v>
      </c>
      <c r="AM107" s="203">
        <v>1</v>
      </c>
      <c r="AN107" s="203">
        <v>1</v>
      </c>
      <c r="AO107" s="203">
        <v>1</v>
      </c>
      <c r="AP107" s="203">
        <v>1</v>
      </c>
      <c r="AQ107" s="203">
        <v>0</v>
      </c>
      <c r="AR107" s="203">
        <v>0</v>
      </c>
      <c r="AS107" s="200">
        <v>16</v>
      </c>
    </row>
    <row r="108" spans="12:45">
      <c r="L108" s="19">
        <v>104</v>
      </c>
      <c r="M108" s="47" t="s">
        <v>26</v>
      </c>
      <c r="N108" s="47" t="s">
        <v>64</v>
      </c>
      <c r="O108" s="47" t="s">
        <v>21</v>
      </c>
      <c r="P108" s="47" t="s">
        <v>27</v>
      </c>
      <c r="Q108" s="47" t="s">
        <v>89</v>
      </c>
      <c r="R108" s="47" t="s">
        <v>29</v>
      </c>
      <c r="S108" s="33" t="s">
        <v>21</v>
      </c>
      <c r="U108" s="46">
        <f t="shared" si="12"/>
        <v>7</v>
      </c>
      <c r="V108" s="46">
        <f t="shared" si="12"/>
        <v>13</v>
      </c>
      <c r="W108" s="46">
        <f t="shared" si="12"/>
        <v>12</v>
      </c>
      <c r="X108" s="46">
        <f t="shared" si="11"/>
        <v>12</v>
      </c>
      <c r="Y108" s="46">
        <f t="shared" si="11"/>
        <v>8</v>
      </c>
      <c r="Z108" s="46">
        <f t="shared" si="11"/>
        <v>18</v>
      </c>
      <c r="AA108" s="46">
        <f t="shared" si="11"/>
        <v>12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203" t="s">
        <v>242</v>
      </c>
      <c r="AL108" s="203">
        <v>0</v>
      </c>
      <c r="AM108" s="203">
        <v>2</v>
      </c>
      <c r="AN108" s="203">
        <v>2</v>
      </c>
      <c r="AO108" s="203">
        <v>1</v>
      </c>
      <c r="AP108" s="203">
        <v>2</v>
      </c>
      <c r="AQ108" s="203">
        <v>0</v>
      </c>
      <c r="AR108" s="203">
        <v>0</v>
      </c>
      <c r="AS108" s="200">
        <v>17</v>
      </c>
    </row>
    <row r="109" spans="12:45">
      <c r="L109" s="18">
        <v>105</v>
      </c>
      <c r="M109" s="47" t="s">
        <v>29</v>
      </c>
      <c r="N109" s="47" t="s">
        <v>29</v>
      </c>
      <c r="O109" s="47" t="s">
        <v>21</v>
      </c>
      <c r="P109" s="47" t="s">
        <v>17</v>
      </c>
      <c r="Q109" s="47" t="s">
        <v>28</v>
      </c>
      <c r="R109" s="47" t="s">
        <v>29</v>
      </c>
      <c r="S109" s="33" t="s">
        <v>29</v>
      </c>
      <c r="U109" s="46">
        <f t="shared" si="12"/>
        <v>18</v>
      </c>
      <c r="V109" s="46">
        <f t="shared" si="12"/>
        <v>18</v>
      </c>
      <c r="W109" s="46">
        <f t="shared" si="12"/>
        <v>12</v>
      </c>
      <c r="X109" s="46">
        <f t="shared" si="11"/>
        <v>14</v>
      </c>
      <c r="Y109" s="46">
        <f t="shared" si="11"/>
        <v>15</v>
      </c>
      <c r="Z109" s="46">
        <f t="shared" si="11"/>
        <v>18</v>
      </c>
      <c r="AA109" s="46">
        <f t="shared" si="11"/>
        <v>18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203" t="s">
        <v>244</v>
      </c>
      <c r="AL109" s="203">
        <v>0</v>
      </c>
      <c r="AM109" s="203">
        <v>2</v>
      </c>
      <c r="AN109" s="203">
        <v>2</v>
      </c>
      <c r="AO109" s="203">
        <v>1</v>
      </c>
      <c r="AP109" s="203">
        <v>2</v>
      </c>
      <c r="AQ109" s="203">
        <v>0</v>
      </c>
      <c r="AR109" s="203">
        <v>0</v>
      </c>
      <c r="AS109" s="200">
        <v>18</v>
      </c>
    </row>
    <row r="110" spans="12:45">
      <c r="L110" s="19">
        <v>106</v>
      </c>
      <c r="M110" s="47" t="s">
        <v>29</v>
      </c>
      <c r="N110" s="47" t="s">
        <v>27</v>
      </c>
      <c r="O110" s="47" t="s">
        <v>28</v>
      </c>
      <c r="P110" s="47" t="s">
        <v>64</v>
      </c>
      <c r="Q110" s="47" t="s">
        <v>29</v>
      </c>
      <c r="R110" s="47" t="s">
        <v>24</v>
      </c>
      <c r="S110" s="33" t="s">
        <v>29</v>
      </c>
      <c r="U110" s="46">
        <f t="shared" si="12"/>
        <v>18</v>
      </c>
      <c r="V110" s="46">
        <f t="shared" si="12"/>
        <v>12</v>
      </c>
      <c r="W110" s="46">
        <f t="shared" si="12"/>
        <v>15</v>
      </c>
      <c r="X110" s="46">
        <f t="shared" si="11"/>
        <v>13</v>
      </c>
      <c r="Y110" s="46">
        <f t="shared" si="11"/>
        <v>18</v>
      </c>
      <c r="Z110" s="46">
        <f t="shared" si="11"/>
        <v>11</v>
      </c>
      <c r="AA110" s="46">
        <f t="shared" si="11"/>
        <v>18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246</v>
      </c>
      <c r="AL110" s="46">
        <v>0</v>
      </c>
      <c r="AM110" s="46">
        <v>2</v>
      </c>
      <c r="AN110" s="46">
        <v>1</v>
      </c>
      <c r="AO110" s="46">
        <v>1</v>
      </c>
      <c r="AP110" s="46">
        <v>2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17</v>
      </c>
      <c r="N111" s="47" t="s">
        <v>27</v>
      </c>
      <c r="O111" s="47" t="s">
        <v>28</v>
      </c>
      <c r="P111" s="47" t="s">
        <v>28</v>
      </c>
      <c r="Q111" s="47" t="s">
        <v>18</v>
      </c>
      <c r="R111" s="47" t="s">
        <v>24</v>
      </c>
      <c r="S111" s="33" t="s">
        <v>29</v>
      </c>
      <c r="U111" s="46">
        <f t="shared" si="12"/>
        <v>14</v>
      </c>
      <c r="V111" s="46">
        <f t="shared" si="12"/>
        <v>12</v>
      </c>
      <c r="W111" s="46">
        <f t="shared" si="12"/>
        <v>15</v>
      </c>
      <c r="X111" s="46">
        <f t="shared" si="11"/>
        <v>15</v>
      </c>
      <c r="Y111" s="46">
        <f t="shared" si="11"/>
        <v>10</v>
      </c>
      <c r="Z111" s="46">
        <f t="shared" si="11"/>
        <v>11</v>
      </c>
      <c r="AA111" s="46">
        <f t="shared" si="11"/>
        <v>18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248</v>
      </c>
      <c r="AL111" s="46">
        <v>0</v>
      </c>
      <c r="AM111" s="46">
        <v>2</v>
      </c>
      <c r="AN111" s="46">
        <v>1</v>
      </c>
      <c r="AO111" s="46">
        <v>2</v>
      </c>
      <c r="AP111" s="46">
        <v>1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27</v>
      </c>
      <c r="N112" s="47" t="s">
        <v>21</v>
      </c>
      <c r="O112" s="47" t="s">
        <v>28</v>
      </c>
      <c r="P112" s="47" t="s">
        <v>29</v>
      </c>
      <c r="Q112" s="47" t="s">
        <v>244</v>
      </c>
      <c r="R112" s="47" t="s">
        <v>29</v>
      </c>
      <c r="S112" s="33" t="s">
        <v>28</v>
      </c>
      <c r="U112" s="46">
        <f t="shared" si="12"/>
        <v>12</v>
      </c>
      <c r="V112" s="46">
        <f t="shared" si="12"/>
        <v>12</v>
      </c>
      <c r="W112" s="46">
        <f t="shared" si="12"/>
        <v>15</v>
      </c>
      <c r="X112" s="46">
        <f t="shared" si="11"/>
        <v>18</v>
      </c>
      <c r="Y112" s="46">
        <f t="shared" si="11"/>
        <v>0</v>
      </c>
      <c r="Z112" s="46">
        <f t="shared" si="11"/>
        <v>18</v>
      </c>
      <c r="AA112" s="46">
        <f t="shared" si="11"/>
        <v>15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250</v>
      </c>
      <c r="AL112" s="46">
        <v>0</v>
      </c>
      <c r="AM112" s="46">
        <v>2</v>
      </c>
      <c r="AN112" s="46">
        <v>2</v>
      </c>
      <c r="AO112" s="46">
        <v>1</v>
      </c>
      <c r="AP112" s="46">
        <v>1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27</v>
      </c>
      <c r="N113" s="47" t="s">
        <v>24</v>
      </c>
      <c r="O113" s="47" t="s">
        <v>24</v>
      </c>
      <c r="P113" s="47" t="s">
        <v>64</v>
      </c>
      <c r="Q113" s="47" t="s">
        <v>89</v>
      </c>
      <c r="R113" s="47" t="s">
        <v>29</v>
      </c>
      <c r="S113" s="47" t="s">
        <v>28</v>
      </c>
      <c r="U113" s="46">
        <f t="shared" si="12"/>
        <v>12</v>
      </c>
      <c r="V113" s="46">
        <f t="shared" si="12"/>
        <v>11</v>
      </c>
      <c r="W113" s="46">
        <f t="shared" si="12"/>
        <v>11</v>
      </c>
      <c r="X113" s="46">
        <f t="shared" si="11"/>
        <v>13</v>
      </c>
      <c r="Y113" s="46">
        <f t="shared" si="11"/>
        <v>8</v>
      </c>
      <c r="Z113" s="46">
        <f t="shared" si="11"/>
        <v>18</v>
      </c>
      <c r="AA113" s="46">
        <f t="shared" si="11"/>
        <v>15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252</v>
      </c>
      <c r="AL113" s="46">
        <v>0</v>
      </c>
      <c r="AM113" s="46">
        <v>1</v>
      </c>
      <c r="AN113" s="46">
        <v>1</v>
      </c>
      <c r="AO113" s="46">
        <v>1</v>
      </c>
      <c r="AP113" s="46">
        <v>1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28</v>
      </c>
      <c r="N114" s="47" t="s">
        <v>64</v>
      </c>
      <c r="O114" s="47" t="s">
        <v>24</v>
      </c>
      <c r="P114" s="47" t="s">
        <v>64</v>
      </c>
      <c r="Q114" s="47" t="s">
        <v>28</v>
      </c>
      <c r="R114" s="47" t="s">
        <v>27</v>
      </c>
      <c r="S114" s="33" t="s">
        <v>28</v>
      </c>
      <c r="U114" s="46">
        <f t="shared" si="12"/>
        <v>15</v>
      </c>
      <c r="V114" s="46">
        <f t="shared" si="12"/>
        <v>13</v>
      </c>
      <c r="W114" s="46">
        <f t="shared" si="12"/>
        <v>11</v>
      </c>
      <c r="X114" s="46">
        <f t="shared" si="11"/>
        <v>13</v>
      </c>
      <c r="Y114" s="46">
        <f t="shared" si="11"/>
        <v>15</v>
      </c>
      <c r="Z114" s="46">
        <f t="shared" si="11"/>
        <v>12</v>
      </c>
      <c r="AA114" s="46">
        <f t="shared" si="11"/>
        <v>15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254</v>
      </c>
      <c r="AL114" s="46">
        <v>0</v>
      </c>
      <c r="AM114" s="46">
        <v>2</v>
      </c>
      <c r="AN114" s="46">
        <v>1</v>
      </c>
      <c r="AO114" s="46">
        <v>1</v>
      </c>
      <c r="AP114" s="46">
        <v>1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89</v>
      </c>
      <c r="N115" s="47" t="s">
        <v>27</v>
      </c>
      <c r="O115" s="47" t="s">
        <v>252</v>
      </c>
      <c r="P115" s="47" t="s">
        <v>26</v>
      </c>
      <c r="Q115" s="47" t="s">
        <v>89</v>
      </c>
      <c r="R115" s="47" t="s">
        <v>24</v>
      </c>
      <c r="S115" s="33" t="s">
        <v>21</v>
      </c>
      <c r="U115" s="46">
        <f t="shared" si="12"/>
        <v>8</v>
      </c>
      <c r="V115" s="46">
        <f t="shared" si="12"/>
        <v>12</v>
      </c>
      <c r="W115" s="46">
        <f t="shared" si="12"/>
        <v>0</v>
      </c>
      <c r="X115" s="46">
        <f t="shared" si="11"/>
        <v>7</v>
      </c>
      <c r="Y115" s="46">
        <f t="shared" si="11"/>
        <v>8</v>
      </c>
      <c r="Z115" s="46">
        <f t="shared" si="11"/>
        <v>11</v>
      </c>
      <c r="AA115" s="46">
        <f t="shared" si="11"/>
        <v>12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203" t="s">
        <v>101</v>
      </c>
      <c r="AL115" s="203">
        <v>0</v>
      </c>
      <c r="AM115" s="203">
        <v>0</v>
      </c>
      <c r="AN115" s="203">
        <v>0</v>
      </c>
      <c r="AO115" s="203">
        <v>0</v>
      </c>
      <c r="AP115" s="203">
        <v>0</v>
      </c>
      <c r="AQ115" s="203">
        <v>0</v>
      </c>
      <c r="AR115" s="203">
        <v>0</v>
      </c>
      <c r="AS115" s="200">
        <v>24</v>
      </c>
    </row>
    <row r="116" spans="12:46">
      <c r="L116" s="19">
        <v>112</v>
      </c>
      <c r="M116" s="47" t="s">
        <v>29</v>
      </c>
      <c r="N116" s="47" t="s">
        <v>27</v>
      </c>
      <c r="O116" s="47" t="s">
        <v>28</v>
      </c>
      <c r="P116" s="47" t="s">
        <v>254</v>
      </c>
      <c r="Q116" s="47" t="s">
        <v>89</v>
      </c>
      <c r="R116" s="47" t="s">
        <v>27</v>
      </c>
      <c r="S116" s="33" t="s">
        <v>21</v>
      </c>
      <c r="U116" s="46">
        <f t="shared" si="12"/>
        <v>18</v>
      </c>
      <c r="V116" s="46">
        <f t="shared" si="12"/>
        <v>12</v>
      </c>
      <c r="W116" s="46">
        <f t="shared" si="12"/>
        <v>15</v>
      </c>
      <c r="X116" s="46">
        <f t="shared" si="11"/>
        <v>0</v>
      </c>
      <c r="Y116" s="46">
        <f t="shared" si="11"/>
        <v>8</v>
      </c>
      <c r="Z116" s="46">
        <f t="shared" si="11"/>
        <v>12</v>
      </c>
      <c r="AA116" s="46">
        <f t="shared" si="11"/>
        <v>12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203" t="s">
        <v>269</v>
      </c>
      <c r="AL116" s="203">
        <v>0</v>
      </c>
      <c r="AM116" s="203">
        <v>0</v>
      </c>
      <c r="AN116" s="203">
        <v>0</v>
      </c>
      <c r="AO116" s="203">
        <v>0</v>
      </c>
      <c r="AP116" s="203">
        <v>0</v>
      </c>
      <c r="AQ116" s="203">
        <v>0</v>
      </c>
      <c r="AR116" s="203">
        <v>0</v>
      </c>
      <c r="AS116" s="200">
        <v>25</v>
      </c>
    </row>
    <row r="117" spans="12:46">
      <c r="L117" s="18">
        <v>113</v>
      </c>
      <c r="M117" s="47" t="s">
        <v>29</v>
      </c>
      <c r="N117" s="47" t="s">
        <v>21</v>
      </c>
      <c r="O117" s="47" t="s">
        <v>24</v>
      </c>
      <c r="P117" s="47" t="s">
        <v>28</v>
      </c>
      <c r="Q117" s="47" t="s">
        <v>89</v>
      </c>
      <c r="R117" s="47" t="s">
        <v>27</v>
      </c>
      <c r="S117" s="33" t="s">
        <v>27</v>
      </c>
      <c r="U117" s="46">
        <f t="shared" si="12"/>
        <v>18</v>
      </c>
      <c r="V117" s="46">
        <f t="shared" si="12"/>
        <v>12</v>
      </c>
      <c r="W117" s="46">
        <f t="shared" si="12"/>
        <v>11</v>
      </c>
      <c r="X117" s="46">
        <f t="shared" si="11"/>
        <v>15</v>
      </c>
      <c r="Y117" s="46">
        <f t="shared" si="11"/>
        <v>8</v>
      </c>
      <c r="Z117" s="46">
        <f t="shared" si="11"/>
        <v>12</v>
      </c>
      <c r="AA117" s="46">
        <f t="shared" si="11"/>
        <v>12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27</v>
      </c>
      <c r="N118" s="47" t="s">
        <v>21</v>
      </c>
      <c r="O118" s="47" t="s">
        <v>26</v>
      </c>
      <c r="P118" s="47" t="s">
        <v>26</v>
      </c>
      <c r="Q118" s="47" t="s">
        <v>18</v>
      </c>
      <c r="R118" s="47" t="s">
        <v>24</v>
      </c>
      <c r="S118" s="33" t="s">
        <v>27</v>
      </c>
      <c r="U118" s="46">
        <f t="shared" si="12"/>
        <v>12</v>
      </c>
      <c r="V118" s="46">
        <f t="shared" si="12"/>
        <v>12</v>
      </c>
      <c r="W118" s="46">
        <f t="shared" si="12"/>
        <v>7</v>
      </c>
      <c r="X118" s="46">
        <f t="shared" si="11"/>
        <v>7</v>
      </c>
      <c r="Y118" s="46">
        <f t="shared" si="11"/>
        <v>10</v>
      </c>
      <c r="Z118" s="46">
        <f t="shared" si="11"/>
        <v>11</v>
      </c>
      <c r="AA118" s="46">
        <f t="shared" si="11"/>
        <v>12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274</v>
      </c>
    </row>
    <row r="119" spans="12:46">
      <c r="L119" s="18">
        <v>115</v>
      </c>
      <c r="M119" s="47" t="s">
        <v>29</v>
      </c>
      <c r="N119" s="47" t="s">
        <v>89</v>
      </c>
      <c r="O119" s="47" t="s">
        <v>18</v>
      </c>
      <c r="P119" s="47" t="s">
        <v>242</v>
      </c>
      <c r="Q119" s="47" t="s">
        <v>236</v>
      </c>
      <c r="R119" s="47" t="s">
        <v>24</v>
      </c>
      <c r="S119" s="33" t="s">
        <v>29</v>
      </c>
      <c r="U119" s="46">
        <f t="shared" si="12"/>
        <v>18</v>
      </c>
      <c r="V119" s="46">
        <f t="shared" si="12"/>
        <v>8</v>
      </c>
      <c r="W119" s="46">
        <f t="shared" si="12"/>
        <v>10</v>
      </c>
      <c r="X119" s="46">
        <f t="shared" si="11"/>
        <v>0</v>
      </c>
      <c r="Y119" s="46">
        <f t="shared" si="11"/>
        <v>0</v>
      </c>
      <c r="Z119" s="46">
        <f t="shared" si="11"/>
        <v>11</v>
      </c>
      <c r="AA119" s="46">
        <f t="shared" ref="AA119:AA124" si="13">VLOOKUP(S119, $A$4:$J$29, 9, 0)</f>
        <v>18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277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29</v>
      </c>
      <c r="N120" s="47" t="s">
        <v>29</v>
      </c>
      <c r="O120" s="47" t="s">
        <v>24</v>
      </c>
      <c r="P120" s="47" t="s">
        <v>64</v>
      </c>
      <c r="Q120" s="47" t="s">
        <v>21</v>
      </c>
      <c r="R120" s="47" t="s">
        <v>27</v>
      </c>
      <c r="S120" s="33" t="s">
        <v>29</v>
      </c>
      <c r="U120" s="46">
        <f t="shared" si="12"/>
        <v>18</v>
      </c>
      <c r="V120" s="46">
        <f t="shared" si="12"/>
        <v>18</v>
      </c>
      <c r="W120" s="46">
        <f t="shared" si="12"/>
        <v>11</v>
      </c>
      <c r="X120" s="46">
        <f t="shared" si="12"/>
        <v>13</v>
      </c>
      <c r="Y120" s="46">
        <f t="shared" si="12"/>
        <v>12</v>
      </c>
      <c r="Z120" s="46">
        <f t="shared" si="12"/>
        <v>12</v>
      </c>
      <c r="AA120" s="46">
        <f t="shared" si="13"/>
        <v>18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64</v>
      </c>
      <c r="N121" s="47" t="s">
        <v>29</v>
      </c>
      <c r="O121" s="47" t="s">
        <v>24</v>
      </c>
      <c r="P121" s="47" t="s">
        <v>27</v>
      </c>
      <c r="Q121" s="47" t="s">
        <v>21</v>
      </c>
      <c r="R121" s="47" t="s">
        <v>27</v>
      </c>
      <c r="S121" s="33" t="s">
        <v>29</v>
      </c>
      <c r="U121" s="46">
        <f t="shared" ref="U121:Z124" si="14">VLOOKUP(M121, $A$4:$J$29, 9, 0)</f>
        <v>13</v>
      </c>
      <c r="V121" s="46">
        <f t="shared" si="14"/>
        <v>18</v>
      </c>
      <c r="W121" s="46">
        <f t="shared" si="14"/>
        <v>11</v>
      </c>
      <c r="X121" s="46">
        <f t="shared" si="14"/>
        <v>12</v>
      </c>
      <c r="Y121" s="46">
        <f t="shared" si="14"/>
        <v>12</v>
      </c>
      <c r="Z121" s="46">
        <f t="shared" si="14"/>
        <v>12</v>
      </c>
      <c r="AA121" s="46">
        <f t="shared" si="13"/>
        <v>18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5</v>
      </c>
      <c r="AM121" s="46">
        <v>5</v>
      </c>
      <c r="AN121" s="46">
        <v>5</v>
      </c>
      <c r="AO121" s="46">
        <v>5</v>
      </c>
      <c r="AP121" s="46">
        <v>5</v>
      </c>
      <c r="AQ121" s="46">
        <v>5</v>
      </c>
      <c r="AR121" s="46">
        <v>0</v>
      </c>
      <c r="AS121" s="5">
        <v>1</v>
      </c>
    </row>
    <row r="122" spans="12:46">
      <c r="L122" s="19">
        <v>118</v>
      </c>
      <c r="M122" s="47" t="s">
        <v>29</v>
      </c>
      <c r="N122" s="47" t="s">
        <v>250</v>
      </c>
      <c r="O122" s="47" t="s">
        <v>28</v>
      </c>
      <c r="P122" s="47" t="s">
        <v>27</v>
      </c>
      <c r="Q122" s="47" t="s">
        <v>89</v>
      </c>
      <c r="R122" s="47" t="s">
        <v>27</v>
      </c>
      <c r="S122" s="33" t="s">
        <v>26</v>
      </c>
      <c r="U122" s="46">
        <f t="shared" si="14"/>
        <v>18</v>
      </c>
      <c r="V122" s="46">
        <f t="shared" si="14"/>
        <v>0</v>
      </c>
      <c r="W122" s="46">
        <f t="shared" si="14"/>
        <v>15</v>
      </c>
      <c r="X122" s="46">
        <f t="shared" si="14"/>
        <v>12</v>
      </c>
      <c r="Y122" s="46">
        <f t="shared" si="14"/>
        <v>8</v>
      </c>
      <c r="Z122" s="46">
        <f t="shared" si="14"/>
        <v>12</v>
      </c>
      <c r="AA122" s="46">
        <f t="shared" si="13"/>
        <v>7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203" t="s">
        <v>20</v>
      </c>
      <c r="AL122" s="203">
        <v>40</v>
      </c>
      <c r="AM122" s="203">
        <v>0</v>
      </c>
      <c r="AN122" s="203">
        <v>1</v>
      </c>
      <c r="AO122" s="203">
        <v>1</v>
      </c>
      <c r="AP122" s="203">
        <v>70</v>
      </c>
      <c r="AQ122" s="203">
        <v>1</v>
      </c>
      <c r="AR122" s="203">
        <v>0</v>
      </c>
      <c r="AS122" s="200">
        <v>2</v>
      </c>
    </row>
    <row r="123" spans="12:46">
      <c r="L123" s="18">
        <v>119</v>
      </c>
      <c r="M123" s="47" t="s">
        <v>26</v>
      </c>
      <c r="N123" s="47" t="s">
        <v>27</v>
      </c>
      <c r="O123" s="47" t="s">
        <v>26</v>
      </c>
      <c r="P123" s="47" t="s">
        <v>64</v>
      </c>
      <c r="Q123" s="47" t="s">
        <v>21</v>
      </c>
      <c r="R123" s="47" t="s">
        <v>24</v>
      </c>
      <c r="S123" s="33" t="s">
        <v>26</v>
      </c>
      <c r="U123" s="46">
        <f t="shared" si="14"/>
        <v>7</v>
      </c>
      <c r="V123" s="46">
        <f t="shared" si="14"/>
        <v>12</v>
      </c>
      <c r="W123" s="46">
        <f t="shared" si="14"/>
        <v>7</v>
      </c>
      <c r="X123" s="46">
        <f t="shared" si="14"/>
        <v>13</v>
      </c>
      <c r="Y123" s="46">
        <f t="shared" si="14"/>
        <v>12</v>
      </c>
      <c r="Z123" s="46">
        <f t="shared" si="14"/>
        <v>11</v>
      </c>
      <c r="AA123" s="46">
        <f t="shared" si="13"/>
        <v>7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203" t="s">
        <v>21</v>
      </c>
      <c r="AL123" s="203">
        <v>1</v>
      </c>
      <c r="AM123" s="203">
        <v>70</v>
      </c>
      <c r="AN123" s="203">
        <v>1</v>
      </c>
      <c r="AO123" s="203">
        <v>70</v>
      </c>
      <c r="AP123" s="203">
        <v>1</v>
      </c>
      <c r="AQ123" s="203">
        <v>1</v>
      </c>
      <c r="AR123" s="203">
        <v>0</v>
      </c>
      <c r="AS123" s="200">
        <v>3</v>
      </c>
    </row>
    <row r="124" spans="12:46">
      <c r="L124" s="19">
        <v>120</v>
      </c>
      <c r="M124" s="47" t="s">
        <v>26</v>
      </c>
      <c r="N124" s="47" t="s">
        <v>29</v>
      </c>
      <c r="O124" s="47" t="s">
        <v>24</v>
      </c>
      <c r="P124" s="47" t="s">
        <v>64</v>
      </c>
      <c r="Q124" s="47" t="s">
        <v>89</v>
      </c>
      <c r="R124" s="47" t="s">
        <v>27</v>
      </c>
      <c r="S124" s="33" t="s">
        <v>26</v>
      </c>
      <c r="U124" s="46">
        <f t="shared" si="14"/>
        <v>7</v>
      </c>
      <c r="V124" s="46">
        <f t="shared" si="14"/>
        <v>18</v>
      </c>
      <c r="W124" s="46">
        <f t="shared" si="14"/>
        <v>11</v>
      </c>
      <c r="X124" s="46">
        <f t="shared" si="14"/>
        <v>13</v>
      </c>
      <c r="Y124" s="46">
        <f t="shared" si="14"/>
        <v>8</v>
      </c>
      <c r="Z124" s="46">
        <f t="shared" si="14"/>
        <v>12</v>
      </c>
      <c r="AA124" s="46">
        <f t="shared" si="13"/>
        <v>7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203" t="s">
        <v>17</v>
      </c>
      <c r="AL124" s="203">
        <v>0</v>
      </c>
      <c r="AM124" s="203">
        <v>1</v>
      </c>
      <c r="AN124" s="203">
        <v>5</v>
      </c>
      <c r="AO124" s="203">
        <v>0</v>
      </c>
      <c r="AP124" s="203">
        <v>1</v>
      </c>
      <c r="AQ124" s="203">
        <v>70</v>
      </c>
      <c r="AR124" s="203">
        <v>1</v>
      </c>
      <c r="AS124" s="200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203" t="s">
        <v>18</v>
      </c>
      <c r="AL125" s="203">
        <v>1</v>
      </c>
      <c r="AM125" s="203">
        <v>70</v>
      </c>
      <c r="AN125" s="203">
        <v>1</v>
      </c>
      <c r="AO125" s="203">
        <v>1</v>
      </c>
      <c r="AP125" s="203">
        <v>1</v>
      </c>
      <c r="AQ125" s="203">
        <v>70</v>
      </c>
      <c r="AR125" s="203">
        <v>1</v>
      </c>
      <c r="AS125" s="200">
        <v>5</v>
      </c>
    </row>
    <row r="126" spans="12:46">
      <c r="AK126" s="203" t="s">
        <v>64</v>
      </c>
      <c r="AL126" s="203">
        <v>5</v>
      </c>
      <c r="AM126" s="203">
        <v>1</v>
      </c>
      <c r="AN126" s="203">
        <v>70</v>
      </c>
      <c r="AO126" s="203">
        <v>1</v>
      </c>
      <c r="AP126" s="203">
        <v>70</v>
      </c>
      <c r="AQ126" s="203">
        <v>1</v>
      </c>
      <c r="AR126" s="203">
        <v>1</v>
      </c>
      <c r="AS126" s="200">
        <v>6</v>
      </c>
    </row>
    <row r="127" spans="12:46">
      <c r="AK127" s="203" t="s">
        <v>89</v>
      </c>
      <c r="AL127" s="203">
        <v>1</v>
      </c>
      <c r="AM127" s="203">
        <v>70</v>
      </c>
      <c r="AN127" s="203">
        <v>1</v>
      </c>
      <c r="AO127" s="203">
        <v>1</v>
      </c>
      <c r="AP127" s="203">
        <v>1</v>
      </c>
      <c r="AQ127" s="203">
        <v>70</v>
      </c>
      <c r="AR127" s="203">
        <v>1</v>
      </c>
      <c r="AS127" s="200">
        <v>7</v>
      </c>
    </row>
    <row r="128" spans="12:46">
      <c r="AK128" s="46" t="s">
        <v>24</v>
      </c>
      <c r="AL128" s="46">
        <v>0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0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203" t="s">
        <v>234</v>
      </c>
      <c r="AL133" s="203">
        <v>0</v>
      </c>
      <c r="AM133" s="203">
        <v>1</v>
      </c>
      <c r="AN133" s="203">
        <v>0</v>
      </c>
      <c r="AO133" s="203">
        <v>1</v>
      </c>
      <c r="AP133" s="203">
        <v>1</v>
      </c>
      <c r="AQ133" s="203">
        <v>0</v>
      </c>
      <c r="AR133" s="203">
        <v>0</v>
      </c>
      <c r="AS133" s="200">
        <v>13</v>
      </c>
      <c r="AT133" s="11"/>
    </row>
    <row r="134" spans="37:46">
      <c r="AK134" s="203" t="s">
        <v>236</v>
      </c>
      <c r="AL134" s="203">
        <v>0</v>
      </c>
      <c r="AM134" s="203">
        <v>2</v>
      </c>
      <c r="AN134" s="203">
        <v>1</v>
      </c>
      <c r="AO134" s="203">
        <v>2</v>
      </c>
      <c r="AP134" s="203">
        <v>1</v>
      </c>
      <c r="AQ134" s="203">
        <v>0</v>
      </c>
      <c r="AR134" s="203">
        <v>0</v>
      </c>
      <c r="AS134" s="200">
        <v>14</v>
      </c>
      <c r="AT134" s="11"/>
    </row>
    <row r="135" spans="37:46">
      <c r="AK135" s="203" t="s">
        <v>238</v>
      </c>
      <c r="AL135" s="203">
        <v>0</v>
      </c>
      <c r="AM135" s="203">
        <v>1</v>
      </c>
      <c r="AN135" s="203">
        <v>2</v>
      </c>
      <c r="AO135" s="203">
        <v>1</v>
      </c>
      <c r="AP135" s="203">
        <v>1</v>
      </c>
      <c r="AQ135" s="203">
        <v>0</v>
      </c>
      <c r="AR135" s="203">
        <v>0</v>
      </c>
      <c r="AS135" s="200">
        <v>15</v>
      </c>
      <c r="AT135" s="11"/>
    </row>
    <row r="136" spans="37:46">
      <c r="AK136" s="203" t="s">
        <v>240</v>
      </c>
      <c r="AL136" s="203">
        <v>0</v>
      </c>
      <c r="AM136" s="203">
        <v>2</v>
      </c>
      <c r="AN136" s="203">
        <v>1</v>
      </c>
      <c r="AO136" s="203">
        <v>1</v>
      </c>
      <c r="AP136" s="203">
        <v>1</v>
      </c>
      <c r="AQ136" s="203">
        <v>0</v>
      </c>
      <c r="AR136" s="203">
        <v>0</v>
      </c>
      <c r="AS136" s="200">
        <v>16</v>
      </c>
      <c r="AT136" s="11"/>
    </row>
    <row r="137" spans="37:46">
      <c r="AK137" s="203" t="s">
        <v>242</v>
      </c>
      <c r="AL137" s="203">
        <v>0</v>
      </c>
      <c r="AM137" s="203">
        <v>0</v>
      </c>
      <c r="AN137" s="203">
        <v>2</v>
      </c>
      <c r="AO137" s="203">
        <v>1</v>
      </c>
      <c r="AP137" s="203">
        <v>2</v>
      </c>
      <c r="AQ137" s="203">
        <v>0</v>
      </c>
      <c r="AR137" s="203">
        <v>0</v>
      </c>
      <c r="AS137" s="200">
        <v>17</v>
      </c>
      <c r="AT137" s="11"/>
    </row>
    <row r="138" spans="37:46">
      <c r="AK138" s="203" t="s">
        <v>244</v>
      </c>
      <c r="AL138" s="203">
        <v>0</v>
      </c>
      <c r="AM138" s="203">
        <v>2</v>
      </c>
      <c r="AN138" s="203">
        <v>1</v>
      </c>
      <c r="AO138" s="203">
        <v>1</v>
      </c>
      <c r="AP138" s="203">
        <v>2</v>
      </c>
      <c r="AQ138" s="203">
        <v>0</v>
      </c>
      <c r="AR138" s="203">
        <v>0</v>
      </c>
      <c r="AS138" s="200">
        <v>18</v>
      </c>
      <c r="AT138" s="11"/>
    </row>
    <row r="139" spans="37:46">
      <c r="AK139" s="46" t="s">
        <v>246</v>
      </c>
      <c r="AL139" s="46">
        <v>0</v>
      </c>
      <c r="AM139" s="46">
        <v>2</v>
      </c>
      <c r="AN139" s="46">
        <v>1</v>
      </c>
      <c r="AO139" s="46">
        <v>1</v>
      </c>
      <c r="AP139" s="46">
        <v>2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248</v>
      </c>
      <c r="AL140" s="46">
        <v>0</v>
      </c>
      <c r="AM140" s="46">
        <v>2</v>
      </c>
      <c r="AN140" s="46">
        <v>1</v>
      </c>
      <c r="AO140" s="46">
        <v>2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250</v>
      </c>
      <c r="AL141" s="46">
        <v>0</v>
      </c>
      <c r="AM141" s="46">
        <v>0</v>
      </c>
      <c r="AN141" s="46">
        <v>2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252</v>
      </c>
      <c r="AL142" s="46">
        <v>0</v>
      </c>
      <c r="AM142" s="46">
        <v>4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254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203" t="s">
        <v>101</v>
      </c>
      <c r="AL144" s="203">
        <v>0</v>
      </c>
      <c r="AM144" s="203">
        <v>0</v>
      </c>
      <c r="AN144" s="203">
        <v>0</v>
      </c>
      <c r="AO144" s="203">
        <v>0</v>
      </c>
      <c r="AP144" s="203">
        <v>0</v>
      </c>
      <c r="AQ144" s="203">
        <v>0</v>
      </c>
      <c r="AR144" s="203">
        <v>0</v>
      </c>
      <c r="AS144" s="200">
        <v>24</v>
      </c>
      <c r="AT144" s="11"/>
    </row>
    <row r="145" spans="37:46">
      <c r="AK145" s="203" t="s">
        <v>269</v>
      </c>
      <c r="AL145" s="203">
        <v>0</v>
      </c>
      <c r="AM145" s="203">
        <v>0</v>
      </c>
      <c r="AN145" s="203">
        <v>0</v>
      </c>
      <c r="AO145" s="203">
        <v>0</v>
      </c>
      <c r="AP145" s="203">
        <v>0</v>
      </c>
      <c r="AQ145" s="203">
        <v>0</v>
      </c>
      <c r="AR145" s="203">
        <v>0</v>
      </c>
      <c r="AS145" s="200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99"/>
      <c r="N304" s="199"/>
      <c r="O304" s="199"/>
      <c r="P304" s="199"/>
      <c r="Q304" s="199"/>
      <c r="R304" s="199"/>
      <c r="S304" s="199"/>
      <c r="T304" s="1"/>
      <c r="U304" s="1"/>
      <c r="V304" s="199"/>
      <c r="W304" s="199"/>
      <c r="X304" s="199"/>
      <c r="Y304" s="199"/>
      <c r="Z304" s="19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1" spans="37:45">
      <c r="AK321" s="28"/>
      <c r="AL321" s="28"/>
      <c r="AM321" s="28"/>
      <c r="AN321" s="28"/>
      <c r="AO321" s="28"/>
      <c r="AP321" s="28"/>
      <c r="AQ321" s="28"/>
      <c r="AR321" s="28"/>
      <c r="AS321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68" priority="1" operator="equal">
      <formula>"C1"</formula>
    </cfRule>
    <cfRule type="cellIs" dxfId="67" priority="2" operator="equal">
      <formula>"G6"</formula>
    </cfRule>
    <cfRule type="cellIs" dxfId="66" priority="3" operator="equal">
      <formula>"G5"</formula>
    </cfRule>
    <cfRule type="cellIs" dxfId="65" priority="4" operator="equal">
      <formula>"G4"</formula>
    </cfRule>
    <cfRule type="cellIs" dxfId="64" priority="5" operator="equal">
      <formula>"G3"</formula>
    </cfRule>
    <cfRule type="cellIs" dxfId="63" priority="6" operator="equal">
      <formula>"G2"</formula>
    </cfRule>
    <cfRule type="cellIs" dxfId="62" priority="7" operator="equal">
      <formula>"G1"</formula>
    </cfRule>
    <cfRule type="cellIs" dxfId="61" priority="8" operator="equal">
      <formula>"M5"</formula>
    </cfRule>
    <cfRule type="cellIs" dxfId="60" priority="9" operator="equal">
      <formula>"M4"</formula>
    </cfRule>
    <cfRule type="cellIs" dxfId="59" priority="10" operator="equal">
      <formula>"M3"</formula>
    </cfRule>
    <cfRule type="cellIs" dxfId="58" priority="11" operator="equal">
      <formula>"M6"</formula>
    </cfRule>
    <cfRule type="cellIs" dxfId="57" priority="12" operator="equal">
      <formula>"M2"</formula>
    </cfRule>
    <cfRule type="cellIs" dxfId="56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>
    <tabColor theme="3" tint="0.59999389629810485"/>
  </sheetPr>
  <dimension ref="A2:AT405"/>
  <sheetViews>
    <sheetView zoomScaleNormal="100" workbookViewId="0">
      <selection activeCell="L26" sqref="L26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99" customWidth="1"/>
    <col min="20" max="20" width="8.88671875" style="1" customWidth="1"/>
    <col min="21" max="21" width="5.5546875" style="1" customWidth="1"/>
    <col min="22" max="26" width="5.5546875" style="19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231</v>
      </c>
      <c r="AC2" s="11" t="s">
        <v>232</v>
      </c>
      <c r="AD2" s="215"/>
      <c r="AE2" s="215"/>
      <c r="AF2" s="215"/>
      <c r="AG2" s="215"/>
      <c r="AH2" s="215"/>
      <c r="AI2" s="215"/>
      <c r="AK2" s="49" t="s">
        <v>276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99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277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98" t="str" cm="1">
        <f t="array" ref="A4:B29">Overview!$A$42:$B$67</f>
        <v>WW</v>
      </c>
      <c r="B4" s="198" t="str">
        <v>Wild</v>
      </c>
      <c r="C4" s="101">
        <f t="shared" ref="C4:C29" si="0">COUNTIF(M$4:M$304,$A4)</f>
        <v>0</v>
      </c>
      <c r="D4" s="101">
        <f t="shared" ref="D4:I19" si="1">COUNTIF(N$4:N$304,$A4)</f>
        <v>0</v>
      </c>
      <c r="E4" s="101">
        <f t="shared" si="1"/>
        <v>0</v>
      </c>
      <c r="F4" s="101">
        <f t="shared" si="1"/>
        <v>0</v>
      </c>
      <c r="G4" s="101">
        <f t="shared" si="1"/>
        <v>0</v>
      </c>
      <c r="H4" s="101">
        <f t="shared" si="1"/>
        <v>0</v>
      </c>
      <c r="I4" s="101">
        <f t="shared" si="1"/>
        <v>0</v>
      </c>
      <c r="J4" s="198">
        <v>0</v>
      </c>
      <c r="K4" s="43"/>
      <c r="L4" s="19">
        <v>0</v>
      </c>
      <c r="M4" s="205" t="s">
        <v>18</v>
      </c>
      <c r="N4" s="205" t="s">
        <v>246</v>
      </c>
      <c r="O4" s="205" t="s">
        <v>20</v>
      </c>
      <c r="P4" s="205" t="s">
        <v>24</v>
      </c>
      <c r="Q4" s="205" t="s">
        <v>236</v>
      </c>
      <c r="R4" s="205" t="s">
        <v>89</v>
      </c>
      <c r="S4" s="206" t="s">
        <v>89</v>
      </c>
      <c r="U4" s="207">
        <f t="shared" ref="U4:AA19" si="2">VLOOKUP(M4, $A$4:$J$29, 9, 0)</f>
        <v>3</v>
      </c>
      <c r="V4" s="207">
        <f t="shared" si="2"/>
        <v>0</v>
      </c>
      <c r="W4" s="207">
        <f t="shared" si="2"/>
        <v>4</v>
      </c>
      <c r="X4" s="207">
        <f t="shared" si="2"/>
        <v>19</v>
      </c>
      <c r="Y4" s="207">
        <f t="shared" si="2"/>
        <v>0</v>
      </c>
      <c r="Z4" s="207">
        <f t="shared" si="2"/>
        <v>16</v>
      </c>
      <c r="AA4" s="207">
        <f t="shared" si="2"/>
        <v>16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98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si="0"/>
        <v>0</v>
      </c>
      <c r="D5" s="12">
        <f t="shared" si="1"/>
        <v>0</v>
      </c>
      <c r="E5" s="12">
        <f t="shared" si="1"/>
        <v>0</v>
      </c>
      <c r="F5" s="12">
        <f t="shared" si="1"/>
        <v>0</v>
      </c>
      <c r="G5" s="12">
        <f t="shared" si="1"/>
        <v>0</v>
      </c>
      <c r="H5" s="12">
        <f t="shared" si="1"/>
        <v>0</v>
      </c>
      <c r="I5" s="12">
        <f t="shared" si="1"/>
        <v>0</v>
      </c>
      <c r="J5" s="5">
        <v>1</v>
      </c>
      <c r="K5" s="43"/>
      <c r="L5" s="18">
        <v>1</v>
      </c>
      <c r="M5" s="47" t="s">
        <v>18</v>
      </c>
      <c r="N5" s="47" t="s">
        <v>246</v>
      </c>
      <c r="O5" s="47" t="s">
        <v>29</v>
      </c>
      <c r="P5" s="47" t="s">
        <v>234</v>
      </c>
      <c r="Q5" s="47" t="s">
        <v>236</v>
      </c>
      <c r="R5" s="47" t="s">
        <v>24</v>
      </c>
      <c r="S5" s="33" t="s">
        <v>89</v>
      </c>
      <c r="U5" s="46">
        <f t="shared" si="2"/>
        <v>3</v>
      </c>
      <c r="V5" s="46">
        <f t="shared" si="2"/>
        <v>0</v>
      </c>
      <c r="W5" s="46">
        <f t="shared" si="2"/>
        <v>23</v>
      </c>
      <c r="X5" s="46">
        <f t="shared" si="2"/>
        <v>0</v>
      </c>
      <c r="Y5" s="46">
        <f t="shared" si="2"/>
        <v>0</v>
      </c>
      <c r="Z5" s="46">
        <f t="shared" si="2"/>
        <v>19</v>
      </c>
      <c r="AA5" s="46">
        <f t="shared" si="2"/>
        <v>16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5</v>
      </c>
      <c r="AM5" s="46">
        <v>3</v>
      </c>
      <c r="AN5" s="46">
        <v>3</v>
      </c>
      <c r="AO5" s="46">
        <v>5</v>
      </c>
      <c r="AP5" s="46">
        <v>5</v>
      </c>
      <c r="AQ5" s="46">
        <v>5</v>
      </c>
      <c r="AR5" s="46">
        <v>0</v>
      </c>
      <c r="AS5" s="5">
        <v>1</v>
      </c>
    </row>
    <row r="6" spans="1:45" ht="15.9" customHeight="1">
      <c r="A6" s="200" t="str">
        <v>M1</v>
      </c>
      <c r="B6" s="200" t="str">
        <v>M1</v>
      </c>
      <c r="C6" s="202">
        <f t="shared" si="0"/>
        <v>0</v>
      </c>
      <c r="D6" s="202">
        <f t="shared" si="1"/>
        <v>9</v>
      </c>
      <c r="E6" s="202">
        <f t="shared" si="1"/>
        <v>3</v>
      </c>
      <c r="F6" s="202">
        <f t="shared" si="1"/>
        <v>0</v>
      </c>
      <c r="G6" s="202">
        <f t="shared" si="1"/>
        <v>0</v>
      </c>
      <c r="H6" s="202">
        <f t="shared" si="1"/>
        <v>0</v>
      </c>
      <c r="I6" s="202">
        <f t="shared" si="1"/>
        <v>4</v>
      </c>
      <c r="J6" s="200">
        <v>2</v>
      </c>
      <c r="L6" s="19">
        <v>2</v>
      </c>
      <c r="M6" s="47" t="s">
        <v>27</v>
      </c>
      <c r="N6" s="47" t="s">
        <v>246</v>
      </c>
      <c r="O6" s="47" t="s">
        <v>29</v>
      </c>
      <c r="P6" s="47" t="s">
        <v>234</v>
      </c>
      <c r="Q6" s="47" t="s">
        <v>236</v>
      </c>
      <c r="R6" s="47" t="s">
        <v>18</v>
      </c>
      <c r="S6" s="33" t="s">
        <v>89</v>
      </c>
      <c r="U6" s="46">
        <f t="shared" si="2"/>
        <v>8</v>
      </c>
      <c r="V6" s="46">
        <f t="shared" si="2"/>
        <v>0</v>
      </c>
      <c r="W6" s="46">
        <f t="shared" si="2"/>
        <v>23</v>
      </c>
      <c r="X6" s="46">
        <f t="shared" si="2"/>
        <v>0</v>
      </c>
      <c r="Y6" s="46">
        <f t="shared" si="2"/>
        <v>0</v>
      </c>
      <c r="Z6" s="46">
        <f t="shared" si="2"/>
        <v>3</v>
      </c>
      <c r="AA6" s="46">
        <f t="shared" si="2"/>
        <v>16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203" t="s">
        <v>20</v>
      </c>
      <c r="AL6" s="203">
        <v>40</v>
      </c>
      <c r="AM6" s="203">
        <v>40</v>
      </c>
      <c r="AN6" s="203">
        <v>20</v>
      </c>
      <c r="AO6" s="203">
        <v>40</v>
      </c>
      <c r="AP6" s="203">
        <v>40</v>
      </c>
      <c r="AQ6" s="203">
        <v>1</v>
      </c>
      <c r="AR6" s="203">
        <v>1</v>
      </c>
      <c r="AS6" s="200">
        <v>2</v>
      </c>
    </row>
    <row r="7" spans="1:45" ht="15.9" customHeight="1">
      <c r="A7" s="200" t="str">
        <v>M2</v>
      </c>
      <c r="B7" s="200" t="str">
        <v>M2</v>
      </c>
      <c r="C7" s="202">
        <f t="shared" si="0"/>
        <v>12</v>
      </c>
      <c r="D7" s="202">
        <f t="shared" si="1"/>
        <v>8</v>
      </c>
      <c r="E7" s="202">
        <f t="shared" si="1"/>
        <v>10</v>
      </c>
      <c r="F7" s="202">
        <f t="shared" si="1"/>
        <v>0</v>
      </c>
      <c r="G7" s="202">
        <f t="shared" si="1"/>
        <v>13</v>
      </c>
      <c r="H7" s="202">
        <f t="shared" si="1"/>
        <v>0</v>
      </c>
      <c r="I7" s="202">
        <f t="shared" si="1"/>
        <v>6</v>
      </c>
      <c r="J7" s="200">
        <v>3</v>
      </c>
      <c r="L7" s="18">
        <v>3</v>
      </c>
      <c r="M7" s="47" t="s">
        <v>27</v>
      </c>
      <c r="N7" s="47" t="s">
        <v>20</v>
      </c>
      <c r="O7" s="47" t="s">
        <v>29</v>
      </c>
      <c r="P7" s="47" t="s">
        <v>234</v>
      </c>
      <c r="Q7" s="47" t="s">
        <v>240</v>
      </c>
      <c r="R7" s="47" t="s">
        <v>27</v>
      </c>
      <c r="S7" s="33" t="s">
        <v>89</v>
      </c>
      <c r="U7" s="46">
        <f t="shared" si="2"/>
        <v>8</v>
      </c>
      <c r="V7" s="46">
        <f t="shared" si="2"/>
        <v>4</v>
      </c>
      <c r="W7" s="46">
        <f t="shared" si="2"/>
        <v>23</v>
      </c>
      <c r="X7" s="46">
        <f t="shared" si="2"/>
        <v>0</v>
      </c>
      <c r="Y7" s="46">
        <f t="shared" si="2"/>
        <v>0</v>
      </c>
      <c r="Z7" s="46">
        <f t="shared" si="2"/>
        <v>8</v>
      </c>
      <c r="AA7" s="46">
        <f t="shared" si="2"/>
        <v>16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203" t="s">
        <v>21</v>
      </c>
      <c r="AL7" s="203">
        <v>10</v>
      </c>
      <c r="AM7" s="203">
        <v>32</v>
      </c>
      <c r="AN7" s="203">
        <v>40</v>
      </c>
      <c r="AO7" s="203">
        <v>40</v>
      </c>
      <c r="AP7" s="203">
        <v>1</v>
      </c>
      <c r="AQ7" s="203">
        <v>1</v>
      </c>
      <c r="AR7" s="203">
        <v>1</v>
      </c>
      <c r="AS7" s="200">
        <v>3</v>
      </c>
    </row>
    <row r="8" spans="1:45" ht="15.9" customHeight="1">
      <c r="A8" s="200" t="str">
        <v>M3</v>
      </c>
      <c r="B8" s="200" t="str">
        <v>M3</v>
      </c>
      <c r="C8" s="202">
        <f t="shared" si="0"/>
        <v>3</v>
      </c>
      <c r="D8" s="202">
        <f t="shared" si="1"/>
        <v>10</v>
      </c>
      <c r="E8" s="202">
        <f t="shared" si="1"/>
        <v>0</v>
      </c>
      <c r="F8" s="202">
        <f t="shared" si="1"/>
        <v>9</v>
      </c>
      <c r="G8" s="202">
        <f t="shared" si="1"/>
        <v>11</v>
      </c>
      <c r="H8" s="202">
        <f t="shared" si="1"/>
        <v>6</v>
      </c>
      <c r="I8" s="202">
        <f t="shared" si="1"/>
        <v>10</v>
      </c>
      <c r="J8" s="200">
        <v>4</v>
      </c>
      <c r="L8" s="19">
        <v>4</v>
      </c>
      <c r="M8" s="47" t="s">
        <v>28</v>
      </c>
      <c r="N8" s="47" t="s">
        <v>20</v>
      </c>
      <c r="O8" s="47" t="s">
        <v>89</v>
      </c>
      <c r="P8" s="47" t="s">
        <v>24</v>
      </c>
      <c r="Q8" s="47" t="s">
        <v>240</v>
      </c>
      <c r="R8" s="47" t="s">
        <v>28</v>
      </c>
      <c r="S8" s="33" t="s">
        <v>20</v>
      </c>
      <c r="U8" s="46">
        <f t="shared" si="2"/>
        <v>11</v>
      </c>
      <c r="V8" s="46">
        <f t="shared" si="2"/>
        <v>4</v>
      </c>
      <c r="W8" s="46">
        <f t="shared" si="2"/>
        <v>16</v>
      </c>
      <c r="X8" s="46">
        <f t="shared" si="2"/>
        <v>19</v>
      </c>
      <c r="Y8" s="46">
        <f t="shared" si="2"/>
        <v>0</v>
      </c>
      <c r="Z8" s="46">
        <f t="shared" si="2"/>
        <v>11</v>
      </c>
      <c r="AA8" s="46">
        <f t="shared" si="2"/>
        <v>4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203" t="s">
        <v>17</v>
      </c>
      <c r="AL8" s="203">
        <v>40</v>
      </c>
      <c r="AM8" s="203">
        <v>13</v>
      </c>
      <c r="AN8" s="203">
        <v>15</v>
      </c>
      <c r="AO8" s="203">
        <v>1</v>
      </c>
      <c r="AP8" s="203">
        <v>1</v>
      </c>
      <c r="AQ8" s="203">
        <v>40</v>
      </c>
      <c r="AR8" s="203">
        <v>1</v>
      </c>
      <c r="AS8" s="200">
        <v>4</v>
      </c>
    </row>
    <row r="9" spans="1:45" ht="15.9" customHeight="1">
      <c r="A9" s="200" t="str">
        <v>M4</v>
      </c>
      <c r="B9" s="200" t="str">
        <v>M4</v>
      </c>
      <c r="C9" s="202">
        <f t="shared" si="0"/>
        <v>15</v>
      </c>
      <c r="D9" s="202">
        <f t="shared" si="1"/>
        <v>1</v>
      </c>
      <c r="E9" s="202">
        <f t="shared" si="1"/>
        <v>9</v>
      </c>
      <c r="F9" s="202">
        <f t="shared" si="1"/>
        <v>2</v>
      </c>
      <c r="G9" s="202">
        <f t="shared" si="1"/>
        <v>10</v>
      </c>
      <c r="H9" s="202">
        <f t="shared" si="1"/>
        <v>11</v>
      </c>
      <c r="I9" s="202">
        <f t="shared" si="1"/>
        <v>3</v>
      </c>
      <c r="J9" s="200">
        <v>5</v>
      </c>
      <c r="L9" s="18">
        <v>5</v>
      </c>
      <c r="M9" s="47" t="s">
        <v>27</v>
      </c>
      <c r="N9" s="47" t="s">
        <v>20</v>
      </c>
      <c r="O9" s="47" t="s">
        <v>89</v>
      </c>
      <c r="P9" s="47" t="s">
        <v>26</v>
      </c>
      <c r="Q9" s="47" t="s">
        <v>27</v>
      </c>
      <c r="R9" s="47" t="s">
        <v>28</v>
      </c>
      <c r="S9" s="33" t="s">
        <v>20</v>
      </c>
      <c r="U9" s="46">
        <f t="shared" si="2"/>
        <v>8</v>
      </c>
      <c r="V9" s="46">
        <f t="shared" si="2"/>
        <v>4</v>
      </c>
      <c r="W9" s="46">
        <f t="shared" si="2"/>
        <v>16</v>
      </c>
      <c r="X9" s="46">
        <f t="shared" si="2"/>
        <v>17</v>
      </c>
      <c r="Y9" s="46">
        <f t="shared" si="2"/>
        <v>8</v>
      </c>
      <c r="Z9" s="46">
        <f t="shared" si="2"/>
        <v>11</v>
      </c>
      <c r="AA9" s="46">
        <f t="shared" si="2"/>
        <v>4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203" t="s">
        <v>18</v>
      </c>
      <c r="AL9" s="203">
        <v>10</v>
      </c>
      <c r="AM9" s="203">
        <v>40</v>
      </c>
      <c r="AN9" s="203">
        <v>40</v>
      </c>
      <c r="AO9" s="203">
        <v>40</v>
      </c>
      <c r="AP9" s="203">
        <v>8</v>
      </c>
      <c r="AQ9" s="203">
        <v>40</v>
      </c>
      <c r="AR9" s="203">
        <v>1</v>
      </c>
      <c r="AS9" s="200">
        <v>5</v>
      </c>
    </row>
    <row r="10" spans="1:45" ht="15.9" customHeight="1">
      <c r="A10" s="200" t="str">
        <v>M5</v>
      </c>
      <c r="B10" s="200" t="str">
        <v>M5</v>
      </c>
      <c r="C10" s="202">
        <f t="shared" si="0"/>
        <v>14</v>
      </c>
      <c r="D10" s="202">
        <f t="shared" si="1"/>
        <v>9</v>
      </c>
      <c r="E10" s="202">
        <f t="shared" si="1"/>
        <v>4</v>
      </c>
      <c r="F10" s="202">
        <f t="shared" si="1"/>
        <v>25</v>
      </c>
      <c r="G10" s="202">
        <f t="shared" si="1"/>
        <v>6</v>
      </c>
      <c r="H10" s="202">
        <f t="shared" si="1"/>
        <v>20</v>
      </c>
      <c r="I10" s="202">
        <f t="shared" si="1"/>
        <v>4</v>
      </c>
      <c r="J10" s="200">
        <v>6</v>
      </c>
      <c r="L10" s="19">
        <v>6</v>
      </c>
      <c r="M10" s="47" t="s">
        <v>21</v>
      </c>
      <c r="N10" s="47" t="s">
        <v>17</v>
      </c>
      <c r="O10" s="47" t="s">
        <v>27</v>
      </c>
      <c r="P10" s="47" t="s">
        <v>26</v>
      </c>
      <c r="Q10" s="47" t="s">
        <v>17</v>
      </c>
      <c r="R10" s="47" t="s">
        <v>89</v>
      </c>
      <c r="S10" s="33" t="s">
        <v>20</v>
      </c>
      <c r="U10" s="46">
        <f t="shared" si="2"/>
        <v>6</v>
      </c>
      <c r="V10" s="46">
        <f t="shared" si="2"/>
        <v>10</v>
      </c>
      <c r="W10" s="46">
        <f t="shared" si="2"/>
        <v>8</v>
      </c>
      <c r="X10" s="46">
        <f t="shared" si="2"/>
        <v>17</v>
      </c>
      <c r="Y10" s="46">
        <f t="shared" si="2"/>
        <v>10</v>
      </c>
      <c r="Z10" s="46">
        <f t="shared" si="2"/>
        <v>16</v>
      </c>
      <c r="AA10" s="46">
        <f t="shared" si="2"/>
        <v>4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203" t="s">
        <v>64</v>
      </c>
      <c r="AL10" s="203">
        <v>40</v>
      </c>
      <c r="AM10" s="203">
        <v>8</v>
      </c>
      <c r="AN10" s="203">
        <v>20</v>
      </c>
      <c r="AO10" s="203">
        <v>1</v>
      </c>
      <c r="AP10" s="203">
        <v>40</v>
      </c>
      <c r="AQ10" s="203">
        <v>1</v>
      </c>
      <c r="AR10" s="203">
        <v>1</v>
      </c>
      <c r="AS10" s="200">
        <v>6</v>
      </c>
    </row>
    <row r="11" spans="1:45" ht="15.9" customHeight="1">
      <c r="A11" s="200" t="str">
        <v>M6</v>
      </c>
      <c r="B11" s="200" t="str">
        <v>M6</v>
      </c>
      <c r="C11" s="202">
        <f t="shared" si="0"/>
        <v>3</v>
      </c>
      <c r="D11" s="202">
        <f t="shared" si="1"/>
        <v>13</v>
      </c>
      <c r="E11" s="202">
        <f t="shared" si="1"/>
        <v>11</v>
      </c>
      <c r="F11" s="202">
        <f t="shared" si="1"/>
        <v>8</v>
      </c>
      <c r="G11" s="202">
        <f t="shared" si="1"/>
        <v>16</v>
      </c>
      <c r="H11" s="202">
        <f t="shared" si="1"/>
        <v>12</v>
      </c>
      <c r="I11" s="202">
        <f t="shared" si="1"/>
        <v>16</v>
      </c>
      <c r="J11" s="200">
        <v>7</v>
      </c>
      <c r="L11" s="18">
        <v>7</v>
      </c>
      <c r="M11" s="47" t="s">
        <v>18</v>
      </c>
      <c r="N11" s="47" t="s">
        <v>17</v>
      </c>
      <c r="O11" s="47" t="s">
        <v>27</v>
      </c>
      <c r="P11" s="47" t="s">
        <v>26</v>
      </c>
      <c r="Q11" s="47" t="s">
        <v>17</v>
      </c>
      <c r="R11" s="47" t="s">
        <v>26</v>
      </c>
      <c r="S11" s="33" t="s">
        <v>20</v>
      </c>
      <c r="U11" s="46">
        <f t="shared" si="2"/>
        <v>3</v>
      </c>
      <c r="V11" s="46">
        <f t="shared" si="2"/>
        <v>10</v>
      </c>
      <c r="W11" s="46">
        <f t="shared" si="2"/>
        <v>8</v>
      </c>
      <c r="X11" s="46">
        <f t="shared" si="2"/>
        <v>17</v>
      </c>
      <c r="Y11" s="46">
        <f t="shared" si="2"/>
        <v>10</v>
      </c>
      <c r="Z11" s="46">
        <f t="shared" si="2"/>
        <v>17</v>
      </c>
      <c r="AA11" s="46">
        <f t="shared" si="2"/>
        <v>4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203" t="s">
        <v>89</v>
      </c>
      <c r="AL11" s="203">
        <v>10</v>
      </c>
      <c r="AM11" s="203">
        <v>40</v>
      </c>
      <c r="AN11" s="203">
        <v>40</v>
      </c>
      <c r="AO11" s="203">
        <v>40</v>
      </c>
      <c r="AP11" s="203">
        <v>8</v>
      </c>
      <c r="AQ11" s="203">
        <v>40</v>
      </c>
      <c r="AR11" s="203">
        <v>1</v>
      </c>
      <c r="AS11" s="200">
        <v>7</v>
      </c>
    </row>
    <row r="12" spans="1:45" ht="15.9" customHeight="1">
      <c r="A12" s="33" t="str">
        <v>A</v>
      </c>
      <c r="B12" s="46" t="str">
        <v>A</v>
      </c>
      <c r="C12" s="12">
        <f t="shared" si="0"/>
        <v>2</v>
      </c>
      <c r="D12" s="12">
        <f t="shared" si="1"/>
        <v>13</v>
      </c>
      <c r="E12" s="12">
        <f t="shared" si="1"/>
        <v>13</v>
      </c>
      <c r="F12" s="12">
        <f t="shared" si="1"/>
        <v>7</v>
      </c>
      <c r="G12" s="12">
        <f t="shared" si="1"/>
        <v>4</v>
      </c>
      <c r="H12" s="12">
        <f t="shared" si="1"/>
        <v>19</v>
      </c>
      <c r="I12" s="12">
        <f t="shared" si="1"/>
        <v>19</v>
      </c>
      <c r="J12" s="5">
        <v>8</v>
      </c>
      <c r="L12" s="19">
        <v>8</v>
      </c>
      <c r="M12" s="47" t="s">
        <v>18</v>
      </c>
      <c r="N12" s="47" t="s">
        <v>17</v>
      </c>
      <c r="O12" s="47" t="s">
        <v>20</v>
      </c>
      <c r="P12" s="47" t="s">
        <v>244</v>
      </c>
      <c r="Q12" s="47" t="s">
        <v>17</v>
      </c>
      <c r="R12" s="47" t="s">
        <v>18</v>
      </c>
      <c r="S12" s="33" t="s">
        <v>26</v>
      </c>
      <c r="U12" s="46">
        <f t="shared" si="2"/>
        <v>3</v>
      </c>
      <c r="V12" s="46">
        <f t="shared" si="2"/>
        <v>10</v>
      </c>
      <c r="W12" s="46">
        <f t="shared" si="2"/>
        <v>4</v>
      </c>
      <c r="X12" s="46">
        <f t="shared" si="2"/>
        <v>0</v>
      </c>
      <c r="Y12" s="46">
        <f t="shared" si="2"/>
        <v>10</v>
      </c>
      <c r="Z12" s="46">
        <f t="shared" si="2"/>
        <v>3</v>
      </c>
      <c r="AA12" s="46">
        <f t="shared" si="2"/>
        <v>17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0"/>
        <v>10</v>
      </c>
      <c r="D13" s="12">
        <f t="shared" si="1"/>
        <v>7</v>
      </c>
      <c r="E13" s="12">
        <f t="shared" si="1"/>
        <v>24</v>
      </c>
      <c r="F13" s="12">
        <f t="shared" si="1"/>
        <v>15</v>
      </c>
      <c r="G13" s="12">
        <f t="shared" si="1"/>
        <v>10</v>
      </c>
      <c r="H13" s="12">
        <f t="shared" si="1"/>
        <v>10</v>
      </c>
      <c r="I13" s="12">
        <f t="shared" si="1"/>
        <v>17</v>
      </c>
      <c r="J13" s="5">
        <v>9</v>
      </c>
      <c r="L13" s="18">
        <v>9</v>
      </c>
      <c r="M13" s="47" t="s">
        <v>28</v>
      </c>
      <c r="N13" s="47" t="s">
        <v>89</v>
      </c>
      <c r="O13" s="47" t="s">
        <v>21</v>
      </c>
      <c r="P13" s="47" t="s">
        <v>244</v>
      </c>
      <c r="Q13" s="47" t="s">
        <v>64</v>
      </c>
      <c r="R13" s="47" t="s">
        <v>89</v>
      </c>
      <c r="S13" s="33" t="s">
        <v>26</v>
      </c>
      <c r="U13" s="46">
        <f t="shared" si="2"/>
        <v>11</v>
      </c>
      <c r="V13" s="46">
        <f t="shared" si="2"/>
        <v>16</v>
      </c>
      <c r="W13" s="46">
        <f t="shared" si="2"/>
        <v>6</v>
      </c>
      <c r="X13" s="46">
        <f t="shared" si="2"/>
        <v>0</v>
      </c>
      <c r="Y13" s="46">
        <f t="shared" si="2"/>
        <v>4</v>
      </c>
      <c r="Z13" s="46">
        <f t="shared" si="2"/>
        <v>16</v>
      </c>
      <c r="AA13" s="46">
        <f t="shared" si="2"/>
        <v>17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0"/>
        <v>21</v>
      </c>
      <c r="D14" s="12">
        <f t="shared" si="1"/>
        <v>12</v>
      </c>
      <c r="E14" s="12">
        <f t="shared" si="1"/>
        <v>7</v>
      </c>
      <c r="F14" s="12">
        <f t="shared" si="1"/>
        <v>12</v>
      </c>
      <c r="G14" s="12">
        <f t="shared" si="1"/>
        <v>5</v>
      </c>
      <c r="H14" s="12">
        <f t="shared" si="1"/>
        <v>23</v>
      </c>
      <c r="I14" s="12">
        <f t="shared" si="1"/>
        <v>8</v>
      </c>
      <c r="J14" s="5">
        <v>10</v>
      </c>
      <c r="L14" s="19">
        <v>10</v>
      </c>
      <c r="M14" s="47" t="s">
        <v>21</v>
      </c>
      <c r="N14" s="47" t="s">
        <v>89</v>
      </c>
      <c r="O14" s="47" t="s">
        <v>26</v>
      </c>
      <c r="P14" s="47" t="s">
        <v>17</v>
      </c>
      <c r="Q14" s="47" t="s">
        <v>21</v>
      </c>
      <c r="R14" s="47" t="s">
        <v>27</v>
      </c>
      <c r="S14" s="33" t="s">
        <v>26</v>
      </c>
      <c r="U14" s="46">
        <f t="shared" si="2"/>
        <v>6</v>
      </c>
      <c r="V14" s="46">
        <f t="shared" si="2"/>
        <v>16</v>
      </c>
      <c r="W14" s="46">
        <f t="shared" si="2"/>
        <v>17</v>
      </c>
      <c r="X14" s="46">
        <f t="shared" si="2"/>
        <v>10</v>
      </c>
      <c r="Y14" s="46">
        <f t="shared" si="2"/>
        <v>6</v>
      </c>
      <c r="Z14" s="46">
        <f t="shared" si="2"/>
        <v>8</v>
      </c>
      <c r="AA14" s="46">
        <f t="shared" si="2"/>
        <v>17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0"/>
        <v>23</v>
      </c>
      <c r="D15" s="12">
        <f t="shared" si="1"/>
        <v>1</v>
      </c>
      <c r="E15" s="12">
        <f t="shared" si="1"/>
        <v>20</v>
      </c>
      <c r="F15" s="12">
        <f t="shared" si="1"/>
        <v>4</v>
      </c>
      <c r="G15" s="12">
        <f t="shared" si="1"/>
        <v>11</v>
      </c>
      <c r="H15" s="12">
        <f t="shared" si="1"/>
        <v>7</v>
      </c>
      <c r="I15" s="12">
        <f t="shared" si="1"/>
        <v>11</v>
      </c>
      <c r="J15" s="5">
        <v>11</v>
      </c>
      <c r="L15" s="18">
        <v>11</v>
      </c>
      <c r="M15" s="47" t="s">
        <v>64</v>
      </c>
      <c r="N15" s="47" t="s">
        <v>26</v>
      </c>
      <c r="O15" s="47" t="s">
        <v>20</v>
      </c>
      <c r="P15" s="47" t="s">
        <v>17</v>
      </c>
      <c r="Q15" s="47" t="s">
        <v>248</v>
      </c>
      <c r="R15" s="47" t="s">
        <v>64</v>
      </c>
      <c r="S15" s="33" t="s">
        <v>26</v>
      </c>
      <c r="U15" s="46">
        <f t="shared" si="2"/>
        <v>4</v>
      </c>
      <c r="V15" s="46">
        <f t="shared" si="2"/>
        <v>17</v>
      </c>
      <c r="W15" s="46">
        <f t="shared" si="2"/>
        <v>4</v>
      </c>
      <c r="X15" s="46">
        <f t="shared" si="2"/>
        <v>10</v>
      </c>
      <c r="Y15" s="46">
        <f t="shared" si="2"/>
        <v>0</v>
      </c>
      <c r="Z15" s="46">
        <f t="shared" si="2"/>
        <v>4</v>
      </c>
      <c r="AA15" s="46">
        <f t="shared" si="2"/>
        <v>17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0"/>
        <v>18</v>
      </c>
      <c r="D16" s="12">
        <f t="shared" si="1"/>
        <v>7</v>
      </c>
      <c r="E16" s="12">
        <f t="shared" si="1"/>
        <v>11</v>
      </c>
      <c r="F16" s="12">
        <f t="shared" si="1"/>
        <v>11</v>
      </c>
      <c r="G16" s="12">
        <f t="shared" si="1"/>
        <v>1</v>
      </c>
      <c r="H16" s="12">
        <f t="shared" si="1"/>
        <v>13</v>
      </c>
      <c r="I16" s="12">
        <f t="shared" si="1"/>
        <v>23</v>
      </c>
      <c r="J16" s="5">
        <v>12</v>
      </c>
      <c r="L16" s="19">
        <v>12</v>
      </c>
      <c r="M16" s="47" t="s">
        <v>64</v>
      </c>
      <c r="N16" s="47" t="s">
        <v>238</v>
      </c>
      <c r="O16" s="47" t="s">
        <v>240</v>
      </c>
      <c r="P16" s="47" t="s">
        <v>26</v>
      </c>
      <c r="Q16" s="47" t="s">
        <v>248</v>
      </c>
      <c r="R16" s="47" t="s">
        <v>26</v>
      </c>
      <c r="S16" s="33" t="s">
        <v>89</v>
      </c>
      <c r="U16" s="46">
        <f t="shared" si="2"/>
        <v>4</v>
      </c>
      <c r="V16" s="46">
        <f t="shared" si="2"/>
        <v>0</v>
      </c>
      <c r="W16" s="46">
        <f t="shared" si="2"/>
        <v>0</v>
      </c>
      <c r="X16" s="46">
        <f t="shared" si="2"/>
        <v>17</v>
      </c>
      <c r="Y16" s="46">
        <f t="shared" si="2"/>
        <v>0</v>
      </c>
      <c r="Z16" s="46">
        <f t="shared" si="2"/>
        <v>17</v>
      </c>
      <c r="AA16" s="46">
        <f t="shared" si="2"/>
        <v>16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</v>
      </c>
      <c r="AS16" s="5">
        <v>12</v>
      </c>
    </row>
    <row r="17" spans="1:45" ht="15.9" customHeight="1">
      <c r="A17" s="203" t="str">
        <v>G1</v>
      </c>
      <c r="B17" s="200" t="str">
        <v>Golden M1</v>
      </c>
      <c r="C17" s="202">
        <f t="shared" si="0"/>
        <v>0</v>
      </c>
      <c r="D17" s="202">
        <f t="shared" si="1"/>
        <v>3</v>
      </c>
      <c r="E17" s="202">
        <f t="shared" si="1"/>
        <v>0</v>
      </c>
      <c r="F17" s="202">
        <f t="shared" si="1"/>
        <v>9</v>
      </c>
      <c r="G17" s="202">
        <f t="shared" si="1"/>
        <v>0</v>
      </c>
      <c r="H17" s="202">
        <f t="shared" si="1"/>
        <v>0</v>
      </c>
      <c r="I17" s="202">
        <f t="shared" si="1"/>
        <v>0</v>
      </c>
      <c r="J17" s="200">
        <v>13</v>
      </c>
      <c r="L17" s="18">
        <v>13</v>
      </c>
      <c r="M17" s="47" t="s">
        <v>28</v>
      </c>
      <c r="N17" s="47" t="s">
        <v>238</v>
      </c>
      <c r="O17" s="47" t="s">
        <v>240</v>
      </c>
      <c r="P17" s="47" t="s">
        <v>89</v>
      </c>
      <c r="Q17" s="47" t="s">
        <v>24</v>
      </c>
      <c r="R17" s="47" t="s">
        <v>89</v>
      </c>
      <c r="S17" s="33" t="s">
        <v>89</v>
      </c>
      <c r="U17" s="46">
        <f t="shared" si="2"/>
        <v>11</v>
      </c>
      <c r="V17" s="46">
        <f t="shared" si="2"/>
        <v>0</v>
      </c>
      <c r="W17" s="46">
        <f t="shared" si="2"/>
        <v>0</v>
      </c>
      <c r="X17" s="46">
        <f t="shared" si="2"/>
        <v>16</v>
      </c>
      <c r="Y17" s="46">
        <f t="shared" si="2"/>
        <v>19</v>
      </c>
      <c r="Z17" s="46">
        <f t="shared" si="2"/>
        <v>16</v>
      </c>
      <c r="AA17" s="46">
        <f t="shared" si="2"/>
        <v>16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203" t="s">
        <v>234</v>
      </c>
      <c r="AL17" s="203">
        <v>0</v>
      </c>
      <c r="AM17" s="203">
        <v>12</v>
      </c>
      <c r="AN17" s="203">
        <v>3</v>
      </c>
      <c r="AO17" s="203">
        <v>5</v>
      </c>
      <c r="AP17" s="203">
        <v>3</v>
      </c>
      <c r="AQ17" s="203">
        <v>0</v>
      </c>
      <c r="AR17" s="203">
        <v>0</v>
      </c>
      <c r="AS17" s="200">
        <v>13</v>
      </c>
    </row>
    <row r="18" spans="1:45" s="199" customFormat="1" ht="15.9" customHeight="1">
      <c r="A18" s="203" t="str">
        <v>G2</v>
      </c>
      <c r="B18" s="200" t="str">
        <v>Golden M2</v>
      </c>
      <c r="C18" s="202">
        <f t="shared" si="0"/>
        <v>0</v>
      </c>
      <c r="D18" s="202">
        <f t="shared" si="1"/>
        <v>1</v>
      </c>
      <c r="E18" s="202">
        <f t="shared" si="1"/>
        <v>0</v>
      </c>
      <c r="F18" s="202">
        <f t="shared" si="1"/>
        <v>0</v>
      </c>
      <c r="G18" s="202">
        <f t="shared" si="1"/>
        <v>10</v>
      </c>
      <c r="H18" s="202">
        <f t="shared" si="1"/>
        <v>0</v>
      </c>
      <c r="I18" s="202">
        <f t="shared" si="1"/>
        <v>0</v>
      </c>
      <c r="J18" s="200">
        <v>14</v>
      </c>
      <c r="K18" s="41"/>
      <c r="L18" s="19">
        <v>14</v>
      </c>
      <c r="M18" s="47" t="s">
        <v>28</v>
      </c>
      <c r="N18" s="47" t="s">
        <v>26</v>
      </c>
      <c r="O18" s="47" t="s">
        <v>18</v>
      </c>
      <c r="P18" s="47" t="s">
        <v>89</v>
      </c>
      <c r="Q18" s="47" t="s">
        <v>89</v>
      </c>
      <c r="R18" s="47" t="s">
        <v>64</v>
      </c>
      <c r="S18" s="33" t="s">
        <v>89</v>
      </c>
      <c r="U18" s="46">
        <f t="shared" si="2"/>
        <v>11</v>
      </c>
      <c r="V18" s="46">
        <f t="shared" si="2"/>
        <v>17</v>
      </c>
      <c r="W18" s="46">
        <f t="shared" si="2"/>
        <v>3</v>
      </c>
      <c r="X18" s="46">
        <f t="shared" si="2"/>
        <v>16</v>
      </c>
      <c r="Y18" s="46">
        <f t="shared" si="2"/>
        <v>16</v>
      </c>
      <c r="Z18" s="46">
        <f t="shared" si="2"/>
        <v>4</v>
      </c>
      <c r="AA18" s="46">
        <f t="shared" si="2"/>
        <v>16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203" t="s">
        <v>236</v>
      </c>
      <c r="AL18" s="203">
        <v>0</v>
      </c>
      <c r="AM18" s="203">
        <v>8</v>
      </c>
      <c r="AN18" s="203">
        <v>15</v>
      </c>
      <c r="AO18" s="203">
        <v>2</v>
      </c>
      <c r="AP18" s="203">
        <v>2</v>
      </c>
      <c r="AQ18" s="203">
        <v>0</v>
      </c>
      <c r="AR18" s="203">
        <v>0</v>
      </c>
      <c r="AS18" s="200">
        <v>14</v>
      </c>
    </row>
    <row r="19" spans="1:45" ht="15.9" customHeight="1">
      <c r="A19" s="203" t="str">
        <v>G3</v>
      </c>
      <c r="B19" s="200" t="str">
        <v>Golden M3</v>
      </c>
      <c r="C19" s="202">
        <f t="shared" si="0"/>
        <v>0</v>
      </c>
      <c r="D19" s="202">
        <f t="shared" si="1"/>
        <v>6</v>
      </c>
      <c r="E19" s="202">
        <f t="shared" si="1"/>
        <v>0</v>
      </c>
      <c r="F19" s="202">
        <f t="shared" si="1"/>
        <v>6</v>
      </c>
      <c r="G19" s="202">
        <f t="shared" si="1"/>
        <v>1</v>
      </c>
      <c r="H19" s="202">
        <f t="shared" si="1"/>
        <v>0</v>
      </c>
      <c r="I19" s="202">
        <f t="shared" si="1"/>
        <v>0</v>
      </c>
      <c r="J19" s="200">
        <v>15</v>
      </c>
      <c r="K19" s="52"/>
      <c r="L19" s="18">
        <v>15</v>
      </c>
      <c r="M19" s="47" t="s">
        <v>64</v>
      </c>
      <c r="N19" s="47" t="s">
        <v>20</v>
      </c>
      <c r="O19" s="47" t="s">
        <v>26</v>
      </c>
      <c r="P19" s="47" t="s">
        <v>64</v>
      </c>
      <c r="Q19" s="47" t="s">
        <v>240</v>
      </c>
      <c r="R19" s="47" t="s">
        <v>17</v>
      </c>
      <c r="S19" s="33" t="s">
        <v>89</v>
      </c>
      <c r="U19" s="46">
        <f t="shared" si="2"/>
        <v>4</v>
      </c>
      <c r="V19" s="46">
        <f t="shared" si="2"/>
        <v>4</v>
      </c>
      <c r="W19" s="46">
        <f t="shared" si="2"/>
        <v>17</v>
      </c>
      <c r="X19" s="46">
        <f t="shared" si="2"/>
        <v>4</v>
      </c>
      <c r="Y19" s="46">
        <f t="shared" si="2"/>
        <v>0</v>
      </c>
      <c r="Z19" s="46">
        <f t="shared" si="2"/>
        <v>10</v>
      </c>
      <c r="AA19" s="46">
        <f t="shared" si="2"/>
        <v>16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203" t="s">
        <v>238</v>
      </c>
      <c r="AL19" s="203">
        <v>0</v>
      </c>
      <c r="AM19" s="203">
        <v>2</v>
      </c>
      <c r="AN19" s="203">
        <v>7</v>
      </c>
      <c r="AO19" s="203">
        <v>1</v>
      </c>
      <c r="AP19" s="203">
        <v>2</v>
      </c>
      <c r="AQ19" s="203">
        <v>0</v>
      </c>
      <c r="AR19" s="203">
        <v>0</v>
      </c>
      <c r="AS19" s="200">
        <v>15</v>
      </c>
    </row>
    <row r="20" spans="1:45" ht="15.9" customHeight="1">
      <c r="A20" s="203" t="str">
        <v>G4</v>
      </c>
      <c r="B20" s="200" t="str">
        <v>Golden M4</v>
      </c>
      <c r="C20" s="202">
        <f t="shared" si="0"/>
        <v>0</v>
      </c>
      <c r="D20" s="202">
        <f t="shared" ref="D20:D29" si="3">COUNTIF(N$4:N$304,$A20)</f>
        <v>0</v>
      </c>
      <c r="E20" s="202">
        <f t="shared" ref="E20:E29" si="4">COUNTIF(O$4:O$304,$A20)</f>
        <v>6</v>
      </c>
      <c r="F20" s="202">
        <f t="shared" ref="F20:F29" si="5">COUNTIF(P$4:P$304,$A20)</f>
        <v>1</v>
      </c>
      <c r="G20" s="202">
        <f t="shared" ref="G20:G29" si="6">COUNTIF(Q$4:Q$304,$A20)</f>
        <v>12</v>
      </c>
      <c r="H20" s="202">
        <f t="shared" ref="H20:H29" si="7">COUNTIF(R$4:R$304,$A20)</f>
        <v>0</v>
      </c>
      <c r="I20" s="202">
        <f t="shared" ref="I20:I29" si="8">COUNTIF(S$4:S$304,$A20)</f>
        <v>0</v>
      </c>
      <c r="J20" s="200">
        <v>16</v>
      </c>
      <c r="L20" s="19">
        <v>16</v>
      </c>
      <c r="M20" s="47" t="s">
        <v>18</v>
      </c>
      <c r="N20" s="47" t="s">
        <v>248</v>
      </c>
      <c r="O20" s="47" t="s">
        <v>26</v>
      </c>
      <c r="P20" s="47" t="s">
        <v>64</v>
      </c>
      <c r="Q20" s="47" t="s">
        <v>240</v>
      </c>
      <c r="R20" s="47" t="s">
        <v>18</v>
      </c>
      <c r="S20" s="33" t="s">
        <v>24</v>
      </c>
      <c r="U20" s="46">
        <f t="shared" ref="U20:AA56" si="9">VLOOKUP(M20, $A$4:$J$29, 9, 0)</f>
        <v>3</v>
      </c>
      <c r="V20" s="46">
        <f t="shared" si="9"/>
        <v>0</v>
      </c>
      <c r="W20" s="46">
        <f t="shared" si="9"/>
        <v>17</v>
      </c>
      <c r="X20" s="46">
        <f t="shared" si="9"/>
        <v>4</v>
      </c>
      <c r="Y20" s="46">
        <f t="shared" si="9"/>
        <v>0</v>
      </c>
      <c r="Z20" s="46">
        <f t="shared" si="9"/>
        <v>3</v>
      </c>
      <c r="AA20" s="46">
        <f t="shared" si="9"/>
        <v>19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203" t="s">
        <v>240</v>
      </c>
      <c r="AL20" s="203">
        <v>0</v>
      </c>
      <c r="AM20" s="203">
        <v>5</v>
      </c>
      <c r="AN20" s="203">
        <v>5</v>
      </c>
      <c r="AO20" s="203">
        <v>5</v>
      </c>
      <c r="AP20" s="203">
        <v>2</v>
      </c>
      <c r="AQ20" s="203">
        <v>0</v>
      </c>
      <c r="AR20" s="203">
        <v>0</v>
      </c>
      <c r="AS20" s="200">
        <v>16</v>
      </c>
    </row>
    <row r="21" spans="1:45" ht="15.9" customHeight="1">
      <c r="A21" s="203" t="str">
        <v>G5</v>
      </c>
      <c r="B21" s="200" t="str">
        <v>Golden M5</v>
      </c>
      <c r="C21" s="202">
        <f t="shared" si="0"/>
        <v>0</v>
      </c>
      <c r="D21" s="202">
        <f t="shared" si="3"/>
        <v>1</v>
      </c>
      <c r="E21" s="202">
        <f t="shared" si="4"/>
        <v>0</v>
      </c>
      <c r="F21" s="202">
        <f t="shared" si="5"/>
        <v>2</v>
      </c>
      <c r="G21" s="202">
        <f t="shared" si="6"/>
        <v>1</v>
      </c>
      <c r="H21" s="202">
        <f t="shared" si="7"/>
        <v>0</v>
      </c>
      <c r="I21" s="202">
        <f t="shared" si="8"/>
        <v>0</v>
      </c>
      <c r="J21" s="200">
        <v>17</v>
      </c>
      <c r="L21" s="18">
        <v>17</v>
      </c>
      <c r="M21" s="47" t="s">
        <v>27</v>
      </c>
      <c r="N21" s="47" t="s">
        <v>248</v>
      </c>
      <c r="O21" s="47" t="s">
        <v>26</v>
      </c>
      <c r="P21" s="47" t="s">
        <v>64</v>
      </c>
      <c r="Q21" s="47" t="s">
        <v>21</v>
      </c>
      <c r="R21" s="47" t="s">
        <v>27</v>
      </c>
      <c r="S21" s="33" t="s">
        <v>24</v>
      </c>
      <c r="U21" s="46">
        <f t="shared" si="9"/>
        <v>8</v>
      </c>
      <c r="V21" s="46">
        <f t="shared" si="9"/>
        <v>0</v>
      </c>
      <c r="W21" s="46">
        <f t="shared" si="9"/>
        <v>17</v>
      </c>
      <c r="X21" s="46">
        <f t="shared" si="9"/>
        <v>4</v>
      </c>
      <c r="Y21" s="46">
        <f t="shared" si="9"/>
        <v>6</v>
      </c>
      <c r="Z21" s="46">
        <f t="shared" si="9"/>
        <v>8</v>
      </c>
      <c r="AA21" s="46">
        <f t="shared" si="9"/>
        <v>19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203" t="s">
        <v>242</v>
      </c>
      <c r="AL21" s="203">
        <v>0</v>
      </c>
      <c r="AM21" s="203">
        <v>2</v>
      </c>
      <c r="AN21" s="203">
        <v>2</v>
      </c>
      <c r="AO21" s="203">
        <v>1</v>
      </c>
      <c r="AP21" s="203">
        <v>3</v>
      </c>
      <c r="AQ21" s="203">
        <v>0</v>
      </c>
      <c r="AR21" s="203">
        <v>0</v>
      </c>
      <c r="AS21" s="200">
        <v>17</v>
      </c>
    </row>
    <row r="22" spans="1:45" ht="15.9" customHeight="1">
      <c r="A22" s="203" t="str">
        <v>G6</v>
      </c>
      <c r="B22" s="200" t="str">
        <v>Golden M6</v>
      </c>
      <c r="C22" s="202">
        <f t="shared" si="0"/>
        <v>0</v>
      </c>
      <c r="D22" s="202">
        <f t="shared" si="3"/>
        <v>2</v>
      </c>
      <c r="E22" s="202">
        <f t="shared" si="4"/>
        <v>0</v>
      </c>
      <c r="F22" s="202">
        <f t="shared" si="5"/>
        <v>7</v>
      </c>
      <c r="G22" s="202">
        <f t="shared" si="6"/>
        <v>2</v>
      </c>
      <c r="H22" s="202">
        <f t="shared" si="7"/>
        <v>0</v>
      </c>
      <c r="I22" s="202">
        <f t="shared" si="8"/>
        <v>0</v>
      </c>
      <c r="J22" s="200">
        <v>18</v>
      </c>
      <c r="L22" s="19">
        <v>18</v>
      </c>
      <c r="M22" s="47" t="s">
        <v>27</v>
      </c>
      <c r="N22" s="47" t="s">
        <v>26</v>
      </c>
      <c r="O22" s="47" t="s">
        <v>64</v>
      </c>
      <c r="P22" s="47" t="s">
        <v>238</v>
      </c>
      <c r="Q22" s="47" t="s">
        <v>21</v>
      </c>
      <c r="R22" s="47" t="s">
        <v>64</v>
      </c>
      <c r="S22" s="47" t="s">
        <v>24</v>
      </c>
      <c r="U22" s="46">
        <f t="shared" si="9"/>
        <v>8</v>
      </c>
      <c r="V22" s="46">
        <f t="shared" si="9"/>
        <v>17</v>
      </c>
      <c r="W22" s="46">
        <f t="shared" si="9"/>
        <v>4</v>
      </c>
      <c r="X22" s="46">
        <f t="shared" si="9"/>
        <v>0</v>
      </c>
      <c r="Y22" s="46">
        <f t="shared" si="9"/>
        <v>6</v>
      </c>
      <c r="Z22" s="46">
        <f t="shared" si="9"/>
        <v>4</v>
      </c>
      <c r="AA22" s="46">
        <f t="shared" si="9"/>
        <v>19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203" t="s">
        <v>244</v>
      </c>
      <c r="AL22" s="203">
        <v>0</v>
      </c>
      <c r="AM22" s="203">
        <v>2</v>
      </c>
      <c r="AN22" s="203">
        <v>2</v>
      </c>
      <c r="AO22" s="203">
        <v>1</v>
      </c>
      <c r="AP22" s="203">
        <v>3</v>
      </c>
      <c r="AQ22" s="203">
        <v>0</v>
      </c>
      <c r="AR22" s="203">
        <v>0</v>
      </c>
      <c r="AS22" s="200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0"/>
        <v>0</v>
      </c>
      <c r="D23" s="12">
        <f t="shared" si="3"/>
        <v>6</v>
      </c>
      <c r="E23" s="12">
        <f t="shared" si="4"/>
        <v>1</v>
      </c>
      <c r="F23" s="12">
        <f t="shared" si="5"/>
        <v>0</v>
      </c>
      <c r="G23" s="12">
        <f t="shared" si="6"/>
        <v>0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21</v>
      </c>
      <c r="N23" s="47" t="s">
        <v>89</v>
      </c>
      <c r="O23" s="47" t="s">
        <v>89</v>
      </c>
      <c r="P23" s="47" t="s">
        <v>238</v>
      </c>
      <c r="Q23" s="47" t="s">
        <v>26</v>
      </c>
      <c r="R23" s="47" t="s">
        <v>26</v>
      </c>
      <c r="S23" s="33" t="s">
        <v>24</v>
      </c>
      <c r="U23" s="46">
        <f t="shared" si="9"/>
        <v>6</v>
      </c>
      <c r="V23" s="46">
        <f t="shared" si="9"/>
        <v>16</v>
      </c>
      <c r="W23" s="46">
        <f t="shared" si="9"/>
        <v>16</v>
      </c>
      <c r="X23" s="46">
        <f t="shared" si="9"/>
        <v>0</v>
      </c>
      <c r="Y23" s="46">
        <f t="shared" si="9"/>
        <v>17</v>
      </c>
      <c r="Z23" s="46">
        <f t="shared" si="9"/>
        <v>17</v>
      </c>
      <c r="AA23" s="46">
        <f t="shared" si="9"/>
        <v>19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246</v>
      </c>
      <c r="AL23" s="46">
        <v>0</v>
      </c>
      <c r="AM23" s="46">
        <v>5</v>
      </c>
      <c r="AN23" s="46">
        <v>6</v>
      </c>
      <c r="AO23" s="46">
        <v>1</v>
      </c>
      <c r="AP23" s="46">
        <v>3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0"/>
        <v>0</v>
      </c>
      <c r="D24" s="12">
        <f t="shared" si="3"/>
        <v>6</v>
      </c>
      <c r="E24" s="12">
        <f t="shared" si="4"/>
        <v>0</v>
      </c>
      <c r="F24" s="12">
        <f t="shared" si="5"/>
        <v>0</v>
      </c>
      <c r="G24" s="12">
        <f t="shared" si="6"/>
        <v>7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21</v>
      </c>
      <c r="N24" s="47" t="s">
        <v>246</v>
      </c>
      <c r="O24" s="47" t="s">
        <v>89</v>
      </c>
      <c r="P24" s="47" t="s">
        <v>64</v>
      </c>
      <c r="Q24" s="47" t="s">
        <v>236</v>
      </c>
      <c r="R24" s="47" t="s">
        <v>89</v>
      </c>
      <c r="S24" s="33" t="s">
        <v>17</v>
      </c>
      <c r="U24" s="46">
        <f t="shared" si="9"/>
        <v>6</v>
      </c>
      <c r="V24" s="46">
        <f t="shared" si="9"/>
        <v>0</v>
      </c>
      <c r="W24" s="46">
        <f t="shared" si="9"/>
        <v>16</v>
      </c>
      <c r="X24" s="46">
        <f t="shared" si="9"/>
        <v>4</v>
      </c>
      <c r="Y24" s="46">
        <f t="shared" si="9"/>
        <v>0</v>
      </c>
      <c r="Z24" s="46">
        <f t="shared" si="9"/>
        <v>16</v>
      </c>
      <c r="AA24" s="46">
        <f t="shared" si="9"/>
        <v>10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248</v>
      </c>
      <c r="AL24" s="46">
        <v>0</v>
      </c>
      <c r="AM24" s="46">
        <v>2</v>
      </c>
      <c r="AN24" s="46">
        <v>6</v>
      </c>
      <c r="AO24" s="46">
        <v>2</v>
      </c>
      <c r="AP24" s="46">
        <v>2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0"/>
        <v>0</v>
      </c>
      <c r="D25" s="12">
        <f t="shared" si="3"/>
        <v>1</v>
      </c>
      <c r="E25" s="12">
        <f t="shared" si="4"/>
        <v>0</v>
      </c>
      <c r="F25" s="12">
        <f t="shared" si="5"/>
        <v>1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18</v>
      </c>
      <c r="N25" s="47" t="s">
        <v>246</v>
      </c>
      <c r="O25" s="47" t="s">
        <v>29</v>
      </c>
      <c r="P25" s="47" t="s">
        <v>234</v>
      </c>
      <c r="Q25" s="47" t="s">
        <v>236</v>
      </c>
      <c r="R25" s="47" t="s">
        <v>24</v>
      </c>
      <c r="S25" s="33" t="s">
        <v>17</v>
      </c>
      <c r="U25" s="46">
        <f t="shared" si="9"/>
        <v>3</v>
      </c>
      <c r="V25" s="46">
        <f t="shared" si="9"/>
        <v>0</v>
      </c>
      <c r="W25" s="46">
        <f t="shared" si="9"/>
        <v>23</v>
      </c>
      <c r="X25" s="46">
        <f t="shared" si="9"/>
        <v>0</v>
      </c>
      <c r="Y25" s="46">
        <f t="shared" si="9"/>
        <v>0</v>
      </c>
      <c r="Z25" s="46">
        <f t="shared" si="9"/>
        <v>19</v>
      </c>
      <c r="AA25" s="46">
        <f t="shared" si="9"/>
        <v>10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250</v>
      </c>
      <c r="AL25" s="46">
        <v>0</v>
      </c>
      <c r="AM25" s="46">
        <v>10</v>
      </c>
      <c r="AN25" s="46">
        <v>6</v>
      </c>
      <c r="AO25" s="46">
        <v>1</v>
      </c>
      <c r="AP25" s="46">
        <v>4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0"/>
        <v>0</v>
      </c>
      <c r="D26" s="12">
        <f t="shared" si="3"/>
        <v>1</v>
      </c>
      <c r="E26" s="12">
        <f t="shared" si="4"/>
        <v>1</v>
      </c>
      <c r="F26" s="12">
        <f t="shared" si="5"/>
        <v>1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27</v>
      </c>
      <c r="N26" s="47" t="s">
        <v>246</v>
      </c>
      <c r="O26" s="47" t="s">
        <v>29</v>
      </c>
      <c r="P26" s="47" t="s">
        <v>234</v>
      </c>
      <c r="Q26" s="47" t="s">
        <v>236</v>
      </c>
      <c r="R26" s="47" t="s">
        <v>18</v>
      </c>
      <c r="S26" s="33" t="s">
        <v>17</v>
      </c>
      <c r="U26" s="46">
        <f t="shared" si="9"/>
        <v>8</v>
      </c>
      <c r="V26" s="46">
        <f t="shared" si="9"/>
        <v>0</v>
      </c>
      <c r="W26" s="46">
        <f t="shared" si="9"/>
        <v>23</v>
      </c>
      <c r="X26" s="46">
        <f t="shared" si="9"/>
        <v>0</v>
      </c>
      <c r="Y26" s="46">
        <f t="shared" si="9"/>
        <v>0</v>
      </c>
      <c r="Z26" s="46">
        <f t="shared" si="9"/>
        <v>3</v>
      </c>
      <c r="AA26" s="46">
        <f t="shared" si="9"/>
        <v>10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252</v>
      </c>
      <c r="AL26" s="46">
        <v>0</v>
      </c>
      <c r="AM26" s="46">
        <v>5</v>
      </c>
      <c r="AN26" s="46">
        <v>6</v>
      </c>
      <c r="AO26" s="46">
        <v>1</v>
      </c>
      <c r="AP26" s="46">
        <v>2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0"/>
        <v>0</v>
      </c>
      <c r="D27" s="12">
        <f t="shared" si="3"/>
        <v>0</v>
      </c>
      <c r="E27" s="12">
        <f t="shared" si="4"/>
        <v>1</v>
      </c>
      <c r="F27" s="12">
        <f t="shared" si="5"/>
        <v>1</v>
      </c>
      <c r="G27" s="12">
        <f t="shared" si="6"/>
        <v>0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27</v>
      </c>
      <c r="N27" s="47" t="s">
        <v>20</v>
      </c>
      <c r="O27" s="47" t="s">
        <v>29</v>
      </c>
      <c r="P27" s="47" t="s">
        <v>234</v>
      </c>
      <c r="Q27" s="47" t="s">
        <v>240</v>
      </c>
      <c r="R27" s="47" t="s">
        <v>27</v>
      </c>
      <c r="S27" s="33" t="s">
        <v>17</v>
      </c>
      <c r="U27" s="46">
        <f t="shared" si="9"/>
        <v>8</v>
      </c>
      <c r="V27" s="46">
        <f t="shared" si="9"/>
        <v>4</v>
      </c>
      <c r="W27" s="46">
        <f t="shared" si="9"/>
        <v>23</v>
      </c>
      <c r="X27" s="46">
        <f t="shared" si="9"/>
        <v>0</v>
      </c>
      <c r="Y27" s="46">
        <f t="shared" si="9"/>
        <v>0</v>
      </c>
      <c r="Z27" s="46">
        <f t="shared" si="9"/>
        <v>8</v>
      </c>
      <c r="AA27" s="46">
        <f t="shared" si="9"/>
        <v>10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254</v>
      </c>
      <c r="AL27" s="46">
        <v>0</v>
      </c>
      <c r="AM27" s="46">
        <v>2</v>
      </c>
      <c r="AN27" s="46">
        <v>6</v>
      </c>
      <c r="AO27" s="46">
        <v>1</v>
      </c>
      <c r="AP27" s="46">
        <v>2</v>
      </c>
      <c r="AQ27" s="46">
        <v>0</v>
      </c>
      <c r="AR27" s="46">
        <v>0</v>
      </c>
      <c r="AS27" s="5">
        <v>23</v>
      </c>
    </row>
    <row r="28" spans="1:45" ht="16.5" customHeight="1">
      <c r="A28" s="203" t="str">
        <v>MY</v>
      </c>
      <c r="B28" s="203" t="str">
        <v>Mystery</v>
      </c>
      <c r="C28" s="202">
        <f t="shared" si="0"/>
        <v>0</v>
      </c>
      <c r="D28" s="202">
        <f t="shared" si="3"/>
        <v>3</v>
      </c>
      <c r="E28" s="202">
        <f t="shared" si="4"/>
        <v>0</v>
      </c>
      <c r="F28" s="202">
        <f t="shared" si="5"/>
        <v>0</v>
      </c>
      <c r="G28" s="202">
        <f t="shared" si="6"/>
        <v>0</v>
      </c>
      <c r="H28" s="202">
        <f t="shared" si="7"/>
        <v>0</v>
      </c>
      <c r="I28" s="202">
        <f t="shared" si="8"/>
        <v>0</v>
      </c>
      <c r="J28" s="200">
        <v>24</v>
      </c>
      <c r="L28" s="19">
        <v>24</v>
      </c>
      <c r="M28" s="47" t="s">
        <v>28</v>
      </c>
      <c r="N28" s="47" t="s">
        <v>20</v>
      </c>
      <c r="O28" s="47" t="s">
        <v>89</v>
      </c>
      <c r="P28" s="47" t="s">
        <v>24</v>
      </c>
      <c r="Q28" s="47" t="s">
        <v>240</v>
      </c>
      <c r="R28" s="47" t="s">
        <v>28</v>
      </c>
      <c r="S28" s="33" t="s">
        <v>29</v>
      </c>
      <c r="U28" s="46">
        <f t="shared" si="9"/>
        <v>11</v>
      </c>
      <c r="V28" s="46">
        <f t="shared" si="9"/>
        <v>4</v>
      </c>
      <c r="W28" s="46">
        <f t="shared" si="9"/>
        <v>16</v>
      </c>
      <c r="X28" s="46">
        <f t="shared" si="9"/>
        <v>19</v>
      </c>
      <c r="Y28" s="46">
        <f t="shared" si="9"/>
        <v>0</v>
      </c>
      <c r="Z28" s="46">
        <f t="shared" si="9"/>
        <v>11</v>
      </c>
      <c r="AA28" s="46">
        <f t="shared" si="9"/>
        <v>23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203" t="s">
        <v>101</v>
      </c>
      <c r="AL28" s="203">
        <v>0</v>
      </c>
      <c r="AM28" s="203">
        <v>10</v>
      </c>
      <c r="AN28" s="203">
        <v>10</v>
      </c>
      <c r="AO28" s="203">
        <v>10</v>
      </c>
      <c r="AP28" s="203">
        <v>10</v>
      </c>
      <c r="AQ28" s="203">
        <v>0</v>
      </c>
      <c r="AR28" s="203">
        <v>0</v>
      </c>
      <c r="AS28" s="200">
        <v>24</v>
      </c>
    </row>
    <row r="29" spans="1:45" ht="16.5" customHeight="1">
      <c r="A29" s="203" t="str">
        <v>GM</v>
      </c>
      <c r="B29" s="203" t="str">
        <v>Golden Mystery</v>
      </c>
      <c r="C29" s="202">
        <f t="shared" si="0"/>
        <v>0</v>
      </c>
      <c r="D29" s="202">
        <f t="shared" si="3"/>
        <v>1</v>
      </c>
      <c r="E29" s="202">
        <f t="shared" si="4"/>
        <v>0</v>
      </c>
      <c r="F29" s="202">
        <f t="shared" si="5"/>
        <v>0</v>
      </c>
      <c r="G29" s="202">
        <f t="shared" si="6"/>
        <v>0</v>
      </c>
      <c r="H29" s="202">
        <f t="shared" si="7"/>
        <v>0</v>
      </c>
      <c r="I29" s="202">
        <f t="shared" si="8"/>
        <v>0</v>
      </c>
      <c r="J29" s="200">
        <v>25</v>
      </c>
      <c r="L29" s="18">
        <v>25</v>
      </c>
      <c r="M29" s="47" t="s">
        <v>21</v>
      </c>
      <c r="N29" s="47" t="s">
        <v>20</v>
      </c>
      <c r="O29" s="47" t="s">
        <v>89</v>
      </c>
      <c r="P29" s="47" t="s">
        <v>26</v>
      </c>
      <c r="Q29" s="47" t="s">
        <v>27</v>
      </c>
      <c r="R29" s="47" t="s">
        <v>28</v>
      </c>
      <c r="S29" s="33" t="s">
        <v>29</v>
      </c>
      <c r="U29" s="46">
        <f t="shared" si="9"/>
        <v>6</v>
      </c>
      <c r="V29" s="46">
        <f t="shared" si="9"/>
        <v>4</v>
      </c>
      <c r="W29" s="46">
        <f t="shared" si="9"/>
        <v>16</v>
      </c>
      <c r="X29" s="46">
        <f t="shared" si="9"/>
        <v>17</v>
      </c>
      <c r="Y29" s="46">
        <f t="shared" si="9"/>
        <v>8</v>
      </c>
      <c r="Z29" s="46">
        <f t="shared" si="9"/>
        <v>11</v>
      </c>
      <c r="AA29" s="46">
        <f t="shared" si="9"/>
        <v>23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203" t="s">
        <v>269</v>
      </c>
      <c r="AL29" s="203">
        <v>0</v>
      </c>
      <c r="AM29" s="203">
        <v>1</v>
      </c>
      <c r="AN29" s="203">
        <v>1</v>
      </c>
      <c r="AO29" s="203">
        <v>1</v>
      </c>
      <c r="AP29" s="203">
        <v>1</v>
      </c>
      <c r="AQ29" s="203">
        <v>0</v>
      </c>
      <c r="AR29" s="203">
        <v>0</v>
      </c>
      <c r="AS29" s="200">
        <v>25</v>
      </c>
    </row>
    <row r="30" spans="1:45" ht="16.5" customHeight="1">
      <c r="A30" s="199"/>
      <c r="B30" s="199"/>
      <c r="C30" s="219">
        <f>SUM(C4:C29)</f>
        <v>121</v>
      </c>
      <c r="D30" s="219">
        <f t="shared" ref="D30:I30" si="10">SUM(D4:D29)</f>
        <v>121</v>
      </c>
      <c r="E30" s="219">
        <f t="shared" si="10"/>
        <v>121</v>
      </c>
      <c r="F30" s="219">
        <f t="shared" si="10"/>
        <v>121</v>
      </c>
      <c r="G30" s="219">
        <f t="shared" si="10"/>
        <v>121</v>
      </c>
      <c r="H30" s="219">
        <f t="shared" si="10"/>
        <v>121</v>
      </c>
      <c r="I30" s="219">
        <f t="shared" si="10"/>
        <v>121</v>
      </c>
      <c r="J30" s="15"/>
      <c r="L30" s="19">
        <v>26</v>
      </c>
      <c r="M30" s="47" t="s">
        <v>21</v>
      </c>
      <c r="N30" s="47" t="s">
        <v>17</v>
      </c>
      <c r="O30" s="47" t="s">
        <v>27</v>
      </c>
      <c r="P30" s="47" t="s">
        <v>26</v>
      </c>
      <c r="Q30" s="47" t="s">
        <v>17</v>
      </c>
      <c r="R30" s="47" t="s">
        <v>89</v>
      </c>
      <c r="S30" s="33" t="s">
        <v>29</v>
      </c>
      <c r="U30" s="46">
        <f t="shared" si="9"/>
        <v>6</v>
      </c>
      <c r="V30" s="46">
        <f t="shared" si="9"/>
        <v>10</v>
      </c>
      <c r="W30" s="46">
        <f t="shared" si="9"/>
        <v>8</v>
      </c>
      <c r="X30" s="46">
        <f t="shared" si="9"/>
        <v>17</v>
      </c>
      <c r="Y30" s="46">
        <f t="shared" si="9"/>
        <v>10</v>
      </c>
      <c r="Z30" s="46">
        <f t="shared" si="9"/>
        <v>16</v>
      </c>
      <c r="AA30" s="46">
        <f t="shared" si="9"/>
        <v>23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84"/>
      <c r="E31" s="84"/>
      <c r="F31" s="84"/>
      <c r="G31" s="84"/>
      <c r="J31" s="15"/>
      <c r="L31" s="18">
        <v>27</v>
      </c>
      <c r="M31" s="47" t="s">
        <v>18</v>
      </c>
      <c r="N31" s="47" t="s">
        <v>17</v>
      </c>
      <c r="O31" s="47" t="s">
        <v>27</v>
      </c>
      <c r="P31" s="47" t="s">
        <v>26</v>
      </c>
      <c r="Q31" s="47" t="s">
        <v>17</v>
      </c>
      <c r="R31" s="47" t="s">
        <v>26</v>
      </c>
      <c r="S31" s="33" t="s">
        <v>29</v>
      </c>
      <c r="U31" s="46">
        <f t="shared" si="9"/>
        <v>3</v>
      </c>
      <c r="V31" s="46">
        <f t="shared" si="9"/>
        <v>10</v>
      </c>
      <c r="W31" s="46">
        <f t="shared" si="9"/>
        <v>8</v>
      </c>
      <c r="X31" s="46">
        <f t="shared" si="9"/>
        <v>17</v>
      </c>
      <c r="Y31" s="46">
        <f t="shared" si="9"/>
        <v>10</v>
      </c>
      <c r="Z31" s="46">
        <f t="shared" si="9"/>
        <v>17</v>
      </c>
      <c r="AA31" s="46">
        <f t="shared" si="9"/>
        <v>23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275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18</v>
      </c>
      <c r="N32" s="47" t="s">
        <v>17</v>
      </c>
      <c r="O32" s="47" t="s">
        <v>21</v>
      </c>
      <c r="P32" s="47" t="s">
        <v>244</v>
      </c>
      <c r="Q32" s="47" t="s">
        <v>17</v>
      </c>
      <c r="R32" s="47" t="s">
        <v>18</v>
      </c>
      <c r="S32" s="33" t="s">
        <v>24</v>
      </c>
      <c r="U32" s="46">
        <f t="shared" si="9"/>
        <v>3</v>
      </c>
      <c r="V32" s="46">
        <f t="shared" si="9"/>
        <v>10</v>
      </c>
      <c r="W32" s="46">
        <f t="shared" si="9"/>
        <v>6</v>
      </c>
      <c r="X32" s="46">
        <f t="shared" si="9"/>
        <v>0</v>
      </c>
      <c r="Y32" s="46">
        <f t="shared" si="9"/>
        <v>10</v>
      </c>
      <c r="Z32" s="46">
        <f t="shared" si="9"/>
        <v>3</v>
      </c>
      <c r="AA32" s="46">
        <f t="shared" si="9"/>
        <v>19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277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98" t="s">
        <v>72</v>
      </c>
      <c r="C33" s="204">
        <v>0</v>
      </c>
      <c r="D33" s="204">
        <v>390</v>
      </c>
      <c r="E33" s="204">
        <v>390</v>
      </c>
      <c r="F33" s="204">
        <v>185</v>
      </c>
      <c r="G33" s="204">
        <v>120</v>
      </c>
      <c r="H33" s="204">
        <v>0</v>
      </c>
      <c r="J33" s="15"/>
      <c r="L33" s="18">
        <v>29</v>
      </c>
      <c r="M33" s="47" t="s">
        <v>28</v>
      </c>
      <c r="N33" s="47" t="s">
        <v>89</v>
      </c>
      <c r="O33" s="47" t="s">
        <v>21</v>
      </c>
      <c r="P33" s="47" t="s">
        <v>244</v>
      </c>
      <c r="Q33" s="47" t="s">
        <v>64</v>
      </c>
      <c r="R33" s="47" t="s">
        <v>89</v>
      </c>
      <c r="S33" s="33" t="s">
        <v>24</v>
      </c>
      <c r="U33" s="46">
        <f t="shared" si="9"/>
        <v>11</v>
      </c>
      <c r="V33" s="46">
        <f t="shared" si="9"/>
        <v>16</v>
      </c>
      <c r="W33" s="46">
        <f t="shared" si="9"/>
        <v>6</v>
      </c>
      <c r="X33" s="46">
        <f t="shared" si="9"/>
        <v>0</v>
      </c>
      <c r="Y33" s="46">
        <f t="shared" si="9"/>
        <v>4</v>
      </c>
      <c r="Z33" s="46">
        <f t="shared" si="9"/>
        <v>16</v>
      </c>
      <c r="AA33" s="46">
        <f t="shared" si="9"/>
        <v>19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390</v>
      </c>
      <c r="E34" s="10">
        <v>390</v>
      </c>
      <c r="F34" s="10">
        <v>185</v>
      </c>
      <c r="G34" s="10">
        <v>120</v>
      </c>
      <c r="H34" s="10">
        <v>0</v>
      </c>
      <c r="L34" s="19">
        <v>30</v>
      </c>
      <c r="M34" s="47" t="s">
        <v>64</v>
      </c>
      <c r="N34" s="47" t="s">
        <v>89</v>
      </c>
      <c r="O34" s="47" t="s">
        <v>26</v>
      </c>
      <c r="P34" s="47" t="s">
        <v>17</v>
      </c>
      <c r="Q34" s="47" t="s">
        <v>21</v>
      </c>
      <c r="R34" s="47" t="s">
        <v>27</v>
      </c>
      <c r="S34" s="47" t="s">
        <v>24</v>
      </c>
      <c r="U34" s="46">
        <f t="shared" si="9"/>
        <v>4</v>
      </c>
      <c r="V34" s="46">
        <f t="shared" si="9"/>
        <v>16</v>
      </c>
      <c r="W34" s="46">
        <f t="shared" si="9"/>
        <v>17</v>
      </c>
      <c r="X34" s="46">
        <f t="shared" si="9"/>
        <v>10</v>
      </c>
      <c r="Y34" s="46">
        <f t="shared" si="9"/>
        <v>6</v>
      </c>
      <c r="Z34" s="46">
        <f t="shared" si="9"/>
        <v>8</v>
      </c>
      <c r="AA34" s="46">
        <f t="shared" si="9"/>
        <v>19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5</v>
      </c>
      <c r="AM34" s="46">
        <v>5</v>
      </c>
      <c r="AN34" s="46">
        <v>5</v>
      </c>
      <c r="AO34" s="46">
        <v>5</v>
      </c>
      <c r="AP34" s="46">
        <v>5</v>
      </c>
      <c r="AQ34" s="46">
        <v>5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2035</v>
      </c>
      <c r="E35" s="10">
        <v>2010</v>
      </c>
      <c r="F35" s="10">
        <v>1125</v>
      </c>
      <c r="G35" s="10">
        <v>860</v>
      </c>
      <c r="H35" s="10">
        <v>0</v>
      </c>
      <c r="L35" s="18">
        <v>31</v>
      </c>
      <c r="M35" s="47" t="s">
        <v>64</v>
      </c>
      <c r="N35" s="47" t="s">
        <v>24</v>
      </c>
      <c r="O35" s="47" t="s">
        <v>26</v>
      </c>
      <c r="P35" s="47" t="s">
        <v>17</v>
      </c>
      <c r="Q35" s="47" t="s">
        <v>248</v>
      </c>
      <c r="R35" s="47" t="s">
        <v>64</v>
      </c>
      <c r="S35" s="33" t="s">
        <v>24</v>
      </c>
      <c r="U35" s="46">
        <f t="shared" si="9"/>
        <v>4</v>
      </c>
      <c r="V35" s="46">
        <f t="shared" si="9"/>
        <v>19</v>
      </c>
      <c r="W35" s="46">
        <f t="shared" si="9"/>
        <v>17</v>
      </c>
      <c r="X35" s="46">
        <f t="shared" si="9"/>
        <v>10</v>
      </c>
      <c r="Y35" s="46">
        <f t="shared" si="9"/>
        <v>0</v>
      </c>
      <c r="Z35" s="46">
        <f t="shared" si="9"/>
        <v>4</v>
      </c>
      <c r="AA35" s="46">
        <f t="shared" si="9"/>
        <v>19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203" t="s">
        <v>20</v>
      </c>
      <c r="AL35" s="203">
        <v>15</v>
      </c>
      <c r="AM35" s="203">
        <v>42</v>
      </c>
      <c r="AN35" s="203">
        <v>20</v>
      </c>
      <c r="AO35" s="203">
        <v>10</v>
      </c>
      <c r="AP35" s="203">
        <v>40</v>
      </c>
      <c r="AQ35" s="203">
        <v>5</v>
      </c>
      <c r="AR35" s="203">
        <v>1</v>
      </c>
      <c r="AS35" s="200">
        <v>2</v>
      </c>
    </row>
    <row r="36" spans="1:45" ht="16.5" customHeight="1">
      <c r="B36" s="5" t="s">
        <v>76</v>
      </c>
      <c r="C36" s="10">
        <v>0</v>
      </c>
      <c r="D36" s="10">
        <v>2035</v>
      </c>
      <c r="E36" s="10">
        <v>2010</v>
      </c>
      <c r="F36" s="10">
        <v>1125</v>
      </c>
      <c r="G36" s="10">
        <v>860</v>
      </c>
      <c r="H36" s="10">
        <v>0</v>
      </c>
      <c r="L36" s="19">
        <v>32</v>
      </c>
      <c r="M36" s="47" t="s">
        <v>64</v>
      </c>
      <c r="N36" s="47" t="s">
        <v>238</v>
      </c>
      <c r="O36" s="47" t="s">
        <v>240</v>
      </c>
      <c r="P36" s="47" t="s">
        <v>26</v>
      </c>
      <c r="Q36" s="47" t="s">
        <v>248</v>
      </c>
      <c r="R36" s="47" t="s">
        <v>26</v>
      </c>
      <c r="S36" s="33" t="s">
        <v>26</v>
      </c>
      <c r="U36" s="46">
        <f t="shared" si="9"/>
        <v>4</v>
      </c>
      <c r="V36" s="46">
        <f t="shared" si="9"/>
        <v>0</v>
      </c>
      <c r="W36" s="46">
        <f t="shared" si="9"/>
        <v>0</v>
      </c>
      <c r="X36" s="46">
        <f t="shared" si="9"/>
        <v>17</v>
      </c>
      <c r="Y36" s="46">
        <f t="shared" si="9"/>
        <v>0</v>
      </c>
      <c r="Z36" s="46">
        <f t="shared" si="9"/>
        <v>17</v>
      </c>
      <c r="AA36" s="46">
        <f t="shared" si="9"/>
        <v>17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203" t="s">
        <v>21</v>
      </c>
      <c r="AL36" s="203">
        <v>40</v>
      </c>
      <c r="AM36" s="203">
        <v>15</v>
      </c>
      <c r="AN36" s="203">
        <v>40</v>
      </c>
      <c r="AO36" s="203">
        <v>42</v>
      </c>
      <c r="AP36" s="203">
        <v>40</v>
      </c>
      <c r="AQ36" s="203">
        <v>5</v>
      </c>
      <c r="AR36" s="203">
        <v>1</v>
      </c>
      <c r="AS36" s="200">
        <v>3</v>
      </c>
    </row>
    <row r="37" spans="1:45" ht="16.5" customHeight="1">
      <c r="B37" s="5" t="s">
        <v>74</v>
      </c>
      <c r="C37" s="10">
        <v>0</v>
      </c>
      <c r="D37" s="10">
        <v>290</v>
      </c>
      <c r="E37" s="10">
        <v>283</v>
      </c>
      <c r="F37" s="10">
        <v>803</v>
      </c>
      <c r="G37" s="10">
        <v>520</v>
      </c>
      <c r="H37" s="10">
        <v>0</v>
      </c>
      <c r="L37" s="18">
        <v>33</v>
      </c>
      <c r="M37" s="47" t="s">
        <v>28</v>
      </c>
      <c r="N37" s="47" t="s">
        <v>238</v>
      </c>
      <c r="O37" s="47" t="s">
        <v>240</v>
      </c>
      <c r="P37" s="47" t="s">
        <v>89</v>
      </c>
      <c r="Q37" s="47" t="s">
        <v>24</v>
      </c>
      <c r="R37" s="47" t="s">
        <v>89</v>
      </c>
      <c r="S37" s="33" t="s">
        <v>26</v>
      </c>
      <c r="U37" s="46">
        <f t="shared" si="9"/>
        <v>11</v>
      </c>
      <c r="V37" s="46">
        <f t="shared" si="9"/>
        <v>0</v>
      </c>
      <c r="W37" s="46">
        <f t="shared" si="9"/>
        <v>0</v>
      </c>
      <c r="X37" s="46">
        <f t="shared" si="9"/>
        <v>16</v>
      </c>
      <c r="Y37" s="46">
        <f t="shared" si="9"/>
        <v>19</v>
      </c>
      <c r="Z37" s="46">
        <f t="shared" si="9"/>
        <v>16</v>
      </c>
      <c r="AA37" s="46">
        <f t="shared" si="9"/>
        <v>17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203" t="s">
        <v>17</v>
      </c>
      <c r="AL37" s="203">
        <v>15</v>
      </c>
      <c r="AM37" s="203">
        <v>40</v>
      </c>
      <c r="AN37" s="203">
        <v>20</v>
      </c>
      <c r="AO37" s="203">
        <v>10</v>
      </c>
      <c r="AP37" s="203">
        <v>5</v>
      </c>
      <c r="AQ37" s="203">
        <v>40</v>
      </c>
      <c r="AR37" s="203">
        <v>1</v>
      </c>
      <c r="AS37" s="200">
        <v>4</v>
      </c>
    </row>
    <row r="38" spans="1:45" ht="16.5" customHeight="1">
      <c r="B38" s="5" t="s">
        <v>77</v>
      </c>
      <c r="C38" s="10">
        <v>0</v>
      </c>
      <c r="D38" s="10">
        <v>290</v>
      </c>
      <c r="E38" s="10">
        <v>283</v>
      </c>
      <c r="F38" s="10">
        <v>803</v>
      </c>
      <c r="G38" s="10">
        <v>520</v>
      </c>
      <c r="H38" s="10">
        <v>0</v>
      </c>
      <c r="L38" s="19">
        <v>34</v>
      </c>
      <c r="M38" s="47" t="s">
        <v>28</v>
      </c>
      <c r="N38" s="47" t="s">
        <v>26</v>
      </c>
      <c r="O38" s="47" t="s">
        <v>18</v>
      </c>
      <c r="P38" s="47" t="s">
        <v>89</v>
      </c>
      <c r="Q38" s="47" t="s">
        <v>89</v>
      </c>
      <c r="R38" s="47" t="s">
        <v>64</v>
      </c>
      <c r="S38" s="33" t="s">
        <v>26</v>
      </c>
      <c r="U38" s="46">
        <f t="shared" si="9"/>
        <v>11</v>
      </c>
      <c r="V38" s="46">
        <f t="shared" si="9"/>
        <v>17</v>
      </c>
      <c r="W38" s="46">
        <f t="shared" si="9"/>
        <v>3</v>
      </c>
      <c r="X38" s="46">
        <f t="shared" si="9"/>
        <v>16</v>
      </c>
      <c r="Y38" s="46">
        <f t="shared" si="9"/>
        <v>16</v>
      </c>
      <c r="Z38" s="46">
        <f t="shared" si="9"/>
        <v>4</v>
      </c>
      <c r="AA38" s="46">
        <f t="shared" si="9"/>
        <v>17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203" t="s">
        <v>18</v>
      </c>
      <c r="AL38" s="203">
        <v>40</v>
      </c>
      <c r="AM38" s="203">
        <v>15</v>
      </c>
      <c r="AN38" s="203">
        <v>40</v>
      </c>
      <c r="AO38" s="203">
        <v>10</v>
      </c>
      <c r="AP38" s="203">
        <v>5</v>
      </c>
      <c r="AQ38" s="203">
        <v>40</v>
      </c>
      <c r="AR38" s="203">
        <v>1</v>
      </c>
      <c r="AS38" s="200">
        <v>5</v>
      </c>
    </row>
    <row r="39" spans="1:45" ht="16.5" customHeight="1">
      <c r="B39" s="5" t="s">
        <v>78</v>
      </c>
      <c r="C39" s="10">
        <v>0</v>
      </c>
      <c r="D39" s="10">
        <v>290</v>
      </c>
      <c r="E39" s="10">
        <v>283</v>
      </c>
      <c r="F39" s="10">
        <v>803</v>
      </c>
      <c r="G39" s="10">
        <v>520</v>
      </c>
      <c r="H39" s="10">
        <v>0</v>
      </c>
      <c r="L39" s="18">
        <v>35</v>
      </c>
      <c r="M39" s="47" t="s">
        <v>21</v>
      </c>
      <c r="N39" s="47" t="s">
        <v>20</v>
      </c>
      <c r="O39" s="47" t="s">
        <v>26</v>
      </c>
      <c r="P39" s="47" t="s">
        <v>64</v>
      </c>
      <c r="Q39" s="47" t="s">
        <v>240</v>
      </c>
      <c r="R39" s="47" t="s">
        <v>17</v>
      </c>
      <c r="S39" s="33" t="s">
        <v>26</v>
      </c>
      <c r="U39" s="46">
        <f t="shared" si="9"/>
        <v>6</v>
      </c>
      <c r="V39" s="46">
        <f t="shared" si="9"/>
        <v>4</v>
      </c>
      <c r="W39" s="46">
        <f t="shared" si="9"/>
        <v>17</v>
      </c>
      <c r="X39" s="46">
        <f t="shared" si="9"/>
        <v>4</v>
      </c>
      <c r="Y39" s="46">
        <f t="shared" si="9"/>
        <v>0</v>
      </c>
      <c r="Z39" s="46">
        <f t="shared" si="9"/>
        <v>10</v>
      </c>
      <c r="AA39" s="46">
        <f t="shared" si="9"/>
        <v>17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203" t="s">
        <v>64</v>
      </c>
      <c r="AL39" s="203">
        <v>15</v>
      </c>
      <c r="AM39" s="203">
        <v>40</v>
      </c>
      <c r="AN39" s="203">
        <v>20</v>
      </c>
      <c r="AO39" s="203">
        <v>10</v>
      </c>
      <c r="AP39" s="203">
        <v>40</v>
      </c>
      <c r="AQ39" s="203">
        <v>5</v>
      </c>
      <c r="AR39" s="203">
        <v>1</v>
      </c>
      <c r="AS39" s="200">
        <v>6</v>
      </c>
    </row>
    <row r="40" spans="1:45" ht="16.5" customHeight="1">
      <c r="B40" s="5" t="s">
        <v>79</v>
      </c>
      <c r="C40" s="10">
        <v>0</v>
      </c>
      <c r="D40" s="10">
        <v>880</v>
      </c>
      <c r="E40" s="10">
        <v>830</v>
      </c>
      <c r="F40" s="10">
        <v>850</v>
      </c>
      <c r="G40" s="10">
        <v>1250</v>
      </c>
      <c r="H40" s="10">
        <v>0</v>
      </c>
      <c r="L40" s="19">
        <v>36</v>
      </c>
      <c r="M40" s="46" t="s">
        <v>18</v>
      </c>
      <c r="N40" s="46" t="s">
        <v>248</v>
      </c>
      <c r="O40" s="46" t="s">
        <v>26</v>
      </c>
      <c r="P40" s="46" t="s">
        <v>64</v>
      </c>
      <c r="Q40" s="46" t="s">
        <v>240</v>
      </c>
      <c r="R40" s="46" t="s">
        <v>18</v>
      </c>
      <c r="S40" s="46" t="s">
        <v>89</v>
      </c>
      <c r="U40" s="46">
        <f t="shared" si="9"/>
        <v>3</v>
      </c>
      <c r="V40" s="46">
        <f t="shared" si="9"/>
        <v>0</v>
      </c>
      <c r="W40" s="46">
        <f t="shared" si="9"/>
        <v>17</v>
      </c>
      <c r="X40" s="46">
        <f t="shared" si="9"/>
        <v>4</v>
      </c>
      <c r="Y40" s="46">
        <f t="shared" si="9"/>
        <v>0</v>
      </c>
      <c r="Z40" s="46">
        <f t="shared" si="9"/>
        <v>3</v>
      </c>
      <c r="AA40" s="46">
        <f t="shared" si="9"/>
        <v>16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203" t="s">
        <v>89</v>
      </c>
      <c r="AL40" s="203">
        <v>40</v>
      </c>
      <c r="AM40" s="203">
        <v>15</v>
      </c>
      <c r="AN40" s="203">
        <v>40</v>
      </c>
      <c r="AO40" s="203">
        <v>10</v>
      </c>
      <c r="AP40" s="203">
        <v>5</v>
      </c>
      <c r="AQ40" s="203">
        <v>40</v>
      </c>
      <c r="AR40" s="203">
        <v>1</v>
      </c>
      <c r="AS40" s="200">
        <v>7</v>
      </c>
    </row>
    <row r="41" spans="1:45" ht="16.5" customHeight="1">
      <c r="B41" s="5" t="s">
        <v>80</v>
      </c>
      <c r="C41" s="10">
        <v>0</v>
      </c>
      <c r="D41" s="10">
        <v>880</v>
      </c>
      <c r="E41" s="10">
        <v>830</v>
      </c>
      <c r="F41" s="10">
        <v>850</v>
      </c>
      <c r="G41" s="10">
        <v>1250</v>
      </c>
      <c r="H41" s="10">
        <v>0</v>
      </c>
      <c r="L41" s="18">
        <v>37</v>
      </c>
      <c r="M41" s="47" t="s">
        <v>27</v>
      </c>
      <c r="N41" s="47" t="s">
        <v>248</v>
      </c>
      <c r="O41" s="47" t="s">
        <v>64</v>
      </c>
      <c r="P41" s="47" t="s">
        <v>64</v>
      </c>
      <c r="Q41" s="47" t="s">
        <v>21</v>
      </c>
      <c r="R41" s="47" t="s">
        <v>27</v>
      </c>
      <c r="S41" s="33" t="s">
        <v>89</v>
      </c>
      <c r="U41" s="46">
        <f t="shared" si="9"/>
        <v>8</v>
      </c>
      <c r="V41" s="46">
        <f t="shared" si="9"/>
        <v>0</v>
      </c>
      <c r="W41" s="46">
        <f t="shared" si="9"/>
        <v>4</v>
      </c>
      <c r="X41" s="46">
        <f t="shared" si="9"/>
        <v>4</v>
      </c>
      <c r="Y41" s="46">
        <f t="shared" si="9"/>
        <v>6</v>
      </c>
      <c r="Z41" s="46">
        <f t="shared" si="9"/>
        <v>8</v>
      </c>
      <c r="AA41" s="46">
        <f t="shared" si="9"/>
        <v>16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40</v>
      </c>
      <c r="AM41" s="46">
        <v>15</v>
      </c>
      <c r="AN41" s="46">
        <v>40</v>
      </c>
      <c r="AO41" s="46">
        <v>10</v>
      </c>
      <c r="AP41" s="46">
        <v>10</v>
      </c>
      <c r="AQ41" s="46">
        <v>5</v>
      </c>
      <c r="AR41" s="46">
        <v>1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880</v>
      </c>
      <c r="E42" s="10">
        <v>830</v>
      </c>
      <c r="F42" s="10">
        <v>850</v>
      </c>
      <c r="G42" s="10">
        <v>1250</v>
      </c>
      <c r="H42" s="10">
        <v>0</v>
      </c>
      <c r="L42" s="19">
        <v>38</v>
      </c>
      <c r="M42" s="47" t="s">
        <v>27</v>
      </c>
      <c r="N42" s="47" t="s">
        <v>24</v>
      </c>
      <c r="O42" s="47" t="s">
        <v>64</v>
      </c>
      <c r="P42" s="47" t="s">
        <v>238</v>
      </c>
      <c r="Q42" s="47" t="s">
        <v>21</v>
      </c>
      <c r="R42" s="47" t="s">
        <v>64</v>
      </c>
      <c r="S42" s="33" t="s">
        <v>89</v>
      </c>
      <c r="U42" s="46">
        <f t="shared" si="9"/>
        <v>8</v>
      </c>
      <c r="V42" s="46">
        <f t="shared" si="9"/>
        <v>19</v>
      </c>
      <c r="W42" s="46">
        <f t="shared" si="9"/>
        <v>4</v>
      </c>
      <c r="X42" s="46">
        <f t="shared" si="9"/>
        <v>0</v>
      </c>
      <c r="Y42" s="46">
        <f t="shared" si="9"/>
        <v>6</v>
      </c>
      <c r="Z42" s="46">
        <f t="shared" si="9"/>
        <v>4</v>
      </c>
      <c r="AA42" s="46">
        <f t="shared" si="9"/>
        <v>16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15</v>
      </c>
      <c r="AM42" s="46">
        <v>40</v>
      </c>
      <c r="AN42" s="46">
        <v>20</v>
      </c>
      <c r="AO42" s="46">
        <v>40</v>
      </c>
      <c r="AP42" s="46">
        <v>40</v>
      </c>
      <c r="AQ42" s="46">
        <v>40</v>
      </c>
      <c r="AR42" s="46">
        <v>1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292</v>
      </c>
      <c r="E43" s="10">
        <v>305</v>
      </c>
      <c r="F43" s="10">
        <v>514</v>
      </c>
      <c r="G43" s="10">
        <v>608</v>
      </c>
      <c r="H43" s="10">
        <v>0</v>
      </c>
      <c r="L43" s="18">
        <v>39</v>
      </c>
      <c r="M43" s="47" t="s">
        <v>21</v>
      </c>
      <c r="N43" s="47" t="s">
        <v>89</v>
      </c>
      <c r="O43" s="47" t="s">
        <v>89</v>
      </c>
      <c r="P43" s="47" t="s">
        <v>238</v>
      </c>
      <c r="Q43" s="47" t="s">
        <v>26</v>
      </c>
      <c r="R43" s="47" t="s">
        <v>26</v>
      </c>
      <c r="S43" s="33" t="s">
        <v>89</v>
      </c>
      <c r="U43" s="46">
        <f t="shared" si="9"/>
        <v>6</v>
      </c>
      <c r="V43" s="46">
        <f t="shared" si="9"/>
        <v>16</v>
      </c>
      <c r="W43" s="46">
        <f t="shared" si="9"/>
        <v>16</v>
      </c>
      <c r="X43" s="46">
        <f t="shared" si="9"/>
        <v>0</v>
      </c>
      <c r="Y43" s="46">
        <f t="shared" si="9"/>
        <v>17</v>
      </c>
      <c r="Z43" s="46">
        <f t="shared" si="9"/>
        <v>17</v>
      </c>
      <c r="AA43" s="46">
        <f t="shared" si="9"/>
        <v>16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40</v>
      </c>
      <c r="AM43" s="46">
        <v>15</v>
      </c>
      <c r="AN43" s="46">
        <v>40</v>
      </c>
      <c r="AO43" s="46">
        <v>10</v>
      </c>
      <c r="AP43" s="46">
        <v>5</v>
      </c>
      <c r="AQ43" s="46">
        <v>5</v>
      </c>
      <c r="AR43" s="46">
        <v>1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292</v>
      </c>
      <c r="E44" s="10">
        <v>305</v>
      </c>
      <c r="F44" s="10">
        <v>514</v>
      </c>
      <c r="G44" s="10">
        <v>608</v>
      </c>
      <c r="H44" s="10">
        <v>0</v>
      </c>
      <c r="L44" s="19">
        <v>40</v>
      </c>
      <c r="M44" s="47" t="s">
        <v>21</v>
      </c>
      <c r="N44" s="47" t="s">
        <v>234</v>
      </c>
      <c r="O44" s="47" t="s">
        <v>89</v>
      </c>
      <c r="P44" s="47" t="s">
        <v>64</v>
      </c>
      <c r="Q44" s="47" t="s">
        <v>236</v>
      </c>
      <c r="R44" s="47" t="s">
        <v>89</v>
      </c>
      <c r="S44" s="33" t="s">
        <v>24</v>
      </c>
      <c r="U44" s="46">
        <f t="shared" si="9"/>
        <v>6</v>
      </c>
      <c r="V44" s="46">
        <f t="shared" si="9"/>
        <v>0</v>
      </c>
      <c r="W44" s="46">
        <f t="shared" si="9"/>
        <v>16</v>
      </c>
      <c r="X44" s="46">
        <f t="shared" si="9"/>
        <v>4</v>
      </c>
      <c r="Y44" s="46">
        <f t="shared" si="9"/>
        <v>0</v>
      </c>
      <c r="Z44" s="46">
        <f t="shared" si="9"/>
        <v>16</v>
      </c>
      <c r="AA44" s="46">
        <f t="shared" si="9"/>
        <v>19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15</v>
      </c>
      <c r="AM44" s="46">
        <v>40</v>
      </c>
      <c r="AN44" s="46">
        <v>35</v>
      </c>
      <c r="AO44" s="46">
        <v>10</v>
      </c>
      <c r="AP44" s="46">
        <v>5</v>
      </c>
      <c r="AQ44" s="46">
        <v>5</v>
      </c>
      <c r="AR44" s="46">
        <v>1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292</v>
      </c>
      <c r="E45" s="10">
        <v>305</v>
      </c>
      <c r="F45" s="10">
        <v>514</v>
      </c>
      <c r="G45" s="10">
        <v>608</v>
      </c>
      <c r="H45" s="10">
        <v>0</v>
      </c>
      <c r="L45" s="18">
        <v>41</v>
      </c>
      <c r="M45" s="47" t="s">
        <v>18</v>
      </c>
      <c r="N45" s="47" t="s">
        <v>234</v>
      </c>
      <c r="O45" s="47" t="s">
        <v>29</v>
      </c>
      <c r="P45" s="47" t="s">
        <v>234</v>
      </c>
      <c r="Q45" s="47" t="s">
        <v>236</v>
      </c>
      <c r="R45" s="47" t="s">
        <v>24</v>
      </c>
      <c r="S45" s="33" t="s">
        <v>24</v>
      </c>
      <c r="U45" s="46">
        <f t="shared" si="9"/>
        <v>3</v>
      </c>
      <c r="V45" s="46">
        <f t="shared" si="9"/>
        <v>0</v>
      </c>
      <c r="W45" s="46">
        <f t="shared" si="9"/>
        <v>23</v>
      </c>
      <c r="X45" s="46">
        <f t="shared" si="9"/>
        <v>0</v>
      </c>
      <c r="Y45" s="46">
        <f t="shared" si="9"/>
        <v>0</v>
      </c>
      <c r="Z45" s="46">
        <f t="shared" si="9"/>
        <v>19</v>
      </c>
      <c r="AA45" s="46">
        <f t="shared" si="9"/>
        <v>19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40</v>
      </c>
      <c r="AM45" s="46">
        <v>15</v>
      </c>
      <c r="AN45" s="46">
        <v>15</v>
      </c>
      <c r="AO45" s="46">
        <v>10</v>
      </c>
      <c r="AP45" s="46">
        <v>5</v>
      </c>
      <c r="AQ45" s="46">
        <v>5</v>
      </c>
      <c r="AR45" s="46">
        <v>1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292</v>
      </c>
      <c r="E46" s="10">
        <v>305</v>
      </c>
      <c r="F46" s="10">
        <v>514</v>
      </c>
      <c r="G46" s="10">
        <v>608</v>
      </c>
      <c r="H46" s="10">
        <v>0</v>
      </c>
      <c r="L46" s="19">
        <v>42</v>
      </c>
      <c r="M46" s="47" t="s">
        <v>27</v>
      </c>
      <c r="N46" s="47" t="s">
        <v>234</v>
      </c>
      <c r="O46" s="47" t="s">
        <v>29</v>
      </c>
      <c r="P46" s="47" t="s">
        <v>234</v>
      </c>
      <c r="Q46" s="47" t="s">
        <v>236</v>
      </c>
      <c r="R46" s="47" t="s">
        <v>18</v>
      </c>
      <c r="S46" s="33" t="s">
        <v>24</v>
      </c>
      <c r="U46" s="46">
        <f t="shared" si="9"/>
        <v>8</v>
      </c>
      <c r="V46" s="46">
        <f t="shared" si="9"/>
        <v>0</v>
      </c>
      <c r="W46" s="46">
        <f t="shared" si="9"/>
        <v>23</v>
      </c>
      <c r="X46" s="46">
        <f t="shared" si="9"/>
        <v>0</v>
      </c>
      <c r="Y46" s="46">
        <f t="shared" si="9"/>
        <v>0</v>
      </c>
      <c r="Z46" s="46">
        <f t="shared" si="9"/>
        <v>3</v>
      </c>
      <c r="AA46" s="46">
        <f t="shared" si="9"/>
        <v>19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203" t="s">
        <v>234</v>
      </c>
      <c r="AL46" s="203">
        <v>0</v>
      </c>
      <c r="AM46" s="203">
        <v>2</v>
      </c>
      <c r="AN46" s="203">
        <v>5</v>
      </c>
      <c r="AO46" s="203">
        <v>2</v>
      </c>
      <c r="AP46" s="203">
        <v>4</v>
      </c>
      <c r="AQ46" s="203">
        <v>0</v>
      </c>
      <c r="AR46" s="203">
        <v>0</v>
      </c>
      <c r="AS46" s="200">
        <v>12</v>
      </c>
    </row>
    <row r="47" spans="1:45" ht="16.5" customHeight="1">
      <c r="B47" s="5" t="s">
        <v>86</v>
      </c>
      <c r="C47" s="10">
        <v>1</v>
      </c>
      <c r="D47" s="10">
        <v>470</v>
      </c>
      <c r="E47" s="10">
        <v>640</v>
      </c>
      <c r="F47" s="10">
        <v>360</v>
      </c>
      <c r="G47" s="10">
        <v>290</v>
      </c>
      <c r="H47" s="10">
        <v>1</v>
      </c>
      <c r="L47" s="18">
        <v>43</v>
      </c>
      <c r="M47" s="47" t="s">
        <v>27</v>
      </c>
      <c r="N47" s="47" t="s">
        <v>24</v>
      </c>
      <c r="O47" s="47" t="s">
        <v>29</v>
      </c>
      <c r="P47" s="47" t="s">
        <v>234</v>
      </c>
      <c r="Q47" s="47" t="s">
        <v>240</v>
      </c>
      <c r="R47" s="47" t="s">
        <v>27</v>
      </c>
      <c r="S47" s="33" t="s">
        <v>24</v>
      </c>
      <c r="U47" s="46">
        <f t="shared" si="9"/>
        <v>8</v>
      </c>
      <c r="V47" s="46">
        <f t="shared" si="9"/>
        <v>19</v>
      </c>
      <c r="W47" s="46">
        <f t="shared" si="9"/>
        <v>23</v>
      </c>
      <c r="X47" s="46">
        <f t="shared" si="9"/>
        <v>0</v>
      </c>
      <c r="Y47" s="46">
        <f t="shared" si="9"/>
        <v>0</v>
      </c>
      <c r="Z47" s="46">
        <f t="shared" si="9"/>
        <v>8</v>
      </c>
      <c r="AA47" s="46">
        <f t="shared" si="9"/>
        <v>19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203" t="s">
        <v>236</v>
      </c>
      <c r="AL47" s="203">
        <v>0</v>
      </c>
      <c r="AM47" s="203">
        <v>2</v>
      </c>
      <c r="AN47" s="203">
        <v>2</v>
      </c>
      <c r="AO47" s="203">
        <v>2</v>
      </c>
      <c r="AP47" s="203">
        <v>2</v>
      </c>
      <c r="AQ47" s="203">
        <v>0</v>
      </c>
      <c r="AR47" s="203">
        <v>0</v>
      </c>
      <c r="AS47" s="200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28</v>
      </c>
      <c r="N48" s="47" t="s">
        <v>24</v>
      </c>
      <c r="O48" s="47" t="s">
        <v>89</v>
      </c>
      <c r="P48" s="47" t="s">
        <v>24</v>
      </c>
      <c r="Q48" s="47" t="s">
        <v>240</v>
      </c>
      <c r="R48" s="47" t="s">
        <v>28</v>
      </c>
      <c r="S48" s="33" t="s">
        <v>26</v>
      </c>
      <c r="U48" s="46">
        <f t="shared" si="9"/>
        <v>11</v>
      </c>
      <c r="V48" s="46">
        <f t="shared" si="9"/>
        <v>19</v>
      </c>
      <c r="W48" s="46">
        <f t="shared" si="9"/>
        <v>16</v>
      </c>
      <c r="X48" s="46">
        <f t="shared" si="9"/>
        <v>19</v>
      </c>
      <c r="Y48" s="46">
        <f t="shared" si="9"/>
        <v>0</v>
      </c>
      <c r="Z48" s="46">
        <f t="shared" si="9"/>
        <v>11</v>
      </c>
      <c r="AA48" s="46">
        <f t="shared" si="9"/>
        <v>17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203" t="s">
        <v>238</v>
      </c>
      <c r="AL48" s="203">
        <v>0</v>
      </c>
      <c r="AM48" s="203">
        <v>4</v>
      </c>
      <c r="AN48" s="203">
        <v>5</v>
      </c>
      <c r="AO48" s="203">
        <v>2</v>
      </c>
      <c r="AP48" s="203">
        <v>2</v>
      </c>
      <c r="AQ48" s="203">
        <v>0</v>
      </c>
      <c r="AR48" s="203">
        <v>0</v>
      </c>
      <c r="AS48" s="200">
        <v>14</v>
      </c>
    </row>
    <row r="49" spans="2:45" ht="16.5" customHeight="1">
      <c r="L49" s="18">
        <v>45</v>
      </c>
      <c r="M49" s="47" t="s">
        <v>21</v>
      </c>
      <c r="N49" s="47" t="s">
        <v>24</v>
      </c>
      <c r="O49" s="47" t="s">
        <v>89</v>
      </c>
      <c r="P49" s="47" t="s">
        <v>26</v>
      </c>
      <c r="Q49" s="47" t="s">
        <v>27</v>
      </c>
      <c r="R49" s="47" t="s">
        <v>28</v>
      </c>
      <c r="S49" s="33" t="s">
        <v>26</v>
      </c>
      <c r="U49" s="46">
        <f t="shared" si="9"/>
        <v>6</v>
      </c>
      <c r="V49" s="46">
        <f t="shared" si="9"/>
        <v>19</v>
      </c>
      <c r="W49" s="46">
        <f t="shared" si="9"/>
        <v>16</v>
      </c>
      <c r="X49" s="46">
        <f t="shared" si="9"/>
        <v>17</v>
      </c>
      <c r="Y49" s="46">
        <f t="shared" si="9"/>
        <v>8</v>
      </c>
      <c r="Z49" s="46">
        <f t="shared" si="9"/>
        <v>11</v>
      </c>
      <c r="AA49" s="46">
        <f t="shared" si="9"/>
        <v>17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203" t="s">
        <v>240</v>
      </c>
      <c r="AL49" s="203">
        <v>0</v>
      </c>
      <c r="AM49" s="203">
        <v>2</v>
      </c>
      <c r="AN49" s="203">
        <v>2</v>
      </c>
      <c r="AO49" s="203">
        <v>2</v>
      </c>
      <c r="AP49" s="203">
        <v>2</v>
      </c>
      <c r="AQ49" s="203">
        <v>0</v>
      </c>
      <c r="AR49" s="203">
        <v>0</v>
      </c>
      <c r="AS49" s="200">
        <v>15</v>
      </c>
    </row>
    <row r="50" spans="2:45" ht="16.5" customHeight="1">
      <c r="B50" s="214" t="s">
        <v>105</v>
      </c>
      <c r="C50" s="211" t="s">
        <v>271</v>
      </c>
      <c r="L50" s="19">
        <v>46</v>
      </c>
      <c r="M50" s="47" t="s">
        <v>21</v>
      </c>
      <c r="N50" s="47" t="s">
        <v>17</v>
      </c>
      <c r="O50" s="47" t="s">
        <v>27</v>
      </c>
      <c r="P50" s="47" t="s">
        <v>26</v>
      </c>
      <c r="Q50" s="47" t="s">
        <v>17</v>
      </c>
      <c r="R50" s="47" t="s">
        <v>89</v>
      </c>
      <c r="S50" s="33" t="s">
        <v>26</v>
      </c>
      <c r="U50" s="46">
        <f t="shared" si="9"/>
        <v>6</v>
      </c>
      <c r="V50" s="46">
        <f t="shared" si="9"/>
        <v>10</v>
      </c>
      <c r="W50" s="46">
        <f t="shared" si="9"/>
        <v>8</v>
      </c>
      <c r="X50" s="46">
        <f t="shared" si="9"/>
        <v>17</v>
      </c>
      <c r="Y50" s="46">
        <f t="shared" si="9"/>
        <v>10</v>
      </c>
      <c r="Z50" s="46">
        <f t="shared" si="9"/>
        <v>16</v>
      </c>
      <c r="AA50" s="46">
        <f t="shared" si="9"/>
        <v>17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203" t="s">
        <v>242</v>
      </c>
      <c r="AL50" s="203">
        <v>0</v>
      </c>
      <c r="AM50" s="203">
        <v>4</v>
      </c>
      <c r="AN50" s="203">
        <v>5</v>
      </c>
      <c r="AO50" s="203">
        <v>2</v>
      </c>
      <c r="AP50" s="203">
        <v>4</v>
      </c>
      <c r="AQ50" s="203">
        <v>0</v>
      </c>
      <c r="AR50" s="203">
        <v>0</v>
      </c>
      <c r="AS50" s="200">
        <v>16</v>
      </c>
    </row>
    <row r="51" spans="2:45" ht="16.5" customHeight="1">
      <c r="B51" s="212" t="s">
        <v>68</v>
      </c>
      <c r="C51" s="210">
        <v>0</v>
      </c>
      <c r="L51" s="18">
        <v>47</v>
      </c>
      <c r="M51" s="47" t="s">
        <v>18</v>
      </c>
      <c r="N51" s="47" t="s">
        <v>17</v>
      </c>
      <c r="O51" s="47" t="s">
        <v>27</v>
      </c>
      <c r="P51" s="47" t="s">
        <v>26</v>
      </c>
      <c r="Q51" s="47" t="s">
        <v>17</v>
      </c>
      <c r="R51" s="47" t="s">
        <v>26</v>
      </c>
      <c r="S51" s="33" t="s">
        <v>26</v>
      </c>
      <c r="U51" s="46">
        <f t="shared" si="9"/>
        <v>3</v>
      </c>
      <c r="V51" s="46">
        <f t="shared" si="9"/>
        <v>10</v>
      </c>
      <c r="W51" s="46">
        <f t="shared" si="9"/>
        <v>8</v>
      </c>
      <c r="X51" s="46">
        <f t="shared" si="9"/>
        <v>17</v>
      </c>
      <c r="Y51" s="46">
        <f t="shared" si="9"/>
        <v>10</v>
      </c>
      <c r="Z51" s="46">
        <f t="shared" si="9"/>
        <v>17</v>
      </c>
      <c r="AA51" s="46">
        <f t="shared" si="9"/>
        <v>17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203" t="s">
        <v>244</v>
      </c>
      <c r="AL51" s="203">
        <v>0</v>
      </c>
      <c r="AM51" s="203">
        <v>4</v>
      </c>
      <c r="AN51" s="203">
        <v>5</v>
      </c>
      <c r="AO51" s="203">
        <v>2</v>
      </c>
      <c r="AP51" s="203">
        <v>4</v>
      </c>
      <c r="AQ51" s="203">
        <v>0</v>
      </c>
      <c r="AR51" s="203">
        <v>0</v>
      </c>
      <c r="AS51" s="200">
        <v>17</v>
      </c>
    </row>
    <row r="52" spans="2:45" ht="16.5" customHeight="1">
      <c r="B52" s="213" t="s">
        <v>19</v>
      </c>
      <c r="C52" s="208">
        <v>0</v>
      </c>
      <c r="L52" s="19">
        <v>48</v>
      </c>
      <c r="M52" s="47" t="s">
        <v>18</v>
      </c>
      <c r="N52" s="47" t="s">
        <v>17</v>
      </c>
      <c r="O52" s="47" t="s">
        <v>21</v>
      </c>
      <c r="P52" s="47" t="s">
        <v>244</v>
      </c>
      <c r="Q52" s="47" t="s">
        <v>17</v>
      </c>
      <c r="R52" s="47" t="s">
        <v>18</v>
      </c>
      <c r="S52" s="33" t="s">
        <v>89</v>
      </c>
      <c r="U52" s="46">
        <f t="shared" si="9"/>
        <v>3</v>
      </c>
      <c r="V52" s="46">
        <f t="shared" si="9"/>
        <v>10</v>
      </c>
      <c r="W52" s="46">
        <f t="shared" si="9"/>
        <v>6</v>
      </c>
      <c r="X52" s="46">
        <f t="shared" si="9"/>
        <v>0</v>
      </c>
      <c r="Y52" s="46">
        <f t="shared" si="9"/>
        <v>10</v>
      </c>
      <c r="Z52" s="46">
        <f t="shared" si="9"/>
        <v>3</v>
      </c>
      <c r="AA52" s="46">
        <f t="shared" si="9"/>
        <v>16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246</v>
      </c>
      <c r="AL52" s="46">
        <v>0</v>
      </c>
      <c r="AM52" s="46">
        <v>4</v>
      </c>
      <c r="AN52" s="46">
        <v>2</v>
      </c>
      <c r="AO52" s="46">
        <v>2</v>
      </c>
      <c r="AP52" s="46">
        <v>4</v>
      </c>
      <c r="AQ52" s="46">
        <v>0</v>
      </c>
      <c r="AR52" s="46">
        <v>0</v>
      </c>
      <c r="AS52" s="5">
        <v>17</v>
      </c>
    </row>
    <row r="53" spans="2:45" ht="16.5" customHeight="1">
      <c r="B53" s="213" t="s">
        <v>20</v>
      </c>
      <c r="C53" s="208">
        <v>2</v>
      </c>
      <c r="L53" s="18">
        <v>49</v>
      </c>
      <c r="M53" s="47" t="s">
        <v>28</v>
      </c>
      <c r="N53" s="47" t="s">
        <v>89</v>
      </c>
      <c r="O53" s="47" t="s">
        <v>21</v>
      </c>
      <c r="P53" s="47" t="s">
        <v>244</v>
      </c>
      <c r="Q53" s="47" t="s">
        <v>64</v>
      </c>
      <c r="R53" s="47" t="s">
        <v>89</v>
      </c>
      <c r="S53" s="33" t="s">
        <v>89</v>
      </c>
      <c r="U53" s="46">
        <f t="shared" si="9"/>
        <v>11</v>
      </c>
      <c r="V53" s="46">
        <f t="shared" si="9"/>
        <v>16</v>
      </c>
      <c r="W53" s="46">
        <f t="shared" si="9"/>
        <v>6</v>
      </c>
      <c r="X53" s="46">
        <f t="shared" si="9"/>
        <v>0</v>
      </c>
      <c r="Y53" s="46">
        <f t="shared" si="9"/>
        <v>4</v>
      </c>
      <c r="Z53" s="46">
        <f t="shared" si="9"/>
        <v>16</v>
      </c>
      <c r="AA53" s="46">
        <f t="shared" si="9"/>
        <v>16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248</v>
      </c>
      <c r="AL53" s="46">
        <v>0</v>
      </c>
      <c r="AM53" s="46">
        <v>4</v>
      </c>
      <c r="AN53" s="46">
        <v>2</v>
      </c>
      <c r="AO53" s="46">
        <v>4</v>
      </c>
      <c r="AP53" s="46">
        <v>2</v>
      </c>
      <c r="AQ53" s="46">
        <v>0</v>
      </c>
      <c r="AR53" s="46">
        <v>0</v>
      </c>
      <c r="AS53" s="5">
        <v>18</v>
      </c>
    </row>
    <row r="54" spans="2:45" ht="16.5" customHeight="1">
      <c r="B54" s="213" t="s">
        <v>21</v>
      </c>
      <c r="C54" s="208">
        <v>3</v>
      </c>
      <c r="L54" s="19">
        <v>50</v>
      </c>
      <c r="M54" s="47" t="s">
        <v>64</v>
      </c>
      <c r="N54" s="47" t="s">
        <v>89</v>
      </c>
      <c r="O54" s="47" t="s">
        <v>26</v>
      </c>
      <c r="P54" s="47" t="s">
        <v>17</v>
      </c>
      <c r="Q54" s="47" t="s">
        <v>21</v>
      </c>
      <c r="R54" s="47" t="s">
        <v>27</v>
      </c>
      <c r="S54" s="33" t="s">
        <v>89</v>
      </c>
      <c r="U54" s="46">
        <f t="shared" si="9"/>
        <v>4</v>
      </c>
      <c r="V54" s="46">
        <f t="shared" si="9"/>
        <v>16</v>
      </c>
      <c r="W54" s="46">
        <f t="shared" si="9"/>
        <v>17</v>
      </c>
      <c r="X54" s="46">
        <f t="shared" si="9"/>
        <v>10</v>
      </c>
      <c r="Y54" s="46">
        <f t="shared" si="9"/>
        <v>6</v>
      </c>
      <c r="Z54" s="46">
        <f t="shared" si="9"/>
        <v>8</v>
      </c>
      <c r="AA54" s="46">
        <f t="shared" si="9"/>
        <v>16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250</v>
      </c>
      <c r="AL54" s="46">
        <v>0</v>
      </c>
      <c r="AM54" s="46">
        <v>4</v>
      </c>
      <c r="AN54" s="46">
        <v>5</v>
      </c>
      <c r="AO54" s="46">
        <v>2</v>
      </c>
      <c r="AP54" s="46">
        <v>2</v>
      </c>
      <c r="AQ54" s="46">
        <v>0</v>
      </c>
      <c r="AR54" s="46">
        <v>0</v>
      </c>
      <c r="AS54" s="5">
        <v>19</v>
      </c>
    </row>
    <row r="55" spans="2:45" ht="16.5" customHeight="1">
      <c r="B55" s="213" t="s">
        <v>17</v>
      </c>
      <c r="C55" s="208">
        <v>5</v>
      </c>
      <c r="L55" s="18">
        <v>51</v>
      </c>
      <c r="M55" s="47" t="s">
        <v>64</v>
      </c>
      <c r="N55" s="47" t="s">
        <v>24</v>
      </c>
      <c r="O55" s="47" t="s">
        <v>26</v>
      </c>
      <c r="P55" s="47" t="s">
        <v>17</v>
      </c>
      <c r="Q55" s="47" t="s">
        <v>248</v>
      </c>
      <c r="R55" s="47" t="s">
        <v>64</v>
      </c>
      <c r="S55" s="33" t="s">
        <v>89</v>
      </c>
      <c r="U55" s="46">
        <f t="shared" si="9"/>
        <v>4</v>
      </c>
      <c r="V55" s="46">
        <f t="shared" si="9"/>
        <v>19</v>
      </c>
      <c r="W55" s="46">
        <f t="shared" si="9"/>
        <v>17</v>
      </c>
      <c r="X55" s="46">
        <f t="shared" si="9"/>
        <v>10</v>
      </c>
      <c r="Y55" s="46">
        <f t="shared" si="9"/>
        <v>0</v>
      </c>
      <c r="Z55" s="46">
        <f t="shared" si="9"/>
        <v>4</v>
      </c>
      <c r="AA55" s="46">
        <f t="shared" si="9"/>
        <v>16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252</v>
      </c>
      <c r="AL55" s="46">
        <v>0</v>
      </c>
      <c r="AM55" s="46">
        <v>2</v>
      </c>
      <c r="AN55" s="46">
        <v>7</v>
      </c>
      <c r="AO55" s="46">
        <v>2</v>
      </c>
      <c r="AP55" s="46">
        <v>2</v>
      </c>
      <c r="AQ55" s="46">
        <v>0</v>
      </c>
      <c r="AR55" s="46">
        <v>0</v>
      </c>
      <c r="AS55" s="5">
        <v>20</v>
      </c>
    </row>
    <row r="56" spans="2:45" ht="16.5" customHeight="1">
      <c r="B56" s="213" t="s">
        <v>18</v>
      </c>
      <c r="C56" s="208">
        <v>8</v>
      </c>
      <c r="L56" s="19">
        <v>52</v>
      </c>
      <c r="M56" s="47" t="s">
        <v>64</v>
      </c>
      <c r="N56" s="47" t="s">
        <v>238</v>
      </c>
      <c r="O56" s="47" t="s">
        <v>240</v>
      </c>
      <c r="P56" s="47" t="s">
        <v>26</v>
      </c>
      <c r="Q56" s="47" t="s">
        <v>248</v>
      </c>
      <c r="R56" s="47" t="s">
        <v>26</v>
      </c>
      <c r="S56" s="33" t="s">
        <v>24</v>
      </c>
      <c r="U56" s="46">
        <f t="shared" si="9"/>
        <v>4</v>
      </c>
      <c r="V56" s="46">
        <f t="shared" si="9"/>
        <v>0</v>
      </c>
      <c r="W56" s="46">
        <f t="shared" si="9"/>
        <v>0</v>
      </c>
      <c r="X56" s="46">
        <f t="shared" ref="X56:AA119" si="11">VLOOKUP(P56, $A$4:$J$29, 9, 0)</f>
        <v>17</v>
      </c>
      <c r="Y56" s="46">
        <f t="shared" si="11"/>
        <v>0</v>
      </c>
      <c r="Z56" s="46">
        <f t="shared" si="11"/>
        <v>17</v>
      </c>
      <c r="AA56" s="46">
        <f t="shared" si="11"/>
        <v>19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254</v>
      </c>
      <c r="AL56" s="46">
        <v>0</v>
      </c>
      <c r="AM56" s="46">
        <v>4</v>
      </c>
      <c r="AN56" s="46">
        <v>7</v>
      </c>
      <c r="AO56" s="46">
        <v>2</v>
      </c>
      <c r="AP56" s="46">
        <v>2</v>
      </c>
      <c r="AQ56" s="46">
        <v>0</v>
      </c>
      <c r="AR56" s="46">
        <v>0</v>
      </c>
      <c r="AS56" s="5">
        <v>21</v>
      </c>
    </row>
    <row r="57" spans="2:45" ht="16.5" customHeight="1">
      <c r="B57" s="213" t="s">
        <v>64</v>
      </c>
      <c r="C57" s="208">
        <v>12</v>
      </c>
      <c r="L57" s="18">
        <v>53</v>
      </c>
      <c r="M57" s="47" t="s">
        <v>28</v>
      </c>
      <c r="N57" s="47" t="s">
        <v>238</v>
      </c>
      <c r="O57" s="47" t="s">
        <v>240</v>
      </c>
      <c r="P57" s="47" t="s">
        <v>89</v>
      </c>
      <c r="Q57" s="47" t="s">
        <v>24</v>
      </c>
      <c r="R57" s="47" t="s">
        <v>89</v>
      </c>
      <c r="S57" s="33" t="s">
        <v>24</v>
      </c>
      <c r="U57" s="46">
        <f t="shared" ref="U57:Z120" si="12">VLOOKUP(M57, $A$4:$J$29, 9, 0)</f>
        <v>11</v>
      </c>
      <c r="V57" s="46">
        <f t="shared" si="12"/>
        <v>0</v>
      </c>
      <c r="W57" s="46">
        <f t="shared" si="12"/>
        <v>0</v>
      </c>
      <c r="X57" s="46">
        <f t="shared" si="11"/>
        <v>16</v>
      </c>
      <c r="Y57" s="46">
        <f t="shared" si="11"/>
        <v>19</v>
      </c>
      <c r="Z57" s="46">
        <f t="shared" si="11"/>
        <v>16</v>
      </c>
      <c r="AA57" s="46">
        <f t="shared" si="11"/>
        <v>19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203" t="s">
        <v>101</v>
      </c>
      <c r="AL57" s="203">
        <v>0</v>
      </c>
      <c r="AM57" s="203">
        <v>10</v>
      </c>
      <c r="AN57" s="203">
        <v>10</v>
      </c>
      <c r="AO57" s="203">
        <v>10</v>
      </c>
      <c r="AP57" s="203">
        <v>10</v>
      </c>
      <c r="AQ57" s="203">
        <v>0</v>
      </c>
      <c r="AR57" s="203">
        <v>0</v>
      </c>
      <c r="AS57" s="200">
        <v>24</v>
      </c>
    </row>
    <row r="58" spans="2:45" ht="16.5" customHeight="1">
      <c r="B58" s="213" t="s">
        <v>95</v>
      </c>
      <c r="C58" s="208">
        <v>10</v>
      </c>
      <c r="L58" s="19">
        <v>54</v>
      </c>
      <c r="M58" s="47" t="s">
        <v>28</v>
      </c>
      <c r="N58" s="47" t="s">
        <v>26</v>
      </c>
      <c r="O58" s="47" t="s">
        <v>18</v>
      </c>
      <c r="P58" s="47" t="s">
        <v>89</v>
      </c>
      <c r="Q58" s="47" t="s">
        <v>89</v>
      </c>
      <c r="R58" s="47" t="s">
        <v>64</v>
      </c>
      <c r="S58" s="33" t="s">
        <v>24</v>
      </c>
      <c r="U58" s="46">
        <f t="shared" si="12"/>
        <v>11</v>
      </c>
      <c r="V58" s="46">
        <f t="shared" si="12"/>
        <v>17</v>
      </c>
      <c r="W58" s="46">
        <f t="shared" si="12"/>
        <v>3</v>
      </c>
      <c r="X58" s="46">
        <f t="shared" si="11"/>
        <v>16</v>
      </c>
      <c r="Y58" s="46">
        <f t="shared" si="11"/>
        <v>16</v>
      </c>
      <c r="Z58" s="46">
        <f t="shared" si="11"/>
        <v>4</v>
      </c>
      <c r="AA58" s="46">
        <f t="shared" si="11"/>
        <v>19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3</v>
      </c>
      <c r="AK58" s="203" t="s">
        <v>269</v>
      </c>
      <c r="AL58" s="203">
        <v>0</v>
      </c>
      <c r="AM58" s="203">
        <v>1</v>
      </c>
      <c r="AN58" s="203">
        <v>1</v>
      </c>
      <c r="AO58" s="203">
        <v>1</v>
      </c>
      <c r="AP58" s="203">
        <v>1</v>
      </c>
      <c r="AQ58" s="203">
        <v>0</v>
      </c>
      <c r="AR58" s="203">
        <v>0</v>
      </c>
      <c r="AS58" s="200">
        <v>25</v>
      </c>
    </row>
    <row r="59" spans="2:45" ht="16.5" customHeight="1">
      <c r="B59" s="213" t="s">
        <v>96</v>
      </c>
      <c r="C59" s="208">
        <v>10</v>
      </c>
      <c r="L59" s="18">
        <v>55</v>
      </c>
      <c r="M59" s="47" t="s">
        <v>28</v>
      </c>
      <c r="N59" s="47" t="s">
        <v>20</v>
      </c>
      <c r="O59" s="47" t="s">
        <v>26</v>
      </c>
      <c r="P59" s="47" t="s">
        <v>64</v>
      </c>
      <c r="Q59" s="47" t="s">
        <v>240</v>
      </c>
      <c r="R59" s="47" t="s">
        <v>17</v>
      </c>
      <c r="S59" s="33" t="s">
        <v>24</v>
      </c>
      <c r="U59" s="46">
        <f t="shared" si="12"/>
        <v>11</v>
      </c>
      <c r="V59" s="46">
        <f t="shared" si="12"/>
        <v>4</v>
      </c>
      <c r="W59" s="46">
        <f t="shared" si="12"/>
        <v>17</v>
      </c>
      <c r="X59" s="46">
        <f t="shared" si="11"/>
        <v>4</v>
      </c>
      <c r="Y59" s="46">
        <f t="shared" si="11"/>
        <v>0</v>
      </c>
      <c r="Z59" s="46">
        <f t="shared" si="11"/>
        <v>10</v>
      </c>
      <c r="AA59" s="46">
        <f t="shared" si="11"/>
        <v>19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209">
        <v>10</v>
      </c>
      <c r="L60" s="19">
        <v>56</v>
      </c>
      <c r="M60" s="47" t="s">
        <v>18</v>
      </c>
      <c r="N60" s="47" t="s">
        <v>248</v>
      </c>
      <c r="O60" s="47" t="s">
        <v>26</v>
      </c>
      <c r="P60" s="47" t="s">
        <v>64</v>
      </c>
      <c r="Q60" s="47" t="s">
        <v>240</v>
      </c>
      <c r="R60" s="47" t="s">
        <v>18</v>
      </c>
      <c r="S60" s="33" t="s">
        <v>29</v>
      </c>
      <c r="U60" s="46">
        <f t="shared" si="12"/>
        <v>3</v>
      </c>
      <c r="V60" s="46">
        <f t="shared" si="12"/>
        <v>0</v>
      </c>
      <c r="W60" s="46">
        <f t="shared" si="12"/>
        <v>17</v>
      </c>
      <c r="X60" s="46">
        <f t="shared" si="11"/>
        <v>4</v>
      </c>
      <c r="Y60" s="46">
        <f t="shared" si="11"/>
        <v>0</v>
      </c>
      <c r="Z60" s="46">
        <f t="shared" si="11"/>
        <v>3</v>
      </c>
      <c r="AA60" s="46">
        <f t="shared" si="11"/>
        <v>23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272</v>
      </c>
    </row>
    <row r="61" spans="2:45">
      <c r="B61" s="5" t="s">
        <v>38</v>
      </c>
      <c r="C61" s="209">
        <v>10</v>
      </c>
      <c r="L61" s="18">
        <v>57</v>
      </c>
      <c r="M61" s="47" t="s">
        <v>27</v>
      </c>
      <c r="N61" s="47" t="s">
        <v>248</v>
      </c>
      <c r="O61" s="47" t="s">
        <v>26</v>
      </c>
      <c r="P61" s="47" t="s">
        <v>64</v>
      </c>
      <c r="Q61" s="47" t="s">
        <v>21</v>
      </c>
      <c r="R61" s="47" t="s">
        <v>27</v>
      </c>
      <c r="S61" s="33" t="s">
        <v>29</v>
      </c>
      <c r="U61" s="46">
        <f t="shared" si="12"/>
        <v>8</v>
      </c>
      <c r="V61" s="46">
        <f t="shared" si="12"/>
        <v>0</v>
      </c>
      <c r="W61" s="46">
        <f t="shared" si="12"/>
        <v>17</v>
      </c>
      <c r="X61" s="46">
        <f t="shared" si="11"/>
        <v>4</v>
      </c>
      <c r="Y61" s="46">
        <f t="shared" si="11"/>
        <v>6</v>
      </c>
      <c r="Z61" s="46">
        <f t="shared" si="11"/>
        <v>8</v>
      </c>
      <c r="AA61" s="46">
        <f t="shared" si="11"/>
        <v>23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277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209">
        <v>10</v>
      </c>
      <c r="L62" s="19">
        <v>58</v>
      </c>
      <c r="M62" s="47" t="s">
        <v>27</v>
      </c>
      <c r="N62" s="47" t="s">
        <v>24</v>
      </c>
      <c r="O62" s="47" t="s">
        <v>64</v>
      </c>
      <c r="P62" s="47" t="s">
        <v>238</v>
      </c>
      <c r="Q62" s="47" t="s">
        <v>21</v>
      </c>
      <c r="R62" s="47" t="s">
        <v>64</v>
      </c>
      <c r="S62" s="33" t="s">
        <v>29</v>
      </c>
      <c r="U62" s="46">
        <f t="shared" si="12"/>
        <v>8</v>
      </c>
      <c r="V62" s="46">
        <f t="shared" si="12"/>
        <v>19</v>
      </c>
      <c r="W62" s="46">
        <f t="shared" si="12"/>
        <v>4</v>
      </c>
      <c r="X62" s="46">
        <f t="shared" si="11"/>
        <v>0</v>
      </c>
      <c r="Y62" s="46">
        <f t="shared" si="11"/>
        <v>6</v>
      </c>
      <c r="Z62" s="46">
        <f t="shared" si="11"/>
        <v>4</v>
      </c>
      <c r="AA62" s="46">
        <f t="shared" si="11"/>
        <v>23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209">
        <v>10</v>
      </c>
      <c r="L63" s="18">
        <v>59</v>
      </c>
      <c r="M63" s="47" t="s">
        <v>21</v>
      </c>
      <c r="N63" s="47" t="s">
        <v>89</v>
      </c>
      <c r="O63" s="47" t="s">
        <v>89</v>
      </c>
      <c r="P63" s="47" t="s">
        <v>238</v>
      </c>
      <c r="Q63" s="47" t="s">
        <v>26</v>
      </c>
      <c r="R63" s="47" t="s">
        <v>26</v>
      </c>
      <c r="S63" s="47" t="s">
        <v>29</v>
      </c>
      <c r="U63" s="46">
        <f t="shared" si="12"/>
        <v>6</v>
      </c>
      <c r="V63" s="46">
        <f t="shared" si="12"/>
        <v>16</v>
      </c>
      <c r="W63" s="46">
        <f t="shared" si="12"/>
        <v>16</v>
      </c>
      <c r="X63" s="46">
        <f t="shared" si="11"/>
        <v>0</v>
      </c>
      <c r="Y63" s="46">
        <f t="shared" si="11"/>
        <v>17</v>
      </c>
      <c r="Z63" s="46">
        <f t="shared" si="11"/>
        <v>17</v>
      </c>
      <c r="AA63" s="46">
        <f t="shared" si="11"/>
        <v>23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5</v>
      </c>
      <c r="AM63" s="46">
        <v>5</v>
      </c>
      <c r="AN63" s="46">
        <v>5</v>
      </c>
      <c r="AO63" s="46">
        <v>5</v>
      </c>
      <c r="AP63" s="46">
        <v>5</v>
      </c>
      <c r="AQ63" s="46">
        <v>5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26</v>
      </c>
      <c r="N64" s="47" t="s">
        <v>242</v>
      </c>
      <c r="O64" s="47" t="s">
        <v>254</v>
      </c>
      <c r="P64" s="47" t="s">
        <v>17</v>
      </c>
      <c r="Q64" s="47" t="s">
        <v>28</v>
      </c>
      <c r="R64" s="47" t="s">
        <v>24</v>
      </c>
      <c r="S64" s="33" t="s">
        <v>17</v>
      </c>
      <c r="U64" s="46">
        <f t="shared" si="12"/>
        <v>17</v>
      </c>
      <c r="V64" s="46">
        <f t="shared" si="12"/>
        <v>0</v>
      </c>
      <c r="W64" s="46">
        <f t="shared" si="12"/>
        <v>0</v>
      </c>
      <c r="X64" s="46">
        <f t="shared" si="11"/>
        <v>10</v>
      </c>
      <c r="Y64" s="46">
        <f t="shared" si="11"/>
        <v>11</v>
      </c>
      <c r="Z64" s="46">
        <f t="shared" si="11"/>
        <v>19</v>
      </c>
      <c r="AA64" s="46">
        <f t="shared" si="11"/>
        <v>10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203" t="s">
        <v>20</v>
      </c>
      <c r="AL64" s="203">
        <v>40</v>
      </c>
      <c r="AM64" s="203">
        <v>1</v>
      </c>
      <c r="AN64" s="203">
        <v>10</v>
      </c>
      <c r="AO64" s="203">
        <v>1</v>
      </c>
      <c r="AP64" s="203">
        <v>40</v>
      </c>
      <c r="AQ64" s="203">
        <v>1</v>
      </c>
      <c r="AR64" s="203">
        <v>0</v>
      </c>
      <c r="AS64" s="200">
        <v>2</v>
      </c>
    </row>
    <row r="65" spans="2:45" ht="16.5" customHeight="1">
      <c r="L65" s="18">
        <v>61</v>
      </c>
      <c r="M65" s="47" t="s">
        <v>28</v>
      </c>
      <c r="N65" s="47" t="s">
        <v>24</v>
      </c>
      <c r="O65" s="47" t="s">
        <v>26</v>
      </c>
      <c r="P65" s="47" t="s">
        <v>17</v>
      </c>
      <c r="Q65" s="47" t="s">
        <v>28</v>
      </c>
      <c r="R65" s="47" t="s">
        <v>24</v>
      </c>
      <c r="S65" s="33" t="s">
        <v>17</v>
      </c>
      <c r="U65" s="46">
        <f t="shared" si="12"/>
        <v>11</v>
      </c>
      <c r="V65" s="46">
        <f t="shared" si="12"/>
        <v>19</v>
      </c>
      <c r="W65" s="46">
        <f t="shared" si="12"/>
        <v>17</v>
      </c>
      <c r="X65" s="46">
        <f t="shared" si="11"/>
        <v>10</v>
      </c>
      <c r="Y65" s="46">
        <f t="shared" si="11"/>
        <v>11</v>
      </c>
      <c r="Z65" s="46">
        <f t="shared" si="11"/>
        <v>19</v>
      </c>
      <c r="AA65" s="46">
        <f t="shared" si="11"/>
        <v>10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203" t="s">
        <v>21</v>
      </c>
      <c r="AL65" s="203">
        <v>1</v>
      </c>
      <c r="AM65" s="203">
        <v>40</v>
      </c>
      <c r="AN65" s="203">
        <v>1</v>
      </c>
      <c r="AO65" s="203">
        <v>40</v>
      </c>
      <c r="AP65" s="203">
        <v>1</v>
      </c>
      <c r="AQ65" s="203">
        <v>1</v>
      </c>
      <c r="AR65" s="203">
        <v>1</v>
      </c>
      <c r="AS65" s="200">
        <v>3</v>
      </c>
    </row>
    <row r="66" spans="2:45" ht="16.5" customHeight="1">
      <c r="B66" s="214" t="s">
        <v>102</v>
      </c>
      <c r="C66" s="211" t="s">
        <v>271</v>
      </c>
      <c r="L66" s="19">
        <v>62</v>
      </c>
      <c r="M66" s="47" t="s">
        <v>26</v>
      </c>
      <c r="N66" s="47" t="s">
        <v>24</v>
      </c>
      <c r="O66" s="47" t="s">
        <v>26</v>
      </c>
      <c r="P66" s="47" t="s">
        <v>27</v>
      </c>
      <c r="Q66" s="47" t="s">
        <v>26</v>
      </c>
      <c r="R66" s="47" t="s">
        <v>26</v>
      </c>
      <c r="S66" s="33" t="s">
        <v>26</v>
      </c>
      <c r="U66" s="46">
        <f t="shared" si="12"/>
        <v>17</v>
      </c>
      <c r="V66" s="46">
        <f t="shared" si="12"/>
        <v>19</v>
      </c>
      <c r="W66" s="46">
        <f t="shared" si="12"/>
        <v>17</v>
      </c>
      <c r="X66" s="46">
        <f t="shared" si="11"/>
        <v>8</v>
      </c>
      <c r="Y66" s="46">
        <f t="shared" si="11"/>
        <v>17</v>
      </c>
      <c r="Z66" s="46">
        <f t="shared" si="11"/>
        <v>17</v>
      </c>
      <c r="AA66" s="46">
        <f t="shared" si="11"/>
        <v>17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203" t="s">
        <v>17</v>
      </c>
      <c r="AL66" s="203">
        <v>40</v>
      </c>
      <c r="AM66" s="203">
        <v>40</v>
      </c>
      <c r="AN66" s="203">
        <v>40</v>
      </c>
      <c r="AO66" s="203">
        <v>1</v>
      </c>
      <c r="AP66" s="203">
        <v>1</v>
      </c>
      <c r="AQ66" s="203">
        <v>40</v>
      </c>
      <c r="AR66" s="203">
        <v>1</v>
      </c>
      <c r="AS66" s="200">
        <v>4</v>
      </c>
    </row>
    <row r="67" spans="2:45" ht="16.5" customHeight="1">
      <c r="B67" s="212">
        <v>0</v>
      </c>
      <c r="C67" s="210">
        <v>0</v>
      </c>
      <c r="L67" s="18">
        <v>63</v>
      </c>
      <c r="M67" s="47" t="s">
        <v>29</v>
      </c>
      <c r="N67" s="47" t="s">
        <v>64</v>
      </c>
      <c r="O67" s="47" t="s">
        <v>26</v>
      </c>
      <c r="P67" s="47" t="s">
        <v>27</v>
      </c>
      <c r="Q67" s="47" t="s">
        <v>18</v>
      </c>
      <c r="R67" s="47" t="s">
        <v>29</v>
      </c>
      <c r="S67" s="33" t="s">
        <v>26</v>
      </c>
      <c r="U67" s="46">
        <f t="shared" si="12"/>
        <v>23</v>
      </c>
      <c r="V67" s="46">
        <f t="shared" si="12"/>
        <v>4</v>
      </c>
      <c r="W67" s="46">
        <f t="shared" si="12"/>
        <v>17</v>
      </c>
      <c r="X67" s="46">
        <f t="shared" si="11"/>
        <v>8</v>
      </c>
      <c r="Y67" s="46">
        <f t="shared" si="11"/>
        <v>3</v>
      </c>
      <c r="Z67" s="46">
        <f t="shared" si="11"/>
        <v>23</v>
      </c>
      <c r="AA67" s="46">
        <f t="shared" si="11"/>
        <v>17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203" t="s">
        <v>18</v>
      </c>
      <c r="AL67" s="203">
        <v>1</v>
      </c>
      <c r="AM67" s="203">
        <v>40</v>
      </c>
      <c r="AN67" s="203">
        <v>1</v>
      </c>
      <c r="AO67" s="203">
        <v>1</v>
      </c>
      <c r="AP67" s="203">
        <v>1</v>
      </c>
      <c r="AQ67" s="203">
        <v>40</v>
      </c>
      <c r="AR67" s="203">
        <v>1</v>
      </c>
      <c r="AS67" s="200">
        <v>5</v>
      </c>
    </row>
    <row r="68" spans="2:45" ht="16.5" customHeight="1">
      <c r="B68" s="213">
        <v>1</v>
      </c>
      <c r="C68" s="208">
        <v>0</v>
      </c>
      <c r="L68" s="19">
        <v>64</v>
      </c>
      <c r="M68" s="47" t="s">
        <v>17</v>
      </c>
      <c r="N68" s="47" t="s">
        <v>27</v>
      </c>
      <c r="O68" s="47" t="s">
        <v>18</v>
      </c>
      <c r="P68" s="47" t="s">
        <v>29</v>
      </c>
      <c r="Q68" s="47" t="s">
        <v>89</v>
      </c>
      <c r="R68" s="47" t="s">
        <v>29</v>
      </c>
      <c r="S68" s="33" t="s">
        <v>28</v>
      </c>
      <c r="U68" s="46">
        <f t="shared" si="12"/>
        <v>10</v>
      </c>
      <c r="V68" s="46">
        <f t="shared" si="12"/>
        <v>8</v>
      </c>
      <c r="W68" s="46">
        <f t="shared" si="12"/>
        <v>3</v>
      </c>
      <c r="X68" s="46">
        <f t="shared" si="11"/>
        <v>23</v>
      </c>
      <c r="Y68" s="46">
        <f t="shared" si="11"/>
        <v>16</v>
      </c>
      <c r="Z68" s="46">
        <f t="shared" si="11"/>
        <v>23</v>
      </c>
      <c r="AA68" s="46">
        <f t="shared" si="11"/>
        <v>11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203" t="s">
        <v>64</v>
      </c>
      <c r="AL68" s="203">
        <v>1</v>
      </c>
      <c r="AM68" s="203">
        <v>1</v>
      </c>
      <c r="AN68" s="203">
        <v>40</v>
      </c>
      <c r="AO68" s="203">
        <v>1</v>
      </c>
      <c r="AP68" s="203">
        <v>40</v>
      </c>
      <c r="AQ68" s="203">
        <v>1</v>
      </c>
      <c r="AR68" s="203">
        <v>1</v>
      </c>
      <c r="AS68" s="200">
        <v>6</v>
      </c>
    </row>
    <row r="69" spans="2:45" ht="16.5" customHeight="1">
      <c r="B69" s="213">
        <v>2</v>
      </c>
      <c r="C69" s="208">
        <v>0</v>
      </c>
      <c r="L69" s="18">
        <v>65</v>
      </c>
      <c r="M69" s="47" t="s">
        <v>27</v>
      </c>
      <c r="N69" s="47" t="s">
        <v>27</v>
      </c>
      <c r="O69" s="47" t="s">
        <v>24</v>
      </c>
      <c r="P69" s="47" t="s">
        <v>29</v>
      </c>
      <c r="Q69" s="47" t="s">
        <v>89</v>
      </c>
      <c r="R69" s="47" t="s">
        <v>27</v>
      </c>
      <c r="S69" s="33" t="s">
        <v>28</v>
      </c>
      <c r="U69" s="46">
        <f t="shared" si="12"/>
        <v>8</v>
      </c>
      <c r="V69" s="46">
        <f t="shared" si="12"/>
        <v>8</v>
      </c>
      <c r="W69" s="46">
        <f t="shared" si="12"/>
        <v>19</v>
      </c>
      <c r="X69" s="46">
        <f t="shared" si="11"/>
        <v>23</v>
      </c>
      <c r="Y69" s="46">
        <f t="shared" si="11"/>
        <v>16</v>
      </c>
      <c r="Z69" s="46">
        <f t="shared" si="11"/>
        <v>8</v>
      </c>
      <c r="AA69" s="46">
        <f t="shared" si="11"/>
        <v>11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203" t="s">
        <v>89</v>
      </c>
      <c r="AL69" s="203">
        <v>1</v>
      </c>
      <c r="AM69" s="203">
        <v>40</v>
      </c>
      <c r="AN69" s="203">
        <v>1</v>
      </c>
      <c r="AO69" s="203">
        <v>40</v>
      </c>
      <c r="AP69" s="203">
        <v>1</v>
      </c>
      <c r="AQ69" s="203">
        <v>1</v>
      </c>
      <c r="AR69" s="203">
        <v>1</v>
      </c>
      <c r="AS69" s="200">
        <v>7</v>
      </c>
    </row>
    <row r="70" spans="2:45" ht="16.5" customHeight="1">
      <c r="B70" s="213">
        <v>3</v>
      </c>
      <c r="C70" s="208">
        <v>0</v>
      </c>
      <c r="L70" s="19">
        <v>66</v>
      </c>
      <c r="M70" s="47" t="s">
        <v>27</v>
      </c>
      <c r="N70" s="47" t="s">
        <v>29</v>
      </c>
      <c r="O70" s="47" t="s">
        <v>24</v>
      </c>
      <c r="P70" s="47" t="s">
        <v>29</v>
      </c>
      <c r="Q70" s="47" t="s">
        <v>18</v>
      </c>
      <c r="R70" s="47" t="s">
        <v>24</v>
      </c>
      <c r="S70" s="33" t="s">
        <v>28</v>
      </c>
      <c r="U70" s="46">
        <f t="shared" si="12"/>
        <v>8</v>
      </c>
      <c r="V70" s="46">
        <f t="shared" si="12"/>
        <v>23</v>
      </c>
      <c r="W70" s="46">
        <f t="shared" si="12"/>
        <v>19</v>
      </c>
      <c r="X70" s="46">
        <f t="shared" si="11"/>
        <v>23</v>
      </c>
      <c r="Y70" s="46">
        <f t="shared" si="11"/>
        <v>3</v>
      </c>
      <c r="Z70" s="46">
        <f t="shared" si="11"/>
        <v>19</v>
      </c>
      <c r="AA70" s="46">
        <f t="shared" si="11"/>
        <v>11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</v>
      </c>
      <c r="AM70" s="46">
        <v>1</v>
      </c>
      <c r="AN70" s="46">
        <v>1</v>
      </c>
      <c r="AO70" s="46">
        <v>1</v>
      </c>
      <c r="AP70" s="46">
        <v>35</v>
      </c>
      <c r="AQ70" s="46">
        <v>1</v>
      </c>
      <c r="AR70" s="46">
        <v>1</v>
      </c>
      <c r="AS70" s="5">
        <v>8</v>
      </c>
    </row>
    <row r="71" spans="2:45" ht="16.5" customHeight="1">
      <c r="B71" s="213">
        <v>4</v>
      </c>
      <c r="C71" s="208">
        <v>1</v>
      </c>
      <c r="L71" s="18">
        <v>67</v>
      </c>
      <c r="M71" s="47" t="s">
        <v>18</v>
      </c>
      <c r="N71" s="47" t="s">
        <v>27</v>
      </c>
      <c r="O71" s="47" t="s">
        <v>24</v>
      </c>
      <c r="P71" s="47" t="s">
        <v>26</v>
      </c>
      <c r="Q71" s="47" t="s">
        <v>18</v>
      </c>
      <c r="R71" s="47" t="s">
        <v>64</v>
      </c>
      <c r="S71" s="33" t="s">
        <v>29</v>
      </c>
      <c r="U71" s="46">
        <f t="shared" si="12"/>
        <v>3</v>
      </c>
      <c r="V71" s="46">
        <f t="shared" si="12"/>
        <v>8</v>
      </c>
      <c r="W71" s="46">
        <f t="shared" si="12"/>
        <v>19</v>
      </c>
      <c r="X71" s="46">
        <f t="shared" si="11"/>
        <v>17</v>
      </c>
      <c r="Y71" s="46">
        <f t="shared" si="11"/>
        <v>3</v>
      </c>
      <c r="Z71" s="46">
        <f t="shared" si="11"/>
        <v>4</v>
      </c>
      <c r="AA71" s="46">
        <f t="shared" si="11"/>
        <v>23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1</v>
      </c>
      <c r="AM71" s="46">
        <v>40</v>
      </c>
      <c r="AN71" s="46">
        <v>1</v>
      </c>
      <c r="AO71" s="46">
        <v>40</v>
      </c>
      <c r="AP71" s="46">
        <v>1</v>
      </c>
      <c r="AQ71" s="46">
        <v>40</v>
      </c>
      <c r="AR71" s="46">
        <v>1</v>
      </c>
      <c r="AS71" s="5">
        <v>9</v>
      </c>
    </row>
    <row r="72" spans="2:45" ht="16.5" customHeight="1">
      <c r="B72" s="213">
        <v>5</v>
      </c>
      <c r="C72" s="208">
        <v>0</v>
      </c>
      <c r="L72" s="19">
        <v>68</v>
      </c>
      <c r="M72" s="47" t="s">
        <v>18</v>
      </c>
      <c r="N72" s="47" t="s">
        <v>27</v>
      </c>
      <c r="O72" s="47" t="s">
        <v>28</v>
      </c>
      <c r="P72" s="47" t="s">
        <v>242</v>
      </c>
      <c r="Q72" s="47" t="s">
        <v>242</v>
      </c>
      <c r="R72" s="47" t="s">
        <v>64</v>
      </c>
      <c r="S72" s="33" t="s">
        <v>21</v>
      </c>
      <c r="U72" s="46">
        <f t="shared" si="12"/>
        <v>3</v>
      </c>
      <c r="V72" s="46">
        <f t="shared" si="12"/>
        <v>8</v>
      </c>
      <c r="W72" s="46">
        <f t="shared" si="12"/>
        <v>11</v>
      </c>
      <c r="X72" s="46">
        <f t="shared" si="11"/>
        <v>0</v>
      </c>
      <c r="Y72" s="46">
        <f t="shared" si="11"/>
        <v>0</v>
      </c>
      <c r="Z72" s="46">
        <f t="shared" si="11"/>
        <v>4</v>
      </c>
      <c r="AA72" s="46">
        <f t="shared" si="11"/>
        <v>6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60</v>
      </c>
      <c r="AM72" s="46">
        <v>40</v>
      </c>
      <c r="AN72" s="46">
        <v>35</v>
      </c>
      <c r="AO72" s="46">
        <v>1</v>
      </c>
      <c r="AP72" s="46">
        <v>1</v>
      </c>
      <c r="AQ72" s="46">
        <v>1</v>
      </c>
      <c r="AR72" s="46">
        <v>1</v>
      </c>
      <c r="AS72" s="5">
        <v>10</v>
      </c>
    </row>
    <row r="73" spans="2:45" ht="16.5" customHeight="1">
      <c r="B73" s="213">
        <v>6</v>
      </c>
      <c r="C73" s="208">
        <v>0</v>
      </c>
      <c r="L73" s="18">
        <v>69</v>
      </c>
      <c r="M73" s="47" t="s">
        <v>26</v>
      </c>
      <c r="N73" s="47" t="s">
        <v>27</v>
      </c>
      <c r="O73" s="47" t="s">
        <v>28</v>
      </c>
      <c r="P73" s="47" t="s">
        <v>64</v>
      </c>
      <c r="Q73" s="47" t="s">
        <v>64</v>
      </c>
      <c r="R73" s="47" t="s">
        <v>29</v>
      </c>
      <c r="S73" s="33" t="s">
        <v>21</v>
      </c>
      <c r="U73" s="46">
        <f t="shared" si="12"/>
        <v>17</v>
      </c>
      <c r="V73" s="46">
        <f t="shared" si="12"/>
        <v>8</v>
      </c>
      <c r="W73" s="46">
        <f t="shared" si="12"/>
        <v>11</v>
      </c>
      <c r="X73" s="46">
        <f t="shared" si="11"/>
        <v>4</v>
      </c>
      <c r="Y73" s="46">
        <f t="shared" si="11"/>
        <v>4</v>
      </c>
      <c r="Z73" s="46">
        <f t="shared" si="11"/>
        <v>23</v>
      </c>
      <c r="AA73" s="46">
        <f t="shared" si="11"/>
        <v>6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1</v>
      </c>
      <c r="AM73" s="46">
        <v>40</v>
      </c>
      <c r="AN73" s="46">
        <v>1</v>
      </c>
      <c r="AO73" s="46">
        <v>1</v>
      </c>
      <c r="AP73" s="46">
        <v>1</v>
      </c>
      <c r="AQ73" s="46">
        <v>1</v>
      </c>
      <c r="AR73" s="46">
        <v>1</v>
      </c>
      <c r="AS73" s="5">
        <v>11</v>
      </c>
    </row>
    <row r="74" spans="2:45" ht="16.5" customHeight="1">
      <c r="B74" s="213">
        <v>7</v>
      </c>
      <c r="C74" s="208">
        <v>0</v>
      </c>
      <c r="L74" s="19">
        <v>70</v>
      </c>
      <c r="M74" s="47" t="s">
        <v>29</v>
      </c>
      <c r="N74" s="47" t="s">
        <v>252</v>
      </c>
      <c r="O74" s="47" t="s">
        <v>28</v>
      </c>
      <c r="P74" s="47" t="s">
        <v>64</v>
      </c>
      <c r="Q74" s="47" t="s">
        <v>18</v>
      </c>
      <c r="R74" s="47" t="s">
        <v>28</v>
      </c>
      <c r="S74" s="33" t="s">
        <v>17</v>
      </c>
      <c r="U74" s="46">
        <f t="shared" si="12"/>
        <v>23</v>
      </c>
      <c r="V74" s="46">
        <f t="shared" si="12"/>
        <v>0</v>
      </c>
      <c r="W74" s="46">
        <f t="shared" si="12"/>
        <v>11</v>
      </c>
      <c r="X74" s="46">
        <f t="shared" si="11"/>
        <v>4</v>
      </c>
      <c r="Y74" s="46">
        <f t="shared" si="11"/>
        <v>3</v>
      </c>
      <c r="Z74" s="46">
        <f t="shared" si="11"/>
        <v>11</v>
      </c>
      <c r="AA74" s="46">
        <f t="shared" si="11"/>
        <v>10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40</v>
      </c>
      <c r="AM74" s="46">
        <v>1</v>
      </c>
      <c r="AN74" s="46">
        <v>1</v>
      </c>
      <c r="AO74" s="46">
        <v>1</v>
      </c>
      <c r="AP74" s="46">
        <v>1</v>
      </c>
      <c r="AQ74" s="46">
        <v>1</v>
      </c>
      <c r="AR74" s="46">
        <v>1</v>
      </c>
      <c r="AS74" s="5">
        <v>12</v>
      </c>
    </row>
    <row r="75" spans="2:45" ht="16.5" customHeight="1">
      <c r="L75" s="18">
        <v>71</v>
      </c>
      <c r="M75" s="47" t="s">
        <v>29</v>
      </c>
      <c r="N75" s="47" t="s">
        <v>28</v>
      </c>
      <c r="O75" s="47" t="s">
        <v>26</v>
      </c>
      <c r="P75" s="47" t="s">
        <v>24</v>
      </c>
      <c r="Q75" s="47" t="s">
        <v>24</v>
      </c>
      <c r="R75" s="47" t="s">
        <v>24</v>
      </c>
      <c r="S75" s="33" t="s">
        <v>17</v>
      </c>
      <c r="U75" s="46">
        <f t="shared" si="12"/>
        <v>23</v>
      </c>
      <c r="V75" s="46">
        <f t="shared" si="12"/>
        <v>11</v>
      </c>
      <c r="W75" s="46">
        <f t="shared" si="12"/>
        <v>17</v>
      </c>
      <c r="X75" s="46">
        <f t="shared" si="11"/>
        <v>19</v>
      </c>
      <c r="Y75" s="46">
        <f t="shared" si="11"/>
        <v>19</v>
      </c>
      <c r="Z75" s="46">
        <f t="shared" si="11"/>
        <v>19</v>
      </c>
      <c r="AA75" s="46">
        <f t="shared" si="11"/>
        <v>10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203" t="s">
        <v>234</v>
      </c>
      <c r="AL75" s="203">
        <v>0</v>
      </c>
      <c r="AM75" s="203">
        <v>2</v>
      </c>
      <c r="AN75" s="203">
        <v>2</v>
      </c>
      <c r="AO75" s="203">
        <v>1</v>
      </c>
      <c r="AP75" s="203">
        <v>2</v>
      </c>
      <c r="AQ75" s="203">
        <v>0</v>
      </c>
      <c r="AR75" s="203">
        <v>0</v>
      </c>
      <c r="AS75" s="200">
        <v>13</v>
      </c>
    </row>
    <row r="76" spans="2:45" ht="16.5" customHeight="1">
      <c r="L76" s="19">
        <v>72</v>
      </c>
      <c r="M76" s="47" t="s">
        <v>26</v>
      </c>
      <c r="N76" s="47" t="s">
        <v>244</v>
      </c>
      <c r="O76" s="47" t="s">
        <v>18</v>
      </c>
      <c r="P76" s="47" t="s">
        <v>64</v>
      </c>
      <c r="Q76" s="47" t="s">
        <v>18</v>
      </c>
      <c r="R76" s="47" t="s">
        <v>24</v>
      </c>
      <c r="S76" s="33" t="s">
        <v>17</v>
      </c>
      <c r="U76" s="46">
        <f t="shared" si="12"/>
        <v>17</v>
      </c>
      <c r="V76" s="46">
        <f t="shared" si="12"/>
        <v>0</v>
      </c>
      <c r="W76" s="46">
        <f t="shared" si="12"/>
        <v>3</v>
      </c>
      <c r="X76" s="46">
        <f t="shared" si="11"/>
        <v>4</v>
      </c>
      <c r="Y76" s="46">
        <f t="shared" si="11"/>
        <v>3</v>
      </c>
      <c r="Z76" s="46">
        <f t="shared" si="11"/>
        <v>19</v>
      </c>
      <c r="AA76" s="46">
        <f t="shared" si="11"/>
        <v>10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203" t="s">
        <v>236</v>
      </c>
      <c r="AL76" s="203">
        <v>0</v>
      </c>
      <c r="AM76" s="203">
        <v>1</v>
      </c>
      <c r="AN76" s="203">
        <v>1</v>
      </c>
      <c r="AO76" s="203">
        <v>2</v>
      </c>
      <c r="AP76" s="203">
        <v>1</v>
      </c>
      <c r="AQ76" s="203">
        <v>0</v>
      </c>
      <c r="AR76" s="203">
        <v>0</v>
      </c>
      <c r="AS76" s="200">
        <v>14</v>
      </c>
    </row>
    <row r="77" spans="2:45" ht="16.5" customHeight="1">
      <c r="L77" s="18">
        <v>73</v>
      </c>
      <c r="M77" s="47" t="s">
        <v>28</v>
      </c>
      <c r="N77" s="47" t="s">
        <v>24</v>
      </c>
      <c r="O77" s="47" t="s">
        <v>28</v>
      </c>
      <c r="P77" s="47" t="s">
        <v>28</v>
      </c>
      <c r="Q77" s="47" t="s">
        <v>17</v>
      </c>
      <c r="R77" s="47" t="s">
        <v>17</v>
      </c>
      <c r="S77" s="33" t="s">
        <v>27</v>
      </c>
      <c r="U77" s="46">
        <f t="shared" si="12"/>
        <v>11</v>
      </c>
      <c r="V77" s="46">
        <f t="shared" si="12"/>
        <v>19</v>
      </c>
      <c r="W77" s="46">
        <f t="shared" si="12"/>
        <v>11</v>
      </c>
      <c r="X77" s="46">
        <f t="shared" si="11"/>
        <v>11</v>
      </c>
      <c r="Y77" s="46">
        <f t="shared" si="11"/>
        <v>10</v>
      </c>
      <c r="Z77" s="46">
        <f t="shared" si="11"/>
        <v>10</v>
      </c>
      <c r="AA77" s="46">
        <f t="shared" si="11"/>
        <v>8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203" t="s">
        <v>238</v>
      </c>
      <c r="AL77" s="203">
        <v>0</v>
      </c>
      <c r="AM77" s="203">
        <v>2</v>
      </c>
      <c r="AN77" s="203">
        <v>2</v>
      </c>
      <c r="AO77" s="203">
        <v>1</v>
      </c>
      <c r="AP77" s="203">
        <v>1</v>
      </c>
      <c r="AQ77" s="203">
        <v>0</v>
      </c>
      <c r="AR77" s="203">
        <v>0</v>
      </c>
      <c r="AS77" s="200">
        <v>15</v>
      </c>
    </row>
    <row r="78" spans="2:45" ht="16.5" customHeight="1">
      <c r="L78" s="19">
        <v>74</v>
      </c>
      <c r="M78" s="47" t="s">
        <v>64</v>
      </c>
      <c r="N78" s="47" t="s">
        <v>69</v>
      </c>
      <c r="O78" s="47" t="s">
        <v>28</v>
      </c>
      <c r="P78" s="47" t="s">
        <v>28</v>
      </c>
      <c r="Q78" s="47" t="s">
        <v>17</v>
      </c>
      <c r="R78" s="47" t="s">
        <v>17</v>
      </c>
      <c r="S78" s="33" t="s">
        <v>27</v>
      </c>
      <c r="U78" s="46">
        <f t="shared" si="12"/>
        <v>4</v>
      </c>
      <c r="V78" s="46">
        <f t="shared" si="12"/>
        <v>0</v>
      </c>
      <c r="W78" s="46">
        <f t="shared" si="12"/>
        <v>11</v>
      </c>
      <c r="X78" s="46">
        <f t="shared" si="11"/>
        <v>11</v>
      </c>
      <c r="Y78" s="46">
        <f t="shared" si="11"/>
        <v>10</v>
      </c>
      <c r="Z78" s="46">
        <f t="shared" si="11"/>
        <v>10</v>
      </c>
      <c r="AA78" s="46">
        <f t="shared" si="11"/>
        <v>8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203" t="s">
        <v>240</v>
      </c>
      <c r="AL78" s="203">
        <v>0</v>
      </c>
      <c r="AM78" s="203">
        <v>1</v>
      </c>
      <c r="AN78" s="203">
        <v>1</v>
      </c>
      <c r="AO78" s="203">
        <v>1</v>
      </c>
      <c r="AP78" s="203">
        <v>1</v>
      </c>
      <c r="AQ78" s="203">
        <v>0</v>
      </c>
      <c r="AR78" s="203">
        <v>0</v>
      </c>
      <c r="AS78" s="200">
        <v>16</v>
      </c>
    </row>
    <row r="79" spans="2:45" ht="16.5" customHeight="1">
      <c r="L79" s="18">
        <v>75</v>
      </c>
      <c r="M79" s="47" t="s">
        <v>29</v>
      </c>
      <c r="N79" s="47" t="s">
        <v>69</v>
      </c>
      <c r="O79" s="47" t="s">
        <v>24</v>
      </c>
      <c r="P79" s="47" t="s">
        <v>252</v>
      </c>
      <c r="Q79" s="47" t="s">
        <v>238</v>
      </c>
      <c r="R79" s="47" t="s">
        <v>17</v>
      </c>
      <c r="S79" s="33" t="s">
        <v>27</v>
      </c>
      <c r="U79" s="46">
        <f t="shared" si="12"/>
        <v>23</v>
      </c>
      <c r="V79" s="46">
        <f t="shared" si="12"/>
        <v>0</v>
      </c>
      <c r="W79" s="46">
        <f t="shared" si="12"/>
        <v>19</v>
      </c>
      <c r="X79" s="46">
        <f t="shared" si="11"/>
        <v>0</v>
      </c>
      <c r="Y79" s="46">
        <f t="shared" si="11"/>
        <v>0</v>
      </c>
      <c r="Z79" s="46">
        <f t="shared" si="11"/>
        <v>10</v>
      </c>
      <c r="AA79" s="46">
        <f t="shared" si="11"/>
        <v>8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203" t="s">
        <v>242</v>
      </c>
      <c r="AL79" s="203">
        <v>0</v>
      </c>
      <c r="AM79" s="203">
        <v>2</v>
      </c>
      <c r="AN79" s="203">
        <v>2</v>
      </c>
      <c r="AO79" s="203">
        <v>1</v>
      </c>
      <c r="AP79" s="203">
        <v>2</v>
      </c>
      <c r="AQ79" s="203">
        <v>0</v>
      </c>
      <c r="AR79" s="203">
        <v>0</v>
      </c>
      <c r="AS79" s="200">
        <v>17</v>
      </c>
    </row>
    <row r="80" spans="2:45">
      <c r="L80" s="19">
        <v>76</v>
      </c>
      <c r="M80" s="47" t="s">
        <v>29</v>
      </c>
      <c r="N80" s="47" t="s">
        <v>89</v>
      </c>
      <c r="O80" s="47" t="s">
        <v>26</v>
      </c>
      <c r="P80" s="47" t="s">
        <v>29</v>
      </c>
      <c r="Q80" s="47" t="s">
        <v>64</v>
      </c>
      <c r="R80" s="47" t="s">
        <v>64</v>
      </c>
      <c r="S80" s="47" t="s">
        <v>17</v>
      </c>
      <c r="U80" s="46">
        <f t="shared" si="12"/>
        <v>23</v>
      </c>
      <c r="V80" s="46">
        <f t="shared" si="12"/>
        <v>16</v>
      </c>
      <c r="W80" s="46">
        <f t="shared" si="12"/>
        <v>17</v>
      </c>
      <c r="X80" s="46">
        <f t="shared" si="11"/>
        <v>23</v>
      </c>
      <c r="Y80" s="46">
        <f t="shared" si="11"/>
        <v>4</v>
      </c>
      <c r="Z80" s="46">
        <f t="shared" si="11"/>
        <v>4</v>
      </c>
      <c r="AA80" s="46">
        <f t="shared" si="11"/>
        <v>10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203" t="s">
        <v>244</v>
      </c>
      <c r="AL80" s="203">
        <v>0</v>
      </c>
      <c r="AM80" s="203">
        <v>2</v>
      </c>
      <c r="AN80" s="203">
        <v>2</v>
      </c>
      <c r="AO80" s="203">
        <v>1</v>
      </c>
      <c r="AP80" s="203">
        <v>2</v>
      </c>
      <c r="AQ80" s="203">
        <v>0</v>
      </c>
      <c r="AR80" s="203">
        <v>0</v>
      </c>
      <c r="AS80" s="200">
        <v>18</v>
      </c>
    </row>
    <row r="81" spans="12:45">
      <c r="L81" s="18">
        <v>77</v>
      </c>
      <c r="M81" s="47" t="s">
        <v>27</v>
      </c>
      <c r="N81" s="47" t="s">
        <v>89</v>
      </c>
      <c r="O81" s="47" t="s">
        <v>26</v>
      </c>
      <c r="P81" s="47" t="s">
        <v>29</v>
      </c>
      <c r="Q81" s="47" t="s">
        <v>64</v>
      </c>
      <c r="R81" s="47" t="s">
        <v>64</v>
      </c>
      <c r="S81" s="33" t="s">
        <v>29</v>
      </c>
      <c r="U81" s="46">
        <f t="shared" si="12"/>
        <v>8</v>
      </c>
      <c r="V81" s="46">
        <f t="shared" si="12"/>
        <v>16</v>
      </c>
      <c r="W81" s="46">
        <f t="shared" si="12"/>
        <v>17</v>
      </c>
      <c r="X81" s="46">
        <f t="shared" si="11"/>
        <v>23</v>
      </c>
      <c r="Y81" s="46">
        <f t="shared" si="11"/>
        <v>4</v>
      </c>
      <c r="Z81" s="46">
        <f t="shared" si="11"/>
        <v>4</v>
      </c>
      <c r="AA81" s="46">
        <f t="shared" si="11"/>
        <v>23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246</v>
      </c>
      <c r="AL81" s="46">
        <v>0</v>
      </c>
      <c r="AM81" s="46">
        <v>2</v>
      </c>
      <c r="AN81" s="46">
        <v>1</v>
      </c>
      <c r="AO81" s="46">
        <v>1</v>
      </c>
      <c r="AP81" s="46">
        <v>7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28</v>
      </c>
      <c r="N82" s="47" t="s">
        <v>21</v>
      </c>
      <c r="O82" s="47" t="s">
        <v>26</v>
      </c>
      <c r="P82" s="47" t="s">
        <v>24</v>
      </c>
      <c r="Q82" s="47" t="s">
        <v>89</v>
      </c>
      <c r="R82" s="47" t="s">
        <v>64</v>
      </c>
      <c r="S82" s="33" t="s">
        <v>29</v>
      </c>
      <c r="U82" s="46">
        <f t="shared" si="12"/>
        <v>11</v>
      </c>
      <c r="V82" s="46">
        <f t="shared" si="12"/>
        <v>6</v>
      </c>
      <c r="W82" s="46">
        <f t="shared" si="12"/>
        <v>17</v>
      </c>
      <c r="X82" s="46">
        <f t="shared" si="11"/>
        <v>19</v>
      </c>
      <c r="Y82" s="46">
        <f t="shared" si="11"/>
        <v>16</v>
      </c>
      <c r="Z82" s="46">
        <f t="shared" si="11"/>
        <v>4</v>
      </c>
      <c r="AA82" s="46">
        <f t="shared" si="11"/>
        <v>23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248</v>
      </c>
      <c r="AL82" s="46">
        <v>0</v>
      </c>
      <c r="AM82" s="46">
        <v>2</v>
      </c>
      <c r="AN82" s="46">
        <v>1</v>
      </c>
      <c r="AO82" s="46">
        <v>2</v>
      </c>
      <c r="AP82" s="46">
        <v>1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64</v>
      </c>
      <c r="N83" s="47" t="s">
        <v>21</v>
      </c>
      <c r="O83" s="47" t="s">
        <v>18</v>
      </c>
      <c r="P83" s="47" t="s">
        <v>240</v>
      </c>
      <c r="Q83" s="47" t="s">
        <v>89</v>
      </c>
      <c r="R83" s="47" t="s">
        <v>29</v>
      </c>
      <c r="S83" s="33" t="s">
        <v>29</v>
      </c>
      <c r="U83" s="46">
        <f t="shared" si="12"/>
        <v>4</v>
      </c>
      <c r="V83" s="46">
        <f t="shared" si="12"/>
        <v>6</v>
      </c>
      <c r="W83" s="46">
        <f t="shared" si="12"/>
        <v>3</v>
      </c>
      <c r="X83" s="46">
        <f t="shared" si="11"/>
        <v>0</v>
      </c>
      <c r="Y83" s="46">
        <f t="shared" si="11"/>
        <v>16</v>
      </c>
      <c r="Z83" s="46">
        <f t="shared" si="11"/>
        <v>23</v>
      </c>
      <c r="AA83" s="46">
        <f t="shared" si="11"/>
        <v>23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250</v>
      </c>
      <c r="AL83" s="46">
        <v>0</v>
      </c>
      <c r="AM83" s="46">
        <v>2</v>
      </c>
      <c r="AN83" s="46">
        <v>7</v>
      </c>
      <c r="AO83" s="46">
        <v>1</v>
      </c>
      <c r="AP83" s="46">
        <v>1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64</v>
      </c>
      <c r="N84" s="47" t="s">
        <v>26</v>
      </c>
      <c r="O84" s="47" t="s">
        <v>28</v>
      </c>
      <c r="P84" s="47" t="s">
        <v>18</v>
      </c>
      <c r="Q84" s="47" t="s">
        <v>244</v>
      </c>
      <c r="R84" s="47" t="s">
        <v>27</v>
      </c>
      <c r="S84" s="33" t="s">
        <v>24</v>
      </c>
      <c r="U84" s="46">
        <f t="shared" si="12"/>
        <v>4</v>
      </c>
      <c r="V84" s="46">
        <f t="shared" si="12"/>
        <v>17</v>
      </c>
      <c r="W84" s="46">
        <f t="shared" si="12"/>
        <v>11</v>
      </c>
      <c r="X84" s="46">
        <f t="shared" si="11"/>
        <v>3</v>
      </c>
      <c r="Y84" s="46">
        <f t="shared" si="11"/>
        <v>0</v>
      </c>
      <c r="Z84" s="46">
        <f t="shared" si="11"/>
        <v>8</v>
      </c>
      <c r="AA84" s="46">
        <f t="shared" si="11"/>
        <v>19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252</v>
      </c>
      <c r="AL84" s="46">
        <v>0</v>
      </c>
      <c r="AM84" s="46">
        <v>1</v>
      </c>
      <c r="AN84" s="46">
        <v>1</v>
      </c>
      <c r="AO84" s="46">
        <v>1</v>
      </c>
      <c r="AP84" s="46">
        <v>1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28</v>
      </c>
      <c r="N85" s="47" t="s">
        <v>26</v>
      </c>
      <c r="O85" s="47" t="s">
        <v>21</v>
      </c>
      <c r="P85" s="47" t="s">
        <v>64</v>
      </c>
      <c r="Q85" s="47" t="s">
        <v>28</v>
      </c>
      <c r="R85" s="47" t="s">
        <v>27</v>
      </c>
      <c r="S85" s="33" t="s">
        <v>24</v>
      </c>
      <c r="U85" s="46">
        <f t="shared" si="12"/>
        <v>11</v>
      </c>
      <c r="V85" s="46">
        <f t="shared" si="12"/>
        <v>17</v>
      </c>
      <c r="W85" s="46">
        <f t="shared" si="12"/>
        <v>6</v>
      </c>
      <c r="X85" s="46">
        <f t="shared" si="11"/>
        <v>4</v>
      </c>
      <c r="Y85" s="46">
        <f t="shared" si="11"/>
        <v>11</v>
      </c>
      <c r="Z85" s="46">
        <f t="shared" si="11"/>
        <v>8</v>
      </c>
      <c r="AA85" s="46">
        <f t="shared" si="11"/>
        <v>19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254</v>
      </c>
      <c r="AL85" s="46">
        <v>0</v>
      </c>
      <c r="AM85" s="46">
        <v>2</v>
      </c>
      <c r="AN85" s="46">
        <v>1</v>
      </c>
      <c r="AO85" s="46">
        <v>1</v>
      </c>
      <c r="AP85" s="46">
        <v>1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29</v>
      </c>
      <c r="N86" s="47" t="s">
        <v>27</v>
      </c>
      <c r="O86" s="47" t="s">
        <v>21</v>
      </c>
      <c r="P86" s="47" t="s">
        <v>27</v>
      </c>
      <c r="Q86" s="47" t="s">
        <v>28</v>
      </c>
      <c r="R86" s="47" t="s">
        <v>24</v>
      </c>
      <c r="S86" s="33" t="s">
        <v>24</v>
      </c>
      <c r="U86" s="46">
        <f t="shared" si="12"/>
        <v>23</v>
      </c>
      <c r="V86" s="46">
        <f t="shared" si="12"/>
        <v>8</v>
      </c>
      <c r="W86" s="46">
        <f t="shared" si="12"/>
        <v>6</v>
      </c>
      <c r="X86" s="46">
        <f t="shared" si="11"/>
        <v>8</v>
      </c>
      <c r="Y86" s="46">
        <f t="shared" si="11"/>
        <v>11</v>
      </c>
      <c r="Z86" s="46">
        <f t="shared" si="11"/>
        <v>19</v>
      </c>
      <c r="AA86" s="46">
        <f t="shared" si="11"/>
        <v>19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203" t="s">
        <v>101</v>
      </c>
      <c r="AL86" s="203">
        <v>0</v>
      </c>
      <c r="AM86" s="203">
        <v>10</v>
      </c>
      <c r="AN86" s="203">
        <v>10</v>
      </c>
      <c r="AO86" s="203">
        <v>10</v>
      </c>
      <c r="AP86" s="203">
        <v>10</v>
      </c>
      <c r="AQ86" s="203">
        <v>0</v>
      </c>
      <c r="AR86" s="203">
        <v>0</v>
      </c>
      <c r="AS86" s="200">
        <v>24</v>
      </c>
    </row>
    <row r="87" spans="12:45">
      <c r="L87" s="18">
        <v>83</v>
      </c>
      <c r="M87" s="47" t="s">
        <v>28</v>
      </c>
      <c r="N87" s="47" t="s">
        <v>27</v>
      </c>
      <c r="O87" s="47" t="s">
        <v>21</v>
      </c>
      <c r="P87" s="47" t="s">
        <v>18</v>
      </c>
      <c r="Q87" s="47" t="s">
        <v>89</v>
      </c>
      <c r="R87" s="47" t="s">
        <v>29</v>
      </c>
      <c r="S87" s="33" t="s">
        <v>27</v>
      </c>
      <c r="U87" s="46">
        <f t="shared" si="12"/>
        <v>11</v>
      </c>
      <c r="V87" s="46">
        <f t="shared" si="12"/>
        <v>8</v>
      </c>
      <c r="W87" s="46">
        <f t="shared" si="12"/>
        <v>6</v>
      </c>
      <c r="X87" s="46">
        <f t="shared" si="11"/>
        <v>3</v>
      </c>
      <c r="Y87" s="46">
        <f t="shared" si="11"/>
        <v>16</v>
      </c>
      <c r="Z87" s="46">
        <f t="shared" si="11"/>
        <v>23</v>
      </c>
      <c r="AA87" s="46">
        <f t="shared" si="11"/>
        <v>8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1</v>
      </c>
      <c r="AK87" s="203" t="s">
        <v>269</v>
      </c>
      <c r="AL87" s="203">
        <v>0</v>
      </c>
      <c r="AM87" s="203">
        <v>1</v>
      </c>
      <c r="AN87" s="203">
        <v>1</v>
      </c>
      <c r="AO87" s="203">
        <v>1</v>
      </c>
      <c r="AP87" s="203">
        <v>1</v>
      </c>
      <c r="AQ87" s="203">
        <v>0</v>
      </c>
      <c r="AR87" s="203">
        <v>0</v>
      </c>
      <c r="AS87" s="200">
        <v>25</v>
      </c>
    </row>
    <row r="88" spans="12:45">
      <c r="L88" s="19">
        <v>84</v>
      </c>
      <c r="M88" s="47" t="s">
        <v>28</v>
      </c>
      <c r="N88" s="47" t="s">
        <v>64</v>
      </c>
      <c r="O88" s="47" t="s">
        <v>18</v>
      </c>
      <c r="P88" s="47" t="s">
        <v>27</v>
      </c>
      <c r="Q88" s="47" t="s">
        <v>21</v>
      </c>
      <c r="R88" s="47" t="s">
        <v>29</v>
      </c>
      <c r="S88" s="33" t="s">
        <v>27</v>
      </c>
      <c r="U88" s="46">
        <f t="shared" si="12"/>
        <v>11</v>
      </c>
      <c r="V88" s="46">
        <f t="shared" si="12"/>
        <v>4</v>
      </c>
      <c r="W88" s="46">
        <f t="shared" si="12"/>
        <v>3</v>
      </c>
      <c r="X88" s="46">
        <f t="shared" si="11"/>
        <v>8</v>
      </c>
      <c r="Y88" s="46">
        <f t="shared" si="11"/>
        <v>6</v>
      </c>
      <c r="Z88" s="46">
        <f t="shared" si="11"/>
        <v>23</v>
      </c>
      <c r="AA88" s="46">
        <f t="shared" si="11"/>
        <v>8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29</v>
      </c>
      <c r="N89" s="47" t="s">
        <v>24</v>
      </c>
      <c r="O89" s="47" t="s">
        <v>246</v>
      </c>
      <c r="P89" s="47" t="s">
        <v>27</v>
      </c>
      <c r="Q89" s="47" t="s">
        <v>26</v>
      </c>
      <c r="R89" s="47" t="s">
        <v>24</v>
      </c>
      <c r="S89" s="33" t="s">
        <v>27</v>
      </c>
      <c r="U89" s="46">
        <f t="shared" si="12"/>
        <v>23</v>
      </c>
      <c r="V89" s="46">
        <f t="shared" si="12"/>
        <v>19</v>
      </c>
      <c r="W89" s="46">
        <f t="shared" si="12"/>
        <v>0</v>
      </c>
      <c r="X89" s="46">
        <f t="shared" si="11"/>
        <v>8</v>
      </c>
      <c r="Y89" s="46">
        <f t="shared" si="11"/>
        <v>17</v>
      </c>
      <c r="Z89" s="46">
        <f t="shared" si="11"/>
        <v>19</v>
      </c>
      <c r="AA89" s="46">
        <f t="shared" si="11"/>
        <v>8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273</v>
      </c>
    </row>
    <row r="90" spans="12:45">
      <c r="L90" s="19">
        <v>86</v>
      </c>
      <c r="M90" s="47" t="s">
        <v>29</v>
      </c>
      <c r="N90" s="47" t="s">
        <v>29</v>
      </c>
      <c r="O90" s="47" t="s">
        <v>24</v>
      </c>
      <c r="P90" s="47" t="s">
        <v>27</v>
      </c>
      <c r="Q90" s="47" t="s">
        <v>18</v>
      </c>
      <c r="R90" s="47" t="s">
        <v>64</v>
      </c>
      <c r="S90" s="33" t="s">
        <v>29</v>
      </c>
      <c r="U90" s="46">
        <f t="shared" si="12"/>
        <v>23</v>
      </c>
      <c r="V90" s="46">
        <f t="shared" si="12"/>
        <v>23</v>
      </c>
      <c r="W90" s="46">
        <f t="shared" si="12"/>
        <v>19</v>
      </c>
      <c r="X90" s="46">
        <f t="shared" si="11"/>
        <v>8</v>
      </c>
      <c r="Y90" s="46">
        <f t="shared" si="11"/>
        <v>3</v>
      </c>
      <c r="Z90" s="46">
        <f t="shared" si="11"/>
        <v>4</v>
      </c>
      <c r="AA90" s="46">
        <f t="shared" si="11"/>
        <v>23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277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29</v>
      </c>
      <c r="N91" s="47" t="s">
        <v>29</v>
      </c>
      <c r="O91" s="47" t="s">
        <v>24</v>
      </c>
      <c r="P91" s="47" t="s">
        <v>29</v>
      </c>
      <c r="Q91" s="47" t="s">
        <v>27</v>
      </c>
      <c r="R91" s="47" t="s">
        <v>24</v>
      </c>
      <c r="S91" s="33" t="s">
        <v>64</v>
      </c>
      <c r="U91" s="46">
        <f t="shared" si="12"/>
        <v>23</v>
      </c>
      <c r="V91" s="46">
        <f t="shared" si="12"/>
        <v>23</v>
      </c>
      <c r="W91" s="46">
        <f t="shared" si="12"/>
        <v>19</v>
      </c>
      <c r="X91" s="46">
        <f t="shared" si="11"/>
        <v>23</v>
      </c>
      <c r="Y91" s="46">
        <f t="shared" si="11"/>
        <v>8</v>
      </c>
      <c r="Z91" s="46">
        <f t="shared" si="11"/>
        <v>19</v>
      </c>
      <c r="AA91" s="46">
        <f t="shared" si="11"/>
        <v>4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29</v>
      </c>
      <c r="N92" s="47" t="s">
        <v>17</v>
      </c>
      <c r="O92" s="47" t="s">
        <v>28</v>
      </c>
      <c r="P92" s="47" t="s">
        <v>29</v>
      </c>
      <c r="Q92" s="47" t="s">
        <v>27</v>
      </c>
      <c r="R92" s="47" t="s">
        <v>24</v>
      </c>
      <c r="S92" s="33" t="s">
        <v>64</v>
      </c>
      <c r="U92" s="46">
        <f t="shared" si="12"/>
        <v>23</v>
      </c>
      <c r="V92" s="46">
        <f t="shared" si="12"/>
        <v>10</v>
      </c>
      <c r="W92" s="46">
        <f t="shared" si="12"/>
        <v>11</v>
      </c>
      <c r="X92" s="46">
        <f t="shared" si="11"/>
        <v>23</v>
      </c>
      <c r="Y92" s="46">
        <f t="shared" si="11"/>
        <v>8</v>
      </c>
      <c r="Z92" s="46">
        <f t="shared" si="11"/>
        <v>19</v>
      </c>
      <c r="AA92" s="46">
        <f t="shared" si="11"/>
        <v>4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5</v>
      </c>
      <c r="AM92" s="46">
        <v>5</v>
      </c>
      <c r="AN92" s="46">
        <v>5</v>
      </c>
      <c r="AO92" s="46">
        <v>5</v>
      </c>
      <c r="AP92" s="46">
        <v>5</v>
      </c>
      <c r="AQ92" s="46">
        <v>5</v>
      </c>
      <c r="AR92" s="46">
        <v>0</v>
      </c>
      <c r="AS92" s="5">
        <v>1</v>
      </c>
    </row>
    <row r="93" spans="12:45">
      <c r="L93" s="18">
        <v>89</v>
      </c>
      <c r="M93" s="47" t="s">
        <v>28</v>
      </c>
      <c r="N93" s="47" t="s">
        <v>21</v>
      </c>
      <c r="O93" s="47" t="s">
        <v>28</v>
      </c>
      <c r="P93" s="47" t="s">
        <v>29</v>
      </c>
      <c r="Q93" s="47" t="s">
        <v>26</v>
      </c>
      <c r="R93" s="47" t="s">
        <v>24</v>
      </c>
      <c r="S93" s="33" t="s">
        <v>64</v>
      </c>
      <c r="U93" s="46">
        <f t="shared" si="12"/>
        <v>11</v>
      </c>
      <c r="V93" s="46">
        <f t="shared" si="12"/>
        <v>6</v>
      </c>
      <c r="W93" s="46">
        <f t="shared" si="12"/>
        <v>11</v>
      </c>
      <c r="X93" s="46">
        <f t="shared" si="11"/>
        <v>23</v>
      </c>
      <c r="Y93" s="46">
        <f t="shared" si="11"/>
        <v>17</v>
      </c>
      <c r="Z93" s="46">
        <f t="shared" si="11"/>
        <v>19</v>
      </c>
      <c r="AA93" s="46">
        <f t="shared" si="11"/>
        <v>4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203" t="s">
        <v>20</v>
      </c>
      <c r="AL93" s="203">
        <v>20</v>
      </c>
      <c r="AM93" s="203">
        <v>0</v>
      </c>
      <c r="AN93" s="203">
        <v>4</v>
      </c>
      <c r="AO93" s="203">
        <v>1</v>
      </c>
      <c r="AP93" s="203">
        <v>50</v>
      </c>
      <c r="AQ93" s="203">
        <v>1</v>
      </c>
      <c r="AR93" s="203">
        <v>0</v>
      </c>
      <c r="AS93" s="200">
        <v>2</v>
      </c>
    </row>
    <row r="94" spans="12:45">
      <c r="L94" s="19">
        <v>90</v>
      </c>
      <c r="M94" s="47" t="s">
        <v>24</v>
      </c>
      <c r="N94" s="47" t="s">
        <v>21</v>
      </c>
      <c r="O94" s="47" t="s">
        <v>18</v>
      </c>
      <c r="P94" s="47" t="s">
        <v>64</v>
      </c>
      <c r="Q94" s="47" t="s">
        <v>26</v>
      </c>
      <c r="R94" s="47" t="s">
        <v>27</v>
      </c>
      <c r="S94" s="33" t="s">
        <v>64</v>
      </c>
      <c r="U94" s="46">
        <f t="shared" si="12"/>
        <v>19</v>
      </c>
      <c r="V94" s="46">
        <f t="shared" si="12"/>
        <v>6</v>
      </c>
      <c r="W94" s="46">
        <f t="shared" si="12"/>
        <v>3</v>
      </c>
      <c r="X94" s="46">
        <f t="shared" si="11"/>
        <v>4</v>
      </c>
      <c r="Y94" s="46">
        <f t="shared" si="11"/>
        <v>17</v>
      </c>
      <c r="Z94" s="46">
        <f t="shared" si="11"/>
        <v>8</v>
      </c>
      <c r="AA94" s="46">
        <f t="shared" si="11"/>
        <v>4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203" t="s">
        <v>21</v>
      </c>
      <c r="AL94" s="203">
        <v>1</v>
      </c>
      <c r="AM94" s="203">
        <v>50</v>
      </c>
      <c r="AN94" s="203">
        <v>1</v>
      </c>
      <c r="AO94" s="203">
        <v>50</v>
      </c>
      <c r="AP94" s="203">
        <v>1</v>
      </c>
      <c r="AQ94" s="203">
        <v>1</v>
      </c>
      <c r="AR94" s="203">
        <v>0</v>
      </c>
      <c r="AS94" s="200">
        <v>3</v>
      </c>
    </row>
    <row r="95" spans="12:45">
      <c r="L95" s="18">
        <v>91</v>
      </c>
      <c r="M95" s="47" t="s">
        <v>28</v>
      </c>
      <c r="N95" s="47" t="s">
        <v>24</v>
      </c>
      <c r="O95" s="47" t="s">
        <v>28</v>
      </c>
      <c r="P95" s="47" t="s">
        <v>64</v>
      </c>
      <c r="Q95" s="47" t="s">
        <v>248</v>
      </c>
      <c r="R95" s="47" t="s">
        <v>27</v>
      </c>
      <c r="S95" s="33" t="s">
        <v>29</v>
      </c>
      <c r="U95" s="46">
        <f t="shared" si="12"/>
        <v>11</v>
      </c>
      <c r="V95" s="46">
        <f t="shared" si="12"/>
        <v>19</v>
      </c>
      <c r="W95" s="46">
        <f t="shared" si="12"/>
        <v>11</v>
      </c>
      <c r="X95" s="46">
        <f t="shared" si="11"/>
        <v>4</v>
      </c>
      <c r="Y95" s="46">
        <f t="shared" si="11"/>
        <v>0</v>
      </c>
      <c r="Z95" s="46">
        <f t="shared" si="11"/>
        <v>8</v>
      </c>
      <c r="AA95" s="46">
        <f t="shared" si="11"/>
        <v>23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203" t="s">
        <v>17</v>
      </c>
      <c r="AL95" s="203">
        <v>50</v>
      </c>
      <c r="AM95" s="203">
        <v>1</v>
      </c>
      <c r="AN95" s="203">
        <v>60</v>
      </c>
      <c r="AO95" s="203">
        <v>0</v>
      </c>
      <c r="AP95" s="203">
        <v>1</v>
      </c>
      <c r="AQ95" s="203">
        <v>50</v>
      </c>
      <c r="AR95" s="203">
        <v>1</v>
      </c>
      <c r="AS95" s="200">
        <v>4</v>
      </c>
    </row>
    <row r="96" spans="12:45">
      <c r="L96" s="19">
        <v>92</v>
      </c>
      <c r="M96" s="47" t="s">
        <v>64</v>
      </c>
      <c r="N96" s="47" t="s">
        <v>64</v>
      </c>
      <c r="O96" s="47" t="s">
        <v>28</v>
      </c>
      <c r="P96" s="47" t="s">
        <v>64</v>
      </c>
      <c r="Q96" s="47" t="s">
        <v>28</v>
      </c>
      <c r="R96" s="47" t="s">
        <v>64</v>
      </c>
      <c r="S96" s="33" t="s">
        <v>29</v>
      </c>
      <c r="U96" s="46">
        <f t="shared" si="12"/>
        <v>4</v>
      </c>
      <c r="V96" s="46">
        <f t="shared" si="12"/>
        <v>4</v>
      </c>
      <c r="W96" s="46">
        <f t="shared" si="12"/>
        <v>11</v>
      </c>
      <c r="X96" s="46">
        <f t="shared" si="11"/>
        <v>4</v>
      </c>
      <c r="Y96" s="46">
        <f t="shared" si="11"/>
        <v>11</v>
      </c>
      <c r="Z96" s="46">
        <f t="shared" si="11"/>
        <v>4</v>
      </c>
      <c r="AA96" s="46">
        <f t="shared" si="11"/>
        <v>23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203" t="s">
        <v>18</v>
      </c>
      <c r="AL96" s="203">
        <v>1</v>
      </c>
      <c r="AM96" s="203">
        <v>50</v>
      </c>
      <c r="AN96" s="203">
        <v>1</v>
      </c>
      <c r="AO96" s="203">
        <v>1</v>
      </c>
      <c r="AP96" s="203">
        <v>1</v>
      </c>
      <c r="AQ96" s="203">
        <v>50</v>
      </c>
      <c r="AR96" s="203">
        <v>1</v>
      </c>
      <c r="AS96" s="200">
        <v>5</v>
      </c>
    </row>
    <row r="97" spans="12:45">
      <c r="L97" s="18">
        <v>93</v>
      </c>
      <c r="M97" s="47" t="s">
        <v>24</v>
      </c>
      <c r="N97" s="47" t="s">
        <v>18</v>
      </c>
      <c r="O97" s="47" t="s">
        <v>29</v>
      </c>
      <c r="P97" s="47" t="s">
        <v>29</v>
      </c>
      <c r="Q97" s="47" t="s">
        <v>26</v>
      </c>
      <c r="R97" s="47" t="s">
        <v>64</v>
      </c>
      <c r="S97" s="33" t="s">
        <v>29</v>
      </c>
      <c r="U97" s="46">
        <f t="shared" si="12"/>
        <v>19</v>
      </c>
      <c r="V97" s="46">
        <f t="shared" si="12"/>
        <v>3</v>
      </c>
      <c r="W97" s="46">
        <f t="shared" si="12"/>
        <v>23</v>
      </c>
      <c r="X97" s="46">
        <f t="shared" si="11"/>
        <v>23</v>
      </c>
      <c r="Y97" s="46">
        <f t="shared" si="11"/>
        <v>17</v>
      </c>
      <c r="Z97" s="46">
        <f t="shared" si="11"/>
        <v>4</v>
      </c>
      <c r="AA97" s="46">
        <f t="shared" si="11"/>
        <v>23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203" t="s">
        <v>64</v>
      </c>
      <c r="AL97" s="203">
        <v>60</v>
      </c>
      <c r="AM97" s="203">
        <v>1</v>
      </c>
      <c r="AN97" s="203">
        <v>50</v>
      </c>
      <c r="AO97" s="203">
        <v>1</v>
      </c>
      <c r="AP97" s="203">
        <v>50</v>
      </c>
      <c r="AQ97" s="203">
        <v>1</v>
      </c>
      <c r="AR97" s="203">
        <v>1</v>
      </c>
      <c r="AS97" s="200">
        <v>6</v>
      </c>
    </row>
    <row r="98" spans="12:45">
      <c r="L98" s="19">
        <v>94</v>
      </c>
      <c r="M98" s="47" t="s">
        <v>26</v>
      </c>
      <c r="N98" s="47" t="s">
        <v>236</v>
      </c>
      <c r="O98" s="47" t="s">
        <v>28</v>
      </c>
      <c r="P98" s="47" t="s">
        <v>29</v>
      </c>
      <c r="Q98" s="47" t="s">
        <v>26</v>
      </c>
      <c r="R98" s="47" t="s">
        <v>64</v>
      </c>
      <c r="S98" s="33" t="s">
        <v>28</v>
      </c>
      <c r="U98" s="46">
        <f t="shared" si="12"/>
        <v>17</v>
      </c>
      <c r="V98" s="46">
        <f t="shared" si="12"/>
        <v>0</v>
      </c>
      <c r="W98" s="46">
        <f t="shared" si="12"/>
        <v>11</v>
      </c>
      <c r="X98" s="46">
        <f t="shared" si="11"/>
        <v>23</v>
      </c>
      <c r="Y98" s="46">
        <f t="shared" si="11"/>
        <v>17</v>
      </c>
      <c r="Z98" s="46">
        <f t="shared" si="11"/>
        <v>4</v>
      </c>
      <c r="AA98" s="46">
        <f t="shared" si="11"/>
        <v>11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203" t="s">
        <v>89</v>
      </c>
      <c r="AL98" s="203">
        <v>1</v>
      </c>
      <c r="AM98" s="203">
        <v>50</v>
      </c>
      <c r="AN98" s="203">
        <v>1</v>
      </c>
      <c r="AO98" s="203">
        <v>1</v>
      </c>
      <c r="AP98" s="203">
        <v>1</v>
      </c>
      <c r="AQ98" s="203">
        <v>50</v>
      </c>
      <c r="AR98" s="203">
        <v>1</v>
      </c>
      <c r="AS98" s="200">
        <v>7</v>
      </c>
    </row>
    <row r="99" spans="12:45">
      <c r="L99" s="18">
        <v>95</v>
      </c>
      <c r="M99" s="47" t="s">
        <v>26</v>
      </c>
      <c r="N99" s="47" t="s">
        <v>64</v>
      </c>
      <c r="O99" s="47" t="s">
        <v>28</v>
      </c>
      <c r="P99" s="47" t="s">
        <v>244</v>
      </c>
      <c r="Q99" s="47" t="s">
        <v>26</v>
      </c>
      <c r="R99" s="47" t="s">
        <v>29</v>
      </c>
      <c r="S99" s="33" t="s">
        <v>28</v>
      </c>
      <c r="U99" s="46">
        <f t="shared" si="12"/>
        <v>17</v>
      </c>
      <c r="V99" s="46">
        <f t="shared" si="12"/>
        <v>4</v>
      </c>
      <c r="W99" s="46">
        <f t="shared" si="12"/>
        <v>11</v>
      </c>
      <c r="X99" s="46">
        <f t="shared" si="11"/>
        <v>0</v>
      </c>
      <c r="Y99" s="46">
        <f t="shared" si="11"/>
        <v>17</v>
      </c>
      <c r="Z99" s="46">
        <f t="shared" si="11"/>
        <v>23</v>
      </c>
      <c r="AA99" s="46">
        <f t="shared" si="11"/>
        <v>11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0</v>
      </c>
      <c r="AM99" s="46">
        <v>1</v>
      </c>
      <c r="AN99" s="46">
        <v>40</v>
      </c>
      <c r="AO99" s="46">
        <v>1</v>
      </c>
      <c r="AP99" s="46">
        <v>50</v>
      </c>
      <c r="AQ99" s="46">
        <v>1</v>
      </c>
      <c r="AR99" s="46">
        <v>1</v>
      </c>
      <c r="AS99" s="5">
        <v>8</v>
      </c>
    </row>
    <row r="100" spans="12:45">
      <c r="L100" s="19">
        <v>96</v>
      </c>
      <c r="M100" s="47" t="s">
        <v>27</v>
      </c>
      <c r="N100" s="47" t="s">
        <v>64</v>
      </c>
      <c r="O100" s="47" t="s">
        <v>28</v>
      </c>
      <c r="P100" s="47" t="s">
        <v>89</v>
      </c>
      <c r="Q100" s="47" t="s">
        <v>89</v>
      </c>
      <c r="R100" s="47" t="s">
        <v>18</v>
      </c>
      <c r="S100" s="33" t="s">
        <v>28</v>
      </c>
      <c r="U100" s="46">
        <f t="shared" si="12"/>
        <v>8</v>
      </c>
      <c r="V100" s="46">
        <f t="shared" si="12"/>
        <v>4</v>
      </c>
      <c r="W100" s="46">
        <f t="shared" si="12"/>
        <v>11</v>
      </c>
      <c r="X100" s="46">
        <f t="shared" si="11"/>
        <v>16</v>
      </c>
      <c r="Y100" s="46">
        <f t="shared" si="11"/>
        <v>16</v>
      </c>
      <c r="Z100" s="46">
        <f t="shared" si="11"/>
        <v>3</v>
      </c>
      <c r="AA100" s="46">
        <f t="shared" si="11"/>
        <v>11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1</v>
      </c>
      <c r="AM100" s="46">
        <v>1</v>
      </c>
      <c r="AN100" s="46">
        <v>1</v>
      </c>
      <c r="AO100" s="46">
        <v>50</v>
      </c>
      <c r="AP100" s="46">
        <v>1</v>
      </c>
      <c r="AQ100" s="46">
        <v>50</v>
      </c>
      <c r="AR100" s="46">
        <v>1</v>
      </c>
      <c r="AS100" s="5">
        <v>9</v>
      </c>
    </row>
    <row r="101" spans="12:45">
      <c r="L101" s="18">
        <v>97</v>
      </c>
      <c r="M101" s="47" t="s">
        <v>29</v>
      </c>
      <c r="N101" s="47" t="s">
        <v>21</v>
      </c>
      <c r="O101" s="47" t="s">
        <v>24</v>
      </c>
      <c r="P101" s="47" t="s">
        <v>89</v>
      </c>
      <c r="Q101" s="47" t="s">
        <v>18</v>
      </c>
      <c r="R101" s="47" t="s">
        <v>18</v>
      </c>
      <c r="S101" s="33" t="s">
        <v>29</v>
      </c>
      <c r="U101" s="46">
        <f t="shared" si="12"/>
        <v>23</v>
      </c>
      <c r="V101" s="46">
        <f t="shared" si="12"/>
        <v>6</v>
      </c>
      <c r="W101" s="46">
        <f t="shared" si="12"/>
        <v>19</v>
      </c>
      <c r="X101" s="46">
        <f t="shared" si="11"/>
        <v>16</v>
      </c>
      <c r="Y101" s="46">
        <f t="shared" si="11"/>
        <v>3</v>
      </c>
      <c r="Z101" s="46">
        <f t="shared" si="11"/>
        <v>3</v>
      </c>
      <c r="AA101" s="46">
        <f t="shared" si="11"/>
        <v>23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20</v>
      </c>
      <c r="AM101" s="46">
        <v>1</v>
      </c>
      <c r="AN101" s="46">
        <v>15</v>
      </c>
      <c r="AO101" s="46">
        <v>1</v>
      </c>
      <c r="AP101" s="46">
        <v>1</v>
      </c>
      <c r="AQ101" s="46">
        <v>1</v>
      </c>
      <c r="AR101" s="46">
        <v>2</v>
      </c>
      <c r="AS101" s="5">
        <v>10</v>
      </c>
    </row>
    <row r="102" spans="12:45">
      <c r="L102" s="19">
        <v>98</v>
      </c>
      <c r="M102" s="47" t="s">
        <v>17</v>
      </c>
      <c r="N102" s="47" t="s">
        <v>89</v>
      </c>
      <c r="O102" s="47" t="s">
        <v>27</v>
      </c>
      <c r="P102" s="47" t="s">
        <v>27</v>
      </c>
      <c r="Q102" s="47" t="s">
        <v>28</v>
      </c>
      <c r="R102" s="47" t="s">
        <v>29</v>
      </c>
      <c r="S102" s="33" t="s">
        <v>18</v>
      </c>
      <c r="U102" s="46">
        <f t="shared" si="12"/>
        <v>10</v>
      </c>
      <c r="V102" s="46">
        <f t="shared" si="12"/>
        <v>16</v>
      </c>
      <c r="W102" s="46">
        <f t="shared" si="12"/>
        <v>8</v>
      </c>
      <c r="X102" s="46">
        <f t="shared" si="11"/>
        <v>8</v>
      </c>
      <c r="Y102" s="46">
        <f t="shared" si="11"/>
        <v>11</v>
      </c>
      <c r="Z102" s="46">
        <f t="shared" si="11"/>
        <v>23</v>
      </c>
      <c r="AA102" s="46">
        <f t="shared" si="11"/>
        <v>3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1</v>
      </c>
      <c r="AM102" s="46">
        <v>50</v>
      </c>
      <c r="AN102" s="46">
        <v>1</v>
      </c>
      <c r="AO102" s="46">
        <v>1</v>
      </c>
      <c r="AP102" s="46">
        <v>1</v>
      </c>
      <c r="AQ102" s="46">
        <v>1</v>
      </c>
      <c r="AR102" s="46">
        <v>1</v>
      </c>
      <c r="AS102" s="5">
        <v>11</v>
      </c>
    </row>
    <row r="103" spans="12:45">
      <c r="L103" s="18">
        <v>99</v>
      </c>
      <c r="M103" s="47" t="s">
        <v>28</v>
      </c>
      <c r="N103" s="47" t="s">
        <v>244</v>
      </c>
      <c r="O103" s="47" t="s">
        <v>26</v>
      </c>
      <c r="P103" s="47" t="s">
        <v>27</v>
      </c>
      <c r="Q103" s="47" t="s">
        <v>28</v>
      </c>
      <c r="R103" s="47" t="s">
        <v>29</v>
      </c>
      <c r="S103" s="33" t="s">
        <v>18</v>
      </c>
      <c r="U103" s="46">
        <f t="shared" si="12"/>
        <v>11</v>
      </c>
      <c r="V103" s="46">
        <f t="shared" si="12"/>
        <v>0</v>
      </c>
      <c r="W103" s="46">
        <f t="shared" si="12"/>
        <v>17</v>
      </c>
      <c r="X103" s="46">
        <f t="shared" si="11"/>
        <v>8</v>
      </c>
      <c r="Y103" s="46">
        <f t="shared" si="11"/>
        <v>11</v>
      </c>
      <c r="Z103" s="46">
        <f t="shared" si="11"/>
        <v>23</v>
      </c>
      <c r="AA103" s="46">
        <f t="shared" si="11"/>
        <v>3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50</v>
      </c>
      <c r="AM103" s="46">
        <v>1</v>
      </c>
      <c r="AN103" s="46">
        <v>1</v>
      </c>
      <c r="AO103" s="46">
        <v>1</v>
      </c>
      <c r="AP103" s="46">
        <v>1</v>
      </c>
      <c r="AQ103" s="46">
        <v>1</v>
      </c>
      <c r="AR103" s="46">
        <v>1</v>
      </c>
      <c r="AS103" s="5">
        <v>12</v>
      </c>
    </row>
    <row r="104" spans="12:45">
      <c r="L104" s="19">
        <v>100</v>
      </c>
      <c r="M104" s="47" t="s">
        <v>89</v>
      </c>
      <c r="N104" s="47" t="s">
        <v>64</v>
      </c>
      <c r="O104" s="47" t="s">
        <v>26</v>
      </c>
      <c r="P104" s="47" t="s">
        <v>250</v>
      </c>
      <c r="Q104" s="47" t="s">
        <v>18</v>
      </c>
      <c r="R104" s="47" t="s">
        <v>64</v>
      </c>
      <c r="S104" s="33" t="s">
        <v>18</v>
      </c>
      <c r="U104" s="46">
        <f t="shared" si="12"/>
        <v>16</v>
      </c>
      <c r="V104" s="46">
        <f t="shared" si="12"/>
        <v>4</v>
      </c>
      <c r="W104" s="46">
        <f t="shared" si="12"/>
        <v>17</v>
      </c>
      <c r="X104" s="46">
        <f t="shared" si="11"/>
        <v>0</v>
      </c>
      <c r="Y104" s="46">
        <f t="shared" si="11"/>
        <v>3</v>
      </c>
      <c r="Z104" s="46">
        <f t="shared" si="11"/>
        <v>4</v>
      </c>
      <c r="AA104" s="46">
        <f t="shared" si="11"/>
        <v>3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203" t="s">
        <v>234</v>
      </c>
      <c r="AL104" s="203">
        <v>0</v>
      </c>
      <c r="AM104" s="203">
        <v>2</v>
      </c>
      <c r="AN104" s="203">
        <v>2</v>
      </c>
      <c r="AO104" s="203">
        <v>1</v>
      </c>
      <c r="AP104" s="203">
        <v>2</v>
      </c>
      <c r="AQ104" s="203">
        <v>0</v>
      </c>
      <c r="AR104" s="203">
        <v>0</v>
      </c>
      <c r="AS104" s="200">
        <v>13</v>
      </c>
    </row>
    <row r="105" spans="12:45">
      <c r="L105" s="18">
        <v>101</v>
      </c>
      <c r="M105" s="47" t="s">
        <v>89</v>
      </c>
      <c r="N105" s="47" t="s">
        <v>69</v>
      </c>
      <c r="O105" s="47" t="s">
        <v>28</v>
      </c>
      <c r="P105" s="47" t="s">
        <v>64</v>
      </c>
      <c r="Q105" s="47" t="s">
        <v>252</v>
      </c>
      <c r="R105" s="47" t="s">
        <v>64</v>
      </c>
      <c r="S105" s="33" t="s">
        <v>28</v>
      </c>
      <c r="U105" s="46">
        <f t="shared" si="12"/>
        <v>16</v>
      </c>
      <c r="V105" s="46">
        <f t="shared" si="12"/>
        <v>0</v>
      </c>
      <c r="W105" s="46">
        <f t="shared" si="12"/>
        <v>11</v>
      </c>
      <c r="X105" s="46">
        <f t="shared" si="11"/>
        <v>4</v>
      </c>
      <c r="Y105" s="46">
        <f t="shared" si="11"/>
        <v>0</v>
      </c>
      <c r="Z105" s="46">
        <f t="shared" si="11"/>
        <v>4</v>
      </c>
      <c r="AA105" s="46">
        <f t="shared" si="11"/>
        <v>11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203" t="s">
        <v>236</v>
      </c>
      <c r="AL105" s="203">
        <v>0</v>
      </c>
      <c r="AM105" s="203">
        <v>1</v>
      </c>
      <c r="AN105" s="203">
        <v>1</v>
      </c>
      <c r="AO105" s="203">
        <v>2</v>
      </c>
      <c r="AP105" s="203">
        <v>1</v>
      </c>
      <c r="AQ105" s="203">
        <v>0</v>
      </c>
      <c r="AR105" s="203">
        <v>0</v>
      </c>
      <c r="AS105" s="200">
        <v>14</v>
      </c>
    </row>
    <row r="106" spans="12:45">
      <c r="L106" s="19">
        <v>102</v>
      </c>
      <c r="M106" s="47" t="s">
        <v>26</v>
      </c>
      <c r="N106" s="47" t="s">
        <v>268</v>
      </c>
      <c r="O106" s="47" t="s">
        <v>28</v>
      </c>
      <c r="P106" s="47" t="s">
        <v>24</v>
      </c>
      <c r="Q106" s="47" t="s">
        <v>28</v>
      </c>
      <c r="R106" s="47" t="s">
        <v>27</v>
      </c>
      <c r="S106" s="33" t="s">
        <v>28</v>
      </c>
      <c r="U106" s="46">
        <f t="shared" si="12"/>
        <v>17</v>
      </c>
      <c r="V106" s="46">
        <f t="shared" si="12"/>
        <v>0</v>
      </c>
      <c r="W106" s="46">
        <f t="shared" si="12"/>
        <v>11</v>
      </c>
      <c r="X106" s="46">
        <f t="shared" si="11"/>
        <v>19</v>
      </c>
      <c r="Y106" s="46">
        <f t="shared" si="11"/>
        <v>11</v>
      </c>
      <c r="Z106" s="46">
        <f t="shared" si="11"/>
        <v>8</v>
      </c>
      <c r="AA106" s="46">
        <f t="shared" si="11"/>
        <v>11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203" t="s">
        <v>238</v>
      </c>
      <c r="AL106" s="203">
        <v>0</v>
      </c>
      <c r="AM106" s="203">
        <v>2</v>
      </c>
      <c r="AN106" s="203">
        <v>2</v>
      </c>
      <c r="AO106" s="203">
        <v>1</v>
      </c>
      <c r="AP106" s="203">
        <v>1</v>
      </c>
      <c r="AQ106" s="203">
        <v>0</v>
      </c>
      <c r="AR106" s="203">
        <v>0</v>
      </c>
      <c r="AS106" s="200">
        <v>15</v>
      </c>
    </row>
    <row r="107" spans="12:45">
      <c r="L107" s="18">
        <v>103</v>
      </c>
      <c r="M107" s="47" t="s">
        <v>27</v>
      </c>
      <c r="N107" s="47" t="s">
        <v>64</v>
      </c>
      <c r="O107" s="47" t="s">
        <v>29</v>
      </c>
      <c r="P107" s="47" t="s">
        <v>27</v>
      </c>
      <c r="Q107" s="47" t="s">
        <v>28</v>
      </c>
      <c r="R107" s="47" t="s">
        <v>27</v>
      </c>
      <c r="S107" s="33" t="s">
        <v>21</v>
      </c>
      <c r="U107" s="46">
        <f t="shared" si="12"/>
        <v>8</v>
      </c>
      <c r="V107" s="46">
        <f t="shared" si="12"/>
        <v>4</v>
      </c>
      <c r="W107" s="46">
        <f t="shared" si="12"/>
        <v>23</v>
      </c>
      <c r="X107" s="46">
        <f t="shared" si="11"/>
        <v>8</v>
      </c>
      <c r="Y107" s="46">
        <f t="shared" si="11"/>
        <v>11</v>
      </c>
      <c r="Z107" s="46">
        <f t="shared" si="11"/>
        <v>8</v>
      </c>
      <c r="AA107" s="46">
        <f t="shared" si="11"/>
        <v>6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203" t="s">
        <v>240</v>
      </c>
      <c r="AL107" s="203">
        <v>0</v>
      </c>
      <c r="AM107" s="203">
        <v>1</v>
      </c>
      <c r="AN107" s="203">
        <v>1</v>
      </c>
      <c r="AO107" s="203">
        <v>1</v>
      </c>
      <c r="AP107" s="203">
        <v>1</v>
      </c>
      <c r="AQ107" s="203">
        <v>0</v>
      </c>
      <c r="AR107" s="203">
        <v>0</v>
      </c>
      <c r="AS107" s="200">
        <v>16</v>
      </c>
    </row>
    <row r="108" spans="12:45">
      <c r="L108" s="19">
        <v>104</v>
      </c>
      <c r="M108" s="47" t="s">
        <v>26</v>
      </c>
      <c r="N108" s="47" t="s">
        <v>64</v>
      </c>
      <c r="O108" s="47" t="s">
        <v>21</v>
      </c>
      <c r="P108" s="47" t="s">
        <v>27</v>
      </c>
      <c r="Q108" s="47" t="s">
        <v>89</v>
      </c>
      <c r="R108" s="47" t="s">
        <v>29</v>
      </c>
      <c r="S108" s="33" t="s">
        <v>21</v>
      </c>
      <c r="U108" s="46">
        <f t="shared" si="12"/>
        <v>17</v>
      </c>
      <c r="V108" s="46">
        <f t="shared" si="12"/>
        <v>4</v>
      </c>
      <c r="W108" s="46">
        <f t="shared" si="12"/>
        <v>6</v>
      </c>
      <c r="X108" s="46">
        <f t="shared" si="11"/>
        <v>8</v>
      </c>
      <c r="Y108" s="46">
        <f t="shared" si="11"/>
        <v>16</v>
      </c>
      <c r="Z108" s="46">
        <f t="shared" si="11"/>
        <v>23</v>
      </c>
      <c r="AA108" s="46">
        <f t="shared" si="11"/>
        <v>6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203" t="s">
        <v>242</v>
      </c>
      <c r="AL108" s="203">
        <v>0</v>
      </c>
      <c r="AM108" s="203">
        <v>2</v>
      </c>
      <c r="AN108" s="203">
        <v>2</v>
      </c>
      <c r="AO108" s="203">
        <v>1</v>
      </c>
      <c r="AP108" s="203">
        <v>2</v>
      </c>
      <c r="AQ108" s="203">
        <v>0</v>
      </c>
      <c r="AR108" s="203">
        <v>0</v>
      </c>
      <c r="AS108" s="200">
        <v>17</v>
      </c>
    </row>
    <row r="109" spans="12:45">
      <c r="L109" s="18">
        <v>105</v>
      </c>
      <c r="M109" s="47" t="s">
        <v>29</v>
      </c>
      <c r="N109" s="47" t="s">
        <v>29</v>
      </c>
      <c r="O109" s="47" t="s">
        <v>21</v>
      </c>
      <c r="P109" s="47" t="s">
        <v>17</v>
      </c>
      <c r="Q109" s="47" t="s">
        <v>28</v>
      </c>
      <c r="R109" s="47" t="s">
        <v>29</v>
      </c>
      <c r="S109" s="33" t="s">
        <v>29</v>
      </c>
      <c r="U109" s="46">
        <f t="shared" si="12"/>
        <v>23</v>
      </c>
      <c r="V109" s="46">
        <f t="shared" si="12"/>
        <v>23</v>
      </c>
      <c r="W109" s="46">
        <f t="shared" si="12"/>
        <v>6</v>
      </c>
      <c r="X109" s="46">
        <f t="shared" si="11"/>
        <v>10</v>
      </c>
      <c r="Y109" s="46">
        <f t="shared" si="11"/>
        <v>11</v>
      </c>
      <c r="Z109" s="46">
        <f t="shared" si="11"/>
        <v>23</v>
      </c>
      <c r="AA109" s="46">
        <f t="shared" si="11"/>
        <v>23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203" t="s">
        <v>244</v>
      </c>
      <c r="AL109" s="203">
        <v>0</v>
      </c>
      <c r="AM109" s="203">
        <v>2</v>
      </c>
      <c r="AN109" s="203">
        <v>2</v>
      </c>
      <c r="AO109" s="203">
        <v>1</v>
      </c>
      <c r="AP109" s="203">
        <v>2</v>
      </c>
      <c r="AQ109" s="203">
        <v>0</v>
      </c>
      <c r="AR109" s="203">
        <v>0</v>
      </c>
      <c r="AS109" s="200">
        <v>18</v>
      </c>
    </row>
    <row r="110" spans="12:45">
      <c r="L110" s="19">
        <v>106</v>
      </c>
      <c r="M110" s="47" t="s">
        <v>29</v>
      </c>
      <c r="N110" s="47" t="s">
        <v>27</v>
      </c>
      <c r="O110" s="47" t="s">
        <v>28</v>
      </c>
      <c r="P110" s="47" t="s">
        <v>64</v>
      </c>
      <c r="Q110" s="47" t="s">
        <v>29</v>
      </c>
      <c r="R110" s="47" t="s">
        <v>24</v>
      </c>
      <c r="S110" s="33" t="s">
        <v>29</v>
      </c>
      <c r="U110" s="46">
        <f t="shared" si="12"/>
        <v>23</v>
      </c>
      <c r="V110" s="46">
        <f t="shared" si="12"/>
        <v>8</v>
      </c>
      <c r="W110" s="46">
        <f t="shared" si="12"/>
        <v>11</v>
      </c>
      <c r="X110" s="46">
        <f t="shared" si="11"/>
        <v>4</v>
      </c>
      <c r="Y110" s="46">
        <f t="shared" si="11"/>
        <v>23</v>
      </c>
      <c r="Z110" s="46">
        <f t="shared" si="11"/>
        <v>19</v>
      </c>
      <c r="AA110" s="46">
        <f t="shared" si="11"/>
        <v>23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246</v>
      </c>
      <c r="AL110" s="46">
        <v>0</v>
      </c>
      <c r="AM110" s="46">
        <v>2</v>
      </c>
      <c r="AN110" s="46">
        <v>1</v>
      </c>
      <c r="AO110" s="46">
        <v>1</v>
      </c>
      <c r="AP110" s="46">
        <v>2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17</v>
      </c>
      <c r="N111" s="47" t="s">
        <v>27</v>
      </c>
      <c r="O111" s="47" t="s">
        <v>28</v>
      </c>
      <c r="P111" s="47" t="s">
        <v>28</v>
      </c>
      <c r="Q111" s="47" t="s">
        <v>18</v>
      </c>
      <c r="R111" s="47" t="s">
        <v>24</v>
      </c>
      <c r="S111" s="33" t="s">
        <v>29</v>
      </c>
      <c r="U111" s="46">
        <f t="shared" si="12"/>
        <v>10</v>
      </c>
      <c r="V111" s="46">
        <f t="shared" si="12"/>
        <v>8</v>
      </c>
      <c r="W111" s="46">
        <f t="shared" si="12"/>
        <v>11</v>
      </c>
      <c r="X111" s="46">
        <f t="shared" si="11"/>
        <v>11</v>
      </c>
      <c r="Y111" s="46">
        <f t="shared" si="11"/>
        <v>3</v>
      </c>
      <c r="Z111" s="46">
        <f t="shared" si="11"/>
        <v>19</v>
      </c>
      <c r="AA111" s="46">
        <f t="shared" si="11"/>
        <v>23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248</v>
      </c>
      <c r="AL111" s="46">
        <v>0</v>
      </c>
      <c r="AM111" s="46">
        <v>2</v>
      </c>
      <c r="AN111" s="46">
        <v>1</v>
      </c>
      <c r="AO111" s="46">
        <v>2</v>
      </c>
      <c r="AP111" s="46">
        <v>1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27</v>
      </c>
      <c r="N112" s="47" t="s">
        <v>21</v>
      </c>
      <c r="O112" s="47" t="s">
        <v>28</v>
      </c>
      <c r="P112" s="47" t="s">
        <v>29</v>
      </c>
      <c r="Q112" s="47" t="s">
        <v>244</v>
      </c>
      <c r="R112" s="47" t="s">
        <v>29</v>
      </c>
      <c r="S112" s="33" t="s">
        <v>28</v>
      </c>
      <c r="U112" s="46">
        <f t="shared" si="12"/>
        <v>8</v>
      </c>
      <c r="V112" s="46">
        <f t="shared" si="12"/>
        <v>6</v>
      </c>
      <c r="W112" s="46">
        <f t="shared" si="12"/>
        <v>11</v>
      </c>
      <c r="X112" s="46">
        <f t="shared" si="11"/>
        <v>23</v>
      </c>
      <c r="Y112" s="46">
        <f t="shared" si="11"/>
        <v>0</v>
      </c>
      <c r="Z112" s="46">
        <f t="shared" si="11"/>
        <v>23</v>
      </c>
      <c r="AA112" s="46">
        <f t="shared" si="11"/>
        <v>11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250</v>
      </c>
      <c r="AL112" s="46">
        <v>0</v>
      </c>
      <c r="AM112" s="46">
        <v>2</v>
      </c>
      <c r="AN112" s="46">
        <v>2</v>
      </c>
      <c r="AO112" s="46">
        <v>1</v>
      </c>
      <c r="AP112" s="46">
        <v>1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27</v>
      </c>
      <c r="N113" s="47" t="s">
        <v>24</v>
      </c>
      <c r="O113" s="47" t="s">
        <v>24</v>
      </c>
      <c r="P113" s="47" t="s">
        <v>64</v>
      </c>
      <c r="Q113" s="47" t="s">
        <v>89</v>
      </c>
      <c r="R113" s="47" t="s">
        <v>29</v>
      </c>
      <c r="S113" s="47" t="s">
        <v>28</v>
      </c>
      <c r="U113" s="46">
        <f t="shared" si="12"/>
        <v>8</v>
      </c>
      <c r="V113" s="46">
        <f t="shared" si="12"/>
        <v>19</v>
      </c>
      <c r="W113" s="46">
        <f t="shared" si="12"/>
        <v>19</v>
      </c>
      <c r="X113" s="46">
        <f t="shared" si="11"/>
        <v>4</v>
      </c>
      <c r="Y113" s="46">
        <f t="shared" si="11"/>
        <v>16</v>
      </c>
      <c r="Z113" s="46">
        <f t="shared" si="11"/>
        <v>23</v>
      </c>
      <c r="AA113" s="46">
        <f t="shared" si="11"/>
        <v>11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252</v>
      </c>
      <c r="AL113" s="46">
        <v>0</v>
      </c>
      <c r="AM113" s="46">
        <v>1</v>
      </c>
      <c r="AN113" s="46">
        <v>1</v>
      </c>
      <c r="AO113" s="46">
        <v>1</v>
      </c>
      <c r="AP113" s="46">
        <v>1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28</v>
      </c>
      <c r="N114" s="47" t="s">
        <v>64</v>
      </c>
      <c r="O114" s="47" t="s">
        <v>24</v>
      </c>
      <c r="P114" s="47" t="s">
        <v>64</v>
      </c>
      <c r="Q114" s="47" t="s">
        <v>28</v>
      </c>
      <c r="R114" s="47" t="s">
        <v>27</v>
      </c>
      <c r="S114" s="33" t="s">
        <v>28</v>
      </c>
      <c r="U114" s="46">
        <f t="shared" si="12"/>
        <v>11</v>
      </c>
      <c r="V114" s="46">
        <f t="shared" si="12"/>
        <v>4</v>
      </c>
      <c r="W114" s="46">
        <f t="shared" si="12"/>
        <v>19</v>
      </c>
      <c r="X114" s="46">
        <f t="shared" si="11"/>
        <v>4</v>
      </c>
      <c r="Y114" s="46">
        <f t="shared" si="11"/>
        <v>11</v>
      </c>
      <c r="Z114" s="46">
        <f t="shared" si="11"/>
        <v>8</v>
      </c>
      <c r="AA114" s="46">
        <f t="shared" si="11"/>
        <v>11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254</v>
      </c>
      <c r="AL114" s="46">
        <v>0</v>
      </c>
      <c r="AM114" s="46">
        <v>2</v>
      </c>
      <c r="AN114" s="46">
        <v>1</v>
      </c>
      <c r="AO114" s="46">
        <v>1</v>
      </c>
      <c r="AP114" s="46">
        <v>1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89</v>
      </c>
      <c r="N115" s="47" t="s">
        <v>27</v>
      </c>
      <c r="O115" s="47" t="s">
        <v>252</v>
      </c>
      <c r="P115" s="47" t="s">
        <v>26</v>
      </c>
      <c r="Q115" s="47" t="s">
        <v>89</v>
      </c>
      <c r="R115" s="47" t="s">
        <v>24</v>
      </c>
      <c r="S115" s="33" t="s">
        <v>21</v>
      </c>
      <c r="U115" s="46">
        <f t="shared" si="12"/>
        <v>16</v>
      </c>
      <c r="V115" s="46">
        <f t="shared" si="12"/>
        <v>8</v>
      </c>
      <c r="W115" s="46">
        <f t="shared" si="12"/>
        <v>0</v>
      </c>
      <c r="X115" s="46">
        <f t="shared" si="11"/>
        <v>17</v>
      </c>
      <c r="Y115" s="46">
        <f t="shared" si="11"/>
        <v>16</v>
      </c>
      <c r="Z115" s="46">
        <f t="shared" si="11"/>
        <v>19</v>
      </c>
      <c r="AA115" s="46">
        <f t="shared" si="11"/>
        <v>6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203" t="s">
        <v>101</v>
      </c>
      <c r="AL115" s="203">
        <v>0</v>
      </c>
      <c r="AM115" s="203">
        <v>10</v>
      </c>
      <c r="AN115" s="203">
        <v>10</v>
      </c>
      <c r="AO115" s="203">
        <v>10</v>
      </c>
      <c r="AP115" s="203">
        <v>10</v>
      </c>
      <c r="AQ115" s="203">
        <v>0</v>
      </c>
      <c r="AR115" s="203">
        <v>0</v>
      </c>
      <c r="AS115" s="200">
        <v>24</v>
      </c>
    </row>
    <row r="116" spans="12:46">
      <c r="L116" s="19">
        <v>112</v>
      </c>
      <c r="M116" s="47" t="s">
        <v>29</v>
      </c>
      <c r="N116" s="47" t="s">
        <v>27</v>
      </c>
      <c r="O116" s="47" t="s">
        <v>28</v>
      </c>
      <c r="P116" s="47" t="s">
        <v>254</v>
      </c>
      <c r="Q116" s="47" t="s">
        <v>89</v>
      </c>
      <c r="R116" s="47" t="s">
        <v>27</v>
      </c>
      <c r="S116" s="33" t="s">
        <v>21</v>
      </c>
      <c r="U116" s="46">
        <f t="shared" si="12"/>
        <v>23</v>
      </c>
      <c r="V116" s="46">
        <f t="shared" si="12"/>
        <v>8</v>
      </c>
      <c r="W116" s="46">
        <f t="shared" si="12"/>
        <v>11</v>
      </c>
      <c r="X116" s="46">
        <f t="shared" si="11"/>
        <v>0</v>
      </c>
      <c r="Y116" s="46">
        <f t="shared" si="11"/>
        <v>16</v>
      </c>
      <c r="Z116" s="46">
        <f t="shared" si="11"/>
        <v>8</v>
      </c>
      <c r="AA116" s="46">
        <f t="shared" si="11"/>
        <v>6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203" t="s">
        <v>269</v>
      </c>
      <c r="AL116" s="203">
        <v>0</v>
      </c>
      <c r="AM116" s="203">
        <v>1</v>
      </c>
      <c r="AN116" s="203">
        <v>1</v>
      </c>
      <c r="AO116" s="203">
        <v>1</v>
      </c>
      <c r="AP116" s="203">
        <v>1</v>
      </c>
      <c r="AQ116" s="203">
        <v>0</v>
      </c>
      <c r="AR116" s="203">
        <v>0</v>
      </c>
      <c r="AS116" s="200">
        <v>25</v>
      </c>
    </row>
    <row r="117" spans="12:46">
      <c r="L117" s="18">
        <v>113</v>
      </c>
      <c r="M117" s="47" t="s">
        <v>29</v>
      </c>
      <c r="N117" s="47" t="s">
        <v>21</v>
      </c>
      <c r="O117" s="47" t="s">
        <v>24</v>
      </c>
      <c r="P117" s="47" t="s">
        <v>28</v>
      </c>
      <c r="Q117" s="47" t="s">
        <v>89</v>
      </c>
      <c r="R117" s="47" t="s">
        <v>27</v>
      </c>
      <c r="S117" s="33" t="s">
        <v>27</v>
      </c>
      <c r="U117" s="46">
        <f t="shared" si="12"/>
        <v>23</v>
      </c>
      <c r="V117" s="46">
        <f t="shared" si="12"/>
        <v>6</v>
      </c>
      <c r="W117" s="46">
        <f t="shared" si="12"/>
        <v>19</v>
      </c>
      <c r="X117" s="46">
        <f t="shared" si="11"/>
        <v>11</v>
      </c>
      <c r="Y117" s="46">
        <f t="shared" si="11"/>
        <v>16</v>
      </c>
      <c r="Z117" s="46">
        <f t="shared" si="11"/>
        <v>8</v>
      </c>
      <c r="AA117" s="46">
        <f t="shared" si="11"/>
        <v>8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27</v>
      </c>
      <c r="N118" s="47" t="s">
        <v>21</v>
      </c>
      <c r="O118" s="47" t="s">
        <v>26</v>
      </c>
      <c r="P118" s="47" t="s">
        <v>26</v>
      </c>
      <c r="Q118" s="47" t="s">
        <v>18</v>
      </c>
      <c r="R118" s="47" t="s">
        <v>24</v>
      </c>
      <c r="S118" s="33" t="s">
        <v>27</v>
      </c>
      <c r="U118" s="46">
        <f t="shared" si="12"/>
        <v>8</v>
      </c>
      <c r="V118" s="46">
        <f t="shared" si="12"/>
        <v>6</v>
      </c>
      <c r="W118" s="46">
        <f t="shared" si="12"/>
        <v>17</v>
      </c>
      <c r="X118" s="46">
        <f t="shared" si="11"/>
        <v>17</v>
      </c>
      <c r="Y118" s="46">
        <f t="shared" si="11"/>
        <v>3</v>
      </c>
      <c r="Z118" s="46">
        <f t="shared" si="11"/>
        <v>19</v>
      </c>
      <c r="AA118" s="46">
        <f t="shared" si="11"/>
        <v>8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274</v>
      </c>
    </row>
    <row r="119" spans="12:46">
      <c r="L119" s="18">
        <v>115</v>
      </c>
      <c r="M119" s="47" t="s">
        <v>29</v>
      </c>
      <c r="N119" s="47" t="s">
        <v>89</v>
      </c>
      <c r="O119" s="47" t="s">
        <v>18</v>
      </c>
      <c r="P119" s="47" t="s">
        <v>242</v>
      </c>
      <c r="Q119" s="47" t="s">
        <v>236</v>
      </c>
      <c r="R119" s="47" t="s">
        <v>24</v>
      </c>
      <c r="S119" s="33" t="s">
        <v>29</v>
      </c>
      <c r="U119" s="46">
        <f t="shared" si="12"/>
        <v>23</v>
      </c>
      <c r="V119" s="46">
        <f t="shared" si="12"/>
        <v>16</v>
      </c>
      <c r="W119" s="46">
        <f t="shared" si="12"/>
        <v>3</v>
      </c>
      <c r="X119" s="46">
        <f t="shared" si="11"/>
        <v>0</v>
      </c>
      <c r="Y119" s="46">
        <f t="shared" si="11"/>
        <v>0</v>
      </c>
      <c r="Z119" s="46">
        <f t="shared" si="11"/>
        <v>19</v>
      </c>
      <c r="AA119" s="46">
        <f t="shared" ref="AA119:AA124" si="13">VLOOKUP(S119, $A$4:$J$29, 9, 0)</f>
        <v>23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277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29</v>
      </c>
      <c r="N120" s="47" t="s">
        <v>29</v>
      </c>
      <c r="O120" s="47" t="s">
        <v>24</v>
      </c>
      <c r="P120" s="47" t="s">
        <v>64</v>
      </c>
      <c r="Q120" s="47" t="s">
        <v>21</v>
      </c>
      <c r="R120" s="47" t="s">
        <v>27</v>
      </c>
      <c r="S120" s="33" t="s">
        <v>29</v>
      </c>
      <c r="U120" s="46">
        <f t="shared" si="12"/>
        <v>23</v>
      </c>
      <c r="V120" s="46">
        <f t="shared" si="12"/>
        <v>23</v>
      </c>
      <c r="W120" s="46">
        <f t="shared" si="12"/>
        <v>19</v>
      </c>
      <c r="X120" s="46">
        <f t="shared" si="12"/>
        <v>4</v>
      </c>
      <c r="Y120" s="46">
        <f t="shared" si="12"/>
        <v>6</v>
      </c>
      <c r="Z120" s="46">
        <f t="shared" si="12"/>
        <v>8</v>
      </c>
      <c r="AA120" s="46">
        <f t="shared" si="13"/>
        <v>23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64</v>
      </c>
      <c r="N121" s="47" t="s">
        <v>29</v>
      </c>
      <c r="O121" s="47" t="s">
        <v>24</v>
      </c>
      <c r="P121" s="47" t="s">
        <v>27</v>
      </c>
      <c r="Q121" s="47" t="s">
        <v>21</v>
      </c>
      <c r="R121" s="47" t="s">
        <v>27</v>
      </c>
      <c r="S121" s="33" t="s">
        <v>29</v>
      </c>
      <c r="U121" s="46">
        <f t="shared" ref="U121:Z124" si="14">VLOOKUP(M121, $A$4:$J$29, 9, 0)</f>
        <v>4</v>
      </c>
      <c r="V121" s="46">
        <f t="shared" si="14"/>
        <v>23</v>
      </c>
      <c r="W121" s="46">
        <f t="shared" si="14"/>
        <v>19</v>
      </c>
      <c r="X121" s="46">
        <f t="shared" si="14"/>
        <v>8</v>
      </c>
      <c r="Y121" s="46">
        <f t="shared" si="14"/>
        <v>6</v>
      </c>
      <c r="Z121" s="46">
        <f t="shared" si="14"/>
        <v>8</v>
      </c>
      <c r="AA121" s="46">
        <f t="shared" si="13"/>
        <v>23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5</v>
      </c>
      <c r="AM121" s="46">
        <v>5</v>
      </c>
      <c r="AN121" s="46">
        <v>5</v>
      </c>
      <c r="AO121" s="46">
        <v>5</v>
      </c>
      <c r="AP121" s="46">
        <v>5</v>
      </c>
      <c r="AQ121" s="46">
        <v>5</v>
      </c>
      <c r="AR121" s="46">
        <v>0</v>
      </c>
      <c r="AS121" s="5">
        <v>1</v>
      </c>
    </row>
    <row r="122" spans="12:46">
      <c r="L122" s="19">
        <v>118</v>
      </c>
      <c r="M122" s="47" t="s">
        <v>29</v>
      </c>
      <c r="N122" s="47" t="s">
        <v>250</v>
      </c>
      <c r="O122" s="47" t="s">
        <v>28</v>
      </c>
      <c r="P122" s="47" t="s">
        <v>27</v>
      </c>
      <c r="Q122" s="47" t="s">
        <v>89</v>
      </c>
      <c r="R122" s="47" t="s">
        <v>27</v>
      </c>
      <c r="S122" s="33" t="s">
        <v>26</v>
      </c>
      <c r="U122" s="46">
        <f t="shared" si="14"/>
        <v>23</v>
      </c>
      <c r="V122" s="46">
        <f t="shared" si="14"/>
        <v>0</v>
      </c>
      <c r="W122" s="46">
        <f t="shared" si="14"/>
        <v>11</v>
      </c>
      <c r="X122" s="46">
        <f t="shared" si="14"/>
        <v>8</v>
      </c>
      <c r="Y122" s="46">
        <f t="shared" si="14"/>
        <v>16</v>
      </c>
      <c r="Z122" s="46">
        <f t="shared" si="14"/>
        <v>8</v>
      </c>
      <c r="AA122" s="46">
        <f t="shared" si="13"/>
        <v>17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203" t="s">
        <v>20</v>
      </c>
      <c r="AL122" s="203">
        <v>40</v>
      </c>
      <c r="AM122" s="203">
        <v>0</v>
      </c>
      <c r="AN122" s="203">
        <v>1</v>
      </c>
      <c r="AO122" s="203">
        <v>1</v>
      </c>
      <c r="AP122" s="203">
        <v>70</v>
      </c>
      <c r="AQ122" s="203">
        <v>1</v>
      </c>
      <c r="AR122" s="203">
        <v>0</v>
      </c>
      <c r="AS122" s="200">
        <v>2</v>
      </c>
    </row>
    <row r="123" spans="12:46">
      <c r="L123" s="18">
        <v>119</v>
      </c>
      <c r="M123" s="47" t="s">
        <v>26</v>
      </c>
      <c r="N123" s="47" t="s">
        <v>27</v>
      </c>
      <c r="O123" s="47" t="s">
        <v>26</v>
      </c>
      <c r="P123" s="47" t="s">
        <v>64</v>
      </c>
      <c r="Q123" s="47" t="s">
        <v>21</v>
      </c>
      <c r="R123" s="47" t="s">
        <v>24</v>
      </c>
      <c r="S123" s="33" t="s">
        <v>26</v>
      </c>
      <c r="U123" s="46">
        <f t="shared" si="14"/>
        <v>17</v>
      </c>
      <c r="V123" s="46">
        <f t="shared" si="14"/>
        <v>8</v>
      </c>
      <c r="W123" s="46">
        <f t="shared" si="14"/>
        <v>17</v>
      </c>
      <c r="X123" s="46">
        <f t="shared" si="14"/>
        <v>4</v>
      </c>
      <c r="Y123" s="46">
        <f t="shared" si="14"/>
        <v>6</v>
      </c>
      <c r="Z123" s="46">
        <f t="shared" si="14"/>
        <v>19</v>
      </c>
      <c r="AA123" s="46">
        <f t="shared" si="13"/>
        <v>17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203" t="s">
        <v>21</v>
      </c>
      <c r="AL123" s="203">
        <v>1</v>
      </c>
      <c r="AM123" s="203">
        <v>70</v>
      </c>
      <c r="AN123" s="203">
        <v>1</v>
      </c>
      <c r="AO123" s="203">
        <v>70</v>
      </c>
      <c r="AP123" s="203">
        <v>1</v>
      </c>
      <c r="AQ123" s="203">
        <v>1</v>
      </c>
      <c r="AR123" s="203">
        <v>0</v>
      </c>
      <c r="AS123" s="200">
        <v>3</v>
      </c>
    </row>
    <row r="124" spans="12:46">
      <c r="L124" s="19">
        <v>120</v>
      </c>
      <c r="M124" s="47" t="s">
        <v>26</v>
      </c>
      <c r="N124" s="47" t="s">
        <v>29</v>
      </c>
      <c r="O124" s="47" t="s">
        <v>24</v>
      </c>
      <c r="P124" s="47" t="s">
        <v>64</v>
      </c>
      <c r="Q124" s="47" t="s">
        <v>89</v>
      </c>
      <c r="R124" s="47" t="s">
        <v>27</v>
      </c>
      <c r="S124" s="33" t="s">
        <v>26</v>
      </c>
      <c r="U124" s="46">
        <f t="shared" si="14"/>
        <v>17</v>
      </c>
      <c r="V124" s="46">
        <f t="shared" si="14"/>
        <v>23</v>
      </c>
      <c r="W124" s="46">
        <f t="shared" si="14"/>
        <v>19</v>
      </c>
      <c r="X124" s="46">
        <f t="shared" si="14"/>
        <v>4</v>
      </c>
      <c r="Y124" s="46">
        <f t="shared" si="14"/>
        <v>16</v>
      </c>
      <c r="Z124" s="46">
        <f t="shared" si="14"/>
        <v>8</v>
      </c>
      <c r="AA124" s="46">
        <f t="shared" si="13"/>
        <v>17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203" t="s">
        <v>17</v>
      </c>
      <c r="AL124" s="203">
        <v>0</v>
      </c>
      <c r="AM124" s="203">
        <v>1</v>
      </c>
      <c r="AN124" s="203">
        <v>5</v>
      </c>
      <c r="AO124" s="203">
        <v>0</v>
      </c>
      <c r="AP124" s="203">
        <v>1</v>
      </c>
      <c r="AQ124" s="203">
        <v>70</v>
      </c>
      <c r="AR124" s="203">
        <v>1</v>
      </c>
      <c r="AS124" s="200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203" t="s">
        <v>18</v>
      </c>
      <c r="AL125" s="203">
        <v>1</v>
      </c>
      <c r="AM125" s="203">
        <v>70</v>
      </c>
      <c r="AN125" s="203">
        <v>1</v>
      </c>
      <c r="AO125" s="203">
        <v>1</v>
      </c>
      <c r="AP125" s="203">
        <v>1</v>
      </c>
      <c r="AQ125" s="203">
        <v>70</v>
      </c>
      <c r="AR125" s="203">
        <v>1</v>
      </c>
      <c r="AS125" s="200">
        <v>5</v>
      </c>
    </row>
    <row r="126" spans="12:46">
      <c r="AK126" s="203" t="s">
        <v>64</v>
      </c>
      <c r="AL126" s="203">
        <v>5</v>
      </c>
      <c r="AM126" s="203">
        <v>1</v>
      </c>
      <c r="AN126" s="203">
        <v>70</v>
      </c>
      <c r="AO126" s="203">
        <v>1</v>
      </c>
      <c r="AP126" s="203">
        <v>70</v>
      </c>
      <c r="AQ126" s="203">
        <v>1</v>
      </c>
      <c r="AR126" s="203">
        <v>1</v>
      </c>
      <c r="AS126" s="200">
        <v>6</v>
      </c>
    </row>
    <row r="127" spans="12:46">
      <c r="AK127" s="203" t="s">
        <v>89</v>
      </c>
      <c r="AL127" s="203">
        <v>1</v>
      </c>
      <c r="AM127" s="203">
        <v>70</v>
      </c>
      <c r="AN127" s="203">
        <v>1</v>
      </c>
      <c r="AO127" s="203">
        <v>1</v>
      </c>
      <c r="AP127" s="203">
        <v>1</v>
      </c>
      <c r="AQ127" s="203">
        <v>70</v>
      </c>
      <c r="AR127" s="203">
        <v>1</v>
      </c>
      <c r="AS127" s="200">
        <v>7</v>
      </c>
    </row>
    <row r="128" spans="12:46">
      <c r="AK128" s="46" t="s">
        <v>24</v>
      </c>
      <c r="AL128" s="46">
        <v>0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0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203" t="s">
        <v>234</v>
      </c>
      <c r="AL133" s="203">
        <v>0</v>
      </c>
      <c r="AM133" s="203">
        <v>1</v>
      </c>
      <c r="AN133" s="203">
        <v>0</v>
      </c>
      <c r="AO133" s="203">
        <v>1</v>
      </c>
      <c r="AP133" s="203">
        <v>1</v>
      </c>
      <c r="AQ133" s="203">
        <v>0</v>
      </c>
      <c r="AR133" s="203">
        <v>0</v>
      </c>
      <c r="AS133" s="200">
        <v>13</v>
      </c>
      <c r="AT133" s="11"/>
    </row>
    <row r="134" spans="37:46">
      <c r="AK134" s="203" t="s">
        <v>236</v>
      </c>
      <c r="AL134" s="203">
        <v>0</v>
      </c>
      <c r="AM134" s="203">
        <v>2</v>
      </c>
      <c r="AN134" s="203">
        <v>1</v>
      </c>
      <c r="AO134" s="203">
        <v>2</v>
      </c>
      <c r="AP134" s="203">
        <v>1</v>
      </c>
      <c r="AQ134" s="203">
        <v>0</v>
      </c>
      <c r="AR134" s="203">
        <v>0</v>
      </c>
      <c r="AS134" s="200">
        <v>14</v>
      </c>
      <c r="AT134" s="11"/>
    </row>
    <row r="135" spans="37:46">
      <c r="AK135" s="203" t="s">
        <v>238</v>
      </c>
      <c r="AL135" s="203">
        <v>0</v>
      </c>
      <c r="AM135" s="203">
        <v>1</v>
      </c>
      <c r="AN135" s="203">
        <v>2</v>
      </c>
      <c r="AO135" s="203">
        <v>1</v>
      </c>
      <c r="AP135" s="203">
        <v>1</v>
      </c>
      <c r="AQ135" s="203">
        <v>0</v>
      </c>
      <c r="AR135" s="203">
        <v>0</v>
      </c>
      <c r="AS135" s="200">
        <v>15</v>
      </c>
      <c r="AT135" s="11"/>
    </row>
    <row r="136" spans="37:46">
      <c r="AK136" s="203" t="s">
        <v>240</v>
      </c>
      <c r="AL136" s="203">
        <v>0</v>
      </c>
      <c r="AM136" s="203">
        <v>2</v>
      </c>
      <c r="AN136" s="203">
        <v>1</v>
      </c>
      <c r="AO136" s="203">
        <v>1</v>
      </c>
      <c r="AP136" s="203">
        <v>1</v>
      </c>
      <c r="AQ136" s="203">
        <v>0</v>
      </c>
      <c r="AR136" s="203">
        <v>0</v>
      </c>
      <c r="AS136" s="200">
        <v>16</v>
      </c>
      <c r="AT136" s="11"/>
    </row>
    <row r="137" spans="37:46">
      <c r="AK137" s="203" t="s">
        <v>242</v>
      </c>
      <c r="AL137" s="203">
        <v>0</v>
      </c>
      <c r="AM137" s="203">
        <v>0</v>
      </c>
      <c r="AN137" s="203">
        <v>2</v>
      </c>
      <c r="AO137" s="203">
        <v>1</v>
      </c>
      <c r="AP137" s="203">
        <v>2</v>
      </c>
      <c r="AQ137" s="203">
        <v>0</v>
      </c>
      <c r="AR137" s="203">
        <v>0</v>
      </c>
      <c r="AS137" s="200">
        <v>17</v>
      </c>
      <c r="AT137" s="11"/>
    </row>
    <row r="138" spans="37:46">
      <c r="AK138" s="203" t="s">
        <v>244</v>
      </c>
      <c r="AL138" s="203">
        <v>0</v>
      </c>
      <c r="AM138" s="203">
        <v>2</v>
      </c>
      <c r="AN138" s="203">
        <v>1</v>
      </c>
      <c r="AO138" s="203">
        <v>1</v>
      </c>
      <c r="AP138" s="203">
        <v>2</v>
      </c>
      <c r="AQ138" s="203">
        <v>0</v>
      </c>
      <c r="AR138" s="203">
        <v>0</v>
      </c>
      <c r="AS138" s="200">
        <v>18</v>
      </c>
      <c r="AT138" s="11"/>
    </row>
    <row r="139" spans="37:46">
      <c r="AK139" s="46" t="s">
        <v>246</v>
      </c>
      <c r="AL139" s="46">
        <v>0</v>
      </c>
      <c r="AM139" s="46">
        <v>2</v>
      </c>
      <c r="AN139" s="46">
        <v>1</v>
      </c>
      <c r="AO139" s="46">
        <v>1</v>
      </c>
      <c r="AP139" s="46">
        <v>2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248</v>
      </c>
      <c r="AL140" s="46">
        <v>0</v>
      </c>
      <c r="AM140" s="46">
        <v>2</v>
      </c>
      <c r="AN140" s="46">
        <v>1</v>
      </c>
      <c r="AO140" s="46">
        <v>2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250</v>
      </c>
      <c r="AL141" s="46">
        <v>0</v>
      </c>
      <c r="AM141" s="46">
        <v>0</v>
      </c>
      <c r="AN141" s="46">
        <v>2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252</v>
      </c>
      <c r="AL142" s="46">
        <v>0</v>
      </c>
      <c r="AM142" s="46">
        <v>4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254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203" t="s">
        <v>101</v>
      </c>
      <c r="AL144" s="203">
        <v>0</v>
      </c>
      <c r="AM144" s="203">
        <v>10</v>
      </c>
      <c r="AN144" s="203">
        <v>10</v>
      </c>
      <c r="AO144" s="203">
        <v>10</v>
      </c>
      <c r="AP144" s="203">
        <v>10</v>
      </c>
      <c r="AQ144" s="203">
        <v>0</v>
      </c>
      <c r="AR144" s="203">
        <v>0</v>
      </c>
      <c r="AS144" s="200">
        <v>24</v>
      </c>
      <c r="AT144" s="11"/>
    </row>
    <row r="145" spans="37:46">
      <c r="AK145" s="203" t="s">
        <v>269</v>
      </c>
      <c r="AL145" s="203">
        <v>0</v>
      </c>
      <c r="AM145" s="203">
        <v>1</v>
      </c>
      <c r="AN145" s="203">
        <v>1</v>
      </c>
      <c r="AO145" s="203">
        <v>1</v>
      </c>
      <c r="AP145" s="203">
        <v>1</v>
      </c>
      <c r="AQ145" s="203">
        <v>0</v>
      </c>
      <c r="AR145" s="203">
        <v>0</v>
      </c>
      <c r="AS145" s="200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99"/>
      <c r="N304" s="199"/>
      <c r="O304" s="199"/>
      <c r="P304" s="199"/>
      <c r="Q304" s="199"/>
      <c r="R304" s="199"/>
      <c r="S304" s="199"/>
      <c r="T304" s="1"/>
      <c r="U304" s="1"/>
      <c r="V304" s="199"/>
      <c r="W304" s="199"/>
      <c r="X304" s="199"/>
      <c r="Y304" s="199"/>
      <c r="Z304" s="19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1" spans="37:45">
      <c r="AK321" s="28"/>
      <c r="AL321" s="28"/>
      <c r="AM321" s="28"/>
      <c r="AN321" s="28"/>
      <c r="AO321" s="28"/>
      <c r="AP321" s="28"/>
      <c r="AQ321" s="28"/>
      <c r="AR321" s="28"/>
      <c r="AS321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55" priority="1" operator="equal">
      <formula>"C1"</formula>
    </cfRule>
    <cfRule type="cellIs" dxfId="54" priority="2" operator="equal">
      <formula>"G6"</formula>
    </cfRule>
    <cfRule type="cellIs" dxfId="53" priority="3" operator="equal">
      <formula>"G5"</formula>
    </cfRule>
    <cfRule type="cellIs" dxfId="52" priority="4" operator="equal">
      <formula>"G4"</formula>
    </cfRule>
    <cfRule type="cellIs" dxfId="51" priority="5" operator="equal">
      <formula>"G3"</formula>
    </cfRule>
    <cfRule type="cellIs" dxfId="50" priority="6" operator="equal">
      <formula>"G2"</formula>
    </cfRule>
    <cfRule type="cellIs" dxfId="49" priority="7" operator="equal">
      <formula>"G1"</formula>
    </cfRule>
    <cfRule type="cellIs" dxfId="48" priority="8" operator="equal">
      <formula>"M5"</formula>
    </cfRule>
    <cfRule type="cellIs" dxfId="47" priority="9" operator="equal">
      <formula>"M4"</formula>
    </cfRule>
    <cfRule type="cellIs" dxfId="46" priority="10" operator="equal">
      <formula>"M3"</formula>
    </cfRule>
    <cfRule type="cellIs" dxfId="45" priority="11" operator="equal">
      <formula>"M6"</formula>
    </cfRule>
    <cfRule type="cellIs" dxfId="44" priority="12" operator="equal">
      <formula>"M2"</formula>
    </cfRule>
    <cfRule type="cellIs" dxfId="43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dimension ref="A1:AX404"/>
  <sheetViews>
    <sheetView workbookViewId="0">
      <selection activeCell="P11" sqref="P11"/>
    </sheetView>
  </sheetViews>
  <sheetFormatPr defaultRowHeight="16.2"/>
  <cols>
    <col min="9" max="9" width="4.77734375" style="1" customWidth="1"/>
    <col min="11" max="11" width="9.21875" style="1" customWidth="1"/>
    <col min="12" max="12" width="4.6640625" style="96" bestFit="1" customWidth="1"/>
    <col min="13" max="14" width="7.44140625" style="96" bestFit="1" customWidth="1"/>
    <col min="15" max="15" width="7.44140625" style="96" customWidth="1"/>
    <col min="16" max="16" width="7.44140625" style="96" bestFit="1" customWidth="1"/>
    <col min="17" max="17" width="4.6640625" style="96" bestFit="1" customWidth="1"/>
    <col min="18" max="18" width="4.6640625" style="96" customWidth="1"/>
    <col min="19" max="19" width="8.88671875" style="1" customWidth="1"/>
    <col min="20" max="20" width="4.77734375" style="1" customWidth="1"/>
    <col min="21" max="25" width="4.77734375" style="96" customWidth="1"/>
    <col min="26" max="26" width="4.6640625" style="1" bestFit="1" customWidth="1"/>
    <col min="27" max="27" width="8.88671875" style="1" customWidth="1"/>
    <col min="28" max="32" width="4.77734375" style="96" customWidth="1"/>
    <col min="33" max="33" width="4.6640625" style="96" customWidth="1"/>
    <col min="34" max="34" width="4.6640625" style="1" bestFit="1" customWidth="1"/>
    <col min="35" max="35" width="9" style="1"/>
    <col min="36" max="36" width="4.88671875" style="1" customWidth="1"/>
    <col min="37" max="42" width="4.6640625" style="1" bestFit="1" customWidth="1"/>
    <col min="44" max="50" width="9" style="1"/>
  </cols>
  <sheetData>
    <row r="1" spans="1:50">
      <c r="A1" s="1"/>
      <c r="B1" s="1"/>
      <c r="C1" s="1"/>
      <c r="D1" s="1"/>
      <c r="E1" s="1"/>
      <c r="F1" s="1"/>
      <c r="G1" s="1"/>
      <c r="H1" s="1"/>
      <c r="J1" s="85"/>
      <c r="K1" s="3"/>
    </row>
    <row r="2" spans="1:50">
      <c r="A2" s="11"/>
      <c r="B2" s="11"/>
      <c r="C2" s="11"/>
      <c r="D2" s="11"/>
      <c r="E2" s="11"/>
      <c r="F2" s="11"/>
      <c r="G2" s="11"/>
      <c r="H2" s="11"/>
      <c r="I2" s="11"/>
      <c r="J2" s="85"/>
      <c r="K2" s="241" t="s">
        <v>2</v>
      </c>
      <c r="L2" s="241"/>
      <c r="M2" s="241"/>
      <c r="N2" s="241"/>
      <c r="O2" s="241"/>
      <c r="P2" s="241"/>
      <c r="Q2" s="241"/>
      <c r="R2" s="241"/>
      <c r="S2" s="11"/>
      <c r="T2" s="11" t="s">
        <v>3</v>
      </c>
      <c r="U2" s="11"/>
      <c r="V2" s="11"/>
      <c r="W2" s="11"/>
      <c r="X2" s="11"/>
      <c r="Y2" s="11"/>
      <c r="Z2" s="11"/>
      <c r="AA2" s="11"/>
      <c r="AB2" s="11" t="s">
        <v>70</v>
      </c>
      <c r="AC2" s="11"/>
      <c r="AD2" s="11"/>
      <c r="AE2" s="11"/>
      <c r="AF2" s="11"/>
      <c r="AG2" s="11"/>
      <c r="AH2" s="11"/>
      <c r="AI2" s="11"/>
      <c r="AJ2" s="11" t="s">
        <v>111</v>
      </c>
      <c r="AK2" s="11"/>
      <c r="AL2" s="11"/>
      <c r="AM2" s="11"/>
      <c r="AN2" s="11"/>
      <c r="AO2" s="11"/>
      <c r="AP2" s="11"/>
      <c r="AR2" s="11"/>
      <c r="AS2" s="11"/>
      <c r="AT2" s="11"/>
      <c r="AU2" s="11"/>
      <c r="AV2" s="11"/>
      <c r="AW2" s="11"/>
      <c r="AX2" s="11"/>
    </row>
    <row r="3" spans="1:50" ht="16.8">
      <c r="A3" s="16" t="s">
        <v>2</v>
      </c>
      <c r="B3" s="17" t="s">
        <v>5</v>
      </c>
      <c r="C3" s="17" t="s">
        <v>6</v>
      </c>
      <c r="D3" s="17" t="s">
        <v>7</v>
      </c>
      <c r="E3" s="17" t="s">
        <v>8</v>
      </c>
      <c r="F3" s="17" t="s">
        <v>9</v>
      </c>
      <c r="G3" s="17" t="s">
        <v>30</v>
      </c>
      <c r="H3" s="17" t="s">
        <v>67</v>
      </c>
      <c r="I3" s="16" t="s">
        <v>10</v>
      </c>
      <c r="J3" s="86"/>
      <c r="K3" s="20" t="s">
        <v>11</v>
      </c>
      <c r="L3" s="20" t="s">
        <v>12</v>
      </c>
      <c r="M3" s="20" t="s">
        <v>13</v>
      </c>
      <c r="N3" s="20" t="s">
        <v>14</v>
      </c>
      <c r="O3" s="20" t="s">
        <v>15</v>
      </c>
      <c r="P3" s="20" t="s">
        <v>16</v>
      </c>
      <c r="Q3" s="20" t="s">
        <v>23</v>
      </c>
      <c r="R3" s="20" t="s">
        <v>66</v>
      </c>
      <c r="S3" s="96"/>
      <c r="T3" s="20" t="s">
        <v>12</v>
      </c>
      <c r="U3" s="20" t="s">
        <v>13</v>
      </c>
      <c r="V3" s="20" t="s">
        <v>14</v>
      </c>
      <c r="W3" s="20" t="s">
        <v>15</v>
      </c>
      <c r="X3" s="20" t="s">
        <v>16</v>
      </c>
      <c r="Y3" s="20" t="s">
        <v>23</v>
      </c>
      <c r="Z3" s="20" t="s">
        <v>66</v>
      </c>
      <c r="AB3" s="48" t="s">
        <v>41</v>
      </c>
      <c r="AC3" s="48" t="s">
        <v>42</v>
      </c>
      <c r="AD3" s="48" t="s">
        <v>43</v>
      </c>
      <c r="AE3" s="48" t="s">
        <v>44</v>
      </c>
      <c r="AF3" s="48" t="s">
        <v>45</v>
      </c>
      <c r="AG3" s="48" t="s">
        <v>23</v>
      </c>
      <c r="AH3" s="48" t="s">
        <v>66</v>
      </c>
      <c r="AJ3" s="48" t="s">
        <v>41</v>
      </c>
      <c r="AK3" s="48" t="s">
        <v>42</v>
      </c>
      <c r="AL3" s="48" t="s">
        <v>43</v>
      </c>
      <c r="AM3" s="48" t="s">
        <v>44</v>
      </c>
      <c r="AN3" s="48" t="s">
        <v>45</v>
      </c>
      <c r="AO3" s="48" t="s">
        <v>23</v>
      </c>
      <c r="AP3" s="48" t="s">
        <v>66</v>
      </c>
    </row>
    <row r="4" spans="1:50" ht="16.8">
      <c r="A4" s="5" t="s">
        <v>68</v>
      </c>
      <c r="B4" s="12">
        <f>COUNTIF(L$4:L$304,$A4)</f>
        <v>0</v>
      </c>
      <c r="C4" s="12">
        <f t="shared" ref="C4:H4" si="0">COUNTIF(M$4:M$304,$A4)</f>
        <v>0</v>
      </c>
      <c r="D4" s="12">
        <f t="shared" si="0"/>
        <v>0</v>
      </c>
      <c r="E4" s="12">
        <f t="shared" si="0"/>
        <v>0</v>
      </c>
      <c r="F4" s="12">
        <f t="shared" si="0"/>
        <v>0</v>
      </c>
      <c r="G4" s="12">
        <f t="shared" si="0"/>
        <v>0</v>
      </c>
      <c r="H4" s="12">
        <f t="shared" si="0"/>
        <v>0</v>
      </c>
      <c r="I4" s="5">
        <v>0</v>
      </c>
      <c r="J4" s="86"/>
      <c r="K4" s="19">
        <v>0</v>
      </c>
      <c r="L4" s="21" t="s">
        <v>32</v>
      </c>
      <c r="M4" s="21" t="s">
        <v>35</v>
      </c>
      <c r="N4" s="21" t="s">
        <v>32</v>
      </c>
      <c r="O4" s="21" t="s">
        <v>32</v>
      </c>
      <c r="P4" s="21" t="s">
        <v>238</v>
      </c>
      <c r="Q4" s="21" t="s">
        <v>24</v>
      </c>
      <c r="R4" s="21" t="s">
        <v>20</v>
      </c>
      <c r="T4" s="6">
        <f>VLOOKUP(L4, $A$4:$I$29, 9, 0)</f>
        <v>2</v>
      </c>
      <c r="U4" s="6">
        <f t="shared" ref="U4:Z4" si="1">VLOOKUP(M4, $A$4:$I$29, 9, 0)</f>
        <v>5</v>
      </c>
      <c r="V4" s="6">
        <f t="shared" si="1"/>
        <v>2</v>
      </c>
      <c r="W4" s="6">
        <f t="shared" si="1"/>
        <v>2</v>
      </c>
      <c r="X4" s="6">
        <f t="shared" si="1"/>
        <v>15</v>
      </c>
      <c r="Y4" s="6">
        <f t="shared" si="1"/>
        <v>8</v>
      </c>
      <c r="Z4" s="6">
        <f t="shared" si="1"/>
        <v>2</v>
      </c>
      <c r="AB4" s="22">
        <v>5</v>
      </c>
      <c r="AC4" s="22">
        <v>5</v>
      </c>
      <c r="AD4" s="22">
        <v>5</v>
      </c>
      <c r="AE4" s="22">
        <v>5</v>
      </c>
      <c r="AF4" s="22">
        <v>6</v>
      </c>
      <c r="AG4" s="22">
        <v>5</v>
      </c>
      <c r="AH4" s="22">
        <v>5</v>
      </c>
      <c r="AJ4" s="5">
        <v>1</v>
      </c>
      <c r="AK4" s="5">
        <v>3</v>
      </c>
      <c r="AL4" s="5">
        <v>1</v>
      </c>
      <c r="AM4" s="5">
        <v>1</v>
      </c>
      <c r="AN4" s="5">
        <v>3</v>
      </c>
      <c r="AO4" s="5">
        <v>1</v>
      </c>
      <c r="AP4" s="5">
        <v>1</v>
      </c>
    </row>
    <row r="5" spans="1:50" ht="16.8">
      <c r="A5" s="5" t="s">
        <v>19</v>
      </c>
      <c r="B5" s="12">
        <f t="shared" ref="B5:B29" si="2">COUNTIF(L$4:L$304,$A5)</f>
        <v>6</v>
      </c>
      <c r="C5" s="12">
        <f t="shared" ref="C5:C29" si="3">COUNTIF(M$4:M$304,$A5)</f>
        <v>8</v>
      </c>
      <c r="D5" s="12">
        <f t="shared" ref="D5:D29" si="4">COUNTIF(N$4:N$304,$A5)</f>
        <v>14</v>
      </c>
      <c r="E5" s="12">
        <f t="shared" ref="E5:E29" si="5">COUNTIF(O$4:O$304,$A5)</f>
        <v>22</v>
      </c>
      <c r="F5" s="12">
        <f t="shared" ref="F5:F29" si="6">COUNTIF(P$4:P$304,$A5)</f>
        <v>10</v>
      </c>
      <c r="G5" s="12">
        <f t="shared" ref="G5:G29" si="7">COUNTIF(Q$4:Q$304,$A5)</f>
        <v>4</v>
      </c>
      <c r="H5" s="12">
        <f t="shared" ref="H5:H29" si="8">COUNTIF(R$4:R$304,$A5)</f>
        <v>6</v>
      </c>
      <c r="I5" s="5">
        <v>1</v>
      </c>
      <c r="J5" s="86"/>
      <c r="K5" s="18">
        <v>1</v>
      </c>
      <c r="L5" s="21" t="s">
        <v>26</v>
      </c>
      <c r="M5" s="21" t="s">
        <v>35</v>
      </c>
      <c r="N5" s="21" t="s">
        <v>34</v>
      </c>
      <c r="O5" s="21" t="s">
        <v>236</v>
      </c>
      <c r="P5" s="21" t="s">
        <v>238</v>
      </c>
      <c r="Q5" s="21" t="s">
        <v>26</v>
      </c>
      <c r="R5" s="21" t="s">
        <v>24</v>
      </c>
      <c r="T5" s="6">
        <f t="shared" ref="T5:T63" si="9">VLOOKUP(L5, $A$4:$I$29, 9, 0)</f>
        <v>9</v>
      </c>
      <c r="U5" s="6">
        <f t="shared" ref="U5:U63" si="10">VLOOKUP(M5, $A$4:$I$29, 9, 0)</f>
        <v>5</v>
      </c>
      <c r="V5" s="6">
        <f t="shared" ref="V5:V63" si="11">VLOOKUP(N5, $A$4:$I$29, 9, 0)</f>
        <v>4</v>
      </c>
      <c r="W5" s="6">
        <f t="shared" ref="W5:W63" si="12">VLOOKUP(O5, $A$4:$I$29, 9, 0)</f>
        <v>14</v>
      </c>
      <c r="X5" s="6">
        <f t="shared" ref="X5:X63" si="13">VLOOKUP(P5, $A$4:$I$29, 9, 0)</f>
        <v>15</v>
      </c>
      <c r="Y5" s="6">
        <f t="shared" ref="Y5:Y63" si="14">VLOOKUP(Q5, $A$4:$I$29, 9, 0)</f>
        <v>9</v>
      </c>
      <c r="Z5" s="6">
        <f t="shared" ref="Z5:Z63" si="15">VLOOKUP(R5, $A$4:$I$29, 9, 0)</f>
        <v>8</v>
      </c>
      <c r="AB5" s="22">
        <v>5</v>
      </c>
      <c r="AC5" s="22">
        <v>0</v>
      </c>
      <c r="AD5" s="22">
        <v>0</v>
      </c>
      <c r="AE5" s="22">
        <v>0</v>
      </c>
      <c r="AF5" s="22">
        <v>0</v>
      </c>
      <c r="AG5" s="22">
        <v>5</v>
      </c>
      <c r="AH5" s="22">
        <v>5</v>
      </c>
      <c r="AJ5" s="5">
        <v>1</v>
      </c>
      <c r="AK5" s="5">
        <v>0</v>
      </c>
      <c r="AL5" s="5">
        <v>3</v>
      </c>
      <c r="AM5" s="5">
        <v>3</v>
      </c>
      <c r="AN5" s="5">
        <v>0</v>
      </c>
      <c r="AO5" s="5">
        <v>1</v>
      </c>
      <c r="AP5" s="5">
        <v>1</v>
      </c>
    </row>
    <row r="6" spans="1:50" ht="16.8">
      <c r="A6" s="5" t="s">
        <v>20</v>
      </c>
      <c r="B6" s="12">
        <f t="shared" si="2"/>
        <v>6</v>
      </c>
      <c r="C6" s="12">
        <f t="shared" si="3"/>
        <v>6</v>
      </c>
      <c r="D6" s="12">
        <f t="shared" si="4"/>
        <v>2</v>
      </c>
      <c r="E6" s="12">
        <f t="shared" si="5"/>
        <v>4</v>
      </c>
      <c r="F6" s="12">
        <f t="shared" si="6"/>
        <v>4</v>
      </c>
      <c r="G6" s="12">
        <f t="shared" si="7"/>
        <v>4</v>
      </c>
      <c r="H6" s="12">
        <f t="shared" si="8"/>
        <v>12</v>
      </c>
      <c r="I6" s="5">
        <v>2</v>
      </c>
      <c r="J6" s="86"/>
      <c r="K6" s="19">
        <v>2</v>
      </c>
      <c r="L6" s="21" t="s">
        <v>27</v>
      </c>
      <c r="M6" s="21" t="s">
        <v>35</v>
      </c>
      <c r="N6" s="21" t="s">
        <v>34</v>
      </c>
      <c r="O6" s="21" t="s">
        <v>236</v>
      </c>
      <c r="P6" s="21" t="s">
        <v>238</v>
      </c>
      <c r="Q6" s="21" t="s">
        <v>18</v>
      </c>
      <c r="R6" s="21" t="s">
        <v>24</v>
      </c>
      <c r="T6" s="6">
        <f t="shared" si="9"/>
        <v>10</v>
      </c>
      <c r="U6" s="6">
        <f t="shared" si="10"/>
        <v>5</v>
      </c>
      <c r="V6" s="6">
        <f t="shared" si="11"/>
        <v>4</v>
      </c>
      <c r="W6" s="6">
        <f t="shared" si="12"/>
        <v>14</v>
      </c>
      <c r="X6" s="6">
        <f t="shared" si="13"/>
        <v>15</v>
      </c>
      <c r="Y6" s="6">
        <f t="shared" si="14"/>
        <v>5</v>
      </c>
      <c r="Z6" s="6">
        <f t="shared" si="15"/>
        <v>8</v>
      </c>
      <c r="AB6" s="22">
        <v>5</v>
      </c>
      <c r="AC6" s="22">
        <v>0</v>
      </c>
      <c r="AD6" s="22">
        <v>0</v>
      </c>
      <c r="AE6" s="22">
        <v>0</v>
      </c>
      <c r="AF6" s="22">
        <v>0</v>
      </c>
      <c r="AG6" s="22">
        <v>5</v>
      </c>
      <c r="AH6" s="22">
        <v>5</v>
      </c>
      <c r="AJ6" s="5">
        <v>1</v>
      </c>
      <c r="AK6" s="5">
        <v>0</v>
      </c>
      <c r="AL6" s="5">
        <v>0</v>
      </c>
      <c r="AM6" s="5">
        <v>0</v>
      </c>
      <c r="AN6" s="5">
        <v>0</v>
      </c>
      <c r="AO6" s="5">
        <v>1</v>
      </c>
      <c r="AP6" s="5">
        <v>1</v>
      </c>
    </row>
    <row r="7" spans="1:50" ht="16.8">
      <c r="A7" s="23" t="s">
        <v>21</v>
      </c>
      <c r="B7" s="12">
        <f t="shared" si="2"/>
        <v>12</v>
      </c>
      <c r="C7" s="12">
        <f t="shared" si="3"/>
        <v>6</v>
      </c>
      <c r="D7" s="12">
        <f t="shared" si="4"/>
        <v>6</v>
      </c>
      <c r="E7" s="12">
        <f t="shared" si="5"/>
        <v>4</v>
      </c>
      <c r="F7" s="12">
        <f t="shared" si="6"/>
        <v>18</v>
      </c>
      <c r="G7" s="12">
        <f t="shared" si="7"/>
        <v>2</v>
      </c>
      <c r="H7" s="12">
        <f t="shared" si="8"/>
        <v>2</v>
      </c>
      <c r="I7" s="5">
        <v>3</v>
      </c>
      <c r="J7" s="86"/>
      <c r="K7" s="18">
        <v>3</v>
      </c>
      <c r="L7" s="21" t="s">
        <v>27</v>
      </c>
      <c r="M7" s="21" t="s">
        <v>33</v>
      </c>
      <c r="N7" s="21" t="s">
        <v>34</v>
      </c>
      <c r="O7" s="21" t="s">
        <v>236</v>
      </c>
      <c r="P7" s="21" t="s">
        <v>242</v>
      </c>
      <c r="Q7" s="21" t="s">
        <v>28</v>
      </c>
      <c r="R7" s="21" t="s">
        <v>24</v>
      </c>
      <c r="T7" s="6">
        <f t="shared" si="9"/>
        <v>10</v>
      </c>
      <c r="U7" s="6">
        <f t="shared" si="10"/>
        <v>3</v>
      </c>
      <c r="V7" s="6">
        <f t="shared" si="11"/>
        <v>4</v>
      </c>
      <c r="W7" s="6">
        <f t="shared" si="12"/>
        <v>14</v>
      </c>
      <c r="X7" s="6">
        <f t="shared" si="13"/>
        <v>17</v>
      </c>
      <c r="Y7" s="6">
        <f t="shared" si="14"/>
        <v>11</v>
      </c>
      <c r="Z7" s="6">
        <f t="shared" si="15"/>
        <v>8</v>
      </c>
      <c r="AB7" s="22">
        <v>5</v>
      </c>
      <c r="AC7" s="22">
        <v>0</v>
      </c>
      <c r="AD7" s="22">
        <v>0</v>
      </c>
      <c r="AE7" s="22">
        <v>0</v>
      </c>
      <c r="AF7" s="22">
        <v>0</v>
      </c>
      <c r="AG7" s="22">
        <v>5</v>
      </c>
      <c r="AH7" s="22">
        <v>5</v>
      </c>
      <c r="AJ7" s="5">
        <v>1</v>
      </c>
      <c r="AK7" s="5">
        <v>2</v>
      </c>
      <c r="AL7" s="5">
        <v>0</v>
      </c>
      <c r="AM7" s="5">
        <v>0</v>
      </c>
      <c r="AN7" s="5">
        <v>2</v>
      </c>
      <c r="AO7" s="5">
        <v>1</v>
      </c>
      <c r="AP7" s="5">
        <v>1</v>
      </c>
    </row>
    <row r="8" spans="1:50" ht="16.8">
      <c r="A8" s="24" t="s">
        <v>17</v>
      </c>
      <c r="B8" s="12">
        <f t="shared" si="2"/>
        <v>8</v>
      </c>
      <c r="C8" s="12">
        <f t="shared" si="3"/>
        <v>12</v>
      </c>
      <c r="D8" s="12">
        <f t="shared" si="4"/>
        <v>6</v>
      </c>
      <c r="E8" s="12">
        <f t="shared" si="5"/>
        <v>12</v>
      </c>
      <c r="F8" s="12">
        <f t="shared" si="6"/>
        <v>18</v>
      </c>
      <c r="G8" s="12">
        <f t="shared" si="7"/>
        <v>4</v>
      </c>
      <c r="H8" s="12">
        <f t="shared" si="8"/>
        <v>25</v>
      </c>
      <c r="I8" s="5">
        <v>4</v>
      </c>
      <c r="J8" s="86"/>
      <c r="K8" s="19">
        <v>4</v>
      </c>
      <c r="L8" s="21" t="s">
        <v>29</v>
      </c>
      <c r="M8" s="21" t="s">
        <v>33</v>
      </c>
      <c r="N8" s="21" t="s">
        <v>24</v>
      </c>
      <c r="O8" s="21" t="s">
        <v>26</v>
      </c>
      <c r="P8" s="21" t="s">
        <v>242</v>
      </c>
      <c r="Q8" s="21" t="s">
        <v>29</v>
      </c>
      <c r="R8" s="21" t="s">
        <v>17</v>
      </c>
      <c r="T8" s="6">
        <f t="shared" si="9"/>
        <v>12</v>
      </c>
      <c r="U8" s="6">
        <f t="shared" si="10"/>
        <v>3</v>
      </c>
      <c r="V8" s="6">
        <f t="shared" si="11"/>
        <v>8</v>
      </c>
      <c r="W8" s="6">
        <f t="shared" si="12"/>
        <v>9</v>
      </c>
      <c r="X8" s="6">
        <f t="shared" si="13"/>
        <v>17</v>
      </c>
      <c r="Y8" s="6">
        <f t="shared" si="14"/>
        <v>12</v>
      </c>
      <c r="Z8" s="6">
        <f t="shared" si="15"/>
        <v>4</v>
      </c>
      <c r="AB8" s="22">
        <v>5</v>
      </c>
      <c r="AC8" s="22">
        <v>0</v>
      </c>
      <c r="AD8" s="22">
        <v>0</v>
      </c>
      <c r="AE8" s="22">
        <v>0</v>
      </c>
      <c r="AF8" s="22">
        <v>0</v>
      </c>
      <c r="AG8" s="22">
        <v>5</v>
      </c>
      <c r="AH8" s="22">
        <v>5</v>
      </c>
      <c r="AJ8" s="5">
        <v>1</v>
      </c>
      <c r="AK8" s="5">
        <v>0</v>
      </c>
      <c r="AL8" s="5">
        <v>1</v>
      </c>
      <c r="AM8" s="5">
        <v>1</v>
      </c>
      <c r="AN8" s="5">
        <v>0</v>
      </c>
      <c r="AO8" s="5">
        <v>1</v>
      </c>
      <c r="AP8" s="5">
        <v>1</v>
      </c>
    </row>
    <row r="9" spans="1:50" ht="16.8">
      <c r="A9" s="25" t="s">
        <v>18</v>
      </c>
      <c r="B9" s="12">
        <f t="shared" si="2"/>
        <v>4</v>
      </c>
      <c r="C9" s="12">
        <f t="shared" si="3"/>
        <v>6</v>
      </c>
      <c r="D9" s="12">
        <f t="shared" si="4"/>
        <v>6</v>
      </c>
      <c r="E9" s="12">
        <f t="shared" si="5"/>
        <v>0</v>
      </c>
      <c r="F9" s="12">
        <f t="shared" si="6"/>
        <v>6</v>
      </c>
      <c r="G9" s="12">
        <f t="shared" si="7"/>
        <v>18</v>
      </c>
      <c r="H9" s="12">
        <f t="shared" si="8"/>
        <v>12</v>
      </c>
      <c r="I9" s="5">
        <v>5</v>
      </c>
      <c r="J9" s="86"/>
      <c r="K9" s="18">
        <v>5</v>
      </c>
      <c r="L9" s="21" t="s">
        <v>32</v>
      </c>
      <c r="M9" s="21" t="s">
        <v>33</v>
      </c>
      <c r="N9" s="21" t="s">
        <v>24</v>
      </c>
      <c r="O9" s="21" t="s">
        <v>27</v>
      </c>
      <c r="P9" s="21" t="s">
        <v>36</v>
      </c>
      <c r="Q9" s="21" t="s">
        <v>29</v>
      </c>
      <c r="R9" s="21" t="s">
        <v>17</v>
      </c>
      <c r="T9" s="6">
        <f t="shared" si="9"/>
        <v>2</v>
      </c>
      <c r="U9" s="6">
        <f t="shared" si="10"/>
        <v>3</v>
      </c>
      <c r="V9" s="6">
        <f t="shared" si="11"/>
        <v>8</v>
      </c>
      <c r="W9" s="6">
        <f t="shared" si="12"/>
        <v>10</v>
      </c>
      <c r="X9" s="6">
        <f t="shared" si="13"/>
        <v>1</v>
      </c>
      <c r="Y9" s="6">
        <f t="shared" si="14"/>
        <v>12</v>
      </c>
      <c r="Z9" s="6">
        <f t="shared" si="15"/>
        <v>4</v>
      </c>
      <c r="AB9" s="22">
        <v>5</v>
      </c>
      <c r="AC9" s="22">
        <v>5</v>
      </c>
      <c r="AD9" s="22">
        <v>5</v>
      </c>
      <c r="AE9" s="22">
        <v>5</v>
      </c>
      <c r="AF9" s="22">
        <v>4</v>
      </c>
      <c r="AG9" s="22">
        <v>5</v>
      </c>
      <c r="AH9" s="22">
        <v>5</v>
      </c>
      <c r="AJ9" s="5">
        <v>1</v>
      </c>
      <c r="AK9" s="5">
        <v>1</v>
      </c>
      <c r="AL9" s="5">
        <v>1</v>
      </c>
      <c r="AM9" s="5">
        <v>1</v>
      </c>
      <c r="AN9" s="5">
        <v>1</v>
      </c>
      <c r="AO9" s="5">
        <v>1</v>
      </c>
      <c r="AP9" s="5">
        <v>1</v>
      </c>
    </row>
    <row r="10" spans="1:50" ht="16.8">
      <c r="A10" s="26" t="s">
        <v>64</v>
      </c>
      <c r="B10" s="12">
        <f t="shared" si="2"/>
        <v>12</v>
      </c>
      <c r="C10" s="12">
        <f t="shared" si="3"/>
        <v>6</v>
      </c>
      <c r="D10" s="12">
        <f t="shared" si="4"/>
        <v>6</v>
      </c>
      <c r="E10" s="12">
        <f t="shared" si="5"/>
        <v>8</v>
      </c>
      <c r="F10" s="12">
        <f t="shared" si="6"/>
        <v>4</v>
      </c>
      <c r="G10" s="12">
        <f t="shared" si="7"/>
        <v>18</v>
      </c>
      <c r="H10" s="12">
        <f t="shared" si="8"/>
        <v>20</v>
      </c>
      <c r="I10" s="5">
        <v>6</v>
      </c>
      <c r="J10" s="86"/>
      <c r="K10" s="19">
        <v>6</v>
      </c>
      <c r="L10" s="21" t="s">
        <v>21</v>
      </c>
      <c r="M10" s="21" t="s">
        <v>64</v>
      </c>
      <c r="N10" s="21" t="s">
        <v>28</v>
      </c>
      <c r="O10" s="21" t="s">
        <v>27</v>
      </c>
      <c r="P10" s="21" t="s">
        <v>17</v>
      </c>
      <c r="Q10" s="21" t="s">
        <v>24</v>
      </c>
      <c r="R10" s="21" t="s">
        <v>17</v>
      </c>
      <c r="T10" s="6">
        <f t="shared" si="9"/>
        <v>3</v>
      </c>
      <c r="U10" s="6">
        <f t="shared" si="10"/>
        <v>6</v>
      </c>
      <c r="V10" s="6">
        <f t="shared" si="11"/>
        <v>11</v>
      </c>
      <c r="W10" s="6">
        <f t="shared" si="12"/>
        <v>10</v>
      </c>
      <c r="X10" s="6">
        <f t="shared" si="13"/>
        <v>4</v>
      </c>
      <c r="Y10" s="6">
        <f t="shared" si="14"/>
        <v>8</v>
      </c>
      <c r="Z10" s="6">
        <f t="shared" si="15"/>
        <v>4</v>
      </c>
      <c r="AB10" s="22">
        <v>5</v>
      </c>
      <c r="AC10" s="22">
        <v>0</v>
      </c>
      <c r="AD10" s="22">
        <v>0</v>
      </c>
      <c r="AE10" s="22">
        <v>0</v>
      </c>
      <c r="AF10" s="22">
        <v>1</v>
      </c>
      <c r="AG10" s="22">
        <v>5</v>
      </c>
      <c r="AH10" s="22">
        <v>5</v>
      </c>
      <c r="AJ10" s="5">
        <v>1</v>
      </c>
      <c r="AK10" s="5">
        <v>1</v>
      </c>
      <c r="AL10" s="5">
        <v>1</v>
      </c>
      <c r="AM10" s="5">
        <v>1</v>
      </c>
      <c r="AN10" s="5">
        <v>3</v>
      </c>
      <c r="AO10" s="5">
        <v>1</v>
      </c>
      <c r="AP10" s="5">
        <v>1</v>
      </c>
    </row>
    <row r="11" spans="1:50" ht="16.8">
      <c r="A11" s="26" t="s">
        <v>89</v>
      </c>
      <c r="B11" s="12">
        <f t="shared" si="2"/>
        <v>6</v>
      </c>
      <c r="C11" s="12">
        <f t="shared" si="3"/>
        <v>6</v>
      </c>
      <c r="D11" s="12">
        <f t="shared" si="4"/>
        <v>8</v>
      </c>
      <c r="E11" s="12">
        <f t="shared" si="5"/>
        <v>0</v>
      </c>
      <c r="F11" s="12">
        <f t="shared" si="6"/>
        <v>0</v>
      </c>
      <c r="G11" s="12">
        <f t="shared" si="7"/>
        <v>0</v>
      </c>
      <c r="H11" s="12">
        <f t="shared" si="8"/>
        <v>0</v>
      </c>
      <c r="I11" s="5">
        <v>7</v>
      </c>
      <c r="J11" s="86"/>
      <c r="K11" s="18">
        <v>7</v>
      </c>
      <c r="L11" s="21" t="s">
        <v>36</v>
      </c>
      <c r="M11" s="21" t="s">
        <v>17</v>
      </c>
      <c r="N11" s="21" t="s">
        <v>28</v>
      </c>
      <c r="O11" s="21" t="s">
        <v>37</v>
      </c>
      <c r="P11" s="21" t="s">
        <v>17</v>
      </c>
      <c r="Q11" s="21" t="s">
        <v>27</v>
      </c>
      <c r="R11" s="21" t="s">
        <v>64</v>
      </c>
      <c r="T11" s="6">
        <f t="shared" si="9"/>
        <v>1</v>
      </c>
      <c r="U11" s="6">
        <f t="shared" si="10"/>
        <v>4</v>
      </c>
      <c r="V11" s="6">
        <f t="shared" si="11"/>
        <v>11</v>
      </c>
      <c r="W11" s="6">
        <f t="shared" si="12"/>
        <v>9</v>
      </c>
      <c r="X11" s="6">
        <f t="shared" si="13"/>
        <v>4</v>
      </c>
      <c r="Y11" s="6">
        <f t="shared" si="14"/>
        <v>10</v>
      </c>
      <c r="Z11" s="6">
        <f t="shared" si="15"/>
        <v>6</v>
      </c>
      <c r="AB11" s="22">
        <v>5</v>
      </c>
      <c r="AC11" s="22">
        <v>0</v>
      </c>
      <c r="AD11" s="22">
        <v>0</v>
      </c>
      <c r="AE11" s="22">
        <v>0</v>
      </c>
      <c r="AF11" s="22">
        <v>0</v>
      </c>
      <c r="AG11" s="22">
        <v>5</v>
      </c>
      <c r="AH11" s="22">
        <v>5</v>
      </c>
      <c r="AJ11" s="5">
        <v>1</v>
      </c>
      <c r="AK11" s="5">
        <v>2</v>
      </c>
      <c r="AL11" s="5">
        <v>1</v>
      </c>
      <c r="AM11" s="5">
        <v>1</v>
      </c>
      <c r="AN11" s="5">
        <v>0</v>
      </c>
      <c r="AO11" s="5">
        <v>1</v>
      </c>
      <c r="AP11" s="5">
        <v>1</v>
      </c>
    </row>
    <row r="12" spans="1:50" ht="16.8">
      <c r="A12" s="23" t="s">
        <v>24</v>
      </c>
      <c r="B12" s="12">
        <f t="shared" si="2"/>
        <v>4</v>
      </c>
      <c r="C12" s="12">
        <f t="shared" si="3"/>
        <v>16</v>
      </c>
      <c r="D12" s="12">
        <f t="shared" si="4"/>
        <v>19</v>
      </c>
      <c r="E12" s="12">
        <f t="shared" si="5"/>
        <v>6</v>
      </c>
      <c r="F12" s="12">
        <f t="shared" si="6"/>
        <v>4</v>
      </c>
      <c r="G12" s="12">
        <f t="shared" si="7"/>
        <v>24</v>
      </c>
      <c r="H12" s="12">
        <f t="shared" si="8"/>
        <v>20</v>
      </c>
      <c r="I12" s="5">
        <v>8</v>
      </c>
      <c r="J12" s="86"/>
      <c r="K12" s="19">
        <v>8</v>
      </c>
      <c r="L12" s="21" t="s">
        <v>90</v>
      </c>
      <c r="M12" s="21" t="s">
        <v>17</v>
      </c>
      <c r="N12" s="21" t="s">
        <v>90</v>
      </c>
      <c r="O12" s="21" t="s">
        <v>36</v>
      </c>
      <c r="P12" s="21" t="s">
        <v>17</v>
      </c>
      <c r="Q12" s="21" t="s">
        <v>18</v>
      </c>
      <c r="R12" s="21" t="s">
        <v>64</v>
      </c>
      <c r="T12" s="6">
        <f t="shared" si="9"/>
        <v>7</v>
      </c>
      <c r="U12" s="6">
        <f t="shared" si="10"/>
        <v>4</v>
      </c>
      <c r="V12" s="6">
        <f t="shared" si="11"/>
        <v>7</v>
      </c>
      <c r="W12" s="6">
        <f t="shared" si="12"/>
        <v>1</v>
      </c>
      <c r="X12" s="6">
        <f t="shared" si="13"/>
        <v>4</v>
      </c>
      <c r="Y12" s="6">
        <f t="shared" si="14"/>
        <v>5</v>
      </c>
      <c r="Z12" s="6">
        <f t="shared" si="15"/>
        <v>6</v>
      </c>
      <c r="AB12" s="22">
        <v>5</v>
      </c>
      <c r="AC12" s="22">
        <v>0</v>
      </c>
      <c r="AD12" s="22">
        <v>0</v>
      </c>
      <c r="AE12" s="22">
        <v>0</v>
      </c>
      <c r="AF12" s="22">
        <v>0</v>
      </c>
      <c r="AG12" s="22">
        <v>5</v>
      </c>
      <c r="AH12" s="22">
        <v>5</v>
      </c>
      <c r="AJ12" s="5">
        <v>1</v>
      </c>
      <c r="AK12" s="5">
        <v>0</v>
      </c>
      <c r="AL12" s="5">
        <v>1</v>
      </c>
      <c r="AM12" s="5">
        <v>2</v>
      </c>
      <c r="AN12" s="5">
        <v>0</v>
      </c>
      <c r="AO12" s="5">
        <v>1</v>
      </c>
      <c r="AP12" s="5">
        <v>1</v>
      </c>
    </row>
    <row r="13" spans="1:50" ht="16.8">
      <c r="A13" s="24" t="s">
        <v>26</v>
      </c>
      <c r="B13" s="12">
        <f t="shared" si="2"/>
        <v>18</v>
      </c>
      <c r="C13" s="12">
        <f t="shared" si="3"/>
        <v>2</v>
      </c>
      <c r="D13" s="12">
        <f t="shared" si="4"/>
        <v>0</v>
      </c>
      <c r="E13" s="12">
        <f t="shared" si="5"/>
        <v>9</v>
      </c>
      <c r="F13" s="12">
        <f t="shared" si="6"/>
        <v>4</v>
      </c>
      <c r="G13" s="12">
        <f t="shared" si="7"/>
        <v>6</v>
      </c>
      <c r="H13" s="12">
        <f t="shared" si="8"/>
        <v>0</v>
      </c>
      <c r="I13" s="5">
        <v>9</v>
      </c>
      <c r="J13" s="86"/>
      <c r="K13" s="18">
        <v>9</v>
      </c>
      <c r="L13" s="21" t="s">
        <v>29</v>
      </c>
      <c r="M13" s="21" t="s">
        <v>24</v>
      </c>
      <c r="N13" s="21" t="s">
        <v>21</v>
      </c>
      <c r="O13" s="21" t="s">
        <v>36</v>
      </c>
      <c r="P13" s="21" t="s">
        <v>32</v>
      </c>
      <c r="Q13" s="21" t="s">
        <v>24</v>
      </c>
      <c r="R13" s="21" t="s">
        <v>64</v>
      </c>
      <c r="T13" s="6">
        <f t="shared" si="9"/>
        <v>12</v>
      </c>
      <c r="U13" s="6">
        <f t="shared" si="10"/>
        <v>8</v>
      </c>
      <c r="V13" s="6">
        <f t="shared" si="11"/>
        <v>3</v>
      </c>
      <c r="W13" s="6">
        <f t="shared" si="12"/>
        <v>1</v>
      </c>
      <c r="X13" s="6">
        <f t="shared" si="13"/>
        <v>2</v>
      </c>
      <c r="Y13" s="6">
        <f t="shared" si="14"/>
        <v>8</v>
      </c>
      <c r="Z13" s="6">
        <f t="shared" si="15"/>
        <v>6</v>
      </c>
      <c r="AB13" s="22">
        <v>5</v>
      </c>
      <c r="AC13" s="22">
        <v>0</v>
      </c>
      <c r="AD13" s="22">
        <v>0</v>
      </c>
      <c r="AE13" s="22">
        <v>0</v>
      </c>
      <c r="AF13" s="22">
        <v>1</v>
      </c>
      <c r="AG13" s="22">
        <v>5</v>
      </c>
      <c r="AH13" s="22">
        <v>5</v>
      </c>
      <c r="AJ13" s="5">
        <v>1</v>
      </c>
      <c r="AK13" s="5">
        <v>1</v>
      </c>
      <c r="AL13" s="5">
        <v>1</v>
      </c>
      <c r="AM13" s="5">
        <v>0</v>
      </c>
      <c r="AN13" s="5">
        <v>1</v>
      </c>
      <c r="AO13" s="5">
        <v>1</v>
      </c>
      <c r="AP13" s="5">
        <v>1</v>
      </c>
    </row>
    <row r="14" spans="1:50" ht="16.8">
      <c r="A14" s="25" t="s">
        <v>27</v>
      </c>
      <c r="B14" s="12">
        <f t="shared" si="2"/>
        <v>16</v>
      </c>
      <c r="C14" s="12">
        <f t="shared" si="3"/>
        <v>0</v>
      </c>
      <c r="D14" s="12">
        <f t="shared" si="4"/>
        <v>18</v>
      </c>
      <c r="E14" s="12">
        <f t="shared" si="5"/>
        <v>18</v>
      </c>
      <c r="F14" s="12">
        <f t="shared" si="6"/>
        <v>4</v>
      </c>
      <c r="G14" s="12">
        <f t="shared" si="7"/>
        <v>16</v>
      </c>
      <c r="H14" s="12">
        <f t="shared" si="8"/>
        <v>0</v>
      </c>
      <c r="I14" s="5">
        <v>10</v>
      </c>
      <c r="J14" s="86"/>
      <c r="K14" s="19">
        <v>10</v>
      </c>
      <c r="L14" s="21" t="s">
        <v>39</v>
      </c>
      <c r="M14" s="21" t="s">
        <v>24</v>
      </c>
      <c r="N14" s="21" t="s">
        <v>27</v>
      </c>
      <c r="O14" s="21" t="s">
        <v>17</v>
      </c>
      <c r="P14" s="21" t="s">
        <v>21</v>
      </c>
      <c r="Q14" s="21" t="s">
        <v>32</v>
      </c>
      <c r="R14" s="21" t="s">
        <v>28</v>
      </c>
      <c r="T14" s="6">
        <f t="shared" si="9"/>
        <v>11</v>
      </c>
      <c r="U14" s="6">
        <f t="shared" si="10"/>
        <v>8</v>
      </c>
      <c r="V14" s="6">
        <f t="shared" si="11"/>
        <v>10</v>
      </c>
      <c r="W14" s="6">
        <f t="shared" si="12"/>
        <v>4</v>
      </c>
      <c r="X14" s="6">
        <f t="shared" si="13"/>
        <v>3</v>
      </c>
      <c r="Y14" s="6">
        <f t="shared" si="14"/>
        <v>2</v>
      </c>
      <c r="Z14" s="6">
        <f t="shared" si="15"/>
        <v>11</v>
      </c>
      <c r="AB14" s="22">
        <v>5</v>
      </c>
      <c r="AC14" s="22">
        <v>5</v>
      </c>
      <c r="AD14" s="22">
        <v>5</v>
      </c>
      <c r="AE14" s="22">
        <v>5</v>
      </c>
      <c r="AF14" s="22">
        <v>5</v>
      </c>
      <c r="AG14" s="22">
        <v>5</v>
      </c>
      <c r="AH14" s="22">
        <v>5</v>
      </c>
      <c r="AJ14" s="5">
        <v>1</v>
      </c>
      <c r="AK14" s="5">
        <v>1</v>
      </c>
      <c r="AL14" s="5">
        <v>1</v>
      </c>
      <c r="AM14" s="5">
        <v>2</v>
      </c>
      <c r="AN14" s="5">
        <v>1</v>
      </c>
      <c r="AO14" s="5">
        <v>1</v>
      </c>
      <c r="AP14" s="5">
        <v>1</v>
      </c>
    </row>
    <row r="15" spans="1:50">
      <c r="A15" s="26" t="s">
        <v>28</v>
      </c>
      <c r="B15" s="12">
        <f t="shared" si="2"/>
        <v>6</v>
      </c>
      <c r="C15" s="12">
        <f t="shared" si="3"/>
        <v>6</v>
      </c>
      <c r="D15" s="12">
        <f t="shared" si="4"/>
        <v>12</v>
      </c>
      <c r="E15" s="12">
        <f t="shared" si="5"/>
        <v>0</v>
      </c>
      <c r="F15" s="12">
        <f t="shared" si="6"/>
        <v>4</v>
      </c>
      <c r="G15" s="12">
        <f t="shared" si="7"/>
        <v>16</v>
      </c>
      <c r="H15" s="12">
        <f t="shared" si="8"/>
        <v>18</v>
      </c>
      <c r="I15" s="5">
        <v>11</v>
      </c>
      <c r="K15" s="18">
        <v>11</v>
      </c>
      <c r="L15" s="21" t="s">
        <v>64</v>
      </c>
      <c r="M15" s="21" t="s">
        <v>19</v>
      </c>
      <c r="N15" s="21" t="s">
        <v>90</v>
      </c>
      <c r="O15" s="21" t="s">
        <v>17</v>
      </c>
      <c r="P15" s="21" t="s">
        <v>252</v>
      </c>
      <c r="Q15" s="21" t="s">
        <v>64</v>
      </c>
      <c r="R15" s="21" t="s">
        <v>28</v>
      </c>
      <c r="T15" s="6">
        <f t="shared" si="9"/>
        <v>6</v>
      </c>
      <c r="U15" s="6">
        <f t="shared" si="10"/>
        <v>1</v>
      </c>
      <c r="V15" s="6">
        <f t="shared" si="11"/>
        <v>7</v>
      </c>
      <c r="W15" s="6">
        <f t="shared" si="12"/>
        <v>4</v>
      </c>
      <c r="X15" s="6">
        <f t="shared" si="13"/>
        <v>22</v>
      </c>
      <c r="Y15" s="6">
        <f t="shared" si="14"/>
        <v>6</v>
      </c>
      <c r="Z15" s="6">
        <f t="shared" si="15"/>
        <v>11</v>
      </c>
      <c r="AB15" s="22">
        <v>5</v>
      </c>
      <c r="AC15" s="22">
        <v>0</v>
      </c>
      <c r="AD15" s="22">
        <v>0</v>
      </c>
      <c r="AE15" s="22">
        <v>0</v>
      </c>
      <c r="AF15" s="22">
        <v>0</v>
      </c>
      <c r="AG15" s="22">
        <v>5</v>
      </c>
      <c r="AH15" s="22">
        <v>5</v>
      </c>
      <c r="AJ15" s="5">
        <v>1</v>
      </c>
      <c r="AK15" s="5">
        <v>1</v>
      </c>
      <c r="AL15" s="5">
        <v>1</v>
      </c>
      <c r="AM15" s="5">
        <v>0</v>
      </c>
      <c r="AN15" s="5">
        <v>2</v>
      </c>
      <c r="AO15" s="5">
        <v>1</v>
      </c>
      <c r="AP15" s="5">
        <v>1</v>
      </c>
    </row>
    <row r="16" spans="1:50">
      <c r="A16" s="27" t="s">
        <v>29</v>
      </c>
      <c r="B16" s="12">
        <f t="shared" si="2"/>
        <v>23</v>
      </c>
      <c r="C16" s="12">
        <f t="shared" si="3"/>
        <v>7</v>
      </c>
      <c r="D16" s="12">
        <f t="shared" si="4"/>
        <v>0</v>
      </c>
      <c r="E16" s="12">
        <f t="shared" si="5"/>
        <v>0</v>
      </c>
      <c r="F16" s="12">
        <f t="shared" si="6"/>
        <v>0</v>
      </c>
      <c r="G16" s="12">
        <f t="shared" si="7"/>
        <v>9</v>
      </c>
      <c r="H16" s="12">
        <f t="shared" si="8"/>
        <v>6</v>
      </c>
      <c r="I16" s="5">
        <v>12</v>
      </c>
      <c r="K16" s="19">
        <v>12</v>
      </c>
      <c r="L16" s="21" t="s">
        <v>64</v>
      </c>
      <c r="M16" s="21" t="s">
        <v>240</v>
      </c>
      <c r="N16" s="21" t="s">
        <v>242</v>
      </c>
      <c r="O16" s="21" t="s">
        <v>27</v>
      </c>
      <c r="P16" s="21" t="s">
        <v>252</v>
      </c>
      <c r="Q16" s="21" t="s">
        <v>27</v>
      </c>
      <c r="R16" s="21" t="s">
        <v>28</v>
      </c>
      <c r="T16" s="6">
        <f t="shared" si="9"/>
        <v>6</v>
      </c>
      <c r="U16" s="6">
        <f t="shared" si="10"/>
        <v>16</v>
      </c>
      <c r="V16" s="6">
        <f t="shared" si="11"/>
        <v>17</v>
      </c>
      <c r="W16" s="6">
        <f t="shared" si="12"/>
        <v>10</v>
      </c>
      <c r="X16" s="6">
        <f t="shared" si="13"/>
        <v>22</v>
      </c>
      <c r="Y16" s="6">
        <f t="shared" si="14"/>
        <v>10</v>
      </c>
      <c r="Z16" s="6">
        <f t="shared" si="15"/>
        <v>11</v>
      </c>
      <c r="AB16" s="22">
        <v>5</v>
      </c>
      <c r="AC16" s="22">
        <v>0</v>
      </c>
      <c r="AD16" s="22">
        <v>0</v>
      </c>
      <c r="AE16" s="22">
        <v>0</v>
      </c>
      <c r="AF16" s="22">
        <v>0</v>
      </c>
      <c r="AG16" s="22">
        <v>5</v>
      </c>
      <c r="AH16" s="22">
        <v>5</v>
      </c>
      <c r="AJ16" s="5">
        <v>1</v>
      </c>
      <c r="AK16" s="5">
        <v>2</v>
      </c>
      <c r="AL16" s="5">
        <v>2</v>
      </c>
      <c r="AM16" s="5">
        <v>1</v>
      </c>
      <c r="AN16" s="5">
        <v>0</v>
      </c>
      <c r="AO16" s="5">
        <v>1</v>
      </c>
      <c r="AP16" s="5">
        <v>1</v>
      </c>
    </row>
    <row r="17" spans="1:42">
      <c r="A17" s="27" t="s">
        <v>234</v>
      </c>
      <c r="B17" s="12">
        <f t="shared" si="2"/>
        <v>0</v>
      </c>
      <c r="C17" s="12">
        <f t="shared" si="3"/>
        <v>2</v>
      </c>
      <c r="D17" s="12">
        <f t="shared" si="4"/>
        <v>12</v>
      </c>
      <c r="E17" s="12">
        <f t="shared" si="5"/>
        <v>0</v>
      </c>
      <c r="F17" s="12">
        <f t="shared" si="6"/>
        <v>0</v>
      </c>
      <c r="G17" s="12">
        <f t="shared" si="7"/>
        <v>0</v>
      </c>
      <c r="H17" s="12">
        <f t="shared" si="8"/>
        <v>0</v>
      </c>
      <c r="I17" s="5">
        <v>13</v>
      </c>
      <c r="K17" s="18">
        <v>13</v>
      </c>
      <c r="L17" s="21" t="s">
        <v>29</v>
      </c>
      <c r="M17" s="21" t="s">
        <v>240</v>
      </c>
      <c r="N17" s="21" t="s">
        <v>242</v>
      </c>
      <c r="O17" s="21" t="s">
        <v>32</v>
      </c>
      <c r="P17" s="21" t="s">
        <v>26</v>
      </c>
      <c r="Q17" s="21" t="s">
        <v>24</v>
      </c>
      <c r="R17" s="21" t="s">
        <v>33</v>
      </c>
      <c r="T17" s="6">
        <f t="shared" si="9"/>
        <v>12</v>
      </c>
      <c r="U17" s="6">
        <f t="shared" si="10"/>
        <v>16</v>
      </c>
      <c r="V17" s="6">
        <f t="shared" si="11"/>
        <v>17</v>
      </c>
      <c r="W17" s="6">
        <f t="shared" si="12"/>
        <v>2</v>
      </c>
      <c r="X17" s="6">
        <f t="shared" si="13"/>
        <v>9</v>
      </c>
      <c r="Y17" s="6">
        <f t="shared" si="14"/>
        <v>8</v>
      </c>
      <c r="Z17" s="6">
        <f t="shared" si="15"/>
        <v>3</v>
      </c>
      <c r="AB17" s="22">
        <v>5</v>
      </c>
      <c r="AC17" s="22">
        <v>0</v>
      </c>
      <c r="AD17" s="22">
        <v>0</v>
      </c>
      <c r="AE17" s="22">
        <v>0</v>
      </c>
      <c r="AF17" s="22">
        <v>0</v>
      </c>
      <c r="AG17" s="22">
        <v>5</v>
      </c>
      <c r="AH17" s="22">
        <v>5</v>
      </c>
      <c r="AJ17" s="5">
        <v>1</v>
      </c>
      <c r="AK17" s="5">
        <v>0</v>
      </c>
      <c r="AL17" s="5">
        <v>0</v>
      </c>
      <c r="AM17" s="5">
        <v>1</v>
      </c>
      <c r="AN17" s="5">
        <v>1</v>
      </c>
      <c r="AO17" s="5">
        <v>1</v>
      </c>
      <c r="AP17" s="5">
        <v>1</v>
      </c>
    </row>
    <row r="18" spans="1:42">
      <c r="A18" s="27" t="s">
        <v>236</v>
      </c>
      <c r="B18" s="12">
        <f t="shared" si="2"/>
        <v>0</v>
      </c>
      <c r="C18" s="12">
        <f t="shared" si="3"/>
        <v>0</v>
      </c>
      <c r="D18" s="12">
        <f t="shared" si="4"/>
        <v>0</v>
      </c>
      <c r="E18" s="12">
        <f t="shared" si="5"/>
        <v>18</v>
      </c>
      <c r="F18" s="12">
        <f t="shared" si="6"/>
        <v>0</v>
      </c>
      <c r="G18" s="12">
        <f t="shared" si="7"/>
        <v>0</v>
      </c>
      <c r="H18" s="12">
        <f t="shared" si="8"/>
        <v>0</v>
      </c>
      <c r="I18" s="5">
        <v>14</v>
      </c>
      <c r="K18" s="19">
        <v>14</v>
      </c>
      <c r="L18" s="21" t="s">
        <v>29</v>
      </c>
      <c r="M18" s="21" t="s">
        <v>28</v>
      </c>
      <c r="N18" s="21" t="s">
        <v>18</v>
      </c>
      <c r="O18" s="21" t="s">
        <v>24</v>
      </c>
      <c r="P18" s="21" t="s">
        <v>36</v>
      </c>
      <c r="Q18" s="21" t="s">
        <v>64</v>
      </c>
      <c r="R18" s="21" t="s">
        <v>18</v>
      </c>
      <c r="S18" s="96"/>
      <c r="T18" s="6">
        <f t="shared" si="9"/>
        <v>12</v>
      </c>
      <c r="U18" s="6">
        <f t="shared" si="10"/>
        <v>11</v>
      </c>
      <c r="V18" s="6">
        <f t="shared" si="11"/>
        <v>5</v>
      </c>
      <c r="W18" s="6">
        <f t="shared" si="12"/>
        <v>8</v>
      </c>
      <c r="X18" s="6">
        <f t="shared" si="13"/>
        <v>1</v>
      </c>
      <c r="Y18" s="6">
        <f t="shared" si="14"/>
        <v>6</v>
      </c>
      <c r="Z18" s="6">
        <f t="shared" si="15"/>
        <v>5</v>
      </c>
      <c r="AA18" s="96"/>
      <c r="AB18" s="22">
        <v>5</v>
      </c>
      <c r="AC18" s="22">
        <v>0</v>
      </c>
      <c r="AD18" s="22">
        <v>0</v>
      </c>
      <c r="AE18" s="22">
        <v>0</v>
      </c>
      <c r="AF18" s="22">
        <v>1</v>
      </c>
      <c r="AG18" s="22">
        <v>5</v>
      </c>
      <c r="AH18" s="22">
        <v>5</v>
      </c>
      <c r="AI18" s="96"/>
      <c r="AJ18" s="5">
        <v>1</v>
      </c>
      <c r="AK18" s="5">
        <v>1</v>
      </c>
      <c r="AL18" s="5">
        <v>1</v>
      </c>
      <c r="AM18" s="5">
        <v>1</v>
      </c>
      <c r="AN18" s="5">
        <v>1</v>
      </c>
      <c r="AO18" s="5">
        <v>1</v>
      </c>
      <c r="AP18" s="5">
        <v>1</v>
      </c>
    </row>
    <row r="19" spans="1:42">
      <c r="A19" s="27" t="s">
        <v>238</v>
      </c>
      <c r="B19" s="12">
        <f t="shared" si="2"/>
        <v>0</v>
      </c>
      <c r="C19" s="12">
        <f t="shared" si="3"/>
        <v>0</v>
      </c>
      <c r="D19" s="12">
        <f t="shared" si="4"/>
        <v>0</v>
      </c>
      <c r="E19" s="12">
        <f t="shared" si="5"/>
        <v>0</v>
      </c>
      <c r="F19" s="12">
        <f t="shared" si="6"/>
        <v>12</v>
      </c>
      <c r="G19" s="12">
        <f t="shared" si="7"/>
        <v>0</v>
      </c>
      <c r="H19" s="12">
        <f t="shared" si="8"/>
        <v>0</v>
      </c>
      <c r="I19" s="5">
        <v>15</v>
      </c>
      <c r="K19" s="18">
        <v>15</v>
      </c>
      <c r="L19" s="21" t="s">
        <v>32</v>
      </c>
      <c r="M19" s="21" t="s">
        <v>20</v>
      </c>
      <c r="N19" s="21" t="s">
        <v>27</v>
      </c>
      <c r="O19" s="21" t="s">
        <v>33</v>
      </c>
      <c r="P19" s="21" t="s">
        <v>242</v>
      </c>
      <c r="Q19" s="21" t="s">
        <v>33</v>
      </c>
      <c r="R19" s="21" t="s">
        <v>18</v>
      </c>
      <c r="T19" s="6">
        <f t="shared" si="9"/>
        <v>2</v>
      </c>
      <c r="U19" s="6">
        <f t="shared" si="10"/>
        <v>2</v>
      </c>
      <c r="V19" s="6">
        <f t="shared" si="11"/>
        <v>10</v>
      </c>
      <c r="W19" s="6">
        <f t="shared" si="12"/>
        <v>3</v>
      </c>
      <c r="X19" s="6">
        <f t="shared" si="13"/>
        <v>17</v>
      </c>
      <c r="Y19" s="6">
        <f t="shared" si="14"/>
        <v>3</v>
      </c>
      <c r="Z19" s="6">
        <f t="shared" si="15"/>
        <v>5</v>
      </c>
      <c r="AB19" s="22">
        <v>5</v>
      </c>
      <c r="AC19" s="22">
        <v>5</v>
      </c>
      <c r="AD19" s="22">
        <v>5</v>
      </c>
      <c r="AE19" s="22">
        <v>5</v>
      </c>
      <c r="AF19" s="22">
        <v>6</v>
      </c>
      <c r="AG19" s="22">
        <v>5</v>
      </c>
      <c r="AH19" s="22">
        <v>5</v>
      </c>
      <c r="AJ19" s="5">
        <v>1</v>
      </c>
      <c r="AK19" s="5">
        <v>1</v>
      </c>
      <c r="AL19" s="5">
        <v>1</v>
      </c>
      <c r="AM19" s="5">
        <v>2</v>
      </c>
      <c r="AN19" s="5">
        <v>2</v>
      </c>
      <c r="AO19" s="5">
        <v>1</v>
      </c>
      <c r="AP19" s="5">
        <v>1</v>
      </c>
    </row>
    <row r="20" spans="1:42">
      <c r="A20" s="27" t="s">
        <v>240</v>
      </c>
      <c r="B20" s="12">
        <f t="shared" si="2"/>
        <v>0</v>
      </c>
      <c r="C20" s="12">
        <f t="shared" si="3"/>
        <v>12</v>
      </c>
      <c r="D20" s="12">
        <f t="shared" si="4"/>
        <v>0</v>
      </c>
      <c r="E20" s="12">
        <f t="shared" si="5"/>
        <v>12</v>
      </c>
      <c r="F20" s="12">
        <f t="shared" si="6"/>
        <v>0</v>
      </c>
      <c r="G20" s="12">
        <f t="shared" si="7"/>
        <v>0</v>
      </c>
      <c r="H20" s="12">
        <f t="shared" si="8"/>
        <v>0</v>
      </c>
      <c r="I20" s="5">
        <v>16</v>
      </c>
      <c r="K20" s="19">
        <v>16</v>
      </c>
      <c r="L20" s="21" t="s">
        <v>26</v>
      </c>
      <c r="M20" s="21" t="s">
        <v>252</v>
      </c>
      <c r="N20" s="21" t="s">
        <v>27</v>
      </c>
      <c r="O20" s="21" t="s">
        <v>33</v>
      </c>
      <c r="P20" s="21" t="s">
        <v>242</v>
      </c>
      <c r="Q20" s="21" t="s">
        <v>18</v>
      </c>
      <c r="R20" s="21" t="s">
        <v>36</v>
      </c>
      <c r="T20" s="6">
        <f t="shared" si="9"/>
        <v>9</v>
      </c>
      <c r="U20" s="6">
        <f t="shared" si="10"/>
        <v>22</v>
      </c>
      <c r="V20" s="6">
        <f t="shared" si="11"/>
        <v>10</v>
      </c>
      <c r="W20" s="6">
        <f t="shared" si="12"/>
        <v>3</v>
      </c>
      <c r="X20" s="6">
        <f t="shared" si="13"/>
        <v>17</v>
      </c>
      <c r="Y20" s="6">
        <f t="shared" si="14"/>
        <v>5</v>
      </c>
      <c r="Z20" s="6">
        <f t="shared" si="15"/>
        <v>1</v>
      </c>
      <c r="AB20" s="22">
        <v>5</v>
      </c>
      <c r="AC20" s="22">
        <v>0</v>
      </c>
      <c r="AD20" s="22">
        <v>0</v>
      </c>
      <c r="AE20" s="22">
        <v>0</v>
      </c>
      <c r="AF20" s="22">
        <v>0</v>
      </c>
      <c r="AG20" s="22">
        <v>5</v>
      </c>
      <c r="AH20" s="22">
        <v>5</v>
      </c>
      <c r="AJ20" s="5">
        <v>1</v>
      </c>
      <c r="AK20" s="5">
        <v>2</v>
      </c>
      <c r="AL20" s="5">
        <v>1</v>
      </c>
      <c r="AM20" s="5">
        <v>0</v>
      </c>
      <c r="AN20" s="5">
        <v>0</v>
      </c>
      <c r="AO20" s="5">
        <v>1</v>
      </c>
      <c r="AP20" s="5">
        <v>1</v>
      </c>
    </row>
    <row r="21" spans="1:42">
      <c r="A21" s="27" t="s">
        <v>242</v>
      </c>
      <c r="B21" s="12">
        <f t="shared" si="2"/>
        <v>0</v>
      </c>
      <c r="C21" s="12">
        <f t="shared" si="3"/>
        <v>0</v>
      </c>
      <c r="D21" s="12">
        <f t="shared" si="4"/>
        <v>12</v>
      </c>
      <c r="E21" s="12">
        <f t="shared" si="5"/>
        <v>0</v>
      </c>
      <c r="F21" s="12">
        <f t="shared" si="6"/>
        <v>21</v>
      </c>
      <c r="G21" s="12">
        <f t="shared" si="7"/>
        <v>0</v>
      </c>
      <c r="H21" s="12">
        <f t="shared" si="8"/>
        <v>0</v>
      </c>
      <c r="I21" s="5">
        <v>17</v>
      </c>
      <c r="K21" s="18">
        <v>17</v>
      </c>
      <c r="L21" s="21" t="s">
        <v>27</v>
      </c>
      <c r="M21" s="21" t="s">
        <v>252</v>
      </c>
      <c r="N21" s="21" t="s">
        <v>90</v>
      </c>
      <c r="O21" s="21" t="s">
        <v>19</v>
      </c>
      <c r="P21" s="21" t="s">
        <v>21</v>
      </c>
      <c r="Q21" s="21" t="s">
        <v>28</v>
      </c>
      <c r="R21" s="21" t="s">
        <v>29</v>
      </c>
      <c r="T21" s="6">
        <f t="shared" si="9"/>
        <v>10</v>
      </c>
      <c r="U21" s="6">
        <f t="shared" si="10"/>
        <v>22</v>
      </c>
      <c r="V21" s="6">
        <f>VLOOKUP(N21, $A$4:$I$29, 9, 0)</f>
        <v>7</v>
      </c>
      <c r="W21" s="6">
        <f t="shared" si="12"/>
        <v>1</v>
      </c>
      <c r="X21" s="6">
        <f t="shared" si="13"/>
        <v>3</v>
      </c>
      <c r="Y21" s="6">
        <f t="shared" si="14"/>
        <v>11</v>
      </c>
      <c r="Z21" s="6">
        <f t="shared" si="15"/>
        <v>12</v>
      </c>
      <c r="AB21" s="22">
        <v>5</v>
      </c>
      <c r="AC21" s="22">
        <v>0</v>
      </c>
      <c r="AD21" s="22">
        <v>0</v>
      </c>
      <c r="AE21" s="22">
        <v>0</v>
      </c>
      <c r="AF21" s="22">
        <v>0</v>
      </c>
      <c r="AG21" s="22">
        <v>5</v>
      </c>
      <c r="AH21" s="22">
        <v>5</v>
      </c>
      <c r="AJ21" s="5">
        <v>1</v>
      </c>
      <c r="AK21" s="5">
        <v>0</v>
      </c>
      <c r="AL21" s="5">
        <v>1</v>
      </c>
      <c r="AM21" s="5">
        <v>1</v>
      </c>
      <c r="AN21" s="5">
        <v>2</v>
      </c>
      <c r="AO21" s="5">
        <v>1</v>
      </c>
      <c r="AP21" s="5">
        <v>1</v>
      </c>
    </row>
    <row r="22" spans="1:42">
      <c r="A22" s="27" t="s">
        <v>244</v>
      </c>
      <c r="B22" s="12">
        <f t="shared" si="2"/>
        <v>0</v>
      </c>
      <c r="C22" s="12">
        <f t="shared" si="3"/>
        <v>0</v>
      </c>
      <c r="D22" s="12">
        <f t="shared" si="4"/>
        <v>0</v>
      </c>
      <c r="E22" s="12">
        <f t="shared" si="5"/>
        <v>0</v>
      </c>
      <c r="F22" s="12">
        <f t="shared" si="6"/>
        <v>0</v>
      </c>
      <c r="G22" s="12">
        <f t="shared" si="7"/>
        <v>0</v>
      </c>
      <c r="H22" s="12">
        <f t="shared" si="8"/>
        <v>0</v>
      </c>
      <c r="I22" s="5">
        <v>18</v>
      </c>
      <c r="K22" s="19">
        <v>18</v>
      </c>
      <c r="L22" s="21" t="s">
        <v>27</v>
      </c>
      <c r="M22" s="21" t="s">
        <v>19</v>
      </c>
      <c r="N22" s="21" t="s">
        <v>64</v>
      </c>
      <c r="O22" s="21" t="s">
        <v>240</v>
      </c>
      <c r="P22" s="21" t="s">
        <v>21</v>
      </c>
      <c r="Q22" s="21" t="s">
        <v>64</v>
      </c>
      <c r="R22" s="21" t="s">
        <v>17</v>
      </c>
      <c r="T22" s="6">
        <f t="shared" si="9"/>
        <v>10</v>
      </c>
      <c r="U22" s="6">
        <f t="shared" si="10"/>
        <v>1</v>
      </c>
      <c r="V22" s="6">
        <f t="shared" si="11"/>
        <v>6</v>
      </c>
      <c r="W22" s="6">
        <f t="shared" si="12"/>
        <v>16</v>
      </c>
      <c r="X22" s="6">
        <f t="shared" si="13"/>
        <v>3</v>
      </c>
      <c r="Y22" s="6">
        <f t="shared" si="14"/>
        <v>6</v>
      </c>
      <c r="Z22" s="6">
        <f t="shared" si="15"/>
        <v>4</v>
      </c>
      <c r="AB22" s="22">
        <v>5</v>
      </c>
      <c r="AC22" s="22">
        <v>0</v>
      </c>
      <c r="AD22" s="22">
        <v>0</v>
      </c>
      <c r="AE22" s="22">
        <v>0</v>
      </c>
      <c r="AF22" s="22">
        <v>0</v>
      </c>
      <c r="AG22" s="22">
        <v>5</v>
      </c>
      <c r="AH22" s="22">
        <v>5</v>
      </c>
      <c r="AJ22" s="5">
        <v>1</v>
      </c>
      <c r="AK22" s="5">
        <v>1</v>
      </c>
      <c r="AL22" s="5">
        <v>1</v>
      </c>
      <c r="AM22" s="5">
        <v>2</v>
      </c>
      <c r="AN22" s="5">
        <v>0</v>
      </c>
      <c r="AO22" s="5">
        <v>1</v>
      </c>
      <c r="AP22" s="5">
        <v>1</v>
      </c>
    </row>
    <row r="23" spans="1:42">
      <c r="A23" s="27" t="s">
        <v>246</v>
      </c>
      <c r="B23" s="12">
        <f t="shared" si="2"/>
        <v>0</v>
      </c>
      <c r="C23" s="12">
        <f t="shared" si="3"/>
        <v>12</v>
      </c>
      <c r="D23" s="12">
        <f t="shared" si="4"/>
        <v>0</v>
      </c>
      <c r="E23" s="12">
        <f t="shared" si="5"/>
        <v>0</v>
      </c>
      <c r="F23" s="12">
        <f t="shared" si="6"/>
        <v>0</v>
      </c>
      <c r="G23" s="12">
        <f t="shared" si="7"/>
        <v>0</v>
      </c>
      <c r="H23" s="12">
        <f t="shared" si="8"/>
        <v>0</v>
      </c>
      <c r="I23" s="5">
        <v>19</v>
      </c>
      <c r="K23" s="18">
        <v>19</v>
      </c>
      <c r="L23" s="21" t="s">
        <v>21</v>
      </c>
      <c r="M23" s="21" t="s">
        <v>37</v>
      </c>
      <c r="N23" s="21" t="s">
        <v>24</v>
      </c>
      <c r="O23" s="21" t="s">
        <v>240</v>
      </c>
      <c r="P23" s="21" t="s">
        <v>32</v>
      </c>
      <c r="Q23" s="21" t="s">
        <v>32</v>
      </c>
      <c r="R23" s="21" t="s">
        <v>20</v>
      </c>
      <c r="T23" s="6">
        <f t="shared" si="9"/>
        <v>3</v>
      </c>
      <c r="U23" s="6">
        <f t="shared" si="10"/>
        <v>9</v>
      </c>
      <c r="V23" s="6">
        <f t="shared" si="11"/>
        <v>8</v>
      </c>
      <c r="W23" s="6">
        <f t="shared" si="12"/>
        <v>16</v>
      </c>
      <c r="X23" s="6">
        <f t="shared" si="13"/>
        <v>2</v>
      </c>
      <c r="Y23" s="6">
        <f t="shared" si="14"/>
        <v>2</v>
      </c>
      <c r="Z23" s="6">
        <f t="shared" si="15"/>
        <v>2</v>
      </c>
      <c r="AB23" s="22">
        <v>5</v>
      </c>
      <c r="AC23" s="22">
        <v>0</v>
      </c>
      <c r="AD23" s="22">
        <v>0</v>
      </c>
      <c r="AE23" s="22">
        <v>0</v>
      </c>
      <c r="AF23" s="22">
        <v>0</v>
      </c>
      <c r="AG23" s="22">
        <v>5</v>
      </c>
      <c r="AH23" s="22">
        <v>5</v>
      </c>
      <c r="AJ23" s="5">
        <v>1</v>
      </c>
      <c r="AK23" s="5">
        <v>1</v>
      </c>
      <c r="AL23" s="5">
        <v>1</v>
      </c>
      <c r="AM23" s="5">
        <v>0</v>
      </c>
      <c r="AN23" s="5">
        <v>1</v>
      </c>
      <c r="AO23" s="5">
        <v>1</v>
      </c>
      <c r="AP23" s="5">
        <v>1</v>
      </c>
    </row>
    <row r="24" spans="1:42">
      <c r="A24" s="27" t="s">
        <v>248</v>
      </c>
      <c r="B24" s="12">
        <f t="shared" si="2"/>
        <v>0</v>
      </c>
      <c r="C24" s="12">
        <f t="shared" si="3"/>
        <v>2</v>
      </c>
      <c r="D24" s="12">
        <f t="shared" si="4"/>
        <v>0</v>
      </c>
      <c r="E24" s="12">
        <f t="shared" si="5"/>
        <v>8</v>
      </c>
      <c r="F24" s="12">
        <f t="shared" si="6"/>
        <v>0</v>
      </c>
      <c r="G24" s="12">
        <f t="shared" si="7"/>
        <v>0</v>
      </c>
      <c r="H24" s="12">
        <f t="shared" si="8"/>
        <v>0</v>
      </c>
      <c r="I24" s="5">
        <v>20</v>
      </c>
      <c r="K24" s="19">
        <v>20</v>
      </c>
      <c r="L24" s="21" t="s">
        <v>34</v>
      </c>
      <c r="M24" s="21" t="s">
        <v>246</v>
      </c>
      <c r="N24" s="21" t="s">
        <v>90</v>
      </c>
      <c r="O24" s="21" t="s">
        <v>19</v>
      </c>
      <c r="P24" s="21" t="s">
        <v>35</v>
      </c>
      <c r="Q24" s="21" t="s">
        <v>24</v>
      </c>
      <c r="R24" s="21" t="s">
        <v>20</v>
      </c>
      <c r="T24" s="6">
        <f t="shared" si="9"/>
        <v>4</v>
      </c>
      <c r="U24" s="6">
        <f t="shared" si="10"/>
        <v>19</v>
      </c>
      <c r="V24" s="6">
        <f t="shared" si="11"/>
        <v>7</v>
      </c>
      <c r="W24" s="6">
        <f t="shared" si="12"/>
        <v>1</v>
      </c>
      <c r="X24" s="6">
        <f t="shared" si="13"/>
        <v>5</v>
      </c>
      <c r="Y24" s="6">
        <f t="shared" si="14"/>
        <v>8</v>
      </c>
      <c r="Z24" s="6">
        <f t="shared" si="15"/>
        <v>2</v>
      </c>
      <c r="AB24" s="22">
        <v>5</v>
      </c>
      <c r="AC24" s="22">
        <v>5</v>
      </c>
      <c r="AD24" s="22">
        <v>5</v>
      </c>
      <c r="AE24" s="22">
        <v>5</v>
      </c>
      <c r="AF24" s="22">
        <v>6</v>
      </c>
      <c r="AG24" s="22">
        <v>5</v>
      </c>
      <c r="AH24" s="22">
        <v>5</v>
      </c>
      <c r="AJ24" s="5">
        <v>1</v>
      </c>
      <c r="AK24" s="5">
        <v>3</v>
      </c>
      <c r="AL24" s="5">
        <v>1</v>
      </c>
      <c r="AM24" s="5">
        <v>1</v>
      </c>
      <c r="AN24" s="5">
        <v>3</v>
      </c>
      <c r="AO24" s="5">
        <v>1</v>
      </c>
      <c r="AP24" s="5">
        <v>1</v>
      </c>
    </row>
    <row r="25" spans="1:42">
      <c r="A25" s="27" t="s">
        <v>250</v>
      </c>
      <c r="B25" s="12">
        <f t="shared" si="2"/>
        <v>0</v>
      </c>
      <c r="C25" s="12">
        <f t="shared" si="3"/>
        <v>0</v>
      </c>
      <c r="D25" s="12">
        <f t="shared" si="4"/>
        <v>0</v>
      </c>
      <c r="E25" s="12">
        <f t="shared" si="5"/>
        <v>0</v>
      </c>
      <c r="F25" s="12">
        <f t="shared" si="6"/>
        <v>0</v>
      </c>
      <c r="G25" s="12">
        <f t="shared" si="7"/>
        <v>0</v>
      </c>
      <c r="H25" s="12">
        <f t="shared" si="8"/>
        <v>0</v>
      </c>
      <c r="I25" s="5">
        <v>21</v>
      </c>
      <c r="K25" s="18">
        <v>21</v>
      </c>
      <c r="L25" s="21" t="s">
        <v>26</v>
      </c>
      <c r="M25" s="21" t="s">
        <v>246</v>
      </c>
      <c r="N25" s="21" t="s">
        <v>234</v>
      </c>
      <c r="O25" s="21" t="s">
        <v>236</v>
      </c>
      <c r="P25" s="21" t="s">
        <v>35</v>
      </c>
      <c r="Q25" s="21" t="s">
        <v>26</v>
      </c>
      <c r="R25" s="21" t="s">
        <v>24</v>
      </c>
      <c r="T25" s="6">
        <f t="shared" si="9"/>
        <v>9</v>
      </c>
      <c r="U25" s="6">
        <f t="shared" si="10"/>
        <v>19</v>
      </c>
      <c r="V25" s="6">
        <f t="shared" si="11"/>
        <v>13</v>
      </c>
      <c r="W25" s="6">
        <f t="shared" si="12"/>
        <v>14</v>
      </c>
      <c r="X25" s="6">
        <f t="shared" si="13"/>
        <v>5</v>
      </c>
      <c r="Y25" s="6">
        <f t="shared" si="14"/>
        <v>9</v>
      </c>
      <c r="Z25" s="6">
        <f t="shared" si="15"/>
        <v>8</v>
      </c>
      <c r="AB25" s="22">
        <v>5</v>
      </c>
      <c r="AC25" s="22">
        <v>0</v>
      </c>
      <c r="AD25" s="22">
        <v>0</v>
      </c>
      <c r="AE25" s="22">
        <v>0</v>
      </c>
      <c r="AF25" s="22">
        <v>0</v>
      </c>
      <c r="AG25" s="22">
        <v>5</v>
      </c>
      <c r="AH25" s="22">
        <v>5</v>
      </c>
      <c r="AJ25" s="5">
        <v>1</v>
      </c>
      <c r="AK25" s="5">
        <v>0</v>
      </c>
      <c r="AL25" s="5">
        <v>3</v>
      </c>
      <c r="AM25" s="5">
        <v>3</v>
      </c>
      <c r="AN25" s="5">
        <v>0</v>
      </c>
      <c r="AO25" s="5">
        <v>1</v>
      </c>
      <c r="AP25" s="5">
        <v>1</v>
      </c>
    </row>
    <row r="26" spans="1:42">
      <c r="A26" s="27" t="s">
        <v>252</v>
      </c>
      <c r="B26" s="12">
        <f t="shared" si="2"/>
        <v>0</v>
      </c>
      <c r="C26" s="12">
        <f t="shared" si="3"/>
        <v>12</v>
      </c>
      <c r="D26" s="12">
        <f t="shared" si="4"/>
        <v>0</v>
      </c>
      <c r="E26" s="12">
        <f t="shared" si="5"/>
        <v>0</v>
      </c>
      <c r="F26" s="12">
        <f t="shared" si="6"/>
        <v>12</v>
      </c>
      <c r="G26" s="12">
        <f t="shared" si="7"/>
        <v>0</v>
      </c>
      <c r="H26" s="12">
        <f t="shared" si="8"/>
        <v>0</v>
      </c>
      <c r="I26" s="5">
        <v>22</v>
      </c>
      <c r="K26" s="19">
        <v>22</v>
      </c>
      <c r="L26" s="21" t="s">
        <v>39</v>
      </c>
      <c r="M26" s="21" t="s">
        <v>246</v>
      </c>
      <c r="N26" s="21" t="s">
        <v>234</v>
      </c>
      <c r="O26" s="21" t="s">
        <v>236</v>
      </c>
      <c r="P26" s="21" t="s">
        <v>35</v>
      </c>
      <c r="Q26" s="21" t="s">
        <v>18</v>
      </c>
      <c r="R26" s="21" t="s">
        <v>24</v>
      </c>
      <c r="T26" s="6">
        <f t="shared" si="9"/>
        <v>11</v>
      </c>
      <c r="U26" s="6">
        <f t="shared" si="10"/>
        <v>19</v>
      </c>
      <c r="V26" s="6">
        <f t="shared" si="11"/>
        <v>13</v>
      </c>
      <c r="W26" s="6">
        <f t="shared" si="12"/>
        <v>14</v>
      </c>
      <c r="X26" s="6">
        <f t="shared" si="13"/>
        <v>5</v>
      </c>
      <c r="Y26" s="6">
        <f t="shared" si="14"/>
        <v>5</v>
      </c>
      <c r="Z26" s="6">
        <f t="shared" si="15"/>
        <v>8</v>
      </c>
      <c r="AB26" s="22">
        <v>5</v>
      </c>
      <c r="AC26" s="22">
        <v>0</v>
      </c>
      <c r="AD26" s="22">
        <v>0</v>
      </c>
      <c r="AE26" s="22">
        <v>0</v>
      </c>
      <c r="AF26" s="22">
        <v>0</v>
      </c>
      <c r="AG26" s="22">
        <v>5</v>
      </c>
      <c r="AH26" s="22">
        <v>5</v>
      </c>
      <c r="AJ26" s="5">
        <v>1</v>
      </c>
      <c r="AK26" s="5">
        <v>0</v>
      </c>
      <c r="AL26" s="5">
        <v>0</v>
      </c>
      <c r="AM26" s="5">
        <v>0</v>
      </c>
      <c r="AN26" s="5">
        <v>0</v>
      </c>
      <c r="AO26" s="5">
        <v>1</v>
      </c>
      <c r="AP26" s="5">
        <v>1</v>
      </c>
    </row>
    <row r="27" spans="1:42">
      <c r="A27" s="27" t="s">
        <v>254</v>
      </c>
      <c r="B27" s="12">
        <f t="shared" si="2"/>
        <v>0</v>
      </c>
      <c r="C27" s="12">
        <f t="shared" si="3"/>
        <v>0</v>
      </c>
      <c r="D27" s="12">
        <f t="shared" si="4"/>
        <v>0</v>
      </c>
      <c r="E27" s="12">
        <f t="shared" si="5"/>
        <v>0</v>
      </c>
      <c r="F27" s="12">
        <f t="shared" si="6"/>
        <v>0</v>
      </c>
      <c r="G27" s="12">
        <f t="shared" si="7"/>
        <v>0</v>
      </c>
      <c r="H27" s="12">
        <f t="shared" si="8"/>
        <v>0</v>
      </c>
      <c r="I27" s="5">
        <v>23</v>
      </c>
      <c r="K27" s="18">
        <v>23</v>
      </c>
      <c r="L27" s="21" t="s">
        <v>39</v>
      </c>
      <c r="M27" s="21" t="s">
        <v>90</v>
      </c>
      <c r="N27" s="21" t="s">
        <v>234</v>
      </c>
      <c r="O27" s="21" t="s">
        <v>236</v>
      </c>
      <c r="P27" s="21" t="s">
        <v>36</v>
      </c>
      <c r="Q27" s="21" t="s">
        <v>28</v>
      </c>
      <c r="R27" s="21" t="s">
        <v>36</v>
      </c>
      <c r="T27" s="6">
        <f t="shared" si="9"/>
        <v>11</v>
      </c>
      <c r="U27" s="6">
        <f t="shared" si="10"/>
        <v>7</v>
      </c>
      <c r="V27" s="6">
        <f t="shared" si="11"/>
        <v>13</v>
      </c>
      <c r="W27" s="6">
        <f t="shared" si="12"/>
        <v>14</v>
      </c>
      <c r="X27" s="6">
        <f t="shared" si="13"/>
        <v>1</v>
      </c>
      <c r="Y27" s="6">
        <f t="shared" si="14"/>
        <v>11</v>
      </c>
      <c r="Z27" s="6">
        <f t="shared" si="15"/>
        <v>1</v>
      </c>
      <c r="AB27" s="22">
        <v>5</v>
      </c>
      <c r="AC27" s="22">
        <v>0</v>
      </c>
      <c r="AD27" s="22">
        <v>0</v>
      </c>
      <c r="AE27" s="22">
        <v>0</v>
      </c>
      <c r="AF27" s="22">
        <v>0</v>
      </c>
      <c r="AG27" s="22">
        <v>5</v>
      </c>
      <c r="AH27" s="22">
        <v>5</v>
      </c>
      <c r="AJ27" s="5">
        <v>1</v>
      </c>
      <c r="AK27" s="5">
        <v>2</v>
      </c>
      <c r="AL27" s="5">
        <v>0</v>
      </c>
      <c r="AM27" s="5">
        <v>0</v>
      </c>
      <c r="AN27" s="5">
        <v>2</v>
      </c>
      <c r="AO27" s="5">
        <v>1</v>
      </c>
      <c r="AP27" s="5">
        <v>1</v>
      </c>
    </row>
    <row r="28" spans="1:42">
      <c r="A28" s="27" t="s">
        <v>69</v>
      </c>
      <c r="B28" s="12">
        <f t="shared" si="2"/>
        <v>0</v>
      </c>
      <c r="C28" s="12">
        <f t="shared" si="3"/>
        <v>0</v>
      </c>
      <c r="D28" s="12">
        <f t="shared" si="4"/>
        <v>0</v>
      </c>
      <c r="E28" s="12">
        <f t="shared" si="5"/>
        <v>0</v>
      </c>
      <c r="F28" s="12">
        <f t="shared" si="6"/>
        <v>0</v>
      </c>
      <c r="G28" s="12">
        <f t="shared" si="7"/>
        <v>0</v>
      </c>
      <c r="H28" s="12">
        <f t="shared" si="8"/>
        <v>0</v>
      </c>
      <c r="I28" s="5">
        <v>24</v>
      </c>
      <c r="K28" s="19">
        <v>24</v>
      </c>
      <c r="L28" s="21" t="s">
        <v>36</v>
      </c>
      <c r="M28" s="21" t="s">
        <v>90</v>
      </c>
      <c r="N28" s="21" t="s">
        <v>24</v>
      </c>
      <c r="O28" s="21" t="s">
        <v>26</v>
      </c>
      <c r="P28" s="21" t="s">
        <v>36</v>
      </c>
      <c r="Q28" s="21" t="s">
        <v>36</v>
      </c>
      <c r="R28" s="21" t="s">
        <v>17</v>
      </c>
      <c r="T28" s="6">
        <f t="shared" si="9"/>
        <v>1</v>
      </c>
      <c r="U28" s="6">
        <f t="shared" si="10"/>
        <v>7</v>
      </c>
      <c r="V28" s="6">
        <f t="shared" si="11"/>
        <v>8</v>
      </c>
      <c r="W28" s="6">
        <f t="shared" si="12"/>
        <v>9</v>
      </c>
      <c r="X28" s="6">
        <f t="shared" si="13"/>
        <v>1</v>
      </c>
      <c r="Y28" s="6">
        <f t="shared" si="14"/>
        <v>1</v>
      </c>
      <c r="Z28" s="6">
        <f t="shared" si="15"/>
        <v>4</v>
      </c>
      <c r="AB28" s="22">
        <v>5</v>
      </c>
      <c r="AC28" s="22">
        <v>0</v>
      </c>
      <c r="AD28" s="22">
        <v>0</v>
      </c>
      <c r="AE28" s="22">
        <v>0</v>
      </c>
      <c r="AF28" s="22">
        <v>0</v>
      </c>
      <c r="AG28" s="22">
        <v>5</v>
      </c>
      <c r="AH28" s="22">
        <v>5</v>
      </c>
      <c r="AJ28" s="5">
        <v>1</v>
      </c>
      <c r="AK28" s="5">
        <v>0</v>
      </c>
      <c r="AL28" s="5">
        <v>1</v>
      </c>
      <c r="AM28" s="5">
        <v>1</v>
      </c>
      <c r="AN28" s="5">
        <v>0</v>
      </c>
      <c r="AO28" s="5">
        <v>1</v>
      </c>
      <c r="AP28" s="5">
        <v>1</v>
      </c>
    </row>
    <row r="29" spans="1:42">
      <c r="A29" s="27" t="s">
        <v>268</v>
      </c>
      <c r="B29" s="12">
        <f t="shared" si="2"/>
        <v>0</v>
      </c>
      <c r="C29" s="12">
        <f t="shared" si="3"/>
        <v>0</v>
      </c>
      <c r="D29" s="12">
        <f t="shared" si="4"/>
        <v>0</v>
      </c>
      <c r="E29" s="12">
        <f t="shared" si="5"/>
        <v>0</v>
      </c>
      <c r="F29" s="12">
        <f t="shared" si="6"/>
        <v>0</v>
      </c>
      <c r="G29" s="12">
        <f t="shared" si="7"/>
        <v>0</v>
      </c>
      <c r="H29" s="12">
        <f t="shared" si="8"/>
        <v>0</v>
      </c>
      <c r="I29" s="5">
        <v>25</v>
      </c>
      <c r="K29" s="18">
        <v>25</v>
      </c>
      <c r="L29" s="21" t="s">
        <v>34</v>
      </c>
      <c r="M29" s="21" t="s">
        <v>90</v>
      </c>
      <c r="N29" s="21" t="s">
        <v>24</v>
      </c>
      <c r="O29" s="21" t="s">
        <v>27</v>
      </c>
      <c r="P29" s="21" t="s">
        <v>28</v>
      </c>
      <c r="Q29" s="21" t="s">
        <v>36</v>
      </c>
      <c r="R29" s="21" t="s">
        <v>17</v>
      </c>
      <c r="T29" s="6">
        <f t="shared" si="9"/>
        <v>4</v>
      </c>
      <c r="U29" s="6">
        <f t="shared" si="10"/>
        <v>7</v>
      </c>
      <c r="V29" s="6">
        <f t="shared" si="11"/>
        <v>8</v>
      </c>
      <c r="W29" s="6">
        <f t="shared" si="12"/>
        <v>10</v>
      </c>
      <c r="X29" s="6">
        <f t="shared" si="13"/>
        <v>11</v>
      </c>
      <c r="Y29" s="6">
        <f t="shared" si="14"/>
        <v>1</v>
      </c>
      <c r="Z29" s="6">
        <f t="shared" si="15"/>
        <v>4</v>
      </c>
      <c r="AB29" s="22">
        <v>5</v>
      </c>
      <c r="AC29" s="22">
        <v>5</v>
      </c>
      <c r="AD29" s="22">
        <v>5</v>
      </c>
      <c r="AE29" s="22">
        <v>5</v>
      </c>
      <c r="AF29" s="22">
        <v>4</v>
      </c>
      <c r="AG29" s="22">
        <v>5</v>
      </c>
      <c r="AH29" s="22">
        <v>5</v>
      </c>
      <c r="AJ29" s="5">
        <v>1</v>
      </c>
      <c r="AK29" s="5">
        <v>1</v>
      </c>
      <c r="AL29" s="5">
        <v>1</v>
      </c>
      <c r="AM29" s="5">
        <v>1</v>
      </c>
      <c r="AN29" s="5">
        <v>1</v>
      </c>
      <c r="AO29" s="5">
        <v>1</v>
      </c>
      <c r="AP29" s="5">
        <v>1</v>
      </c>
    </row>
    <row r="30" spans="1:42">
      <c r="A30" s="96"/>
      <c r="B30" s="1"/>
      <c r="C30" s="1"/>
      <c r="D30" s="1"/>
      <c r="E30" s="1"/>
      <c r="F30" s="1"/>
      <c r="G30" s="1"/>
      <c r="H30" s="1"/>
      <c r="I30" s="15"/>
      <c r="K30" s="19">
        <v>26</v>
      </c>
      <c r="L30" s="21" t="s">
        <v>21</v>
      </c>
      <c r="M30" s="21" t="s">
        <v>64</v>
      </c>
      <c r="N30" s="21" t="s">
        <v>28</v>
      </c>
      <c r="O30" s="21" t="s">
        <v>27</v>
      </c>
      <c r="P30" s="21" t="s">
        <v>17</v>
      </c>
      <c r="Q30" s="21" t="s">
        <v>24</v>
      </c>
      <c r="R30" s="21" t="s">
        <v>17</v>
      </c>
      <c r="T30" s="6">
        <f t="shared" si="9"/>
        <v>3</v>
      </c>
      <c r="U30" s="6">
        <f t="shared" si="10"/>
        <v>6</v>
      </c>
      <c r="V30" s="6">
        <f t="shared" si="11"/>
        <v>11</v>
      </c>
      <c r="W30" s="6">
        <f t="shared" si="12"/>
        <v>10</v>
      </c>
      <c r="X30" s="6">
        <f t="shared" si="13"/>
        <v>4</v>
      </c>
      <c r="Y30" s="6">
        <f t="shared" si="14"/>
        <v>8</v>
      </c>
      <c r="Z30" s="6">
        <f t="shared" si="15"/>
        <v>4</v>
      </c>
      <c r="AB30" s="22">
        <v>5</v>
      </c>
      <c r="AC30" s="22">
        <v>0</v>
      </c>
      <c r="AD30" s="22">
        <v>0</v>
      </c>
      <c r="AE30" s="22">
        <v>0</v>
      </c>
      <c r="AF30" s="22">
        <v>1</v>
      </c>
      <c r="AG30" s="22">
        <v>5</v>
      </c>
      <c r="AH30" s="22">
        <v>5</v>
      </c>
      <c r="AJ30" s="5">
        <v>1</v>
      </c>
      <c r="AK30" s="5">
        <v>1</v>
      </c>
      <c r="AL30" s="5">
        <v>1</v>
      </c>
      <c r="AM30" s="5">
        <v>1</v>
      </c>
      <c r="AN30" s="5">
        <v>3</v>
      </c>
      <c r="AO30" s="5">
        <v>1</v>
      </c>
      <c r="AP30" s="5">
        <v>1</v>
      </c>
    </row>
    <row r="31" spans="1:42">
      <c r="A31" s="55"/>
      <c r="B31" s="55"/>
      <c r="C31" s="55"/>
      <c r="D31" s="55"/>
      <c r="E31" s="55"/>
      <c r="F31" s="45"/>
      <c r="G31" s="1"/>
      <c r="H31" s="1"/>
      <c r="I31" s="15"/>
      <c r="K31" s="18">
        <v>27</v>
      </c>
      <c r="L31" s="21" t="s">
        <v>26</v>
      </c>
      <c r="M31" s="21" t="s">
        <v>17</v>
      </c>
      <c r="N31" s="21" t="s">
        <v>28</v>
      </c>
      <c r="O31" s="21" t="s">
        <v>19</v>
      </c>
      <c r="P31" s="21" t="s">
        <v>17</v>
      </c>
      <c r="Q31" s="21" t="s">
        <v>27</v>
      </c>
      <c r="R31" s="21" t="s">
        <v>64</v>
      </c>
      <c r="T31" s="6">
        <f t="shared" si="9"/>
        <v>9</v>
      </c>
      <c r="U31" s="6">
        <f t="shared" si="10"/>
        <v>4</v>
      </c>
      <c r="V31" s="6">
        <f t="shared" si="11"/>
        <v>11</v>
      </c>
      <c r="W31" s="6">
        <f t="shared" si="12"/>
        <v>1</v>
      </c>
      <c r="X31" s="6">
        <f t="shared" si="13"/>
        <v>4</v>
      </c>
      <c r="Y31" s="6">
        <f t="shared" si="14"/>
        <v>10</v>
      </c>
      <c r="Z31" s="6">
        <f t="shared" si="15"/>
        <v>6</v>
      </c>
      <c r="AB31" s="22">
        <v>5</v>
      </c>
      <c r="AC31" s="22">
        <v>0</v>
      </c>
      <c r="AD31" s="22">
        <v>0</v>
      </c>
      <c r="AE31" s="22">
        <v>0</v>
      </c>
      <c r="AF31" s="22">
        <v>0</v>
      </c>
      <c r="AG31" s="22">
        <v>5</v>
      </c>
      <c r="AH31" s="22">
        <v>5</v>
      </c>
      <c r="AJ31" s="5">
        <v>1</v>
      </c>
      <c r="AK31" s="5">
        <v>2</v>
      </c>
      <c r="AL31" s="5">
        <v>1</v>
      </c>
      <c r="AM31" s="5">
        <v>1</v>
      </c>
      <c r="AN31" s="5">
        <v>0</v>
      </c>
      <c r="AO31" s="5">
        <v>1</v>
      </c>
      <c r="AP31" s="5">
        <v>1</v>
      </c>
    </row>
    <row r="32" spans="1:42">
      <c r="A32" s="5" t="s">
        <v>87</v>
      </c>
      <c r="B32" s="17" t="s">
        <v>12</v>
      </c>
      <c r="C32" s="17" t="s">
        <v>6</v>
      </c>
      <c r="D32" s="17" t="s">
        <v>7</v>
      </c>
      <c r="E32" s="17" t="s">
        <v>8</v>
      </c>
      <c r="F32" s="17" t="s">
        <v>9</v>
      </c>
      <c r="G32" s="17" t="s">
        <v>56</v>
      </c>
      <c r="H32" s="1"/>
      <c r="K32" s="19">
        <v>28</v>
      </c>
      <c r="L32" s="21" t="s">
        <v>26</v>
      </c>
      <c r="M32" s="21" t="s">
        <v>17</v>
      </c>
      <c r="N32" s="21" t="s">
        <v>19</v>
      </c>
      <c r="O32" s="21" t="s">
        <v>248</v>
      </c>
      <c r="P32" s="21" t="s">
        <v>17</v>
      </c>
      <c r="Q32" s="21" t="s">
        <v>18</v>
      </c>
      <c r="R32" s="21" t="s">
        <v>64</v>
      </c>
      <c r="T32" s="6">
        <f t="shared" si="9"/>
        <v>9</v>
      </c>
      <c r="U32" s="6">
        <f t="shared" si="10"/>
        <v>4</v>
      </c>
      <c r="V32" s="6">
        <f t="shared" si="11"/>
        <v>1</v>
      </c>
      <c r="W32" s="6">
        <f t="shared" si="12"/>
        <v>20</v>
      </c>
      <c r="X32" s="6">
        <f t="shared" si="13"/>
        <v>4</v>
      </c>
      <c r="Y32" s="6">
        <f t="shared" si="14"/>
        <v>5</v>
      </c>
      <c r="Z32" s="6">
        <f t="shared" si="15"/>
        <v>6</v>
      </c>
      <c r="AB32" s="22">
        <v>5</v>
      </c>
      <c r="AC32" s="22">
        <v>0</v>
      </c>
      <c r="AD32" s="22">
        <v>0</v>
      </c>
      <c r="AE32" s="22">
        <v>0</v>
      </c>
      <c r="AF32" s="22">
        <v>0</v>
      </c>
      <c r="AG32" s="22">
        <v>5</v>
      </c>
      <c r="AH32" s="22">
        <v>5</v>
      </c>
      <c r="AJ32" s="5">
        <v>1</v>
      </c>
      <c r="AK32" s="5">
        <v>0</v>
      </c>
      <c r="AL32" s="5">
        <v>1</v>
      </c>
      <c r="AM32" s="5">
        <v>2</v>
      </c>
      <c r="AN32" s="5">
        <v>0</v>
      </c>
      <c r="AO32" s="5">
        <v>1</v>
      </c>
      <c r="AP32" s="5">
        <v>1</v>
      </c>
    </row>
    <row r="33" spans="1:42">
      <c r="A33" s="5" t="s">
        <v>72</v>
      </c>
      <c r="B33" s="10">
        <v>0</v>
      </c>
      <c r="C33" s="10">
        <v>105</v>
      </c>
      <c r="D33" s="10">
        <v>45</v>
      </c>
      <c r="E33" s="10">
        <v>175</v>
      </c>
      <c r="F33" s="10">
        <v>135</v>
      </c>
      <c r="G33" s="10">
        <v>0</v>
      </c>
      <c r="H33" s="1"/>
      <c r="K33" s="18">
        <v>29</v>
      </c>
      <c r="L33" s="21" t="s">
        <v>29</v>
      </c>
      <c r="M33" s="21" t="s">
        <v>24</v>
      </c>
      <c r="N33" s="21" t="s">
        <v>21</v>
      </c>
      <c r="O33" s="21" t="s">
        <v>248</v>
      </c>
      <c r="P33" s="21" t="s">
        <v>64</v>
      </c>
      <c r="Q33" s="21" t="s">
        <v>24</v>
      </c>
      <c r="R33" s="21" t="s">
        <v>64</v>
      </c>
      <c r="T33" s="6">
        <f t="shared" si="9"/>
        <v>12</v>
      </c>
      <c r="U33" s="6">
        <f t="shared" si="10"/>
        <v>8</v>
      </c>
      <c r="V33" s="6">
        <f t="shared" si="11"/>
        <v>3</v>
      </c>
      <c r="W33" s="6">
        <f t="shared" si="12"/>
        <v>20</v>
      </c>
      <c r="X33" s="6">
        <f t="shared" si="13"/>
        <v>6</v>
      </c>
      <c r="Y33" s="6">
        <f t="shared" si="14"/>
        <v>8</v>
      </c>
      <c r="Z33" s="6">
        <f t="shared" si="15"/>
        <v>6</v>
      </c>
      <c r="AB33" s="22">
        <v>5</v>
      </c>
      <c r="AC33" s="22">
        <v>0</v>
      </c>
      <c r="AD33" s="22">
        <v>0</v>
      </c>
      <c r="AE33" s="22">
        <v>0</v>
      </c>
      <c r="AF33" s="22">
        <v>1</v>
      </c>
      <c r="AG33" s="22">
        <v>5</v>
      </c>
      <c r="AH33" s="22">
        <v>5</v>
      </c>
      <c r="AJ33" s="5">
        <v>1</v>
      </c>
      <c r="AK33" s="5">
        <v>1</v>
      </c>
      <c r="AL33" s="5">
        <v>1</v>
      </c>
      <c r="AM33" s="5">
        <v>0</v>
      </c>
      <c r="AN33" s="5">
        <v>1</v>
      </c>
      <c r="AO33" s="5">
        <v>1</v>
      </c>
      <c r="AP33" s="5">
        <v>1</v>
      </c>
    </row>
    <row r="34" spans="1:42">
      <c r="A34" s="5" t="s">
        <v>75</v>
      </c>
      <c r="B34" s="10">
        <v>0</v>
      </c>
      <c r="C34" s="10">
        <v>105</v>
      </c>
      <c r="D34" s="10">
        <v>45</v>
      </c>
      <c r="E34" s="10">
        <v>175</v>
      </c>
      <c r="F34" s="10">
        <v>135</v>
      </c>
      <c r="G34" s="10">
        <v>0</v>
      </c>
      <c r="H34" s="1"/>
      <c r="K34" s="19">
        <v>30</v>
      </c>
      <c r="L34" s="21" t="s">
        <v>35</v>
      </c>
      <c r="M34" s="21" t="s">
        <v>24</v>
      </c>
      <c r="N34" s="21" t="s">
        <v>27</v>
      </c>
      <c r="O34" s="21" t="s">
        <v>17</v>
      </c>
      <c r="P34" s="21" t="s">
        <v>21</v>
      </c>
      <c r="Q34" s="21" t="s">
        <v>28</v>
      </c>
      <c r="R34" s="21" t="s">
        <v>28</v>
      </c>
      <c r="T34" s="6">
        <f t="shared" si="9"/>
        <v>5</v>
      </c>
      <c r="U34" s="6">
        <f t="shared" si="10"/>
        <v>8</v>
      </c>
      <c r="V34" s="6">
        <f t="shared" si="11"/>
        <v>10</v>
      </c>
      <c r="W34" s="6">
        <f t="shared" si="12"/>
        <v>4</v>
      </c>
      <c r="X34" s="6">
        <f t="shared" si="13"/>
        <v>3</v>
      </c>
      <c r="Y34" s="6">
        <f t="shared" si="14"/>
        <v>11</v>
      </c>
      <c r="Z34" s="6">
        <f t="shared" si="15"/>
        <v>11</v>
      </c>
      <c r="AB34" s="22">
        <v>5</v>
      </c>
      <c r="AC34" s="22">
        <v>5</v>
      </c>
      <c r="AD34" s="22">
        <v>5</v>
      </c>
      <c r="AE34" s="22">
        <v>5</v>
      </c>
      <c r="AF34" s="22">
        <v>5</v>
      </c>
      <c r="AG34" s="22">
        <v>5</v>
      </c>
      <c r="AH34" s="22">
        <v>5</v>
      </c>
      <c r="AJ34" s="5">
        <v>1</v>
      </c>
      <c r="AK34" s="5">
        <v>1</v>
      </c>
      <c r="AL34" s="5">
        <v>1</v>
      </c>
      <c r="AM34" s="5">
        <v>2</v>
      </c>
      <c r="AN34" s="5">
        <v>1</v>
      </c>
      <c r="AO34" s="5">
        <v>1</v>
      </c>
      <c r="AP34" s="5">
        <v>1</v>
      </c>
    </row>
    <row r="35" spans="1:42">
      <c r="A35" s="5" t="s">
        <v>73</v>
      </c>
      <c r="B35" s="10">
        <v>0</v>
      </c>
      <c r="C35" s="10">
        <v>675</v>
      </c>
      <c r="D35" s="10">
        <v>195</v>
      </c>
      <c r="E35" s="10">
        <v>475</v>
      </c>
      <c r="F35" s="10">
        <v>1075</v>
      </c>
      <c r="G35" s="10">
        <v>0</v>
      </c>
      <c r="H35" s="1"/>
      <c r="K35" s="18">
        <v>31</v>
      </c>
      <c r="L35" s="21" t="s">
        <v>64</v>
      </c>
      <c r="M35" s="21" t="s">
        <v>234</v>
      </c>
      <c r="N35" s="21" t="s">
        <v>19</v>
      </c>
      <c r="O35" s="21" t="s">
        <v>17</v>
      </c>
      <c r="P35" s="21" t="s">
        <v>252</v>
      </c>
      <c r="Q35" s="21" t="s">
        <v>64</v>
      </c>
      <c r="R35" s="21" t="s">
        <v>28</v>
      </c>
      <c r="T35" s="6">
        <f t="shared" si="9"/>
        <v>6</v>
      </c>
      <c r="U35" s="6">
        <f t="shared" si="10"/>
        <v>13</v>
      </c>
      <c r="V35" s="6">
        <f t="shared" si="11"/>
        <v>1</v>
      </c>
      <c r="W35" s="6">
        <f t="shared" si="12"/>
        <v>4</v>
      </c>
      <c r="X35" s="6">
        <f t="shared" si="13"/>
        <v>22</v>
      </c>
      <c r="Y35" s="6">
        <f t="shared" si="14"/>
        <v>6</v>
      </c>
      <c r="Z35" s="6">
        <f t="shared" si="15"/>
        <v>11</v>
      </c>
      <c r="AB35" s="22">
        <v>5</v>
      </c>
      <c r="AC35" s="22">
        <v>0</v>
      </c>
      <c r="AD35" s="22">
        <v>0</v>
      </c>
      <c r="AE35" s="22">
        <v>0</v>
      </c>
      <c r="AF35" s="22">
        <v>0</v>
      </c>
      <c r="AG35" s="22">
        <v>5</v>
      </c>
      <c r="AH35" s="22">
        <v>5</v>
      </c>
      <c r="AJ35" s="5">
        <v>1</v>
      </c>
      <c r="AK35" s="5">
        <v>1</v>
      </c>
      <c r="AL35" s="5">
        <v>1</v>
      </c>
      <c r="AM35" s="5">
        <v>0</v>
      </c>
      <c r="AN35" s="5">
        <v>2</v>
      </c>
      <c r="AO35" s="5">
        <v>1</v>
      </c>
      <c r="AP35" s="5">
        <v>1</v>
      </c>
    </row>
    <row r="36" spans="1:42">
      <c r="A36" s="5" t="s">
        <v>76</v>
      </c>
      <c r="B36" s="10">
        <v>0</v>
      </c>
      <c r="C36" s="10">
        <v>675</v>
      </c>
      <c r="D36" s="10">
        <v>195</v>
      </c>
      <c r="E36" s="10">
        <v>475</v>
      </c>
      <c r="F36" s="10">
        <v>1075</v>
      </c>
      <c r="G36" s="10">
        <v>0</v>
      </c>
      <c r="H36" s="1"/>
      <c r="K36" s="19">
        <v>32</v>
      </c>
      <c r="L36" s="21" t="s">
        <v>64</v>
      </c>
      <c r="M36" s="21" t="s">
        <v>240</v>
      </c>
      <c r="N36" s="21" t="s">
        <v>242</v>
      </c>
      <c r="O36" s="21" t="s">
        <v>27</v>
      </c>
      <c r="P36" s="21" t="s">
        <v>252</v>
      </c>
      <c r="Q36" s="21" t="s">
        <v>27</v>
      </c>
      <c r="R36" s="21" t="s">
        <v>28</v>
      </c>
      <c r="T36" s="6">
        <f t="shared" si="9"/>
        <v>6</v>
      </c>
      <c r="U36" s="6">
        <f t="shared" si="10"/>
        <v>16</v>
      </c>
      <c r="V36" s="6">
        <f t="shared" si="11"/>
        <v>17</v>
      </c>
      <c r="W36" s="6">
        <f t="shared" si="12"/>
        <v>10</v>
      </c>
      <c r="X36" s="6">
        <f t="shared" si="13"/>
        <v>22</v>
      </c>
      <c r="Y36" s="6">
        <f t="shared" si="14"/>
        <v>10</v>
      </c>
      <c r="Z36" s="6">
        <f t="shared" si="15"/>
        <v>11</v>
      </c>
      <c r="AB36" s="22">
        <v>5</v>
      </c>
      <c r="AC36" s="22">
        <v>0</v>
      </c>
      <c r="AD36" s="22">
        <v>0</v>
      </c>
      <c r="AE36" s="22">
        <v>0</v>
      </c>
      <c r="AF36" s="22">
        <v>0</v>
      </c>
      <c r="AG36" s="22">
        <v>5</v>
      </c>
      <c r="AH36" s="22">
        <v>5</v>
      </c>
      <c r="AJ36" s="5">
        <v>1</v>
      </c>
      <c r="AK36" s="5">
        <v>2</v>
      </c>
      <c r="AL36" s="5">
        <v>2</v>
      </c>
      <c r="AM36" s="5">
        <v>1</v>
      </c>
      <c r="AN36" s="5">
        <v>0</v>
      </c>
      <c r="AO36" s="5">
        <v>1</v>
      </c>
      <c r="AP36" s="5">
        <v>1</v>
      </c>
    </row>
    <row r="37" spans="1:42">
      <c r="A37" s="5" t="s">
        <v>74</v>
      </c>
      <c r="B37" s="10">
        <v>0</v>
      </c>
      <c r="C37" s="10">
        <v>463</v>
      </c>
      <c r="D37" s="10">
        <v>303</v>
      </c>
      <c r="E37" s="10">
        <v>330</v>
      </c>
      <c r="F37" s="10">
        <v>727</v>
      </c>
      <c r="G37" s="10">
        <v>0</v>
      </c>
      <c r="H37" s="1"/>
      <c r="K37" s="18">
        <v>33</v>
      </c>
      <c r="L37" s="21" t="s">
        <v>29</v>
      </c>
      <c r="M37" s="21" t="s">
        <v>240</v>
      </c>
      <c r="N37" s="21" t="s">
        <v>242</v>
      </c>
      <c r="O37" s="21" t="s">
        <v>19</v>
      </c>
      <c r="P37" s="21" t="s">
        <v>26</v>
      </c>
      <c r="Q37" s="21" t="s">
        <v>24</v>
      </c>
      <c r="R37" s="21" t="s">
        <v>64</v>
      </c>
      <c r="T37" s="6">
        <f t="shared" si="9"/>
        <v>12</v>
      </c>
      <c r="U37" s="6">
        <f t="shared" si="10"/>
        <v>16</v>
      </c>
      <c r="V37" s="6">
        <f t="shared" si="11"/>
        <v>17</v>
      </c>
      <c r="W37" s="6">
        <f t="shared" si="12"/>
        <v>1</v>
      </c>
      <c r="X37" s="6">
        <f t="shared" si="13"/>
        <v>9</v>
      </c>
      <c r="Y37" s="6">
        <f t="shared" si="14"/>
        <v>8</v>
      </c>
      <c r="Z37" s="6">
        <f t="shared" si="15"/>
        <v>6</v>
      </c>
      <c r="AB37" s="22">
        <v>5</v>
      </c>
      <c r="AC37" s="22">
        <v>0</v>
      </c>
      <c r="AD37" s="22">
        <v>0</v>
      </c>
      <c r="AE37" s="22">
        <v>0</v>
      </c>
      <c r="AF37" s="22">
        <v>0</v>
      </c>
      <c r="AG37" s="22">
        <v>5</v>
      </c>
      <c r="AH37" s="22">
        <v>5</v>
      </c>
      <c r="AJ37" s="5">
        <v>1</v>
      </c>
      <c r="AK37" s="5">
        <v>0</v>
      </c>
      <c r="AL37" s="5">
        <v>0</v>
      </c>
      <c r="AM37" s="5">
        <v>1</v>
      </c>
      <c r="AN37" s="5">
        <v>1</v>
      </c>
      <c r="AO37" s="5">
        <v>1</v>
      </c>
      <c r="AP37" s="5">
        <v>1</v>
      </c>
    </row>
    <row r="38" spans="1:42">
      <c r="A38" s="5" t="s">
        <v>77</v>
      </c>
      <c r="B38" s="10">
        <v>0</v>
      </c>
      <c r="C38" s="10">
        <v>463</v>
      </c>
      <c r="D38" s="10">
        <v>303</v>
      </c>
      <c r="E38" s="10">
        <v>330</v>
      </c>
      <c r="F38" s="10">
        <v>727</v>
      </c>
      <c r="G38" s="10">
        <v>0</v>
      </c>
      <c r="H38" s="1"/>
      <c r="K38" s="19">
        <v>34</v>
      </c>
      <c r="L38" s="21" t="s">
        <v>29</v>
      </c>
      <c r="M38" s="21" t="s">
        <v>28</v>
      </c>
      <c r="N38" s="21" t="s">
        <v>18</v>
      </c>
      <c r="O38" s="21" t="s">
        <v>24</v>
      </c>
      <c r="P38" s="21" t="s">
        <v>24</v>
      </c>
      <c r="Q38" s="21" t="s">
        <v>64</v>
      </c>
      <c r="R38" s="21" t="s">
        <v>18</v>
      </c>
      <c r="T38" s="6">
        <f t="shared" si="9"/>
        <v>12</v>
      </c>
      <c r="U38" s="6">
        <f t="shared" si="10"/>
        <v>11</v>
      </c>
      <c r="V38" s="6">
        <f t="shared" si="11"/>
        <v>5</v>
      </c>
      <c r="W38" s="6">
        <f t="shared" si="12"/>
        <v>8</v>
      </c>
      <c r="X38" s="6">
        <f t="shared" si="13"/>
        <v>8</v>
      </c>
      <c r="Y38" s="6">
        <f t="shared" si="14"/>
        <v>6</v>
      </c>
      <c r="Z38" s="6">
        <f t="shared" si="15"/>
        <v>5</v>
      </c>
      <c r="AB38" s="22">
        <v>5</v>
      </c>
      <c r="AC38" s="22">
        <v>0</v>
      </c>
      <c r="AD38" s="22">
        <v>0</v>
      </c>
      <c r="AE38" s="22">
        <v>0</v>
      </c>
      <c r="AF38" s="22">
        <v>1</v>
      </c>
      <c r="AG38" s="22">
        <v>5</v>
      </c>
      <c r="AH38" s="22">
        <v>5</v>
      </c>
      <c r="AJ38" s="5">
        <v>1</v>
      </c>
      <c r="AK38" s="5">
        <v>1</v>
      </c>
      <c r="AL38" s="5">
        <v>1</v>
      </c>
      <c r="AM38" s="5">
        <v>1</v>
      </c>
      <c r="AN38" s="5">
        <v>1</v>
      </c>
      <c r="AO38" s="5">
        <v>1</v>
      </c>
      <c r="AP38" s="5">
        <v>1</v>
      </c>
    </row>
    <row r="39" spans="1:42">
      <c r="A39" s="5" t="s">
        <v>78</v>
      </c>
      <c r="B39" s="10">
        <v>0</v>
      </c>
      <c r="C39" s="10">
        <v>463</v>
      </c>
      <c r="D39" s="10">
        <v>303</v>
      </c>
      <c r="E39" s="10">
        <v>330</v>
      </c>
      <c r="F39" s="10">
        <v>727</v>
      </c>
      <c r="G39" s="10">
        <v>0</v>
      </c>
      <c r="H39" s="1"/>
      <c r="K39" s="18">
        <v>35</v>
      </c>
      <c r="L39" s="21" t="s">
        <v>25</v>
      </c>
      <c r="M39" s="21" t="s">
        <v>20</v>
      </c>
      <c r="N39" s="21" t="s">
        <v>27</v>
      </c>
      <c r="O39" s="21" t="s">
        <v>64</v>
      </c>
      <c r="P39" s="21" t="s">
        <v>242</v>
      </c>
      <c r="Q39" s="21" t="s">
        <v>17</v>
      </c>
      <c r="R39" s="21" t="s">
        <v>18</v>
      </c>
      <c r="T39" s="6">
        <f t="shared" si="9"/>
        <v>8</v>
      </c>
      <c r="U39" s="6">
        <f t="shared" si="10"/>
        <v>2</v>
      </c>
      <c r="V39" s="6">
        <f t="shared" si="11"/>
        <v>10</v>
      </c>
      <c r="W39" s="6">
        <f t="shared" si="12"/>
        <v>6</v>
      </c>
      <c r="X39" s="6">
        <f t="shared" si="13"/>
        <v>17</v>
      </c>
      <c r="Y39" s="6">
        <f t="shared" si="14"/>
        <v>4</v>
      </c>
      <c r="Z39" s="6">
        <f t="shared" si="15"/>
        <v>5</v>
      </c>
      <c r="AB39" s="22">
        <v>5</v>
      </c>
      <c r="AC39" s="22">
        <v>5</v>
      </c>
      <c r="AD39" s="22">
        <v>5</v>
      </c>
      <c r="AE39" s="22">
        <v>5</v>
      </c>
      <c r="AF39" s="22">
        <v>6</v>
      </c>
      <c r="AG39" s="22">
        <v>5</v>
      </c>
      <c r="AH39" s="22">
        <v>5</v>
      </c>
      <c r="AJ39" s="5">
        <v>1</v>
      </c>
      <c r="AK39" s="5">
        <v>1</v>
      </c>
      <c r="AL39" s="5">
        <v>1</v>
      </c>
      <c r="AM39" s="5">
        <v>2</v>
      </c>
      <c r="AN39" s="5">
        <v>2</v>
      </c>
      <c r="AO39" s="5">
        <v>1</v>
      </c>
      <c r="AP39" s="5">
        <v>1</v>
      </c>
    </row>
    <row r="40" spans="1:42">
      <c r="A40" s="5" t="s">
        <v>79</v>
      </c>
      <c r="B40" s="10">
        <v>0</v>
      </c>
      <c r="C40" s="10">
        <v>910</v>
      </c>
      <c r="D40" s="10">
        <v>610</v>
      </c>
      <c r="E40" s="10">
        <v>1373</v>
      </c>
      <c r="F40" s="10">
        <v>973</v>
      </c>
      <c r="G40" s="10">
        <v>0</v>
      </c>
      <c r="H40" s="1"/>
      <c r="K40" s="19">
        <v>36</v>
      </c>
      <c r="L40" s="21" t="s">
        <v>26</v>
      </c>
      <c r="M40" s="21" t="s">
        <v>252</v>
      </c>
      <c r="N40" s="21" t="s">
        <v>27</v>
      </c>
      <c r="O40" s="21" t="s">
        <v>64</v>
      </c>
      <c r="P40" s="21" t="s">
        <v>242</v>
      </c>
      <c r="Q40" s="21" t="s">
        <v>18</v>
      </c>
      <c r="R40" s="21" t="s">
        <v>24</v>
      </c>
      <c r="T40" s="6">
        <f t="shared" si="9"/>
        <v>9</v>
      </c>
      <c r="U40" s="6">
        <f t="shared" si="10"/>
        <v>22</v>
      </c>
      <c r="V40" s="6">
        <f t="shared" si="11"/>
        <v>10</v>
      </c>
      <c r="W40" s="6">
        <f t="shared" si="12"/>
        <v>6</v>
      </c>
      <c r="X40" s="6">
        <f t="shared" si="13"/>
        <v>17</v>
      </c>
      <c r="Y40" s="6">
        <f t="shared" si="14"/>
        <v>5</v>
      </c>
      <c r="Z40" s="6">
        <f t="shared" si="15"/>
        <v>8</v>
      </c>
      <c r="AB40" s="22">
        <v>5</v>
      </c>
      <c r="AC40" s="22">
        <v>0</v>
      </c>
      <c r="AD40" s="22">
        <v>0</v>
      </c>
      <c r="AE40" s="22">
        <v>0</v>
      </c>
      <c r="AF40" s="22">
        <v>0</v>
      </c>
      <c r="AG40" s="22">
        <v>5</v>
      </c>
      <c r="AH40" s="22">
        <v>5</v>
      </c>
      <c r="AJ40" s="5">
        <v>1</v>
      </c>
      <c r="AK40" s="5">
        <v>2</v>
      </c>
      <c r="AL40" s="5">
        <v>1</v>
      </c>
      <c r="AM40" s="5">
        <v>0</v>
      </c>
      <c r="AN40" s="5">
        <v>0</v>
      </c>
      <c r="AO40" s="5">
        <v>1</v>
      </c>
      <c r="AP40" s="5">
        <v>1</v>
      </c>
    </row>
    <row r="41" spans="1:42">
      <c r="A41" s="5" t="s">
        <v>80</v>
      </c>
      <c r="B41" s="10">
        <v>0</v>
      </c>
      <c r="C41" s="10">
        <v>910</v>
      </c>
      <c r="D41" s="10">
        <v>610</v>
      </c>
      <c r="E41" s="10">
        <v>1373</v>
      </c>
      <c r="F41" s="10">
        <v>973</v>
      </c>
      <c r="G41" s="10">
        <v>0</v>
      </c>
      <c r="H41" s="1"/>
      <c r="K41" s="18">
        <v>37</v>
      </c>
      <c r="L41" s="21" t="s">
        <v>27</v>
      </c>
      <c r="M41" s="21" t="s">
        <v>252</v>
      </c>
      <c r="N41" s="21" t="s">
        <v>19</v>
      </c>
      <c r="O41" s="21" t="s">
        <v>19</v>
      </c>
      <c r="P41" s="21" t="s">
        <v>21</v>
      </c>
      <c r="Q41" s="21" t="s">
        <v>28</v>
      </c>
      <c r="R41" s="21" t="s">
        <v>29</v>
      </c>
      <c r="T41" s="6">
        <f t="shared" si="9"/>
        <v>10</v>
      </c>
      <c r="U41" s="6">
        <f t="shared" si="10"/>
        <v>22</v>
      </c>
      <c r="V41" s="6">
        <f t="shared" si="11"/>
        <v>1</v>
      </c>
      <c r="W41" s="6">
        <f t="shared" si="12"/>
        <v>1</v>
      </c>
      <c r="X41" s="6">
        <f t="shared" si="13"/>
        <v>3</v>
      </c>
      <c r="Y41" s="6">
        <f t="shared" si="14"/>
        <v>11</v>
      </c>
      <c r="Z41" s="6">
        <f t="shared" si="15"/>
        <v>12</v>
      </c>
      <c r="AB41" s="22">
        <v>5</v>
      </c>
      <c r="AC41" s="22">
        <v>0</v>
      </c>
      <c r="AD41" s="22">
        <v>0</v>
      </c>
      <c r="AE41" s="22">
        <v>0</v>
      </c>
      <c r="AF41" s="22">
        <v>0</v>
      </c>
      <c r="AG41" s="22">
        <v>5</v>
      </c>
      <c r="AH41" s="22">
        <v>5</v>
      </c>
      <c r="AJ41" s="5">
        <v>1</v>
      </c>
      <c r="AK41" s="5">
        <v>0</v>
      </c>
      <c r="AL41" s="5">
        <v>1</v>
      </c>
      <c r="AM41" s="5">
        <v>1</v>
      </c>
      <c r="AN41" s="5">
        <v>2</v>
      </c>
      <c r="AO41" s="5">
        <v>1</v>
      </c>
      <c r="AP41" s="5">
        <v>1</v>
      </c>
    </row>
    <row r="42" spans="1:42">
      <c r="A42" s="5" t="s">
        <v>81</v>
      </c>
      <c r="B42" s="10">
        <v>0</v>
      </c>
      <c r="C42" s="10">
        <v>910</v>
      </c>
      <c r="D42" s="10">
        <v>610</v>
      </c>
      <c r="E42" s="10">
        <v>1373</v>
      </c>
      <c r="F42" s="10">
        <v>973</v>
      </c>
      <c r="G42" s="10">
        <v>0</v>
      </c>
      <c r="H42" s="1"/>
      <c r="K42" s="19">
        <v>38</v>
      </c>
      <c r="L42" s="21" t="s">
        <v>27</v>
      </c>
      <c r="M42" s="21" t="s">
        <v>248</v>
      </c>
      <c r="N42" s="21" t="s">
        <v>64</v>
      </c>
      <c r="O42" s="21" t="s">
        <v>240</v>
      </c>
      <c r="P42" s="21" t="s">
        <v>21</v>
      </c>
      <c r="Q42" s="21" t="s">
        <v>64</v>
      </c>
      <c r="R42" s="21" t="s">
        <v>17</v>
      </c>
      <c r="T42" s="6">
        <f t="shared" si="9"/>
        <v>10</v>
      </c>
      <c r="U42" s="6">
        <f t="shared" si="10"/>
        <v>20</v>
      </c>
      <c r="V42" s="6">
        <f t="shared" si="11"/>
        <v>6</v>
      </c>
      <c r="W42" s="6">
        <f t="shared" si="12"/>
        <v>16</v>
      </c>
      <c r="X42" s="6">
        <f t="shared" si="13"/>
        <v>3</v>
      </c>
      <c r="Y42" s="6">
        <f t="shared" si="14"/>
        <v>6</v>
      </c>
      <c r="Z42" s="6">
        <f t="shared" si="15"/>
        <v>4</v>
      </c>
      <c r="AB42" s="22">
        <v>5</v>
      </c>
      <c r="AC42" s="22">
        <v>0</v>
      </c>
      <c r="AD42" s="22">
        <v>0</v>
      </c>
      <c r="AE42" s="22">
        <v>0</v>
      </c>
      <c r="AF42" s="22">
        <v>0</v>
      </c>
      <c r="AG42" s="22">
        <v>5</v>
      </c>
      <c r="AH42" s="22">
        <v>5</v>
      </c>
      <c r="AJ42" s="5">
        <v>1</v>
      </c>
      <c r="AK42" s="5">
        <v>1</v>
      </c>
      <c r="AL42" s="5">
        <v>1</v>
      </c>
      <c r="AM42" s="5">
        <v>2</v>
      </c>
      <c r="AN42" s="5">
        <v>0</v>
      </c>
      <c r="AO42" s="5">
        <v>1</v>
      </c>
      <c r="AP42" s="5">
        <v>1</v>
      </c>
    </row>
    <row r="43" spans="1:42">
      <c r="A43" s="5" t="s">
        <v>82</v>
      </c>
      <c r="B43" s="10">
        <v>0</v>
      </c>
      <c r="C43" s="10">
        <v>747</v>
      </c>
      <c r="D43" s="10">
        <v>1092</v>
      </c>
      <c r="E43" s="10">
        <v>780</v>
      </c>
      <c r="F43" s="10">
        <v>520</v>
      </c>
      <c r="G43" s="10">
        <v>0</v>
      </c>
      <c r="H43" s="1"/>
      <c r="K43" s="18">
        <v>39</v>
      </c>
      <c r="L43" s="21" t="s">
        <v>21</v>
      </c>
      <c r="M43" s="21" t="s">
        <v>24</v>
      </c>
      <c r="N43" s="21" t="s">
        <v>24</v>
      </c>
      <c r="O43" s="21" t="s">
        <v>240</v>
      </c>
      <c r="P43" s="21" t="s">
        <v>27</v>
      </c>
      <c r="Q43" s="21" t="s">
        <v>27</v>
      </c>
      <c r="R43" s="21" t="s">
        <v>20</v>
      </c>
      <c r="T43" s="6">
        <f t="shared" si="9"/>
        <v>3</v>
      </c>
      <c r="U43" s="6">
        <f t="shared" si="10"/>
        <v>8</v>
      </c>
      <c r="V43" s="6">
        <f t="shared" si="11"/>
        <v>8</v>
      </c>
      <c r="W43" s="6">
        <f t="shared" si="12"/>
        <v>16</v>
      </c>
      <c r="X43" s="6">
        <f t="shared" si="13"/>
        <v>10</v>
      </c>
      <c r="Y43" s="6">
        <f t="shared" si="14"/>
        <v>10</v>
      </c>
      <c r="Z43" s="6">
        <f t="shared" si="15"/>
        <v>2</v>
      </c>
      <c r="AB43" s="22">
        <v>5</v>
      </c>
      <c r="AC43" s="22">
        <v>0</v>
      </c>
      <c r="AD43" s="22">
        <v>0</v>
      </c>
      <c r="AE43" s="22">
        <v>0</v>
      </c>
      <c r="AF43" s="22">
        <v>0</v>
      </c>
      <c r="AG43" s="22">
        <v>5</v>
      </c>
      <c r="AH43" s="22">
        <v>5</v>
      </c>
      <c r="AJ43" s="5">
        <v>1</v>
      </c>
      <c r="AK43" s="5">
        <v>1</v>
      </c>
      <c r="AL43" s="5">
        <v>1</v>
      </c>
      <c r="AM43" s="5">
        <v>0</v>
      </c>
      <c r="AN43" s="5">
        <v>1</v>
      </c>
      <c r="AO43" s="5">
        <v>1</v>
      </c>
      <c r="AP43" s="5">
        <v>1</v>
      </c>
    </row>
    <row r="44" spans="1:42">
      <c r="A44" s="5" t="s">
        <v>83</v>
      </c>
      <c r="B44" s="10">
        <v>0</v>
      </c>
      <c r="C44" s="10">
        <v>747</v>
      </c>
      <c r="D44" s="10">
        <v>1092</v>
      </c>
      <c r="E44" s="10">
        <v>780</v>
      </c>
      <c r="F44" s="10">
        <v>520</v>
      </c>
      <c r="G44" s="10">
        <v>0</v>
      </c>
      <c r="H44" s="1"/>
      <c r="K44" s="19">
        <v>40</v>
      </c>
      <c r="L44" s="21" t="s">
        <v>25</v>
      </c>
      <c r="M44" s="21" t="s">
        <v>246</v>
      </c>
      <c r="N44" s="21" t="s">
        <v>19</v>
      </c>
      <c r="O44" s="21" t="s">
        <v>19</v>
      </c>
      <c r="P44" s="21" t="s">
        <v>238</v>
      </c>
      <c r="Q44" s="21" t="s">
        <v>24</v>
      </c>
      <c r="R44" s="21" t="s">
        <v>20</v>
      </c>
      <c r="T44" s="6">
        <f t="shared" si="9"/>
        <v>8</v>
      </c>
      <c r="U44" s="6">
        <f t="shared" si="10"/>
        <v>19</v>
      </c>
      <c r="V44" s="6">
        <f t="shared" si="11"/>
        <v>1</v>
      </c>
      <c r="W44" s="6">
        <f t="shared" si="12"/>
        <v>1</v>
      </c>
      <c r="X44" s="6">
        <f t="shared" si="13"/>
        <v>15</v>
      </c>
      <c r="Y44" s="6">
        <f t="shared" si="14"/>
        <v>8</v>
      </c>
      <c r="Z44" s="6">
        <f t="shared" si="15"/>
        <v>2</v>
      </c>
      <c r="AB44" s="22">
        <v>5</v>
      </c>
      <c r="AC44" s="22">
        <v>5</v>
      </c>
      <c r="AD44" s="22">
        <v>5</v>
      </c>
      <c r="AE44" s="22">
        <v>5</v>
      </c>
      <c r="AF44" s="22">
        <v>6</v>
      </c>
      <c r="AG44" s="22">
        <v>5</v>
      </c>
      <c r="AH44" s="22">
        <v>5</v>
      </c>
      <c r="AJ44" s="5">
        <v>1</v>
      </c>
      <c r="AK44" s="5">
        <v>3</v>
      </c>
      <c r="AL44" s="5">
        <v>1</v>
      </c>
      <c r="AM44" s="5">
        <v>1</v>
      </c>
      <c r="AN44" s="5">
        <v>3</v>
      </c>
      <c r="AO44" s="5">
        <v>1</v>
      </c>
      <c r="AP44" s="5">
        <v>1</v>
      </c>
    </row>
    <row r="45" spans="1:42">
      <c r="A45" s="5" t="s">
        <v>84</v>
      </c>
      <c r="B45" s="10">
        <v>0</v>
      </c>
      <c r="C45" s="10">
        <v>747</v>
      </c>
      <c r="D45" s="10">
        <v>1092</v>
      </c>
      <c r="E45" s="10">
        <v>780</v>
      </c>
      <c r="F45" s="10">
        <v>520</v>
      </c>
      <c r="G45" s="10">
        <v>0</v>
      </c>
      <c r="H45" s="1"/>
      <c r="K45" s="18">
        <v>41</v>
      </c>
      <c r="L45" s="21" t="s">
        <v>26</v>
      </c>
      <c r="M45" s="21" t="s">
        <v>246</v>
      </c>
      <c r="N45" s="21" t="s">
        <v>234</v>
      </c>
      <c r="O45" s="21" t="s">
        <v>236</v>
      </c>
      <c r="P45" s="21" t="s">
        <v>238</v>
      </c>
      <c r="Q45" s="21" t="s">
        <v>26</v>
      </c>
      <c r="R45" s="21" t="s">
        <v>24</v>
      </c>
      <c r="T45" s="6">
        <f t="shared" si="9"/>
        <v>9</v>
      </c>
      <c r="U45" s="6">
        <f t="shared" si="10"/>
        <v>19</v>
      </c>
      <c r="V45" s="6">
        <f t="shared" si="11"/>
        <v>13</v>
      </c>
      <c r="W45" s="6">
        <f t="shared" si="12"/>
        <v>14</v>
      </c>
      <c r="X45" s="6">
        <f t="shared" si="13"/>
        <v>15</v>
      </c>
      <c r="Y45" s="6">
        <f t="shared" si="14"/>
        <v>9</v>
      </c>
      <c r="Z45" s="6">
        <f t="shared" si="15"/>
        <v>8</v>
      </c>
      <c r="AB45" s="22">
        <v>5</v>
      </c>
      <c r="AC45" s="22">
        <v>0</v>
      </c>
      <c r="AD45" s="22">
        <v>0</v>
      </c>
      <c r="AE45" s="22">
        <v>0</v>
      </c>
      <c r="AF45" s="22">
        <v>0</v>
      </c>
      <c r="AG45" s="22">
        <v>5</v>
      </c>
      <c r="AH45" s="22">
        <v>5</v>
      </c>
      <c r="AJ45" s="5">
        <v>1</v>
      </c>
      <c r="AK45" s="5">
        <v>0</v>
      </c>
      <c r="AL45" s="5">
        <v>3</v>
      </c>
      <c r="AM45" s="5">
        <v>3</v>
      </c>
      <c r="AN45" s="5">
        <v>0</v>
      </c>
      <c r="AO45" s="5">
        <v>1</v>
      </c>
      <c r="AP45" s="5">
        <v>1</v>
      </c>
    </row>
    <row r="46" spans="1:42">
      <c r="A46" s="5" t="s">
        <v>85</v>
      </c>
      <c r="B46" s="10">
        <v>0</v>
      </c>
      <c r="C46" s="10">
        <v>747</v>
      </c>
      <c r="D46" s="10">
        <v>1092</v>
      </c>
      <c r="E46" s="10">
        <v>780</v>
      </c>
      <c r="F46" s="10">
        <v>520</v>
      </c>
      <c r="G46" s="10">
        <v>0</v>
      </c>
      <c r="H46" s="1"/>
      <c r="K46" s="19">
        <v>42</v>
      </c>
      <c r="L46" s="21" t="s">
        <v>90</v>
      </c>
      <c r="M46" s="21" t="s">
        <v>246</v>
      </c>
      <c r="N46" s="21" t="s">
        <v>234</v>
      </c>
      <c r="O46" s="21" t="s">
        <v>236</v>
      </c>
      <c r="P46" s="21" t="s">
        <v>238</v>
      </c>
      <c r="Q46" s="21" t="s">
        <v>18</v>
      </c>
      <c r="R46" s="21" t="s">
        <v>24</v>
      </c>
      <c r="T46" s="6">
        <f t="shared" si="9"/>
        <v>7</v>
      </c>
      <c r="U46" s="6">
        <f t="shared" si="10"/>
        <v>19</v>
      </c>
      <c r="V46" s="6">
        <f t="shared" si="11"/>
        <v>13</v>
      </c>
      <c r="W46" s="6">
        <f t="shared" si="12"/>
        <v>14</v>
      </c>
      <c r="X46" s="6">
        <f t="shared" si="13"/>
        <v>15</v>
      </c>
      <c r="Y46" s="6">
        <f t="shared" si="14"/>
        <v>5</v>
      </c>
      <c r="Z46" s="6">
        <f t="shared" si="15"/>
        <v>8</v>
      </c>
      <c r="AB46" s="22">
        <v>5</v>
      </c>
      <c r="AC46" s="22">
        <v>0</v>
      </c>
      <c r="AD46" s="22">
        <v>0</v>
      </c>
      <c r="AE46" s="22">
        <v>0</v>
      </c>
      <c r="AF46" s="22">
        <v>0</v>
      </c>
      <c r="AG46" s="22">
        <v>5</v>
      </c>
      <c r="AH46" s="22">
        <v>5</v>
      </c>
      <c r="AJ46" s="5">
        <v>1</v>
      </c>
      <c r="AK46" s="5">
        <v>0</v>
      </c>
      <c r="AL46" s="5">
        <v>0</v>
      </c>
      <c r="AM46" s="5">
        <v>0</v>
      </c>
      <c r="AN46" s="5">
        <v>0</v>
      </c>
      <c r="AO46" s="5">
        <v>1</v>
      </c>
      <c r="AP46" s="5">
        <v>1</v>
      </c>
    </row>
    <row r="47" spans="1:42">
      <c r="A47" s="5" t="s">
        <v>86</v>
      </c>
      <c r="B47" s="10">
        <v>1</v>
      </c>
      <c r="C47" s="10">
        <v>1340</v>
      </c>
      <c r="D47" s="10">
        <v>2410</v>
      </c>
      <c r="E47" s="10">
        <v>470</v>
      </c>
      <c r="F47" s="10">
        <v>400</v>
      </c>
      <c r="G47" s="10">
        <v>1</v>
      </c>
      <c r="H47" s="1"/>
      <c r="K47" s="18">
        <v>43</v>
      </c>
      <c r="L47" s="21" t="s">
        <v>90</v>
      </c>
      <c r="M47" s="21" t="s">
        <v>40</v>
      </c>
      <c r="N47" s="21" t="s">
        <v>234</v>
      </c>
      <c r="O47" s="21" t="s">
        <v>236</v>
      </c>
      <c r="P47" s="21" t="s">
        <v>242</v>
      </c>
      <c r="Q47" s="21" t="s">
        <v>28</v>
      </c>
      <c r="R47" s="21" t="s">
        <v>24</v>
      </c>
      <c r="T47" s="6">
        <f t="shared" si="9"/>
        <v>7</v>
      </c>
      <c r="U47" s="6">
        <f t="shared" si="10"/>
        <v>12</v>
      </c>
      <c r="V47" s="6">
        <f t="shared" si="11"/>
        <v>13</v>
      </c>
      <c r="W47" s="6">
        <f t="shared" si="12"/>
        <v>14</v>
      </c>
      <c r="X47" s="6">
        <f t="shared" si="13"/>
        <v>17</v>
      </c>
      <c r="Y47" s="6">
        <f t="shared" si="14"/>
        <v>11</v>
      </c>
      <c r="Z47" s="6">
        <f t="shared" si="15"/>
        <v>8</v>
      </c>
      <c r="AB47" s="22">
        <v>5</v>
      </c>
      <c r="AC47" s="22">
        <v>0</v>
      </c>
      <c r="AD47" s="22">
        <v>0</v>
      </c>
      <c r="AE47" s="22">
        <v>0</v>
      </c>
      <c r="AF47" s="22">
        <v>0</v>
      </c>
      <c r="AG47" s="22">
        <v>5</v>
      </c>
      <c r="AH47" s="22">
        <v>5</v>
      </c>
      <c r="AJ47" s="5">
        <v>1</v>
      </c>
      <c r="AK47" s="5">
        <v>2</v>
      </c>
      <c r="AL47" s="5">
        <v>0</v>
      </c>
      <c r="AM47" s="5">
        <v>0</v>
      </c>
      <c r="AN47" s="5">
        <v>2</v>
      </c>
      <c r="AO47" s="5">
        <v>1</v>
      </c>
      <c r="AP47" s="5">
        <v>1</v>
      </c>
    </row>
    <row r="48" spans="1:42" ht="16.8" thickBot="1">
      <c r="A48" s="45"/>
      <c r="B48" s="45"/>
      <c r="C48" s="45"/>
      <c r="D48" s="45"/>
      <c r="E48" s="45"/>
      <c r="F48" s="45"/>
      <c r="G48" s="45"/>
      <c r="H48" s="1"/>
      <c r="K48" s="19">
        <v>44</v>
      </c>
      <c r="L48" s="21" t="s">
        <v>29</v>
      </c>
      <c r="M48" s="21" t="s">
        <v>40</v>
      </c>
      <c r="N48" s="21" t="s">
        <v>24</v>
      </c>
      <c r="O48" s="21" t="s">
        <v>26</v>
      </c>
      <c r="P48" s="21" t="s">
        <v>242</v>
      </c>
      <c r="Q48" s="21" t="s">
        <v>29</v>
      </c>
      <c r="R48" s="21" t="s">
        <v>17</v>
      </c>
      <c r="T48" s="6">
        <f t="shared" si="9"/>
        <v>12</v>
      </c>
      <c r="U48" s="6">
        <f t="shared" si="10"/>
        <v>12</v>
      </c>
      <c r="V48" s="6">
        <f t="shared" si="11"/>
        <v>8</v>
      </c>
      <c r="W48" s="6">
        <f t="shared" si="12"/>
        <v>9</v>
      </c>
      <c r="X48" s="6">
        <f t="shared" si="13"/>
        <v>17</v>
      </c>
      <c r="Y48" s="6">
        <f t="shared" si="14"/>
        <v>12</v>
      </c>
      <c r="Z48" s="6">
        <f t="shared" si="15"/>
        <v>4</v>
      </c>
      <c r="AB48" s="22">
        <v>5</v>
      </c>
      <c r="AC48" s="22">
        <v>0</v>
      </c>
      <c r="AD48" s="22">
        <v>0</v>
      </c>
      <c r="AE48" s="22">
        <v>0</v>
      </c>
      <c r="AF48" s="22">
        <v>0</v>
      </c>
      <c r="AG48" s="22">
        <v>5</v>
      </c>
      <c r="AH48" s="22">
        <v>5</v>
      </c>
      <c r="AJ48" s="5">
        <v>1</v>
      </c>
      <c r="AK48" s="5">
        <v>0</v>
      </c>
      <c r="AL48" s="5">
        <v>1</v>
      </c>
      <c r="AM48" s="5">
        <v>1</v>
      </c>
      <c r="AN48" s="5">
        <v>0</v>
      </c>
      <c r="AO48" s="5">
        <v>1</v>
      </c>
      <c r="AP48" s="5">
        <v>1</v>
      </c>
    </row>
    <row r="49" spans="1:42" ht="16.8" thickBot="1">
      <c r="A49" s="56" t="s">
        <v>93</v>
      </c>
      <c r="B49" s="61" t="s">
        <v>94</v>
      </c>
      <c r="C49" s="1"/>
      <c r="D49" s="1"/>
      <c r="E49" s="1"/>
      <c r="F49" s="1"/>
      <c r="G49" s="1"/>
      <c r="H49" s="1"/>
      <c r="K49" s="18">
        <v>45</v>
      </c>
      <c r="L49" s="21" t="s">
        <v>35</v>
      </c>
      <c r="M49" s="21" t="s">
        <v>40</v>
      </c>
      <c r="N49" s="21" t="s">
        <v>24</v>
      </c>
      <c r="O49" s="21" t="s">
        <v>27</v>
      </c>
      <c r="P49" s="21" t="s">
        <v>28</v>
      </c>
      <c r="Q49" s="21" t="s">
        <v>29</v>
      </c>
      <c r="R49" s="21" t="s">
        <v>17</v>
      </c>
      <c r="T49" s="6">
        <f t="shared" si="9"/>
        <v>5</v>
      </c>
      <c r="U49" s="6">
        <f t="shared" si="10"/>
        <v>12</v>
      </c>
      <c r="V49" s="6">
        <f t="shared" si="11"/>
        <v>8</v>
      </c>
      <c r="W49" s="6">
        <f t="shared" si="12"/>
        <v>10</v>
      </c>
      <c r="X49" s="6">
        <f t="shared" si="13"/>
        <v>11</v>
      </c>
      <c r="Y49" s="6">
        <f t="shared" si="14"/>
        <v>12</v>
      </c>
      <c r="Z49" s="6">
        <f t="shared" si="15"/>
        <v>4</v>
      </c>
      <c r="AB49" s="22">
        <v>5</v>
      </c>
      <c r="AC49" s="22">
        <v>5</v>
      </c>
      <c r="AD49" s="22">
        <v>5</v>
      </c>
      <c r="AE49" s="22">
        <v>5</v>
      </c>
      <c r="AF49" s="22">
        <v>4</v>
      </c>
      <c r="AG49" s="22">
        <v>5</v>
      </c>
      <c r="AH49" s="22">
        <v>5</v>
      </c>
      <c r="AJ49" s="5">
        <v>1</v>
      </c>
      <c r="AK49" s="5">
        <v>1</v>
      </c>
      <c r="AL49" s="5">
        <v>1</v>
      </c>
      <c r="AM49" s="5">
        <v>1</v>
      </c>
      <c r="AN49" s="5">
        <v>1</v>
      </c>
      <c r="AO49" s="5">
        <v>1</v>
      </c>
      <c r="AP49" s="5">
        <v>1</v>
      </c>
    </row>
    <row r="50" spans="1:42">
      <c r="A50" s="58" t="s">
        <v>68</v>
      </c>
      <c r="B50" s="59">
        <v>0</v>
      </c>
      <c r="C50" s="1"/>
      <c r="D50" s="1"/>
      <c r="E50" s="1"/>
      <c r="F50" s="1"/>
      <c r="G50" s="1"/>
      <c r="H50" s="1"/>
      <c r="K50" s="19">
        <v>46</v>
      </c>
      <c r="L50" s="21" t="s">
        <v>21</v>
      </c>
      <c r="M50" s="21" t="s">
        <v>64</v>
      </c>
      <c r="N50" s="21" t="s">
        <v>28</v>
      </c>
      <c r="O50" s="21" t="s">
        <v>27</v>
      </c>
      <c r="P50" s="21" t="s">
        <v>17</v>
      </c>
      <c r="Q50" s="21" t="s">
        <v>24</v>
      </c>
      <c r="R50" s="21" t="s">
        <v>17</v>
      </c>
      <c r="T50" s="6">
        <f t="shared" si="9"/>
        <v>3</v>
      </c>
      <c r="U50" s="6">
        <f t="shared" si="10"/>
        <v>6</v>
      </c>
      <c r="V50" s="6">
        <f t="shared" si="11"/>
        <v>11</v>
      </c>
      <c r="W50" s="6">
        <f t="shared" si="12"/>
        <v>10</v>
      </c>
      <c r="X50" s="6">
        <f t="shared" si="13"/>
        <v>4</v>
      </c>
      <c r="Y50" s="6">
        <f t="shared" si="14"/>
        <v>8</v>
      </c>
      <c r="Z50" s="6">
        <f t="shared" si="15"/>
        <v>4</v>
      </c>
      <c r="AB50" s="22">
        <v>5</v>
      </c>
      <c r="AC50" s="22">
        <v>0</v>
      </c>
      <c r="AD50" s="22">
        <v>0</v>
      </c>
      <c r="AE50" s="22">
        <v>0</v>
      </c>
      <c r="AF50" s="22">
        <v>1</v>
      </c>
      <c r="AG50" s="22">
        <v>5</v>
      </c>
      <c r="AH50" s="22">
        <v>5</v>
      </c>
      <c r="AJ50" s="5">
        <v>1</v>
      </c>
      <c r="AK50" s="5">
        <v>1</v>
      </c>
      <c r="AL50" s="5">
        <v>1</v>
      </c>
      <c r="AM50" s="5">
        <v>1</v>
      </c>
      <c r="AN50" s="5">
        <v>3</v>
      </c>
      <c r="AO50" s="5">
        <v>1</v>
      </c>
      <c r="AP50" s="5">
        <v>1</v>
      </c>
    </row>
    <row r="51" spans="1:42">
      <c r="A51" s="57" t="s">
        <v>19</v>
      </c>
      <c r="B51" s="60">
        <v>0</v>
      </c>
      <c r="C51" s="1"/>
      <c r="D51" s="1"/>
      <c r="E51" s="1"/>
      <c r="F51" s="1"/>
      <c r="G51" s="1"/>
      <c r="H51" s="1"/>
      <c r="K51" s="18">
        <v>47</v>
      </c>
      <c r="L51" s="21" t="s">
        <v>36</v>
      </c>
      <c r="M51" s="21" t="s">
        <v>17</v>
      </c>
      <c r="N51" s="21" t="s">
        <v>28</v>
      </c>
      <c r="O51" s="21" t="s">
        <v>19</v>
      </c>
      <c r="P51" s="21" t="s">
        <v>17</v>
      </c>
      <c r="Q51" s="21" t="s">
        <v>27</v>
      </c>
      <c r="R51" s="21" t="s">
        <v>64</v>
      </c>
      <c r="T51" s="6">
        <f t="shared" si="9"/>
        <v>1</v>
      </c>
      <c r="U51" s="6">
        <f t="shared" si="10"/>
        <v>4</v>
      </c>
      <c r="V51" s="6">
        <f t="shared" si="11"/>
        <v>11</v>
      </c>
      <c r="W51" s="6">
        <f t="shared" si="12"/>
        <v>1</v>
      </c>
      <c r="X51" s="6">
        <f t="shared" si="13"/>
        <v>4</v>
      </c>
      <c r="Y51" s="6">
        <f t="shared" si="14"/>
        <v>10</v>
      </c>
      <c r="Z51" s="6">
        <f t="shared" si="15"/>
        <v>6</v>
      </c>
      <c r="AB51" s="22">
        <v>5</v>
      </c>
      <c r="AC51" s="22">
        <v>0</v>
      </c>
      <c r="AD51" s="22">
        <v>0</v>
      </c>
      <c r="AE51" s="22">
        <v>0</v>
      </c>
      <c r="AF51" s="22">
        <v>0</v>
      </c>
      <c r="AG51" s="22">
        <v>5</v>
      </c>
      <c r="AH51" s="22">
        <v>5</v>
      </c>
      <c r="AJ51" s="5">
        <v>1</v>
      </c>
      <c r="AK51" s="5">
        <v>2</v>
      </c>
      <c r="AL51" s="5">
        <v>1</v>
      </c>
      <c r="AM51" s="5">
        <v>1</v>
      </c>
      <c r="AN51" s="5">
        <v>0</v>
      </c>
      <c r="AO51" s="5">
        <v>1</v>
      </c>
      <c r="AP51" s="5">
        <v>1</v>
      </c>
    </row>
    <row r="52" spans="1:42">
      <c r="A52" s="57" t="s">
        <v>20</v>
      </c>
      <c r="B52" s="60">
        <v>2</v>
      </c>
      <c r="C52" s="1"/>
      <c r="D52" s="1"/>
      <c r="E52" s="1"/>
      <c r="F52" s="1"/>
      <c r="G52" s="1"/>
      <c r="H52" s="1"/>
      <c r="K52" s="19">
        <v>48</v>
      </c>
      <c r="L52" s="21" t="s">
        <v>26</v>
      </c>
      <c r="M52" s="21" t="s">
        <v>17</v>
      </c>
      <c r="N52" s="21" t="s">
        <v>19</v>
      </c>
      <c r="O52" s="21" t="s">
        <v>248</v>
      </c>
      <c r="P52" s="21" t="s">
        <v>17</v>
      </c>
      <c r="Q52" s="21" t="s">
        <v>18</v>
      </c>
      <c r="R52" s="21" t="s">
        <v>64</v>
      </c>
      <c r="T52" s="6">
        <f t="shared" si="9"/>
        <v>9</v>
      </c>
      <c r="U52" s="6">
        <f t="shared" si="10"/>
        <v>4</v>
      </c>
      <c r="V52" s="6">
        <f t="shared" si="11"/>
        <v>1</v>
      </c>
      <c r="W52" s="6">
        <f t="shared" si="12"/>
        <v>20</v>
      </c>
      <c r="X52" s="6">
        <f t="shared" si="13"/>
        <v>4</v>
      </c>
      <c r="Y52" s="6">
        <f t="shared" si="14"/>
        <v>5</v>
      </c>
      <c r="Z52" s="6">
        <f t="shared" si="15"/>
        <v>6</v>
      </c>
      <c r="AB52" s="22">
        <v>5</v>
      </c>
      <c r="AC52" s="22">
        <v>0</v>
      </c>
      <c r="AD52" s="22">
        <v>0</v>
      </c>
      <c r="AE52" s="22">
        <v>0</v>
      </c>
      <c r="AF52" s="22">
        <v>0</v>
      </c>
      <c r="AG52" s="22">
        <v>5</v>
      </c>
      <c r="AH52" s="22">
        <v>5</v>
      </c>
      <c r="AJ52" s="5">
        <v>1</v>
      </c>
      <c r="AK52" s="5">
        <v>0</v>
      </c>
      <c r="AL52" s="5">
        <v>1</v>
      </c>
      <c r="AM52" s="5">
        <v>2</v>
      </c>
      <c r="AN52" s="5">
        <v>0</v>
      </c>
      <c r="AO52" s="5">
        <v>1</v>
      </c>
      <c r="AP52" s="5">
        <v>1</v>
      </c>
    </row>
    <row r="53" spans="1:42">
      <c r="A53" s="57" t="s">
        <v>21</v>
      </c>
      <c r="B53" s="60">
        <v>3</v>
      </c>
      <c r="C53" s="1"/>
      <c r="D53" s="1"/>
      <c r="E53" s="1"/>
      <c r="F53" s="1"/>
      <c r="G53" s="1"/>
      <c r="H53" s="1"/>
      <c r="K53" s="18">
        <v>49</v>
      </c>
      <c r="L53" s="21" t="s">
        <v>29</v>
      </c>
      <c r="M53" s="21" t="s">
        <v>24</v>
      </c>
      <c r="N53" s="21" t="s">
        <v>21</v>
      </c>
      <c r="O53" s="21" t="s">
        <v>248</v>
      </c>
      <c r="P53" s="21" t="s">
        <v>64</v>
      </c>
      <c r="Q53" s="21" t="s">
        <v>24</v>
      </c>
      <c r="R53" s="21" t="s">
        <v>36</v>
      </c>
      <c r="T53" s="6">
        <f t="shared" si="9"/>
        <v>12</v>
      </c>
      <c r="U53" s="6">
        <f t="shared" si="10"/>
        <v>8</v>
      </c>
      <c r="V53" s="6">
        <f t="shared" si="11"/>
        <v>3</v>
      </c>
      <c r="W53" s="6">
        <f t="shared" si="12"/>
        <v>20</v>
      </c>
      <c r="X53" s="6">
        <f t="shared" si="13"/>
        <v>6</v>
      </c>
      <c r="Y53" s="6">
        <f t="shared" si="14"/>
        <v>8</v>
      </c>
      <c r="Z53" s="6">
        <f t="shared" si="15"/>
        <v>1</v>
      </c>
      <c r="AB53" s="22">
        <v>5</v>
      </c>
      <c r="AC53" s="22">
        <v>0</v>
      </c>
      <c r="AD53" s="22">
        <v>0</v>
      </c>
      <c r="AE53" s="22">
        <v>0</v>
      </c>
      <c r="AF53" s="22">
        <v>1</v>
      </c>
      <c r="AG53" s="22">
        <v>5</v>
      </c>
      <c r="AH53" s="22">
        <v>5</v>
      </c>
      <c r="AJ53" s="5">
        <v>1</v>
      </c>
      <c r="AK53" s="5">
        <v>1</v>
      </c>
      <c r="AL53" s="5">
        <v>1</v>
      </c>
      <c r="AM53" s="5">
        <v>0</v>
      </c>
      <c r="AN53" s="5">
        <v>1</v>
      </c>
      <c r="AO53" s="5">
        <v>1</v>
      </c>
      <c r="AP53" s="5">
        <v>1</v>
      </c>
    </row>
    <row r="54" spans="1:42">
      <c r="A54" s="57" t="s">
        <v>17</v>
      </c>
      <c r="B54" s="60">
        <v>5</v>
      </c>
      <c r="C54" s="1"/>
      <c r="D54" s="1"/>
      <c r="E54" s="1"/>
      <c r="F54" s="1"/>
      <c r="G54" s="1"/>
      <c r="H54" s="1"/>
      <c r="K54" s="19">
        <v>50</v>
      </c>
      <c r="L54" s="21" t="s">
        <v>34</v>
      </c>
      <c r="M54" s="21" t="s">
        <v>24</v>
      </c>
      <c r="N54" s="21" t="s">
        <v>27</v>
      </c>
      <c r="O54" s="21" t="s">
        <v>17</v>
      </c>
      <c r="P54" s="21" t="s">
        <v>21</v>
      </c>
      <c r="Q54" s="21" t="s">
        <v>28</v>
      </c>
      <c r="R54" s="21" t="s">
        <v>28</v>
      </c>
      <c r="T54" s="6">
        <f t="shared" si="9"/>
        <v>4</v>
      </c>
      <c r="U54" s="6">
        <f t="shared" si="10"/>
        <v>8</v>
      </c>
      <c r="V54" s="6">
        <f t="shared" si="11"/>
        <v>10</v>
      </c>
      <c r="W54" s="6">
        <f t="shared" si="12"/>
        <v>4</v>
      </c>
      <c r="X54" s="6">
        <f t="shared" si="13"/>
        <v>3</v>
      </c>
      <c r="Y54" s="6">
        <f t="shared" si="14"/>
        <v>11</v>
      </c>
      <c r="Z54" s="6">
        <f t="shared" si="15"/>
        <v>11</v>
      </c>
      <c r="AB54" s="22">
        <v>5</v>
      </c>
      <c r="AC54" s="22">
        <v>5</v>
      </c>
      <c r="AD54" s="22">
        <v>5</v>
      </c>
      <c r="AE54" s="22">
        <v>5</v>
      </c>
      <c r="AF54" s="22">
        <v>5</v>
      </c>
      <c r="AG54" s="22">
        <v>5</v>
      </c>
      <c r="AH54" s="22">
        <v>5</v>
      </c>
      <c r="AJ54" s="5">
        <v>1</v>
      </c>
      <c r="AK54" s="5">
        <v>1</v>
      </c>
      <c r="AL54" s="5">
        <v>1</v>
      </c>
      <c r="AM54" s="5">
        <v>2</v>
      </c>
      <c r="AN54" s="5">
        <v>1</v>
      </c>
      <c r="AO54" s="5">
        <v>1</v>
      </c>
      <c r="AP54" s="5">
        <v>1</v>
      </c>
    </row>
    <row r="55" spans="1:42">
      <c r="A55" s="57" t="s">
        <v>18</v>
      </c>
      <c r="B55" s="60">
        <v>8</v>
      </c>
      <c r="C55" s="1"/>
      <c r="D55" s="1"/>
      <c r="E55" s="1"/>
      <c r="F55" s="1"/>
      <c r="G55" s="1"/>
      <c r="H55" s="1"/>
      <c r="K55" s="18">
        <v>51</v>
      </c>
      <c r="L55" s="21" t="s">
        <v>64</v>
      </c>
      <c r="M55" s="21" t="s">
        <v>19</v>
      </c>
      <c r="N55" s="21" t="s">
        <v>19</v>
      </c>
      <c r="O55" s="21" t="s">
        <v>17</v>
      </c>
      <c r="P55" s="21" t="s">
        <v>252</v>
      </c>
      <c r="Q55" s="21" t="s">
        <v>64</v>
      </c>
      <c r="R55" s="21" t="s">
        <v>28</v>
      </c>
      <c r="T55" s="6">
        <f t="shared" si="9"/>
        <v>6</v>
      </c>
      <c r="U55" s="6">
        <f t="shared" si="10"/>
        <v>1</v>
      </c>
      <c r="V55" s="6">
        <f t="shared" si="11"/>
        <v>1</v>
      </c>
      <c r="W55" s="6">
        <f t="shared" si="12"/>
        <v>4</v>
      </c>
      <c r="X55" s="6">
        <f t="shared" si="13"/>
        <v>22</v>
      </c>
      <c r="Y55" s="6">
        <f t="shared" si="14"/>
        <v>6</v>
      </c>
      <c r="Z55" s="6">
        <f t="shared" si="15"/>
        <v>11</v>
      </c>
      <c r="AB55" s="22">
        <v>5</v>
      </c>
      <c r="AC55" s="22">
        <v>0</v>
      </c>
      <c r="AD55" s="22">
        <v>0</v>
      </c>
      <c r="AE55" s="22">
        <v>0</v>
      </c>
      <c r="AF55" s="22">
        <v>0</v>
      </c>
      <c r="AG55" s="22">
        <v>5</v>
      </c>
      <c r="AH55" s="22">
        <v>5</v>
      </c>
      <c r="AJ55" s="5">
        <v>1</v>
      </c>
      <c r="AK55" s="5">
        <v>1</v>
      </c>
      <c r="AL55" s="5">
        <v>1</v>
      </c>
      <c r="AM55" s="5">
        <v>0</v>
      </c>
      <c r="AN55" s="5">
        <v>2</v>
      </c>
      <c r="AO55" s="5">
        <v>1</v>
      </c>
      <c r="AP55" s="5">
        <v>1</v>
      </c>
    </row>
    <row r="56" spans="1:42">
      <c r="A56" s="57" t="s">
        <v>64</v>
      </c>
      <c r="B56" s="60">
        <v>12</v>
      </c>
      <c r="C56" s="1"/>
      <c r="D56" s="1"/>
      <c r="E56" s="1"/>
      <c r="F56" s="1"/>
      <c r="G56" s="1"/>
      <c r="H56" s="1"/>
      <c r="K56" s="19">
        <v>52</v>
      </c>
      <c r="L56" s="21" t="s">
        <v>64</v>
      </c>
      <c r="M56" s="21" t="s">
        <v>240</v>
      </c>
      <c r="N56" s="21" t="s">
        <v>242</v>
      </c>
      <c r="O56" s="21" t="s">
        <v>27</v>
      </c>
      <c r="P56" s="21" t="s">
        <v>252</v>
      </c>
      <c r="Q56" s="21" t="s">
        <v>27</v>
      </c>
      <c r="R56" s="21" t="s">
        <v>28</v>
      </c>
      <c r="T56" s="6">
        <f t="shared" si="9"/>
        <v>6</v>
      </c>
      <c r="U56" s="6">
        <f t="shared" si="10"/>
        <v>16</v>
      </c>
      <c r="V56" s="6">
        <f t="shared" si="11"/>
        <v>17</v>
      </c>
      <c r="W56" s="6">
        <f t="shared" si="12"/>
        <v>10</v>
      </c>
      <c r="X56" s="6">
        <f t="shared" si="13"/>
        <v>22</v>
      </c>
      <c r="Y56" s="6">
        <f t="shared" si="14"/>
        <v>10</v>
      </c>
      <c r="Z56" s="6">
        <f t="shared" si="15"/>
        <v>11</v>
      </c>
      <c r="AB56" s="22">
        <v>5</v>
      </c>
      <c r="AC56" s="22">
        <v>0</v>
      </c>
      <c r="AD56" s="22">
        <v>0</v>
      </c>
      <c r="AE56" s="22">
        <v>0</v>
      </c>
      <c r="AF56" s="22">
        <v>0</v>
      </c>
      <c r="AG56" s="22">
        <v>5</v>
      </c>
      <c r="AH56" s="22">
        <v>5</v>
      </c>
      <c r="AJ56" s="5">
        <v>1</v>
      </c>
      <c r="AK56" s="5">
        <v>2</v>
      </c>
      <c r="AL56" s="5">
        <v>2</v>
      </c>
      <c r="AM56" s="5">
        <v>1</v>
      </c>
      <c r="AN56" s="5">
        <v>0</v>
      </c>
      <c r="AO56" s="5">
        <v>1</v>
      </c>
      <c r="AP56" s="5">
        <v>1</v>
      </c>
    </row>
    <row r="57" spans="1:42">
      <c r="A57" s="57" t="s">
        <v>95</v>
      </c>
      <c r="B57" s="60">
        <v>10</v>
      </c>
      <c r="C57" s="1"/>
      <c r="D57" s="1"/>
      <c r="E57" s="1"/>
      <c r="F57" s="1"/>
      <c r="G57" s="1"/>
      <c r="H57" s="1"/>
      <c r="K57" s="18">
        <v>53</v>
      </c>
      <c r="L57" s="21" t="s">
        <v>29</v>
      </c>
      <c r="M57" s="21" t="s">
        <v>240</v>
      </c>
      <c r="N57" s="21" t="s">
        <v>242</v>
      </c>
      <c r="O57" s="21" t="s">
        <v>19</v>
      </c>
      <c r="P57" s="21" t="s">
        <v>36</v>
      </c>
      <c r="Q57" s="21" t="s">
        <v>24</v>
      </c>
      <c r="R57" s="21" t="s">
        <v>64</v>
      </c>
      <c r="T57" s="6">
        <f t="shared" si="9"/>
        <v>12</v>
      </c>
      <c r="U57" s="6">
        <f t="shared" si="10"/>
        <v>16</v>
      </c>
      <c r="V57" s="6">
        <f t="shared" si="11"/>
        <v>17</v>
      </c>
      <c r="W57" s="6">
        <f t="shared" si="12"/>
        <v>1</v>
      </c>
      <c r="X57" s="6">
        <f t="shared" si="13"/>
        <v>1</v>
      </c>
      <c r="Y57" s="6">
        <f t="shared" si="14"/>
        <v>8</v>
      </c>
      <c r="Z57" s="6">
        <f t="shared" si="15"/>
        <v>6</v>
      </c>
      <c r="AB57" s="22">
        <v>5</v>
      </c>
      <c r="AC57" s="22">
        <v>0</v>
      </c>
      <c r="AD57" s="22">
        <v>0</v>
      </c>
      <c r="AE57" s="22">
        <v>0</v>
      </c>
      <c r="AF57" s="22">
        <v>0</v>
      </c>
      <c r="AG57" s="22">
        <v>5</v>
      </c>
      <c r="AH57" s="22">
        <v>5</v>
      </c>
      <c r="AJ57" s="5">
        <v>1</v>
      </c>
      <c r="AK57" s="5">
        <v>0</v>
      </c>
      <c r="AL57" s="5">
        <v>0</v>
      </c>
      <c r="AM57" s="5">
        <v>1</v>
      </c>
      <c r="AN57" s="5">
        <v>1</v>
      </c>
      <c r="AO57" s="5">
        <v>1</v>
      </c>
      <c r="AP57" s="5">
        <v>1</v>
      </c>
    </row>
    <row r="58" spans="1:42">
      <c r="A58" s="57" t="s">
        <v>96</v>
      </c>
      <c r="B58" s="60">
        <v>10</v>
      </c>
      <c r="C58" s="1"/>
      <c r="D58" s="1"/>
      <c r="E58" s="1"/>
      <c r="F58" s="1"/>
      <c r="G58" s="1"/>
      <c r="H58" s="1"/>
      <c r="K58" s="19">
        <v>54</v>
      </c>
      <c r="L58" s="21" t="s">
        <v>29</v>
      </c>
      <c r="M58" s="21" t="s">
        <v>28</v>
      </c>
      <c r="N58" s="21" t="s">
        <v>18</v>
      </c>
      <c r="O58" s="21" t="s">
        <v>24</v>
      </c>
      <c r="P58" s="21" t="s">
        <v>24</v>
      </c>
      <c r="Q58" s="21" t="s">
        <v>64</v>
      </c>
      <c r="R58" s="21" t="s">
        <v>18</v>
      </c>
      <c r="T58" s="6">
        <f t="shared" si="9"/>
        <v>12</v>
      </c>
      <c r="U58" s="6">
        <f t="shared" si="10"/>
        <v>11</v>
      </c>
      <c r="V58" s="6">
        <f t="shared" si="11"/>
        <v>5</v>
      </c>
      <c r="W58" s="6">
        <f t="shared" si="12"/>
        <v>8</v>
      </c>
      <c r="X58" s="6">
        <f t="shared" si="13"/>
        <v>8</v>
      </c>
      <c r="Y58" s="6">
        <f t="shared" si="14"/>
        <v>6</v>
      </c>
      <c r="Z58" s="6">
        <f t="shared" si="15"/>
        <v>5</v>
      </c>
      <c r="AB58" s="22">
        <v>5</v>
      </c>
      <c r="AC58" s="22">
        <v>0</v>
      </c>
      <c r="AD58" s="22">
        <v>0</v>
      </c>
      <c r="AE58" s="22">
        <v>0</v>
      </c>
      <c r="AF58" s="22">
        <v>1</v>
      </c>
      <c r="AG58" s="22">
        <v>5</v>
      </c>
      <c r="AH58" s="22">
        <v>5</v>
      </c>
      <c r="AJ58" s="5">
        <v>1</v>
      </c>
      <c r="AK58" s="5">
        <v>1</v>
      </c>
      <c r="AL58" s="5">
        <v>1</v>
      </c>
      <c r="AM58" s="5">
        <v>1</v>
      </c>
      <c r="AN58" s="5">
        <v>1</v>
      </c>
      <c r="AO58" s="5">
        <v>1</v>
      </c>
      <c r="AP58" s="5">
        <v>1</v>
      </c>
    </row>
    <row r="59" spans="1:42">
      <c r="A59" s="62" t="s">
        <v>37</v>
      </c>
      <c r="B59" s="82">
        <v>10</v>
      </c>
      <c r="C59" s="1"/>
      <c r="D59" s="1"/>
      <c r="E59" s="1"/>
      <c r="F59" s="1"/>
      <c r="G59" s="1"/>
      <c r="H59" s="1"/>
      <c r="K59" s="18">
        <v>55</v>
      </c>
      <c r="L59" s="21" t="s">
        <v>34</v>
      </c>
      <c r="M59" s="21" t="s">
        <v>20</v>
      </c>
      <c r="N59" s="21" t="s">
        <v>27</v>
      </c>
      <c r="O59" s="21" t="s">
        <v>64</v>
      </c>
      <c r="P59" s="21" t="s">
        <v>242</v>
      </c>
      <c r="Q59" s="21" t="s">
        <v>17</v>
      </c>
      <c r="R59" s="21" t="s">
        <v>18</v>
      </c>
      <c r="T59" s="6">
        <f t="shared" si="9"/>
        <v>4</v>
      </c>
      <c r="U59" s="6">
        <f t="shared" si="10"/>
        <v>2</v>
      </c>
      <c r="V59" s="6">
        <f t="shared" si="11"/>
        <v>10</v>
      </c>
      <c r="W59" s="6">
        <f t="shared" si="12"/>
        <v>6</v>
      </c>
      <c r="X59" s="6">
        <f t="shared" si="13"/>
        <v>17</v>
      </c>
      <c r="Y59" s="6">
        <f t="shared" si="14"/>
        <v>4</v>
      </c>
      <c r="Z59" s="6">
        <f t="shared" si="15"/>
        <v>5</v>
      </c>
      <c r="AB59" s="22">
        <v>5</v>
      </c>
      <c r="AC59" s="22">
        <v>5</v>
      </c>
      <c r="AD59" s="22">
        <v>5</v>
      </c>
      <c r="AE59" s="22">
        <v>5</v>
      </c>
      <c r="AF59" s="22">
        <v>6</v>
      </c>
      <c r="AG59" s="22">
        <v>5</v>
      </c>
      <c r="AH59" s="22">
        <v>5</v>
      </c>
      <c r="AJ59" s="5">
        <v>1</v>
      </c>
      <c r="AK59" s="5">
        <v>1</v>
      </c>
      <c r="AL59" s="5">
        <v>1</v>
      </c>
      <c r="AM59" s="5">
        <v>2</v>
      </c>
      <c r="AN59" s="5">
        <v>2</v>
      </c>
      <c r="AO59" s="5">
        <v>1</v>
      </c>
      <c r="AP59" s="5">
        <v>1</v>
      </c>
    </row>
    <row r="60" spans="1:42">
      <c r="A60" s="62" t="s">
        <v>38</v>
      </c>
      <c r="B60" s="82">
        <v>10</v>
      </c>
      <c r="C60" s="1"/>
      <c r="D60" s="1"/>
      <c r="E60" s="1"/>
      <c r="F60" s="1"/>
      <c r="G60" s="1"/>
      <c r="H60" s="1"/>
      <c r="K60" s="19">
        <v>56</v>
      </c>
      <c r="L60" s="21" t="s">
        <v>26</v>
      </c>
      <c r="M60" s="21" t="s">
        <v>252</v>
      </c>
      <c r="N60" s="21" t="s">
        <v>27</v>
      </c>
      <c r="O60" s="21" t="s">
        <v>64</v>
      </c>
      <c r="P60" s="21" t="s">
        <v>242</v>
      </c>
      <c r="Q60" s="21" t="s">
        <v>18</v>
      </c>
      <c r="R60" s="21" t="s">
        <v>24</v>
      </c>
      <c r="T60" s="6">
        <f t="shared" si="9"/>
        <v>9</v>
      </c>
      <c r="U60" s="6">
        <f t="shared" si="10"/>
        <v>22</v>
      </c>
      <c r="V60" s="6">
        <f t="shared" si="11"/>
        <v>10</v>
      </c>
      <c r="W60" s="6">
        <f t="shared" si="12"/>
        <v>6</v>
      </c>
      <c r="X60" s="6">
        <f t="shared" si="13"/>
        <v>17</v>
      </c>
      <c r="Y60" s="6">
        <f t="shared" si="14"/>
        <v>5</v>
      </c>
      <c r="Z60" s="6">
        <f t="shared" si="15"/>
        <v>8</v>
      </c>
      <c r="AB60" s="22">
        <v>5</v>
      </c>
      <c r="AC60" s="22">
        <v>0</v>
      </c>
      <c r="AD60" s="22">
        <v>0</v>
      </c>
      <c r="AE60" s="22">
        <v>0</v>
      </c>
      <c r="AF60" s="22">
        <v>0</v>
      </c>
      <c r="AG60" s="22">
        <v>5</v>
      </c>
      <c r="AH60" s="22">
        <v>5</v>
      </c>
      <c r="AJ60" s="5">
        <v>1</v>
      </c>
      <c r="AK60" s="5">
        <v>2</v>
      </c>
      <c r="AL60" s="5">
        <v>1</v>
      </c>
      <c r="AM60" s="5">
        <v>0</v>
      </c>
      <c r="AN60" s="5">
        <v>0</v>
      </c>
      <c r="AO60" s="5">
        <v>1</v>
      </c>
      <c r="AP60" s="5">
        <v>1</v>
      </c>
    </row>
    <row r="61" spans="1:42">
      <c r="A61" s="62" t="s">
        <v>39</v>
      </c>
      <c r="B61" s="82">
        <v>10</v>
      </c>
      <c r="C61" s="1"/>
      <c r="D61" s="1"/>
      <c r="E61" s="1"/>
      <c r="F61" s="1"/>
      <c r="G61" s="1"/>
      <c r="H61" s="1"/>
      <c r="K61" s="18">
        <v>57</v>
      </c>
      <c r="L61" s="21" t="s">
        <v>27</v>
      </c>
      <c r="M61" s="21" t="s">
        <v>252</v>
      </c>
      <c r="N61" s="21" t="s">
        <v>19</v>
      </c>
      <c r="O61" s="21" t="s">
        <v>19</v>
      </c>
      <c r="P61" s="21" t="s">
        <v>21</v>
      </c>
      <c r="Q61" s="21" t="s">
        <v>28</v>
      </c>
      <c r="R61" s="21" t="s">
        <v>29</v>
      </c>
      <c r="T61" s="6">
        <f t="shared" si="9"/>
        <v>10</v>
      </c>
      <c r="U61" s="6">
        <f t="shared" si="10"/>
        <v>22</v>
      </c>
      <c r="V61" s="6">
        <f t="shared" si="11"/>
        <v>1</v>
      </c>
      <c r="W61" s="6">
        <f t="shared" si="12"/>
        <v>1</v>
      </c>
      <c r="X61" s="6">
        <f t="shared" si="13"/>
        <v>3</v>
      </c>
      <c r="Y61" s="6">
        <f t="shared" si="14"/>
        <v>11</v>
      </c>
      <c r="Z61" s="6">
        <f t="shared" si="15"/>
        <v>12</v>
      </c>
      <c r="AB61" s="22">
        <v>5</v>
      </c>
      <c r="AC61" s="22">
        <v>0</v>
      </c>
      <c r="AD61" s="22">
        <v>0</v>
      </c>
      <c r="AE61" s="22">
        <v>0</v>
      </c>
      <c r="AF61" s="22">
        <v>0</v>
      </c>
      <c r="AG61" s="22">
        <v>5</v>
      </c>
      <c r="AH61" s="22">
        <v>5</v>
      </c>
      <c r="AJ61" s="5">
        <v>1</v>
      </c>
      <c r="AK61" s="5">
        <v>0</v>
      </c>
      <c r="AL61" s="5">
        <v>1</v>
      </c>
      <c r="AM61" s="5">
        <v>1</v>
      </c>
      <c r="AN61" s="5">
        <v>2</v>
      </c>
      <c r="AO61" s="5">
        <v>1</v>
      </c>
      <c r="AP61" s="5">
        <v>1</v>
      </c>
    </row>
    <row r="62" spans="1:42" ht="16.8" thickBot="1">
      <c r="A62" s="63" t="s">
        <v>40</v>
      </c>
      <c r="B62" s="83">
        <v>10</v>
      </c>
      <c r="C62" s="1"/>
      <c r="D62" s="1"/>
      <c r="E62" s="1"/>
      <c r="F62" s="1"/>
      <c r="G62" s="1"/>
      <c r="H62" s="1"/>
      <c r="K62" s="19">
        <v>58</v>
      </c>
      <c r="L62" s="21" t="s">
        <v>27</v>
      </c>
      <c r="M62" s="21" t="s">
        <v>19</v>
      </c>
      <c r="N62" s="21" t="s">
        <v>64</v>
      </c>
      <c r="O62" s="21" t="s">
        <v>240</v>
      </c>
      <c r="P62" s="21" t="s">
        <v>21</v>
      </c>
      <c r="Q62" s="21" t="s">
        <v>64</v>
      </c>
      <c r="R62" s="21" t="s">
        <v>17</v>
      </c>
      <c r="T62" s="6">
        <f t="shared" si="9"/>
        <v>10</v>
      </c>
      <c r="U62" s="6">
        <f t="shared" si="10"/>
        <v>1</v>
      </c>
      <c r="V62" s="6">
        <f t="shared" si="11"/>
        <v>6</v>
      </c>
      <c r="W62" s="6">
        <f t="shared" si="12"/>
        <v>16</v>
      </c>
      <c r="X62" s="6">
        <f t="shared" si="13"/>
        <v>3</v>
      </c>
      <c r="Y62" s="6">
        <f t="shared" si="14"/>
        <v>6</v>
      </c>
      <c r="Z62" s="6">
        <f t="shared" si="15"/>
        <v>4</v>
      </c>
      <c r="AB62" s="22">
        <v>5</v>
      </c>
      <c r="AC62" s="22">
        <v>0</v>
      </c>
      <c r="AD62" s="22">
        <v>0</v>
      </c>
      <c r="AE62" s="22">
        <v>0</v>
      </c>
      <c r="AF62" s="22">
        <v>0</v>
      </c>
      <c r="AG62" s="22">
        <v>5</v>
      </c>
      <c r="AH62" s="22">
        <v>5</v>
      </c>
      <c r="AJ62" s="5">
        <v>1</v>
      </c>
      <c r="AK62" s="5">
        <v>1</v>
      </c>
      <c r="AL62" s="5">
        <v>1</v>
      </c>
      <c r="AM62" s="5">
        <v>2</v>
      </c>
      <c r="AN62" s="5">
        <v>0</v>
      </c>
      <c r="AO62" s="5">
        <v>1</v>
      </c>
      <c r="AP62" s="5">
        <v>1</v>
      </c>
    </row>
    <row r="63" spans="1:42" ht="16.8" thickBot="1">
      <c r="A63" s="1"/>
      <c r="B63" s="1"/>
      <c r="C63" s="1"/>
      <c r="D63" s="1"/>
      <c r="E63" s="1"/>
      <c r="F63" s="1"/>
      <c r="G63" s="1"/>
      <c r="H63" s="1"/>
      <c r="K63" s="18">
        <v>59</v>
      </c>
      <c r="L63" s="21" t="s">
        <v>21</v>
      </c>
      <c r="M63" s="21" t="s">
        <v>24</v>
      </c>
      <c r="N63" s="21" t="s">
        <v>24</v>
      </c>
      <c r="O63" s="21" t="s">
        <v>240</v>
      </c>
      <c r="P63" s="21" t="s">
        <v>27</v>
      </c>
      <c r="Q63" s="21" t="s">
        <v>27</v>
      </c>
      <c r="R63" s="21" t="s">
        <v>20</v>
      </c>
      <c r="T63" s="6">
        <f t="shared" si="9"/>
        <v>3</v>
      </c>
      <c r="U63" s="6">
        <f t="shared" si="10"/>
        <v>8</v>
      </c>
      <c r="V63" s="6">
        <f t="shared" si="11"/>
        <v>8</v>
      </c>
      <c r="W63" s="6">
        <f t="shared" si="12"/>
        <v>16</v>
      </c>
      <c r="X63" s="6">
        <f t="shared" si="13"/>
        <v>10</v>
      </c>
      <c r="Y63" s="6">
        <f t="shared" si="14"/>
        <v>10</v>
      </c>
      <c r="Z63" s="6">
        <f t="shared" si="15"/>
        <v>2</v>
      </c>
      <c r="AB63" s="22">
        <v>5</v>
      </c>
      <c r="AC63" s="22">
        <v>0</v>
      </c>
      <c r="AD63" s="22">
        <v>0</v>
      </c>
      <c r="AE63" s="22">
        <v>0</v>
      </c>
      <c r="AF63" s="22">
        <v>0</v>
      </c>
      <c r="AG63" s="22">
        <v>5</v>
      </c>
      <c r="AH63" s="22">
        <v>5</v>
      </c>
      <c r="AJ63" s="5">
        <v>1</v>
      </c>
      <c r="AK63" s="5">
        <v>1</v>
      </c>
      <c r="AL63" s="5">
        <v>1</v>
      </c>
      <c r="AM63" s="5">
        <v>0</v>
      </c>
      <c r="AN63" s="5">
        <v>1</v>
      </c>
      <c r="AO63" s="5">
        <v>1</v>
      </c>
      <c r="AP63" s="5">
        <v>1</v>
      </c>
    </row>
    <row r="64" spans="1:42" ht="16.8" thickBot="1">
      <c r="A64" s="74" t="s">
        <v>102</v>
      </c>
      <c r="B64" s="75" t="s">
        <v>51</v>
      </c>
      <c r="C64" s="1"/>
      <c r="D64" s="1"/>
      <c r="E64" s="1"/>
      <c r="F64" s="1"/>
      <c r="G64" s="1"/>
      <c r="H64" s="1"/>
      <c r="K64" s="19">
        <v>60</v>
      </c>
      <c r="L64" s="21" t="s">
        <v>32</v>
      </c>
      <c r="M64" s="21" t="s">
        <v>35</v>
      </c>
      <c r="N64" s="21" t="s">
        <v>32</v>
      </c>
      <c r="O64" s="21" t="s">
        <v>32</v>
      </c>
      <c r="P64" s="21" t="s">
        <v>238</v>
      </c>
      <c r="Q64" s="21" t="s">
        <v>24</v>
      </c>
      <c r="R64" s="21" t="s">
        <v>20</v>
      </c>
      <c r="T64" s="6">
        <f t="shared" ref="T64:T123" si="16">VLOOKUP(L64, $A$4:$I$29, 9, 0)</f>
        <v>2</v>
      </c>
      <c r="U64" s="6">
        <f t="shared" ref="U64:U123" si="17">VLOOKUP(M64, $A$4:$I$29, 9, 0)</f>
        <v>5</v>
      </c>
      <c r="V64" s="6">
        <f t="shared" ref="V64:V123" si="18">VLOOKUP(N64, $A$4:$I$29, 9, 0)</f>
        <v>2</v>
      </c>
      <c r="W64" s="6">
        <f t="shared" ref="W64:W123" si="19">VLOOKUP(O64, $A$4:$I$29, 9, 0)</f>
        <v>2</v>
      </c>
      <c r="X64" s="6">
        <f t="shared" ref="X64:X123" si="20">VLOOKUP(P64, $A$4:$I$29, 9, 0)</f>
        <v>15</v>
      </c>
      <c r="Y64" s="6">
        <f t="shared" ref="Y64:Y123" si="21">VLOOKUP(Q64, $A$4:$I$29, 9, 0)</f>
        <v>8</v>
      </c>
      <c r="Z64" s="6">
        <f t="shared" ref="Z64:Z123" si="22">VLOOKUP(R64, $A$4:$I$29, 9, 0)</f>
        <v>2</v>
      </c>
      <c r="AB64" s="22">
        <v>5</v>
      </c>
      <c r="AC64" s="22">
        <v>5</v>
      </c>
      <c r="AD64" s="22">
        <v>5</v>
      </c>
      <c r="AE64" s="22">
        <v>5</v>
      </c>
      <c r="AF64" s="22">
        <v>6</v>
      </c>
      <c r="AG64" s="22">
        <v>5</v>
      </c>
      <c r="AH64" s="22">
        <v>5</v>
      </c>
      <c r="AJ64" s="5">
        <v>1</v>
      </c>
      <c r="AK64" s="5">
        <v>3</v>
      </c>
      <c r="AL64" s="5">
        <v>1</v>
      </c>
      <c r="AM64" s="5">
        <v>1</v>
      </c>
      <c r="AN64" s="5">
        <v>3</v>
      </c>
      <c r="AO64" s="5">
        <v>1</v>
      </c>
      <c r="AP64" s="5">
        <v>1</v>
      </c>
    </row>
    <row r="65" spans="1:42">
      <c r="A65" s="76">
        <v>0</v>
      </c>
      <c r="B65" s="66">
        <v>1000</v>
      </c>
      <c r="C65" s="1"/>
      <c r="D65" s="1"/>
      <c r="E65" s="1"/>
      <c r="F65" s="1"/>
      <c r="G65" s="1"/>
      <c r="H65" s="1"/>
      <c r="K65" s="18">
        <v>61</v>
      </c>
      <c r="L65" s="21" t="s">
        <v>26</v>
      </c>
      <c r="M65" s="21" t="s">
        <v>35</v>
      </c>
      <c r="N65" s="21" t="s">
        <v>34</v>
      </c>
      <c r="O65" s="21" t="s">
        <v>236</v>
      </c>
      <c r="P65" s="21" t="s">
        <v>238</v>
      </c>
      <c r="Q65" s="21" t="s">
        <v>26</v>
      </c>
      <c r="R65" s="21" t="s">
        <v>24</v>
      </c>
      <c r="T65" s="6">
        <f t="shared" si="16"/>
        <v>9</v>
      </c>
      <c r="U65" s="6">
        <f t="shared" si="17"/>
        <v>5</v>
      </c>
      <c r="V65" s="6">
        <f t="shared" si="18"/>
        <v>4</v>
      </c>
      <c r="W65" s="6">
        <f t="shared" si="19"/>
        <v>14</v>
      </c>
      <c r="X65" s="6">
        <f t="shared" si="20"/>
        <v>15</v>
      </c>
      <c r="Y65" s="6">
        <f t="shared" si="21"/>
        <v>9</v>
      </c>
      <c r="Z65" s="6">
        <f t="shared" si="22"/>
        <v>8</v>
      </c>
      <c r="AB65" s="22">
        <v>5</v>
      </c>
      <c r="AC65" s="22">
        <v>0</v>
      </c>
      <c r="AD65" s="22">
        <v>0</v>
      </c>
      <c r="AE65" s="22">
        <v>0</v>
      </c>
      <c r="AF65" s="22">
        <v>0</v>
      </c>
      <c r="AG65" s="22">
        <v>5</v>
      </c>
      <c r="AH65" s="22">
        <v>5</v>
      </c>
      <c r="AJ65" s="5">
        <v>1</v>
      </c>
      <c r="AK65" s="5">
        <v>0</v>
      </c>
      <c r="AL65" s="5">
        <v>3</v>
      </c>
      <c r="AM65" s="5">
        <v>3</v>
      </c>
      <c r="AN65" s="5">
        <v>0</v>
      </c>
      <c r="AO65" s="5">
        <v>1</v>
      </c>
      <c r="AP65" s="5">
        <v>1</v>
      </c>
    </row>
    <row r="66" spans="1:42">
      <c r="A66" s="77">
        <v>1</v>
      </c>
      <c r="B66" s="67">
        <v>120</v>
      </c>
      <c r="C66" s="1"/>
      <c r="D66" s="1"/>
      <c r="E66" s="1"/>
      <c r="F66" s="1"/>
      <c r="G66" s="1"/>
      <c r="H66" s="1"/>
      <c r="K66" s="19">
        <v>62</v>
      </c>
      <c r="L66" s="21" t="s">
        <v>27</v>
      </c>
      <c r="M66" s="21" t="s">
        <v>35</v>
      </c>
      <c r="N66" s="21" t="s">
        <v>34</v>
      </c>
      <c r="O66" s="21" t="s">
        <v>236</v>
      </c>
      <c r="P66" s="21" t="s">
        <v>238</v>
      </c>
      <c r="Q66" s="21" t="s">
        <v>18</v>
      </c>
      <c r="R66" s="21" t="s">
        <v>24</v>
      </c>
      <c r="T66" s="6">
        <f t="shared" si="16"/>
        <v>10</v>
      </c>
      <c r="U66" s="6">
        <f t="shared" si="17"/>
        <v>5</v>
      </c>
      <c r="V66" s="6">
        <f t="shared" si="18"/>
        <v>4</v>
      </c>
      <c r="W66" s="6">
        <f t="shared" si="19"/>
        <v>14</v>
      </c>
      <c r="X66" s="6">
        <f t="shared" si="20"/>
        <v>15</v>
      </c>
      <c r="Y66" s="6">
        <f t="shared" si="21"/>
        <v>5</v>
      </c>
      <c r="Z66" s="6">
        <f t="shared" si="22"/>
        <v>8</v>
      </c>
      <c r="AB66" s="22">
        <v>5</v>
      </c>
      <c r="AC66" s="22">
        <v>0</v>
      </c>
      <c r="AD66" s="22">
        <v>0</v>
      </c>
      <c r="AE66" s="22">
        <v>0</v>
      </c>
      <c r="AF66" s="22">
        <v>0</v>
      </c>
      <c r="AG66" s="22">
        <v>5</v>
      </c>
      <c r="AH66" s="22">
        <v>5</v>
      </c>
      <c r="AJ66" s="5">
        <v>1</v>
      </c>
      <c r="AK66" s="5">
        <v>0</v>
      </c>
      <c r="AL66" s="5">
        <v>0</v>
      </c>
      <c r="AM66" s="5">
        <v>0</v>
      </c>
      <c r="AN66" s="5">
        <v>0</v>
      </c>
      <c r="AO66" s="5">
        <v>1</v>
      </c>
      <c r="AP66" s="5">
        <v>1</v>
      </c>
    </row>
    <row r="67" spans="1:42">
      <c r="A67" s="77">
        <v>2</v>
      </c>
      <c r="B67" s="67">
        <v>20</v>
      </c>
      <c r="C67" s="1"/>
      <c r="D67" s="1"/>
      <c r="E67" s="1"/>
      <c r="F67" s="1"/>
      <c r="G67" s="1"/>
      <c r="H67" s="1"/>
      <c r="K67" s="18">
        <v>63</v>
      </c>
      <c r="L67" s="21" t="s">
        <v>27</v>
      </c>
      <c r="M67" s="21" t="s">
        <v>33</v>
      </c>
      <c r="N67" s="21" t="s">
        <v>34</v>
      </c>
      <c r="O67" s="21" t="s">
        <v>236</v>
      </c>
      <c r="P67" s="21" t="s">
        <v>242</v>
      </c>
      <c r="Q67" s="21" t="s">
        <v>28</v>
      </c>
      <c r="R67" s="21" t="s">
        <v>24</v>
      </c>
      <c r="T67" s="6">
        <f t="shared" si="16"/>
        <v>10</v>
      </c>
      <c r="U67" s="6">
        <f t="shared" si="17"/>
        <v>3</v>
      </c>
      <c r="V67" s="6">
        <f t="shared" si="18"/>
        <v>4</v>
      </c>
      <c r="W67" s="6">
        <f t="shared" si="19"/>
        <v>14</v>
      </c>
      <c r="X67" s="6">
        <f t="shared" si="20"/>
        <v>17</v>
      </c>
      <c r="Y67" s="6">
        <f t="shared" si="21"/>
        <v>11</v>
      </c>
      <c r="Z67" s="6">
        <f t="shared" si="22"/>
        <v>8</v>
      </c>
      <c r="AB67" s="22">
        <v>5</v>
      </c>
      <c r="AC67" s="22">
        <v>0</v>
      </c>
      <c r="AD67" s="22">
        <v>0</v>
      </c>
      <c r="AE67" s="22">
        <v>0</v>
      </c>
      <c r="AF67" s="22">
        <v>0</v>
      </c>
      <c r="AG67" s="22">
        <v>5</v>
      </c>
      <c r="AH67" s="22">
        <v>5</v>
      </c>
      <c r="AJ67" s="5">
        <v>1</v>
      </c>
      <c r="AK67" s="5">
        <v>2</v>
      </c>
      <c r="AL67" s="5">
        <v>0</v>
      </c>
      <c r="AM67" s="5">
        <v>0</v>
      </c>
      <c r="AN67" s="5">
        <v>2</v>
      </c>
      <c r="AO67" s="5">
        <v>1</v>
      </c>
      <c r="AP67" s="5">
        <v>1</v>
      </c>
    </row>
    <row r="68" spans="1:42">
      <c r="A68" s="77">
        <v>3</v>
      </c>
      <c r="B68" s="67">
        <v>10</v>
      </c>
      <c r="C68" s="1"/>
      <c r="D68" s="1"/>
      <c r="E68" s="1"/>
      <c r="F68" s="1"/>
      <c r="G68" s="1"/>
      <c r="H68" s="1"/>
      <c r="K68" s="19">
        <v>64</v>
      </c>
      <c r="L68" s="21" t="s">
        <v>29</v>
      </c>
      <c r="M68" s="21" t="s">
        <v>33</v>
      </c>
      <c r="N68" s="21" t="s">
        <v>24</v>
      </c>
      <c r="O68" s="21" t="s">
        <v>26</v>
      </c>
      <c r="P68" s="21" t="s">
        <v>242</v>
      </c>
      <c r="Q68" s="21" t="s">
        <v>29</v>
      </c>
      <c r="R68" s="21" t="s">
        <v>17</v>
      </c>
      <c r="T68" s="6">
        <f t="shared" si="16"/>
        <v>12</v>
      </c>
      <c r="U68" s="6">
        <f t="shared" si="17"/>
        <v>3</v>
      </c>
      <c r="V68" s="6">
        <f t="shared" si="18"/>
        <v>8</v>
      </c>
      <c r="W68" s="6">
        <f t="shared" si="19"/>
        <v>9</v>
      </c>
      <c r="X68" s="6">
        <f t="shared" si="20"/>
        <v>17</v>
      </c>
      <c r="Y68" s="6">
        <f t="shared" si="21"/>
        <v>12</v>
      </c>
      <c r="Z68" s="6">
        <f t="shared" si="22"/>
        <v>4</v>
      </c>
      <c r="AB68" s="22">
        <v>5</v>
      </c>
      <c r="AC68" s="22">
        <v>0</v>
      </c>
      <c r="AD68" s="22">
        <v>0</v>
      </c>
      <c r="AE68" s="22">
        <v>0</v>
      </c>
      <c r="AF68" s="22">
        <v>0</v>
      </c>
      <c r="AG68" s="22">
        <v>5</v>
      </c>
      <c r="AH68" s="22">
        <v>5</v>
      </c>
      <c r="AJ68" s="5">
        <v>1</v>
      </c>
      <c r="AK68" s="5">
        <v>0</v>
      </c>
      <c r="AL68" s="5">
        <v>1</v>
      </c>
      <c r="AM68" s="5">
        <v>1</v>
      </c>
      <c r="AN68" s="5">
        <v>0</v>
      </c>
      <c r="AO68" s="5">
        <v>1</v>
      </c>
      <c r="AP68" s="5">
        <v>1</v>
      </c>
    </row>
    <row r="69" spans="1:42">
      <c r="A69" s="77">
        <v>4</v>
      </c>
      <c r="B69" s="67">
        <v>1</v>
      </c>
      <c r="C69" s="1"/>
      <c r="D69" s="1"/>
      <c r="E69" s="1"/>
      <c r="F69" s="1"/>
      <c r="G69" s="1"/>
      <c r="H69" s="1"/>
      <c r="K69" s="18">
        <v>65</v>
      </c>
      <c r="L69" s="21" t="s">
        <v>32</v>
      </c>
      <c r="M69" s="21" t="s">
        <v>33</v>
      </c>
      <c r="N69" s="21" t="s">
        <v>24</v>
      </c>
      <c r="O69" s="21" t="s">
        <v>27</v>
      </c>
      <c r="P69" s="21" t="s">
        <v>36</v>
      </c>
      <c r="Q69" s="21" t="s">
        <v>29</v>
      </c>
      <c r="R69" s="21" t="s">
        <v>17</v>
      </c>
      <c r="T69" s="6">
        <f t="shared" si="16"/>
        <v>2</v>
      </c>
      <c r="U69" s="6">
        <f t="shared" si="17"/>
        <v>3</v>
      </c>
      <c r="V69" s="6">
        <f t="shared" si="18"/>
        <v>8</v>
      </c>
      <c r="W69" s="6">
        <f t="shared" si="19"/>
        <v>10</v>
      </c>
      <c r="X69" s="6">
        <f t="shared" si="20"/>
        <v>1</v>
      </c>
      <c r="Y69" s="6">
        <f t="shared" si="21"/>
        <v>12</v>
      </c>
      <c r="Z69" s="6">
        <f t="shared" si="22"/>
        <v>4</v>
      </c>
      <c r="AB69" s="22">
        <v>5</v>
      </c>
      <c r="AC69" s="22">
        <v>5</v>
      </c>
      <c r="AD69" s="22">
        <v>5</v>
      </c>
      <c r="AE69" s="22">
        <v>5</v>
      </c>
      <c r="AF69" s="22">
        <v>4</v>
      </c>
      <c r="AG69" s="22">
        <v>5</v>
      </c>
      <c r="AH69" s="22">
        <v>5</v>
      </c>
      <c r="AJ69" s="5">
        <v>1</v>
      </c>
      <c r="AK69" s="5">
        <v>1</v>
      </c>
      <c r="AL69" s="5">
        <v>1</v>
      </c>
      <c r="AM69" s="5">
        <v>1</v>
      </c>
      <c r="AN69" s="5">
        <v>1</v>
      </c>
      <c r="AO69" s="5">
        <v>1</v>
      </c>
      <c r="AP69" s="5">
        <v>1</v>
      </c>
    </row>
    <row r="70" spans="1:42">
      <c r="A70" s="78">
        <v>5</v>
      </c>
      <c r="B70" s="80">
        <v>0</v>
      </c>
      <c r="C70" s="1"/>
      <c r="D70" s="1"/>
      <c r="E70" s="1"/>
      <c r="F70" s="1"/>
      <c r="G70" s="1"/>
      <c r="H70" s="1"/>
      <c r="K70" s="19">
        <v>66</v>
      </c>
      <c r="L70" s="21" t="s">
        <v>21</v>
      </c>
      <c r="M70" s="21" t="s">
        <v>64</v>
      </c>
      <c r="N70" s="21" t="s">
        <v>28</v>
      </c>
      <c r="O70" s="21" t="s">
        <v>27</v>
      </c>
      <c r="P70" s="21" t="s">
        <v>17</v>
      </c>
      <c r="Q70" s="21" t="s">
        <v>24</v>
      </c>
      <c r="R70" s="21" t="s">
        <v>17</v>
      </c>
      <c r="T70" s="6">
        <f t="shared" si="16"/>
        <v>3</v>
      </c>
      <c r="U70" s="6">
        <f t="shared" si="17"/>
        <v>6</v>
      </c>
      <c r="V70" s="6">
        <f t="shared" si="18"/>
        <v>11</v>
      </c>
      <c r="W70" s="6">
        <f t="shared" si="19"/>
        <v>10</v>
      </c>
      <c r="X70" s="6">
        <f t="shared" si="20"/>
        <v>4</v>
      </c>
      <c r="Y70" s="6">
        <f t="shared" si="21"/>
        <v>8</v>
      </c>
      <c r="Z70" s="6">
        <f t="shared" si="22"/>
        <v>4</v>
      </c>
      <c r="AB70" s="22">
        <v>5</v>
      </c>
      <c r="AC70" s="22">
        <v>0</v>
      </c>
      <c r="AD70" s="22">
        <v>0</v>
      </c>
      <c r="AE70" s="22">
        <v>0</v>
      </c>
      <c r="AF70" s="22">
        <v>1</v>
      </c>
      <c r="AG70" s="22">
        <v>5</v>
      </c>
      <c r="AH70" s="22">
        <v>5</v>
      </c>
      <c r="AJ70" s="5">
        <v>1</v>
      </c>
      <c r="AK70" s="5">
        <v>1</v>
      </c>
      <c r="AL70" s="5">
        <v>1</v>
      </c>
      <c r="AM70" s="5">
        <v>1</v>
      </c>
      <c r="AN70" s="5">
        <v>3</v>
      </c>
      <c r="AO70" s="5">
        <v>1</v>
      </c>
      <c r="AP70" s="5">
        <v>1</v>
      </c>
    </row>
    <row r="71" spans="1:42">
      <c r="A71" s="78">
        <v>6</v>
      </c>
      <c r="B71" s="80">
        <v>0</v>
      </c>
      <c r="C71" s="1"/>
      <c r="D71" s="1"/>
      <c r="E71" s="1"/>
      <c r="F71" s="1"/>
      <c r="G71" s="1"/>
      <c r="H71" s="1"/>
      <c r="K71" s="18">
        <v>67</v>
      </c>
      <c r="L71" s="21" t="s">
        <v>36</v>
      </c>
      <c r="M71" s="21" t="s">
        <v>17</v>
      </c>
      <c r="N71" s="21" t="s">
        <v>28</v>
      </c>
      <c r="O71" s="21" t="s">
        <v>37</v>
      </c>
      <c r="P71" s="21" t="s">
        <v>17</v>
      </c>
      <c r="Q71" s="21" t="s">
        <v>27</v>
      </c>
      <c r="R71" s="21" t="s">
        <v>64</v>
      </c>
      <c r="T71" s="6">
        <f t="shared" si="16"/>
        <v>1</v>
      </c>
      <c r="U71" s="6">
        <f t="shared" si="17"/>
        <v>4</v>
      </c>
      <c r="V71" s="6">
        <f t="shared" si="18"/>
        <v>11</v>
      </c>
      <c r="W71" s="6">
        <f t="shared" si="19"/>
        <v>9</v>
      </c>
      <c r="X71" s="6">
        <f t="shared" si="20"/>
        <v>4</v>
      </c>
      <c r="Y71" s="6">
        <f t="shared" si="21"/>
        <v>10</v>
      </c>
      <c r="Z71" s="6">
        <f t="shared" si="22"/>
        <v>6</v>
      </c>
      <c r="AB71" s="22">
        <v>5</v>
      </c>
      <c r="AC71" s="22">
        <v>0</v>
      </c>
      <c r="AD71" s="22">
        <v>0</v>
      </c>
      <c r="AE71" s="22">
        <v>0</v>
      </c>
      <c r="AF71" s="22">
        <v>0</v>
      </c>
      <c r="AG71" s="22">
        <v>5</v>
      </c>
      <c r="AH71" s="22">
        <v>5</v>
      </c>
      <c r="AJ71" s="5">
        <v>1</v>
      </c>
      <c r="AK71" s="5">
        <v>2</v>
      </c>
      <c r="AL71" s="5">
        <v>1</v>
      </c>
      <c r="AM71" s="5">
        <v>1</v>
      </c>
      <c r="AN71" s="5">
        <v>0</v>
      </c>
      <c r="AO71" s="5">
        <v>1</v>
      </c>
      <c r="AP71" s="5">
        <v>1</v>
      </c>
    </row>
    <row r="72" spans="1:42" ht="16.8" thickBot="1">
      <c r="A72" s="79">
        <v>7</v>
      </c>
      <c r="B72" s="81">
        <v>0</v>
      </c>
      <c r="C72" s="1"/>
      <c r="D72" s="1"/>
      <c r="E72" s="1"/>
      <c r="F72" s="1"/>
      <c r="G72" s="1"/>
      <c r="H72" s="1"/>
      <c r="K72" s="19">
        <v>68</v>
      </c>
      <c r="L72" s="21" t="s">
        <v>90</v>
      </c>
      <c r="M72" s="21" t="s">
        <v>17</v>
      </c>
      <c r="N72" s="21" t="s">
        <v>90</v>
      </c>
      <c r="O72" s="21" t="s">
        <v>36</v>
      </c>
      <c r="P72" s="21" t="s">
        <v>17</v>
      </c>
      <c r="Q72" s="21" t="s">
        <v>18</v>
      </c>
      <c r="R72" s="21" t="s">
        <v>64</v>
      </c>
      <c r="T72" s="6">
        <f t="shared" si="16"/>
        <v>7</v>
      </c>
      <c r="U72" s="6">
        <f t="shared" si="17"/>
        <v>4</v>
      </c>
      <c r="V72" s="6">
        <f t="shared" si="18"/>
        <v>7</v>
      </c>
      <c r="W72" s="6">
        <f t="shared" si="19"/>
        <v>1</v>
      </c>
      <c r="X72" s="6">
        <f t="shared" si="20"/>
        <v>4</v>
      </c>
      <c r="Y72" s="6">
        <f t="shared" si="21"/>
        <v>5</v>
      </c>
      <c r="Z72" s="6">
        <f t="shared" si="22"/>
        <v>6</v>
      </c>
      <c r="AB72" s="22">
        <v>5</v>
      </c>
      <c r="AC72" s="22">
        <v>0</v>
      </c>
      <c r="AD72" s="22">
        <v>0</v>
      </c>
      <c r="AE72" s="22">
        <v>0</v>
      </c>
      <c r="AF72" s="22">
        <v>0</v>
      </c>
      <c r="AG72" s="22">
        <v>5</v>
      </c>
      <c r="AH72" s="22">
        <v>5</v>
      </c>
      <c r="AJ72" s="5">
        <v>1</v>
      </c>
      <c r="AK72" s="5">
        <v>0</v>
      </c>
      <c r="AL72" s="5">
        <v>1</v>
      </c>
      <c r="AM72" s="5">
        <v>2</v>
      </c>
      <c r="AN72" s="5">
        <v>0</v>
      </c>
      <c r="AO72" s="5">
        <v>1</v>
      </c>
      <c r="AP72" s="5">
        <v>1</v>
      </c>
    </row>
    <row r="73" spans="1:42">
      <c r="A73" s="1"/>
      <c r="B73" s="1"/>
      <c r="C73" s="1"/>
      <c r="D73" s="1"/>
      <c r="E73" s="1"/>
      <c r="F73" s="1"/>
      <c r="G73" s="1"/>
      <c r="H73" s="1"/>
      <c r="K73" s="18">
        <v>69</v>
      </c>
      <c r="L73" s="21" t="s">
        <v>29</v>
      </c>
      <c r="M73" s="21" t="s">
        <v>24</v>
      </c>
      <c r="N73" s="21" t="s">
        <v>21</v>
      </c>
      <c r="O73" s="21" t="s">
        <v>36</v>
      </c>
      <c r="P73" s="21" t="s">
        <v>32</v>
      </c>
      <c r="Q73" s="21" t="s">
        <v>24</v>
      </c>
      <c r="R73" s="21" t="s">
        <v>64</v>
      </c>
      <c r="T73" s="6">
        <f t="shared" si="16"/>
        <v>12</v>
      </c>
      <c r="U73" s="6">
        <f t="shared" si="17"/>
        <v>8</v>
      </c>
      <c r="V73" s="6">
        <f t="shared" si="18"/>
        <v>3</v>
      </c>
      <c r="W73" s="6">
        <f t="shared" si="19"/>
        <v>1</v>
      </c>
      <c r="X73" s="6">
        <f t="shared" si="20"/>
        <v>2</v>
      </c>
      <c r="Y73" s="6">
        <f t="shared" si="21"/>
        <v>8</v>
      </c>
      <c r="Z73" s="6">
        <f t="shared" si="22"/>
        <v>6</v>
      </c>
      <c r="AB73" s="22">
        <v>5</v>
      </c>
      <c r="AC73" s="22">
        <v>0</v>
      </c>
      <c r="AD73" s="22">
        <v>0</v>
      </c>
      <c r="AE73" s="22">
        <v>0</v>
      </c>
      <c r="AF73" s="22">
        <v>1</v>
      </c>
      <c r="AG73" s="22">
        <v>5</v>
      </c>
      <c r="AH73" s="22">
        <v>5</v>
      </c>
      <c r="AJ73" s="5">
        <v>1</v>
      </c>
      <c r="AK73" s="5">
        <v>1</v>
      </c>
      <c r="AL73" s="5">
        <v>1</v>
      </c>
      <c r="AM73" s="5">
        <v>0</v>
      </c>
      <c r="AN73" s="5">
        <v>1</v>
      </c>
      <c r="AO73" s="5">
        <v>1</v>
      </c>
      <c r="AP73" s="5">
        <v>1</v>
      </c>
    </row>
    <row r="74" spans="1:42">
      <c r="A74" s="1"/>
      <c r="B74" s="1"/>
      <c r="C74" s="1"/>
      <c r="D74" s="1"/>
      <c r="E74" s="1"/>
      <c r="F74" s="1"/>
      <c r="G74" s="1"/>
      <c r="H74" s="1"/>
      <c r="K74" s="19">
        <v>70</v>
      </c>
      <c r="L74" s="21" t="s">
        <v>39</v>
      </c>
      <c r="M74" s="21" t="s">
        <v>24</v>
      </c>
      <c r="N74" s="21" t="s">
        <v>27</v>
      </c>
      <c r="O74" s="21" t="s">
        <v>17</v>
      </c>
      <c r="P74" s="21" t="s">
        <v>21</v>
      </c>
      <c r="Q74" s="21" t="s">
        <v>32</v>
      </c>
      <c r="R74" s="21" t="s">
        <v>28</v>
      </c>
      <c r="T74" s="6">
        <f t="shared" si="16"/>
        <v>11</v>
      </c>
      <c r="U74" s="6">
        <f t="shared" si="17"/>
        <v>8</v>
      </c>
      <c r="V74" s="6">
        <f t="shared" si="18"/>
        <v>10</v>
      </c>
      <c r="W74" s="6">
        <f t="shared" si="19"/>
        <v>4</v>
      </c>
      <c r="X74" s="6">
        <f t="shared" si="20"/>
        <v>3</v>
      </c>
      <c r="Y74" s="6">
        <f t="shared" si="21"/>
        <v>2</v>
      </c>
      <c r="Z74" s="6">
        <f t="shared" si="22"/>
        <v>11</v>
      </c>
      <c r="AB74" s="22">
        <v>5</v>
      </c>
      <c r="AC74" s="22">
        <v>5</v>
      </c>
      <c r="AD74" s="22">
        <v>5</v>
      </c>
      <c r="AE74" s="22">
        <v>5</v>
      </c>
      <c r="AF74" s="22">
        <v>5</v>
      </c>
      <c r="AG74" s="22">
        <v>5</v>
      </c>
      <c r="AH74" s="22">
        <v>5</v>
      </c>
      <c r="AJ74" s="5">
        <v>1</v>
      </c>
      <c r="AK74" s="5">
        <v>1</v>
      </c>
      <c r="AL74" s="5">
        <v>1</v>
      </c>
      <c r="AM74" s="5">
        <v>2</v>
      </c>
      <c r="AN74" s="5">
        <v>1</v>
      </c>
      <c r="AO74" s="5">
        <v>1</v>
      </c>
      <c r="AP74" s="5">
        <v>1</v>
      </c>
    </row>
    <row r="75" spans="1:42">
      <c r="A75" s="1"/>
      <c r="B75" s="1"/>
      <c r="C75" s="1"/>
      <c r="D75" s="1"/>
      <c r="E75" s="1"/>
      <c r="F75" s="1"/>
      <c r="G75" s="1"/>
      <c r="H75" s="1"/>
      <c r="K75" s="18">
        <v>71</v>
      </c>
      <c r="L75" s="21" t="s">
        <v>64</v>
      </c>
      <c r="M75" s="21" t="s">
        <v>19</v>
      </c>
      <c r="N75" s="21" t="s">
        <v>90</v>
      </c>
      <c r="O75" s="21" t="s">
        <v>17</v>
      </c>
      <c r="P75" s="21" t="s">
        <v>252</v>
      </c>
      <c r="Q75" s="21" t="s">
        <v>64</v>
      </c>
      <c r="R75" s="21" t="s">
        <v>28</v>
      </c>
      <c r="T75" s="6">
        <f t="shared" si="16"/>
        <v>6</v>
      </c>
      <c r="U75" s="6">
        <f t="shared" si="17"/>
        <v>1</v>
      </c>
      <c r="V75" s="6">
        <f t="shared" si="18"/>
        <v>7</v>
      </c>
      <c r="W75" s="6">
        <f t="shared" si="19"/>
        <v>4</v>
      </c>
      <c r="X75" s="6">
        <f t="shared" si="20"/>
        <v>22</v>
      </c>
      <c r="Y75" s="6">
        <f t="shared" si="21"/>
        <v>6</v>
      </c>
      <c r="Z75" s="6">
        <f t="shared" si="22"/>
        <v>11</v>
      </c>
      <c r="AB75" s="22">
        <v>5</v>
      </c>
      <c r="AC75" s="22">
        <v>0</v>
      </c>
      <c r="AD75" s="22">
        <v>0</v>
      </c>
      <c r="AE75" s="22">
        <v>0</v>
      </c>
      <c r="AF75" s="22">
        <v>0</v>
      </c>
      <c r="AG75" s="22">
        <v>5</v>
      </c>
      <c r="AH75" s="22">
        <v>5</v>
      </c>
      <c r="AJ75" s="5">
        <v>1</v>
      </c>
      <c r="AK75" s="5">
        <v>1</v>
      </c>
      <c r="AL75" s="5">
        <v>1</v>
      </c>
      <c r="AM75" s="5">
        <v>0</v>
      </c>
      <c r="AN75" s="5">
        <v>2</v>
      </c>
      <c r="AO75" s="5">
        <v>1</v>
      </c>
      <c r="AP75" s="5">
        <v>1</v>
      </c>
    </row>
    <row r="76" spans="1:42">
      <c r="A76" s="1"/>
      <c r="B76" s="1"/>
      <c r="C76" s="1"/>
      <c r="D76" s="1"/>
      <c r="E76" s="1"/>
      <c r="F76" s="1"/>
      <c r="G76" s="1"/>
      <c r="H76" s="1"/>
      <c r="K76" s="19">
        <v>72</v>
      </c>
      <c r="L76" s="21" t="s">
        <v>64</v>
      </c>
      <c r="M76" s="21" t="s">
        <v>240</v>
      </c>
      <c r="N76" s="21" t="s">
        <v>242</v>
      </c>
      <c r="O76" s="21" t="s">
        <v>27</v>
      </c>
      <c r="P76" s="21" t="s">
        <v>252</v>
      </c>
      <c r="Q76" s="21" t="s">
        <v>27</v>
      </c>
      <c r="R76" s="21" t="s">
        <v>28</v>
      </c>
      <c r="T76" s="6">
        <f t="shared" si="16"/>
        <v>6</v>
      </c>
      <c r="U76" s="6">
        <f t="shared" si="17"/>
        <v>16</v>
      </c>
      <c r="V76" s="6">
        <f t="shared" si="18"/>
        <v>17</v>
      </c>
      <c r="W76" s="6">
        <f t="shared" si="19"/>
        <v>10</v>
      </c>
      <c r="X76" s="6">
        <f t="shared" si="20"/>
        <v>22</v>
      </c>
      <c r="Y76" s="6">
        <f t="shared" si="21"/>
        <v>10</v>
      </c>
      <c r="Z76" s="6">
        <f t="shared" si="22"/>
        <v>11</v>
      </c>
      <c r="AB76" s="22">
        <v>5</v>
      </c>
      <c r="AC76" s="22">
        <v>0</v>
      </c>
      <c r="AD76" s="22">
        <v>0</v>
      </c>
      <c r="AE76" s="22">
        <v>0</v>
      </c>
      <c r="AF76" s="22">
        <v>0</v>
      </c>
      <c r="AG76" s="22">
        <v>5</v>
      </c>
      <c r="AH76" s="22">
        <v>5</v>
      </c>
      <c r="AJ76" s="5">
        <v>1</v>
      </c>
      <c r="AK76" s="5">
        <v>2</v>
      </c>
      <c r="AL76" s="5">
        <v>2</v>
      </c>
      <c r="AM76" s="5">
        <v>1</v>
      </c>
      <c r="AN76" s="5">
        <v>0</v>
      </c>
      <c r="AO76" s="5">
        <v>1</v>
      </c>
      <c r="AP76" s="5">
        <v>1</v>
      </c>
    </row>
    <row r="77" spans="1:42">
      <c r="A77" s="1"/>
      <c r="B77" s="1"/>
      <c r="C77" s="1"/>
      <c r="D77" s="1"/>
      <c r="E77" s="1"/>
      <c r="F77" s="1"/>
      <c r="G77" s="1"/>
      <c r="H77" s="1"/>
      <c r="K77" s="18">
        <v>73</v>
      </c>
      <c r="L77" s="21" t="s">
        <v>29</v>
      </c>
      <c r="M77" s="21" t="s">
        <v>240</v>
      </c>
      <c r="N77" s="21" t="s">
        <v>242</v>
      </c>
      <c r="O77" s="21" t="s">
        <v>32</v>
      </c>
      <c r="P77" s="21" t="s">
        <v>26</v>
      </c>
      <c r="Q77" s="21" t="s">
        <v>24</v>
      </c>
      <c r="R77" s="21" t="s">
        <v>33</v>
      </c>
      <c r="T77" s="6">
        <f t="shared" si="16"/>
        <v>12</v>
      </c>
      <c r="U77" s="6">
        <f t="shared" si="17"/>
        <v>16</v>
      </c>
      <c r="V77" s="6">
        <f t="shared" si="18"/>
        <v>17</v>
      </c>
      <c r="W77" s="6">
        <f t="shared" si="19"/>
        <v>2</v>
      </c>
      <c r="X77" s="6">
        <f t="shared" si="20"/>
        <v>9</v>
      </c>
      <c r="Y77" s="6">
        <f t="shared" si="21"/>
        <v>8</v>
      </c>
      <c r="Z77" s="6">
        <f t="shared" si="22"/>
        <v>3</v>
      </c>
      <c r="AB77" s="22">
        <v>5</v>
      </c>
      <c r="AC77" s="22">
        <v>0</v>
      </c>
      <c r="AD77" s="22">
        <v>0</v>
      </c>
      <c r="AE77" s="22">
        <v>0</v>
      </c>
      <c r="AF77" s="22">
        <v>0</v>
      </c>
      <c r="AG77" s="22">
        <v>5</v>
      </c>
      <c r="AH77" s="22">
        <v>5</v>
      </c>
      <c r="AJ77" s="5">
        <v>1</v>
      </c>
      <c r="AK77" s="5">
        <v>0</v>
      </c>
      <c r="AL77" s="5">
        <v>0</v>
      </c>
      <c r="AM77" s="5">
        <v>1</v>
      </c>
      <c r="AN77" s="5">
        <v>1</v>
      </c>
      <c r="AO77" s="5">
        <v>1</v>
      </c>
      <c r="AP77" s="5">
        <v>1</v>
      </c>
    </row>
    <row r="78" spans="1:42">
      <c r="K78" s="19">
        <v>74</v>
      </c>
      <c r="L78" s="21" t="s">
        <v>29</v>
      </c>
      <c r="M78" s="21" t="s">
        <v>28</v>
      </c>
      <c r="N78" s="21" t="s">
        <v>18</v>
      </c>
      <c r="O78" s="21" t="s">
        <v>24</v>
      </c>
      <c r="P78" s="21" t="s">
        <v>36</v>
      </c>
      <c r="Q78" s="21" t="s">
        <v>64</v>
      </c>
      <c r="R78" s="21" t="s">
        <v>18</v>
      </c>
      <c r="T78" s="6">
        <f t="shared" si="16"/>
        <v>12</v>
      </c>
      <c r="U78" s="6">
        <f t="shared" si="17"/>
        <v>11</v>
      </c>
      <c r="V78" s="6">
        <f t="shared" si="18"/>
        <v>5</v>
      </c>
      <c r="W78" s="6">
        <f t="shared" si="19"/>
        <v>8</v>
      </c>
      <c r="X78" s="6">
        <f t="shared" si="20"/>
        <v>1</v>
      </c>
      <c r="Y78" s="6">
        <f t="shared" si="21"/>
        <v>6</v>
      </c>
      <c r="Z78" s="6">
        <f t="shared" si="22"/>
        <v>5</v>
      </c>
      <c r="AB78" s="22">
        <v>5</v>
      </c>
      <c r="AC78" s="22">
        <v>0</v>
      </c>
      <c r="AD78" s="22">
        <v>0</v>
      </c>
      <c r="AE78" s="22">
        <v>0</v>
      </c>
      <c r="AF78" s="22">
        <v>1</v>
      </c>
      <c r="AG78" s="22">
        <v>5</v>
      </c>
      <c r="AH78" s="22">
        <v>5</v>
      </c>
      <c r="AI78" s="96"/>
      <c r="AJ78" s="5">
        <v>1</v>
      </c>
      <c r="AK78" s="5">
        <v>1</v>
      </c>
      <c r="AL78" s="5">
        <v>1</v>
      </c>
      <c r="AM78" s="5">
        <v>1</v>
      </c>
      <c r="AN78" s="5">
        <v>1</v>
      </c>
      <c r="AO78" s="5">
        <v>1</v>
      </c>
      <c r="AP78" s="5">
        <v>1</v>
      </c>
    </row>
    <row r="79" spans="1:42">
      <c r="K79" s="18">
        <v>75</v>
      </c>
      <c r="L79" s="21" t="s">
        <v>32</v>
      </c>
      <c r="M79" s="21" t="s">
        <v>20</v>
      </c>
      <c r="N79" s="21" t="s">
        <v>27</v>
      </c>
      <c r="O79" s="21" t="s">
        <v>33</v>
      </c>
      <c r="P79" s="21" t="s">
        <v>242</v>
      </c>
      <c r="Q79" s="21" t="s">
        <v>33</v>
      </c>
      <c r="R79" s="21" t="s">
        <v>18</v>
      </c>
      <c r="T79" s="6">
        <f t="shared" si="16"/>
        <v>2</v>
      </c>
      <c r="U79" s="6">
        <f t="shared" si="17"/>
        <v>2</v>
      </c>
      <c r="V79" s="6">
        <f t="shared" si="18"/>
        <v>10</v>
      </c>
      <c r="W79" s="6">
        <f t="shared" si="19"/>
        <v>3</v>
      </c>
      <c r="X79" s="6">
        <f t="shared" si="20"/>
        <v>17</v>
      </c>
      <c r="Y79" s="6">
        <f t="shared" si="21"/>
        <v>3</v>
      </c>
      <c r="Z79" s="6">
        <f t="shared" si="22"/>
        <v>5</v>
      </c>
      <c r="AB79" s="22">
        <v>5</v>
      </c>
      <c r="AC79" s="22">
        <v>5</v>
      </c>
      <c r="AD79" s="22">
        <v>5</v>
      </c>
      <c r="AE79" s="22">
        <v>5</v>
      </c>
      <c r="AF79" s="22">
        <v>6</v>
      </c>
      <c r="AG79" s="22">
        <v>5</v>
      </c>
      <c r="AH79" s="22">
        <v>5</v>
      </c>
      <c r="AJ79" s="5">
        <v>1</v>
      </c>
      <c r="AK79" s="5">
        <v>1</v>
      </c>
      <c r="AL79" s="5">
        <v>1</v>
      </c>
      <c r="AM79" s="5">
        <v>2</v>
      </c>
      <c r="AN79" s="5">
        <v>2</v>
      </c>
      <c r="AO79" s="5">
        <v>1</v>
      </c>
      <c r="AP79" s="5">
        <v>1</v>
      </c>
    </row>
    <row r="80" spans="1:42">
      <c r="K80" s="19">
        <v>76</v>
      </c>
      <c r="L80" s="21" t="s">
        <v>26</v>
      </c>
      <c r="M80" s="21" t="s">
        <v>252</v>
      </c>
      <c r="N80" s="21" t="s">
        <v>27</v>
      </c>
      <c r="O80" s="21" t="s">
        <v>33</v>
      </c>
      <c r="P80" s="21" t="s">
        <v>242</v>
      </c>
      <c r="Q80" s="21" t="s">
        <v>18</v>
      </c>
      <c r="R80" s="21" t="s">
        <v>36</v>
      </c>
      <c r="T80" s="6">
        <f t="shared" si="16"/>
        <v>9</v>
      </c>
      <c r="U80" s="6">
        <f t="shared" si="17"/>
        <v>22</v>
      </c>
      <c r="V80" s="6">
        <f t="shared" si="18"/>
        <v>10</v>
      </c>
      <c r="W80" s="6">
        <f t="shared" si="19"/>
        <v>3</v>
      </c>
      <c r="X80" s="6">
        <f t="shared" si="20"/>
        <v>17</v>
      </c>
      <c r="Y80" s="6">
        <f t="shared" si="21"/>
        <v>5</v>
      </c>
      <c r="Z80" s="6">
        <f t="shared" si="22"/>
        <v>1</v>
      </c>
      <c r="AB80" s="22">
        <v>5</v>
      </c>
      <c r="AC80" s="22">
        <v>0</v>
      </c>
      <c r="AD80" s="22">
        <v>0</v>
      </c>
      <c r="AE80" s="22">
        <v>0</v>
      </c>
      <c r="AF80" s="22">
        <v>0</v>
      </c>
      <c r="AG80" s="22">
        <v>5</v>
      </c>
      <c r="AH80" s="22">
        <v>5</v>
      </c>
      <c r="AJ80" s="5">
        <v>1</v>
      </c>
      <c r="AK80" s="5">
        <v>2</v>
      </c>
      <c r="AL80" s="5">
        <v>1</v>
      </c>
      <c r="AM80" s="5">
        <v>0</v>
      </c>
      <c r="AN80" s="5">
        <v>0</v>
      </c>
      <c r="AO80" s="5">
        <v>1</v>
      </c>
      <c r="AP80" s="5">
        <v>1</v>
      </c>
    </row>
    <row r="81" spans="11:42">
      <c r="K81" s="18">
        <v>77</v>
      </c>
      <c r="L81" s="21" t="s">
        <v>27</v>
      </c>
      <c r="M81" s="21" t="s">
        <v>252</v>
      </c>
      <c r="N81" s="21" t="s">
        <v>90</v>
      </c>
      <c r="O81" s="21" t="s">
        <v>19</v>
      </c>
      <c r="P81" s="21" t="s">
        <v>21</v>
      </c>
      <c r="Q81" s="21" t="s">
        <v>28</v>
      </c>
      <c r="R81" s="21" t="s">
        <v>29</v>
      </c>
      <c r="T81" s="6">
        <f t="shared" si="16"/>
        <v>10</v>
      </c>
      <c r="U81" s="6">
        <f t="shared" si="17"/>
        <v>22</v>
      </c>
      <c r="V81" s="6">
        <f t="shared" si="18"/>
        <v>7</v>
      </c>
      <c r="W81" s="6">
        <f t="shared" si="19"/>
        <v>1</v>
      </c>
      <c r="X81" s="6">
        <f t="shared" si="20"/>
        <v>3</v>
      </c>
      <c r="Y81" s="6">
        <f t="shared" si="21"/>
        <v>11</v>
      </c>
      <c r="Z81" s="6">
        <f t="shared" si="22"/>
        <v>12</v>
      </c>
      <c r="AB81" s="22">
        <v>5</v>
      </c>
      <c r="AC81" s="22">
        <v>0</v>
      </c>
      <c r="AD81" s="22">
        <v>0</v>
      </c>
      <c r="AE81" s="22">
        <v>0</v>
      </c>
      <c r="AF81" s="22">
        <v>0</v>
      </c>
      <c r="AG81" s="22">
        <v>5</v>
      </c>
      <c r="AH81" s="22">
        <v>5</v>
      </c>
      <c r="AJ81" s="5">
        <v>1</v>
      </c>
      <c r="AK81" s="5">
        <v>0</v>
      </c>
      <c r="AL81" s="5">
        <v>1</v>
      </c>
      <c r="AM81" s="5">
        <v>1</v>
      </c>
      <c r="AN81" s="5">
        <v>2</v>
      </c>
      <c r="AO81" s="5">
        <v>1</v>
      </c>
      <c r="AP81" s="5">
        <v>1</v>
      </c>
    </row>
    <row r="82" spans="11:42">
      <c r="K82" s="19">
        <v>78</v>
      </c>
      <c r="L82" s="21" t="s">
        <v>27</v>
      </c>
      <c r="M82" s="21" t="s">
        <v>19</v>
      </c>
      <c r="N82" s="21" t="s">
        <v>64</v>
      </c>
      <c r="O82" s="21" t="s">
        <v>240</v>
      </c>
      <c r="P82" s="21" t="s">
        <v>21</v>
      </c>
      <c r="Q82" s="21" t="s">
        <v>64</v>
      </c>
      <c r="R82" s="21" t="s">
        <v>17</v>
      </c>
      <c r="T82" s="6">
        <f t="shared" si="16"/>
        <v>10</v>
      </c>
      <c r="U82" s="6">
        <f t="shared" si="17"/>
        <v>1</v>
      </c>
      <c r="V82" s="6">
        <f t="shared" si="18"/>
        <v>6</v>
      </c>
      <c r="W82" s="6">
        <f t="shared" si="19"/>
        <v>16</v>
      </c>
      <c r="X82" s="6">
        <f t="shared" si="20"/>
        <v>3</v>
      </c>
      <c r="Y82" s="6">
        <f t="shared" si="21"/>
        <v>6</v>
      </c>
      <c r="Z82" s="6">
        <f t="shared" si="22"/>
        <v>4</v>
      </c>
      <c r="AB82" s="22">
        <v>5</v>
      </c>
      <c r="AC82" s="22">
        <v>0</v>
      </c>
      <c r="AD82" s="22">
        <v>0</v>
      </c>
      <c r="AE82" s="22">
        <v>0</v>
      </c>
      <c r="AF82" s="22">
        <v>0</v>
      </c>
      <c r="AG82" s="22">
        <v>5</v>
      </c>
      <c r="AH82" s="22">
        <v>5</v>
      </c>
      <c r="AJ82" s="5">
        <v>1</v>
      </c>
      <c r="AK82" s="5">
        <v>1</v>
      </c>
      <c r="AL82" s="5">
        <v>1</v>
      </c>
      <c r="AM82" s="5">
        <v>2</v>
      </c>
      <c r="AN82" s="5">
        <v>0</v>
      </c>
      <c r="AO82" s="5">
        <v>1</v>
      </c>
      <c r="AP82" s="5">
        <v>1</v>
      </c>
    </row>
    <row r="83" spans="11:42">
      <c r="K83" s="18">
        <v>79</v>
      </c>
      <c r="L83" s="21" t="s">
        <v>21</v>
      </c>
      <c r="M83" s="21" t="s">
        <v>37</v>
      </c>
      <c r="N83" s="21" t="s">
        <v>24</v>
      </c>
      <c r="O83" s="21" t="s">
        <v>240</v>
      </c>
      <c r="P83" s="21" t="s">
        <v>32</v>
      </c>
      <c r="Q83" s="21" t="s">
        <v>32</v>
      </c>
      <c r="R83" s="21" t="s">
        <v>20</v>
      </c>
      <c r="T83" s="6">
        <f t="shared" si="16"/>
        <v>3</v>
      </c>
      <c r="U83" s="6">
        <f t="shared" si="17"/>
        <v>9</v>
      </c>
      <c r="V83" s="6">
        <f t="shared" si="18"/>
        <v>8</v>
      </c>
      <c r="W83" s="6">
        <f t="shared" si="19"/>
        <v>16</v>
      </c>
      <c r="X83" s="6">
        <f t="shared" si="20"/>
        <v>2</v>
      </c>
      <c r="Y83" s="6">
        <f t="shared" si="21"/>
        <v>2</v>
      </c>
      <c r="Z83" s="6">
        <f t="shared" si="22"/>
        <v>2</v>
      </c>
      <c r="AB83" s="22">
        <v>5</v>
      </c>
      <c r="AC83" s="22">
        <v>0</v>
      </c>
      <c r="AD83" s="22">
        <v>0</v>
      </c>
      <c r="AE83" s="22">
        <v>0</v>
      </c>
      <c r="AF83" s="22">
        <v>0</v>
      </c>
      <c r="AG83" s="22">
        <v>5</v>
      </c>
      <c r="AH83" s="22">
        <v>5</v>
      </c>
      <c r="AJ83" s="5">
        <v>1</v>
      </c>
      <c r="AK83" s="5">
        <v>1</v>
      </c>
      <c r="AL83" s="5">
        <v>1</v>
      </c>
      <c r="AM83" s="5">
        <v>0</v>
      </c>
      <c r="AN83" s="5">
        <v>1</v>
      </c>
      <c r="AO83" s="5">
        <v>1</v>
      </c>
      <c r="AP83" s="5">
        <v>1</v>
      </c>
    </row>
    <row r="84" spans="11:42">
      <c r="K84" s="19">
        <v>80</v>
      </c>
      <c r="L84" s="21" t="s">
        <v>34</v>
      </c>
      <c r="M84" s="21" t="s">
        <v>246</v>
      </c>
      <c r="N84" s="21" t="s">
        <v>90</v>
      </c>
      <c r="O84" s="21" t="s">
        <v>19</v>
      </c>
      <c r="P84" s="21" t="s">
        <v>35</v>
      </c>
      <c r="Q84" s="21" t="s">
        <v>24</v>
      </c>
      <c r="R84" s="21" t="s">
        <v>20</v>
      </c>
      <c r="T84" s="6">
        <f t="shared" si="16"/>
        <v>4</v>
      </c>
      <c r="U84" s="6">
        <f t="shared" si="17"/>
        <v>19</v>
      </c>
      <c r="V84" s="6">
        <f t="shared" si="18"/>
        <v>7</v>
      </c>
      <c r="W84" s="6">
        <f t="shared" si="19"/>
        <v>1</v>
      </c>
      <c r="X84" s="6">
        <f t="shared" si="20"/>
        <v>5</v>
      </c>
      <c r="Y84" s="6">
        <f t="shared" si="21"/>
        <v>8</v>
      </c>
      <c r="Z84" s="6">
        <f t="shared" si="22"/>
        <v>2</v>
      </c>
      <c r="AB84" s="22">
        <v>5</v>
      </c>
      <c r="AC84" s="22">
        <v>5</v>
      </c>
      <c r="AD84" s="22">
        <v>5</v>
      </c>
      <c r="AE84" s="22">
        <v>5</v>
      </c>
      <c r="AF84" s="22">
        <v>6</v>
      </c>
      <c r="AG84" s="22">
        <v>5</v>
      </c>
      <c r="AH84" s="22">
        <v>5</v>
      </c>
      <c r="AJ84" s="5">
        <v>1</v>
      </c>
      <c r="AK84" s="5">
        <v>3</v>
      </c>
      <c r="AL84" s="5">
        <v>1</v>
      </c>
      <c r="AM84" s="5">
        <v>1</v>
      </c>
      <c r="AN84" s="5">
        <v>3</v>
      </c>
      <c r="AO84" s="5">
        <v>1</v>
      </c>
      <c r="AP84" s="5">
        <v>1</v>
      </c>
    </row>
    <row r="85" spans="11:42">
      <c r="K85" s="18">
        <v>81</v>
      </c>
      <c r="L85" s="21" t="s">
        <v>26</v>
      </c>
      <c r="M85" s="21" t="s">
        <v>246</v>
      </c>
      <c r="N85" s="21" t="s">
        <v>234</v>
      </c>
      <c r="O85" s="21" t="s">
        <v>236</v>
      </c>
      <c r="P85" s="21" t="s">
        <v>35</v>
      </c>
      <c r="Q85" s="21" t="s">
        <v>26</v>
      </c>
      <c r="R85" s="21" t="s">
        <v>24</v>
      </c>
      <c r="T85" s="6">
        <f t="shared" si="16"/>
        <v>9</v>
      </c>
      <c r="U85" s="6">
        <f t="shared" si="17"/>
        <v>19</v>
      </c>
      <c r="V85" s="6">
        <f t="shared" si="18"/>
        <v>13</v>
      </c>
      <c r="W85" s="6">
        <f t="shared" si="19"/>
        <v>14</v>
      </c>
      <c r="X85" s="6">
        <f t="shared" si="20"/>
        <v>5</v>
      </c>
      <c r="Y85" s="6">
        <f t="shared" si="21"/>
        <v>9</v>
      </c>
      <c r="Z85" s="6">
        <f t="shared" si="22"/>
        <v>8</v>
      </c>
      <c r="AB85" s="22">
        <v>5</v>
      </c>
      <c r="AC85" s="22">
        <v>0</v>
      </c>
      <c r="AD85" s="22">
        <v>0</v>
      </c>
      <c r="AE85" s="22">
        <v>0</v>
      </c>
      <c r="AF85" s="22">
        <v>0</v>
      </c>
      <c r="AG85" s="22">
        <v>5</v>
      </c>
      <c r="AH85" s="22">
        <v>5</v>
      </c>
      <c r="AJ85" s="5">
        <v>1</v>
      </c>
      <c r="AK85" s="5">
        <v>0</v>
      </c>
      <c r="AL85" s="5">
        <v>3</v>
      </c>
      <c r="AM85" s="5">
        <v>3</v>
      </c>
      <c r="AN85" s="5">
        <v>0</v>
      </c>
      <c r="AO85" s="5">
        <v>1</v>
      </c>
      <c r="AP85" s="5">
        <v>1</v>
      </c>
    </row>
    <row r="86" spans="11:42">
      <c r="K86" s="19">
        <v>82</v>
      </c>
      <c r="L86" s="21" t="s">
        <v>39</v>
      </c>
      <c r="M86" s="21" t="s">
        <v>246</v>
      </c>
      <c r="N86" s="21" t="s">
        <v>234</v>
      </c>
      <c r="O86" s="21" t="s">
        <v>236</v>
      </c>
      <c r="P86" s="21" t="s">
        <v>35</v>
      </c>
      <c r="Q86" s="21" t="s">
        <v>18</v>
      </c>
      <c r="R86" s="21" t="s">
        <v>24</v>
      </c>
      <c r="T86" s="6">
        <f t="shared" si="16"/>
        <v>11</v>
      </c>
      <c r="U86" s="6">
        <f t="shared" si="17"/>
        <v>19</v>
      </c>
      <c r="V86" s="6">
        <f t="shared" si="18"/>
        <v>13</v>
      </c>
      <c r="W86" s="6">
        <f t="shared" si="19"/>
        <v>14</v>
      </c>
      <c r="X86" s="6">
        <f t="shared" si="20"/>
        <v>5</v>
      </c>
      <c r="Y86" s="6">
        <f t="shared" si="21"/>
        <v>5</v>
      </c>
      <c r="Z86" s="6">
        <f t="shared" si="22"/>
        <v>8</v>
      </c>
      <c r="AB86" s="22">
        <v>5</v>
      </c>
      <c r="AC86" s="22">
        <v>0</v>
      </c>
      <c r="AD86" s="22">
        <v>0</v>
      </c>
      <c r="AE86" s="22">
        <v>0</v>
      </c>
      <c r="AF86" s="22">
        <v>0</v>
      </c>
      <c r="AG86" s="22">
        <v>5</v>
      </c>
      <c r="AH86" s="22">
        <v>5</v>
      </c>
      <c r="AJ86" s="5">
        <v>1</v>
      </c>
      <c r="AK86" s="5">
        <v>0</v>
      </c>
      <c r="AL86" s="5">
        <v>0</v>
      </c>
      <c r="AM86" s="5">
        <v>0</v>
      </c>
      <c r="AN86" s="5">
        <v>0</v>
      </c>
      <c r="AO86" s="5">
        <v>1</v>
      </c>
      <c r="AP86" s="5">
        <v>1</v>
      </c>
    </row>
    <row r="87" spans="11:42">
      <c r="K87" s="18">
        <v>83</v>
      </c>
      <c r="L87" s="21" t="s">
        <v>39</v>
      </c>
      <c r="M87" s="21" t="s">
        <v>90</v>
      </c>
      <c r="N87" s="21" t="s">
        <v>234</v>
      </c>
      <c r="O87" s="21" t="s">
        <v>236</v>
      </c>
      <c r="P87" s="21" t="s">
        <v>36</v>
      </c>
      <c r="Q87" s="21" t="s">
        <v>28</v>
      </c>
      <c r="R87" s="21" t="s">
        <v>36</v>
      </c>
      <c r="T87" s="6">
        <f t="shared" si="16"/>
        <v>11</v>
      </c>
      <c r="U87" s="6">
        <f t="shared" si="17"/>
        <v>7</v>
      </c>
      <c r="V87" s="6">
        <f t="shared" si="18"/>
        <v>13</v>
      </c>
      <c r="W87" s="6">
        <f t="shared" si="19"/>
        <v>14</v>
      </c>
      <c r="X87" s="6">
        <f t="shared" si="20"/>
        <v>1</v>
      </c>
      <c r="Y87" s="6">
        <f t="shared" si="21"/>
        <v>11</v>
      </c>
      <c r="Z87" s="6">
        <f t="shared" si="22"/>
        <v>1</v>
      </c>
      <c r="AB87" s="22">
        <v>5</v>
      </c>
      <c r="AC87" s="22">
        <v>0</v>
      </c>
      <c r="AD87" s="22">
        <v>0</v>
      </c>
      <c r="AE87" s="22">
        <v>0</v>
      </c>
      <c r="AF87" s="22">
        <v>0</v>
      </c>
      <c r="AG87" s="22">
        <v>5</v>
      </c>
      <c r="AH87" s="22">
        <v>5</v>
      </c>
      <c r="AJ87" s="5">
        <v>1</v>
      </c>
      <c r="AK87" s="5">
        <v>2</v>
      </c>
      <c r="AL87" s="5">
        <v>0</v>
      </c>
      <c r="AM87" s="5">
        <v>0</v>
      </c>
      <c r="AN87" s="5">
        <v>2</v>
      </c>
      <c r="AO87" s="5">
        <v>1</v>
      </c>
      <c r="AP87" s="5">
        <v>1</v>
      </c>
    </row>
    <row r="88" spans="11:42">
      <c r="K88" s="19">
        <v>84</v>
      </c>
      <c r="L88" s="21" t="s">
        <v>36</v>
      </c>
      <c r="M88" s="21" t="s">
        <v>90</v>
      </c>
      <c r="N88" s="21" t="s">
        <v>24</v>
      </c>
      <c r="O88" s="21" t="s">
        <v>26</v>
      </c>
      <c r="P88" s="21" t="s">
        <v>36</v>
      </c>
      <c r="Q88" s="21" t="s">
        <v>36</v>
      </c>
      <c r="R88" s="21" t="s">
        <v>17</v>
      </c>
      <c r="T88" s="6">
        <f t="shared" si="16"/>
        <v>1</v>
      </c>
      <c r="U88" s="6">
        <f t="shared" si="17"/>
        <v>7</v>
      </c>
      <c r="V88" s="6">
        <f t="shared" si="18"/>
        <v>8</v>
      </c>
      <c r="W88" s="6">
        <f t="shared" si="19"/>
        <v>9</v>
      </c>
      <c r="X88" s="6">
        <f t="shared" si="20"/>
        <v>1</v>
      </c>
      <c r="Y88" s="6">
        <f t="shared" si="21"/>
        <v>1</v>
      </c>
      <c r="Z88" s="6">
        <f t="shared" si="22"/>
        <v>4</v>
      </c>
      <c r="AB88" s="22">
        <v>5</v>
      </c>
      <c r="AC88" s="22">
        <v>0</v>
      </c>
      <c r="AD88" s="22">
        <v>0</v>
      </c>
      <c r="AE88" s="22">
        <v>0</v>
      </c>
      <c r="AF88" s="22">
        <v>0</v>
      </c>
      <c r="AG88" s="22">
        <v>5</v>
      </c>
      <c r="AH88" s="22">
        <v>5</v>
      </c>
      <c r="AJ88" s="5">
        <v>1</v>
      </c>
      <c r="AK88" s="5">
        <v>0</v>
      </c>
      <c r="AL88" s="5">
        <v>1</v>
      </c>
      <c r="AM88" s="5">
        <v>1</v>
      </c>
      <c r="AN88" s="5">
        <v>0</v>
      </c>
      <c r="AO88" s="5">
        <v>1</v>
      </c>
      <c r="AP88" s="5">
        <v>1</v>
      </c>
    </row>
    <row r="89" spans="11:42">
      <c r="K89" s="18">
        <v>85</v>
      </c>
      <c r="L89" s="21" t="s">
        <v>34</v>
      </c>
      <c r="M89" s="21" t="s">
        <v>90</v>
      </c>
      <c r="N89" s="21" t="s">
        <v>24</v>
      </c>
      <c r="O89" s="21" t="s">
        <v>27</v>
      </c>
      <c r="P89" s="21" t="s">
        <v>28</v>
      </c>
      <c r="Q89" s="21" t="s">
        <v>36</v>
      </c>
      <c r="R89" s="21" t="s">
        <v>17</v>
      </c>
      <c r="T89" s="6">
        <f t="shared" si="16"/>
        <v>4</v>
      </c>
      <c r="U89" s="6">
        <f t="shared" si="17"/>
        <v>7</v>
      </c>
      <c r="V89" s="6">
        <f t="shared" si="18"/>
        <v>8</v>
      </c>
      <c r="W89" s="6">
        <f t="shared" si="19"/>
        <v>10</v>
      </c>
      <c r="X89" s="6">
        <f t="shared" si="20"/>
        <v>11</v>
      </c>
      <c r="Y89" s="6">
        <f t="shared" si="21"/>
        <v>1</v>
      </c>
      <c r="Z89" s="6">
        <f t="shared" si="22"/>
        <v>4</v>
      </c>
      <c r="AB89" s="22">
        <v>5</v>
      </c>
      <c r="AC89" s="22">
        <v>5</v>
      </c>
      <c r="AD89" s="22">
        <v>5</v>
      </c>
      <c r="AE89" s="22">
        <v>5</v>
      </c>
      <c r="AF89" s="22">
        <v>4</v>
      </c>
      <c r="AG89" s="22">
        <v>5</v>
      </c>
      <c r="AH89" s="22">
        <v>5</v>
      </c>
      <c r="AJ89" s="5">
        <v>1</v>
      </c>
      <c r="AK89" s="5">
        <v>1</v>
      </c>
      <c r="AL89" s="5">
        <v>1</v>
      </c>
      <c r="AM89" s="5">
        <v>1</v>
      </c>
      <c r="AN89" s="5">
        <v>1</v>
      </c>
      <c r="AO89" s="5">
        <v>1</v>
      </c>
      <c r="AP89" s="5">
        <v>1</v>
      </c>
    </row>
    <row r="90" spans="11:42">
      <c r="K90" s="19">
        <v>86</v>
      </c>
      <c r="L90" s="21" t="s">
        <v>21</v>
      </c>
      <c r="M90" s="21" t="s">
        <v>64</v>
      </c>
      <c r="N90" s="21" t="s">
        <v>28</v>
      </c>
      <c r="O90" s="21" t="s">
        <v>27</v>
      </c>
      <c r="P90" s="21" t="s">
        <v>17</v>
      </c>
      <c r="Q90" s="21" t="s">
        <v>24</v>
      </c>
      <c r="R90" s="21" t="s">
        <v>17</v>
      </c>
      <c r="T90" s="6">
        <f t="shared" si="16"/>
        <v>3</v>
      </c>
      <c r="U90" s="6">
        <f t="shared" si="17"/>
        <v>6</v>
      </c>
      <c r="V90" s="6">
        <f t="shared" si="18"/>
        <v>11</v>
      </c>
      <c r="W90" s="6">
        <f t="shared" si="19"/>
        <v>10</v>
      </c>
      <c r="X90" s="6">
        <f t="shared" si="20"/>
        <v>4</v>
      </c>
      <c r="Y90" s="6">
        <f t="shared" si="21"/>
        <v>8</v>
      </c>
      <c r="Z90" s="6">
        <f t="shared" si="22"/>
        <v>4</v>
      </c>
      <c r="AB90" s="22">
        <v>5</v>
      </c>
      <c r="AC90" s="22">
        <v>0</v>
      </c>
      <c r="AD90" s="22">
        <v>0</v>
      </c>
      <c r="AE90" s="22">
        <v>0</v>
      </c>
      <c r="AF90" s="22">
        <v>1</v>
      </c>
      <c r="AG90" s="22">
        <v>5</v>
      </c>
      <c r="AH90" s="22">
        <v>5</v>
      </c>
      <c r="AJ90" s="5">
        <v>1</v>
      </c>
      <c r="AK90" s="5">
        <v>1</v>
      </c>
      <c r="AL90" s="5">
        <v>1</v>
      </c>
      <c r="AM90" s="5">
        <v>1</v>
      </c>
      <c r="AN90" s="5">
        <v>3</v>
      </c>
      <c r="AO90" s="5">
        <v>1</v>
      </c>
      <c r="AP90" s="5">
        <v>1</v>
      </c>
    </row>
    <row r="91" spans="11:42">
      <c r="K91" s="18">
        <v>87</v>
      </c>
      <c r="L91" s="21" t="s">
        <v>26</v>
      </c>
      <c r="M91" s="21" t="s">
        <v>17</v>
      </c>
      <c r="N91" s="21" t="s">
        <v>28</v>
      </c>
      <c r="O91" s="21" t="s">
        <v>19</v>
      </c>
      <c r="P91" s="21" t="s">
        <v>17</v>
      </c>
      <c r="Q91" s="21" t="s">
        <v>27</v>
      </c>
      <c r="R91" s="21" t="s">
        <v>64</v>
      </c>
      <c r="T91" s="6">
        <f t="shared" si="16"/>
        <v>9</v>
      </c>
      <c r="U91" s="6">
        <f t="shared" si="17"/>
        <v>4</v>
      </c>
      <c r="V91" s="6">
        <f t="shared" si="18"/>
        <v>11</v>
      </c>
      <c r="W91" s="6">
        <f t="shared" si="19"/>
        <v>1</v>
      </c>
      <c r="X91" s="6">
        <f t="shared" si="20"/>
        <v>4</v>
      </c>
      <c r="Y91" s="6">
        <f t="shared" si="21"/>
        <v>10</v>
      </c>
      <c r="Z91" s="6">
        <f t="shared" si="22"/>
        <v>6</v>
      </c>
      <c r="AB91" s="22">
        <v>5</v>
      </c>
      <c r="AC91" s="22">
        <v>0</v>
      </c>
      <c r="AD91" s="22">
        <v>0</v>
      </c>
      <c r="AE91" s="22">
        <v>0</v>
      </c>
      <c r="AF91" s="22">
        <v>0</v>
      </c>
      <c r="AG91" s="22">
        <v>5</v>
      </c>
      <c r="AH91" s="22">
        <v>5</v>
      </c>
      <c r="AJ91" s="5">
        <v>1</v>
      </c>
      <c r="AK91" s="5">
        <v>2</v>
      </c>
      <c r="AL91" s="5">
        <v>1</v>
      </c>
      <c r="AM91" s="5">
        <v>1</v>
      </c>
      <c r="AN91" s="5">
        <v>0</v>
      </c>
      <c r="AO91" s="5">
        <v>1</v>
      </c>
      <c r="AP91" s="5">
        <v>1</v>
      </c>
    </row>
    <row r="92" spans="11:42">
      <c r="K92" s="19">
        <v>88</v>
      </c>
      <c r="L92" s="21" t="s">
        <v>26</v>
      </c>
      <c r="M92" s="21" t="s">
        <v>17</v>
      </c>
      <c r="N92" s="21" t="s">
        <v>19</v>
      </c>
      <c r="O92" s="21" t="s">
        <v>248</v>
      </c>
      <c r="P92" s="21" t="s">
        <v>17</v>
      </c>
      <c r="Q92" s="21" t="s">
        <v>18</v>
      </c>
      <c r="R92" s="21" t="s">
        <v>64</v>
      </c>
      <c r="T92" s="6">
        <f t="shared" si="16"/>
        <v>9</v>
      </c>
      <c r="U92" s="6">
        <f t="shared" si="17"/>
        <v>4</v>
      </c>
      <c r="V92" s="6">
        <f t="shared" si="18"/>
        <v>1</v>
      </c>
      <c r="W92" s="6">
        <f t="shared" si="19"/>
        <v>20</v>
      </c>
      <c r="X92" s="6">
        <f t="shared" si="20"/>
        <v>4</v>
      </c>
      <c r="Y92" s="6">
        <f t="shared" si="21"/>
        <v>5</v>
      </c>
      <c r="Z92" s="6">
        <f t="shared" si="22"/>
        <v>6</v>
      </c>
      <c r="AB92" s="22">
        <v>5</v>
      </c>
      <c r="AC92" s="22">
        <v>0</v>
      </c>
      <c r="AD92" s="22">
        <v>0</v>
      </c>
      <c r="AE92" s="22">
        <v>0</v>
      </c>
      <c r="AF92" s="22">
        <v>0</v>
      </c>
      <c r="AG92" s="22">
        <v>5</v>
      </c>
      <c r="AH92" s="22">
        <v>5</v>
      </c>
      <c r="AJ92" s="5">
        <v>1</v>
      </c>
      <c r="AK92" s="5">
        <v>0</v>
      </c>
      <c r="AL92" s="5">
        <v>1</v>
      </c>
      <c r="AM92" s="5">
        <v>2</v>
      </c>
      <c r="AN92" s="5">
        <v>0</v>
      </c>
      <c r="AO92" s="5">
        <v>1</v>
      </c>
      <c r="AP92" s="5">
        <v>1</v>
      </c>
    </row>
    <row r="93" spans="11:42">
      <c r="K93" s="18">
        <v>89</v>
      </c>
      <c r="L93" s="21" t="s">
        <v>29</v>
      </c>
      <c r="M93" s="21" t="s">
        <v>24</v>
      </c>
      <c r="N93" s="21" t="s">
        <v>21</v>
      </c>
      <c r="O93" s="21" t="s">
        <v>248</v>
      </c>
      <c r="P93" s="21" t="s">
        <v>64</v>
      </c>
      <c r="Q93" s="21" t="s">
        <v>24</v>
      </c>
      <c r="R93" s="21" t="s">
        <v>64</v>
      </c>
      <c r="T93" s="6">
        <f t="shared" si="16"/>
        <v>12</v>
      </c>
      <c r="U93" s="6">
        <f t="shared" si="17"/>
        <v>8</v>
      </c>
      <c r="V93" s="6">
        <f t="shared" si="18"/>
        <v>3</v>
      </c>
      <c r="W93" s="6">
        <f t="shared" si="19"/>
        <v>20</v>
      </c>
      <c r="X93" s="6">
        <f t="shared" si="20"/>
        <v>6</v>
      </c>
      <c r="Y93" s="6">
        <f t="shared" si="21"/>
        <v>8</v>
      </c>
      <c r="Z93" s="6">
        <f t="shared" si="22"/>
        <v>6</v>
      </c>
      <c r="AB93" s="22">
        <v>5</v>
      </c>
      <c r="AC93" s="22">
        <v>0</v>
      </c>
      <c r="AD93" s="22">
        <v>0</v>
      </c>
      <c r="AE93" s="22">
        <v>0</v>
      </c>
      <c r="AF93" s="22">
        <v>1</v>
      </c>
      <c r="AG93" s="22">
        <v>5</v>
      </c>
      <c r="AH93" s="22">
        <v>5</v>
      </c>
      <c r="AJ93" s="5">
        <v>1</v>
      </c>
      <c r="AK93" s="5">
        <v>1</v>
      </c>
      <c r="AL93" s="5">
        <v>1</v>
      </c>
      <c r="AM93" s="5">
        <v>0</v>
      </c>
      <c r="AN93" s="5">
        <v>1</v>
      </c>
      <c r="AO93" s="5">
        <v>1</v>
      </c>
      <c r="AP93" s="5">
        <v>1</v>
      </c>
    </row>
    <row r="94" spans="11:42">
      <c r="K94" s="19">
        <v>90</v>
      </c>
      <c r="L94" s="21" t="s">
        <v>35</v>
      </c>
      <c r="M94" s="21" t="s">
        <v>24</v>
      </c>
      <c r="N94" s="21" t="s">
        <v>27</v>
      </c>
      <c r="O94" s="21" t="s">
        <v>17</v>
      </c>
      <c r="P94" s="21" t="s">
        <v>21</v>
      </c>
      <c r="Q94" s="21" t="s">
        <v>28</v>
      </c>
      <c r="R94" s="21" t="s">
        <v>28</v>
      </c>
      <c r="T94" s="6">
        <f t="shared" si="16"/>
        <v>5</v>
      </c>
      <c r="U94" s="6">
        <f t="shared" si="17"/>
        <v>8</v>
      </c>
      <c r="V94" s="6">
        <f t="shared" si="18"/>
        <v>10</v>
      </c>
      <c r="W94" s="6">
        <f t="shared" si="19"/>
        <v>4</v>
      </c>
      <c r="X94" s="6">
        <f t="shared" si="20"/>
        <v>3</v>
      </c>
      <c r="Y94" s="6">
        <f t="shared" si="21"/>
        <v>11</v>
      </c>
      <c r="Z94" s="6">
        <f t="shared" si="22"/>
        <v>11</v>
      </c>
      <c r="AB94" s="22">
        <v>5</v>
      </c>
      <c r="AC94" s="22">
        <v>5</v>
      </c>
      <c r="AD94" s="22">
        <v>5</v>
      </c>
      <c r="AE94" s="22">
        <v>5</v>
      </c>
      <c r="AF94" s="22">
        <v>5</v>
      </c>
      <c r="AG94" s="22">
        <v>5</v>
      </c>
      <c r="AH94" s="22">
        <v>5</v>
      </c>
      <c r="AJ94" s="5">
        <v>1</v>
      </c>
      <c r="AK94" s="5">
        <v>1</v>
      </c>
      <c r="AL94" s="5">
        <v>1</v>
      </c>
      <c r="AM94" s="5">
        <v>2</v>
      </c>
      <c r="AN94" s="5">
        <v>1</v>
      </c>
      <c r="AO94" s="5">
        <v>1</v>
      </c>
      <c r="AP94" s="5">
        <v>1</v>
      </c>
    </row>
    <row r="95" spans="11:42">
      <c r="K95" s="18">
        <v>91</v>
      </c>
      <c r="L95" s="21" t="s">
        <v>64</v>
      </c>
      <c r="M95" s="21" t="s">
        <v>234</v>
      </c>
      <c r="N95" s="21" t="s">
        <v>19</v>
      </c>
      <c r="O95" s="21" t="s">
        <v>17</v>
      </c>
      <c r="P95" s="21" t="s">
        <v>252</v>
      </c>
      <c r="Q95" s="21" t="s">
        <v>64</v>
      </c>
      <c r="R95" s="21" t="s">
        <v>28</v>
      </c>
      <c r="T95" s="6">
        <f t="shared" si="16"/>
        <v>6</v>
      </c>
      <c r="U95" s="6">
        <f t="shared" si="17"/>
        <v>13</v>
      </c>
      <c r="V95" s="6">
        <f t="shared" si="18"/>
        <v>1</v>
      </c>
      <c r="W95" s="6">
        <f t="shared" si="19"/>
        <v>4</v>
      </c>
      <c r="X95" s="6">
        <f t="shared" si="20"/>
        <v>22</v>
      </c>
      <c r="Y95" s="6">
        <f t="shared" si="21"/>
        <v>6</v>
      </c>
      <c r="Z95" s="6">
        <f t="shared" si="22"/>
        <v>11</v>
      </c>
      <c r="AB95" s="22">
        <v>5</v>
      </c>
      <c r="AC95" s="22">
        <v>0</v>
      </c>
      <c r="AD95" s="22">
        <v>0</v>
      </c>
      <c r="AE95" s="22">
        <v>0</v>
      </c>
      <c r="AF95" s="22">
        <v>0</v>
      </c>
      <c r="AG95" s="22">
        <v>5</v>
      </c>
      <c r="AH95" s="22">
        <v>5</v>
      </c>
      <c r="AJ95" s="5">
        <v>1</v>
      </c>
      <c r="AK95" s="5">
        <v>1</v>
      </c>
      <c r="AL95" s="5">
        <v>1</v>
      </c>
      <c r="AM95" s="5">
        <v>0</v>
      </c>
      <c r="AN95" s="5">
        <v>2</v>
      </c>
      <c r="AO95" s="5">
        <v>1</v>
      </c>
      <c r="AP95" s="5">
        <v>1</v>
      </c>
    </row>
    <row r="96" spans="11:42">
      <c r="K96" s="19">
        <v>92</v>
      </c>
      <c r="L96" s="21" t="s">
        <v>64</v>
      </c>
      <c r="M96" s="21" t="s">
        <v>240</v>
      </c>
      <c r="N96" s="21" t="s">
        <v>242</v>
      </c>
      <c r="O96" s="21" t="s">
        <v>27</v>
      </c>
      <c r="P96" s="21" t="s">
        <v>252</v>
      </c>
      <c r="Q96" s="21" t="s">
        <v>27</v>
      </c>
      <c r="R96" s="21" t="s">
        <v>28</v>
      </c>
      <c r="T96" s="6">
        <f t="shared" si="16"/>
        <v>6</v>
      </c>
      <c r="U96" s="6">
        <f t="shared" si="17"/>
        <v>16</v>
      </c>
      <c r="V96" s="6">
        <f t="shared" si="18"/>
        <v>17</v>
      </c>
      <c r="W96" s="6">
        <f t="shared" si="19"/>
        <v>10</v>
      </c>
      <c r="X96" s="6">
        <f t="shared" si="20"/>
        <v>22</v>
      </c>
      <c r="Y96" s="6">
        <f t="shared" si="21"/>
        <v>10</v>
      </c>
      <c r="Z96" s="6">
        <f t="shared" si="22"/>
        <v>11</v>
      </c>
      <c r="AB96" s="22">
        <v>5</v>
      </c>
      <c r="AC96" s="22">
        <v>0</v>
      </c>
      <c r="AD96" s="22">
        <v>0</v>
      </c>
      <c r="AE96" s="22">
        <v>0</v>
      </c>
      <c r="AF96" s="22">
        <v>0</v>
      </c>
      <c r="AG96" s="22">
        <v>5</v>
      </c>
      <c r="AH96" s="22">
        <v>5</v>
      </c>
      <c r="AJ96" s="5">
        <v>1</v>
      </c>
      <c r="AK96" s="5">
        <v>2</v>
      </c>
      <c r="AL96" s="5">
        <v>2</v>
      </c>
      <c r="AM96" s="5">
        <v>1</v>
      </c>
      <c r="AN96" s="5">
        <v>0</v>
      </c>
      <c r="AO96" s="5">
        <v>1</v>
      </c>
      <c r="AP96" s="5">
        <v>1</v>
      </c>
    </row>
    <row r="97" spans="11:42">
      <c r="K97" s="18">
        <v>93</v>
      </c>
      <c r="L97" s="21" t="s">
        <v>29</v>
      </c>
      <c r="M97" s="21" t="s">
        <v>240</v>
      </c>
      <c r="N97" s="21" t="s">
        <v>242</v>
      </c>
      <c r="O97" s="21" t="s">
        <v>19</v>
      </c>
      <c r="P97" s="21" t="s">
        <v>26</v>
      </c>
      <c r="Q97" s="21" t="s">
        <v>24</v>
      </c>
      <c r="R97" s="21" t="s">
        <v>64</v>
      </c>
      <c r="T97" s="6">
        <f t="shared" si="16"/>
        <v>12</v>
      </c>
      <c r="U97" s="6">
        <f t="shared" si="17"/>
        <v>16</v>
      </c>
      <c r="V97" s="6">
        <f t="shared" si="18"/>
        <v>17</v>
      </c>
      <c r="W97" s="6">
        <f t="shared" si="19"/>
        <v>1</v>
      </c>
      <c r="X97" s="6">
        <f t="shared" si="20"/>
        <v>9</v>
      </c>
      <c r="Y97" s="6">
        <f t="shared" si="21"/>
        <v>8</v>
      </c>
      <c r="Z97" s="6">
        <f t="shared" si="22"/>
        <v>6</v>
      </c>
      <c r="AB97" s="22">
        <v>5</v>
      </c>
      <c r="AC97" s="22">
        <v>0</v>
      </c>
      <c r="AD97" s="22">
        <v>0</v>
      </c>
      <c r="AE97" s="22">
        <v>0</v>
      </c>
      <c r="AF97" s="22">
        <v>0</v>
      </c>
      <c r="AG97" s="22">
        <v>5</v>
      </c>
      <c r="AH97" s="22">
        <v>5</v>
      </c>
      <c r="AJ97" s="5">
        <v>1</v>
      </c>
      <c r="AK97" s="5">
        <v>0</v>
      </c>
      <c r="AL97" s="5">
        <v>0</v>
      </c>
      <c r="AM97" s="5">
        <v>1</v>
      </c>
      <c r="AN97" s="5">
        <v>1</v>
      </c>
      <c r="AO97" s="5">
        <v>1</v>
      </c>
      <c r="AP97" s="5">
        <v>1</v>
      </c>
    </row>
    <row r="98" spans="11:42">
      <c r="K98" s="19">
        <v>94</v>
      </c>
      <c r="L98" s="21" t="s">
        <v>29</v>
      </c>
      <c r="M98" s="21" t="s">
        <v>28</v>
      </c>
      <c r="N98" s="21" t="s">
        <v>18</v>
      </c>
      <c r="O98" s="21" t="s">
        <v>24</v>
      </c>
      <c r="P98" s="21" t="s">
        <v>24</v>
      </c>
      <c r="Q98" s="21" t="s">
        <v>64</v>
      </c>
      <c r="R98" s="21" t="s">
        <v>18</v>
      </c>
      <c r="T98" s="6">
        <f t="shared" si="16"/>
        <v>12</v>
      </c>
      <c r="U98" s="6">
        <f t="shared" si="17"/>
        <v>11</v>
      </c>
      <c r="V98" s="6">
        <f t="shared" si="18"/>
        <v>5</v>
      </c>
      <c r="W98" s="6">
        <f t="shared" si="19"/>
        <v>8</v>
      </c>
      <c r="X98" s="6">
        <f t="shared" si="20"/>
        <v>8</v>
      </c>
      <c r="Y98" s="6">
        <f t="shared" si="21"/>
        <v>6</v>
      </c>
      <c r="Z98" s="6">
        <f t="shared" si="22"/>
        <v>5</v>
      </c>
      <c r="AB98" s="22">
        <v>5</v>
      </c>
      <c r="AC98" s="22">
        <v>0</v>
      </c>
      <c r="AD98" s="22">
        <v>0</v>
      </c>
      <c r="AE98" s="22">
        <v>0</v>
      </c>
      <c r="AF98" s="22">
        <v>1</v>
      </c>
      <c r="AG98" s="22">
        <v>5</v>
      </c>
      <c r="AH98" s="22">
        <v>5</v>
      </c>
      <c r="AJ98" s="5">
        <v>1</v>
      </c>
      <c r="AK98" s="5">
        <v>1</v>
      </c>
      <c r="AL98" s="5">
        <v>1</v>
      </c>
      <c r="AM98" s="5">
        <v>1</v>
      </c>
      <c r="AN98" s="5">
        <v>1</v>
      </c>
      <c r="AO98" s="5">
        <v>1</v>
      </c>
      <c r="AP98" s="5">
        <v>1</v>
      </c>
    </row>
    <row r="99" spans="11:42">
      <c r="K99" s="18">
        <v>95</v>
      </c>
      <c r="L99" s="21" t="s">
        <v>25</v>
      </c>
      <c r="M99" s="21" t="s">
        <v>20</v>
      </c>
      <c r="N99" s="21" t="s">
        <v>27</v>
      </c>
      <c r="O99" s="21" t="s">
        <v>64</v>
      </c>
      <c r="P99" s="21" t="s">
        <v>242</v>
      </c>
      <c r="Q99" s="21" t="s">
        <v>17</v>
      </c>
      <c r="R99" s="21" t="s">
        <v>18</v>
      </c>
      <c r="T99" s="6">
        <f t="shared" si="16"/>
        <v>8</v>
      </c>
      <c r="U99" s="6">
        <f t="shared" si="17"/>
        <v>2</v>
      </c>
      <c r="V99" s="6">
        <f t="shared" si="18"/>
        <v>10</v>
      </c>
      <c r="W99" s="6">
        <f t="shared" si="19"/>
        <v>6</v>
      </c>
      <c r="X99" s="6">
        <f t="shared" si="20"/>
        <v>17</v>
      </c>
      <c r="Y99" s="6">
        <f t="shared" si="21"/>
        <v>4</v>
      </c>
      <c r="Z99" s="6">
        <f t="shared" si="22"/>
        <v>5</v>
      </c>
      <c r="AB99" s="22">
        <v>5</v>
      </c>
      <c r="AC99" s="22">
        <v>5</v>
      </c>
      <c r="AD99" s="22">
        <v>5</v>
      </c>
      <c r="AE99" s="22">
        <v>5</v>
      </c>
      <c r="AF99" s="22">
        <v>6</v>
      </c>
      <c r="AG99" s="22">
        <v>5</v>
      </c>
      <c r="AH99" s="22">
        <v>5</v>
      </c>
      <c r="AJ99" s="5">
        <v>1</v>
      </c>
      <c r="AK99" s="5">
        <v>1</v>
      </c>
      <c r="AL99" s="5">
        <v>1</v>
      </c>
      <c r="AM99" s="5">
        <v>2</v>
      </c>
      <c r="AN99" s="5">
        <v>2</v>
      </c>
      <c r="AO99" s="5">
        <v>1</v>
      </c>
      <c r="AP99" s="5">
        <v>1</v>
      </c>
    </row>
    <row r="100" spans="11:42">
      <c r="K100" s="19">
        <v>96</v>
      </c>
      <c r="L100" s="21" t="s">
        <v>26</v>
      </c>
      <c r="M100" s="21" t="s">
        <v>252</v>
      </c>
      <c r="N100" s="21" t="s">
        <v>27</v>
      </c>
      <c r="O100" s="21" t="s">
        <v>64</v>
      </c>
      <c r="P100" s="21" t="s">
        <v>242</v>
      </c>
      <c r="Q100" s="21" t="s">
        <v>18</v>
      </c>
      <c r="R100" s="21" t="s">
        <v>24</v>
      </c>
      <c r="T100" s="6">
        <f t="shared" si="16"/>
        <v>9</v>
      </c>
      <c r="U100" s="6">
        <f t="shared" si="17"/>
        <v>22</v>
      </c>
      <c r="V100" s="6">
        <f t="shared" si="18"/>
        <v>10</v>
      </c>
      <c r="W100" s="6">
        <f t="shared" si="19"/>
        <v>6</v>
      </c>
      <c r="X100" s="6">
        <f t="shared" si="20"/>
        <v>17</v>
      </c>
      <c r="Y100" s="6">
        <f t="shared" si="21"/>
        <v>5</v>
      </c>
      <c r="Z100" s="6">
        <f t="shared" si="22"/>
        <v>8</v>
      </c>
      <c r="AB100" s="22">
        <v>5</v>
      </c>
      <c r="AC100" s="22">
        <v>0</v>
      </c>
      <c r="AD100" s="22">
        <v>0</v>
      </c>
      <c r="AE100" s="22">
        <v>0</v>
      </c>
      <c r="AF100" s="22">
        <v>0</v>
      </c>
      <c r="AG100" s="22">
        <v>5</v>
      </c>
      <c r="AH100" s="22">
        <v>5</v>
      </c>
      <c r="AJ100" s="5">
        <v>1</v>
      </c>
      <c r="AK100" s="5">
        <v>2</v>
      </c>
      <c r="AL100" s="5">
        <v>1</v>
      </c>
      <c r="AM100" s="5">
        <v>0</v>
      </c>
      <c r="AN100" s="5">
        <v>0</v>
      </c>
      <c r="AO100" s="5">
        <v>1</v>
      </c>
      <c r="AP100" s="5">
        <v>1</v>
      </c>
    </row>
    <row r="101" spans="11:42">
      <c r="K101" s="18">
        <v>97</v>
      </c>
      <c r="L101" s="21" t="s">
        <v>27</v>
      </c>
      <c r="M101" s="21" t="s">
        <v>252</v>
      </c>
      <c r="N101" s="21" t="s">
        <v>19</v>
      </c>
      <c r="O101" s="21" t="s">
        <v>19</v>
      </c>
      <c r="P101" s="21" t="s">
        <v>21</v>
      </c>
      <c r="Q101" s="21" t="s">
        <v>28</v>
      </c>
      <c r="R101" s="21" t="s">
        <v>29</v>
      </c>
      <c r="T101" s="6">
        <f t="shared" si="16"/>
        <v>10</v>
      </c>
      <c r="U101" s="6">
        <f t="shared" si="17"/>
        <v>22</v>
      </c>
      <c r="V101" s="6">
        <f t="shared" si="18"/>
        <v>1</v>
      </c>
      <c r="W101" s="6">
        <f t="shared" si="19"/>
        <v>1</v>
      </c>
      <c r="X101" s="6">
        <f t="shared" si="20"/>
        <v>3</v>
      </c>
      <c r="Y101" s="6">
        <f t="shared" si="21"/>
        <v>11</v>
      </c>
      <c r="Z101" s="6">
        <f t="shared" si="22"/>
        <v>12</v>
      </c>
      <c r="AB101" s="22">
        <v>5</v>
      </c>
      <c r="AC101" s="22">
        <v>0</v>
      </c>
      <c r="AD101" s="22">
        <v>0</v>
      </c>
      <c r="AE101" s="22">
        <v>0</v>
      </c>
      <c r="AF101" s="22">
        <v>0</v>
      </c>
      <c r="AG101" s="22">
        <v>5</v>
      </c>
      <c r="AH101" s="22">
        <v>5</v>
      </c>
      <c r="AJ101" s="5">
        <v>1</v>
      </c>
      <c r="AK101" s="5">
        <v>0</v>
      </c>
      <c r="AL101" s="5">
        <v>1</v>
      </c>
      <c r="AM101" s="5">
        <v>1</v>
      </c>
      <c r="AN101" s="5">
        <v>2</v>
      </c>
      <c r="AO101" s="5">
        <v>1</v>
      </c>
      <c r="AP101" s="5">
        <v>1</v>
      </c>
    </row>
    <row r="102" spans="11:42">
      <c r="K102" s="19">
        <v>98</v>
      </c>
      <c r="L102" s="21" t="s">
        <v>27</v>
      </c>
      <c r="M102" s="21" t="s">
        <v>248</v>
      </c>
      <c r="N102" s="21" t="s">
        <v>64</v>
      </c>
      <c r="O102" s="21" t="s">
        <v>240</v>
      </c>
      <c r="P102" s="21" t="s">
        <v>21</v>
      </c>
      <c r="Q102" s="21" t="s">
        <v>64</v>
      </c>
      <c r="R102" s="21" t="s">
        <v>17</v>
      </c>
      <c r="T102" s="6">
        <f t="shared" si="16"/>
        <v>10</v>
      </c>
      <c r="U102" s="6">
        <f t="shared" si="17"/>
        <v>20</v>
      </c>
      <c r="V102" s="6">
        <f t="shared" si="18"/>
        <v>6</v>
      </c>
      <c r="W102" s="6">
        <f t="shared" si="19"/>
        <v>16</v>
      </c>
      <c r="X102" s="6">
        <f t="shared" si="20"/>
        <v>3</v>
      </c>
      <c r="Y102" s="6">
        <f t="shared" si="21"/>
        <v>6</v>
      </c>
      <c r="Z102" s="6">
        <f t="shared" si="22"/>
        <v>4</v>
      </c>
      <c r="AB102" s="22">
        <v>5</v>
      </c>
      <c r="AC102" s="22">
        <v>0</v>
      </c>
      <c r="AD102" s="22">
        <v>0</v>
      </c>
      <c r="AE102" s="22">
        <v>0</v>
      </c>
      <c r="AF102" s="22">
        <v>0</v>
      </c>
      <c r="AG102" s="22">
        <v>5</v>
      </c>
      <c r="AH102" s="22">
        <v>5</v>
      </c>
      <c r="AJ102" s="5">
        <v>1</v>
      </c>
      <c r="AK102" s="5">
        <v>1</v>
      </c>
      <c r="AL102" s="5">
        <v>1</v>
      </c>
      <c r="AM102" s="5">
        <v>2</v>
      </c>
      <c r="AN102" s="5">
        <v>0</v>
      </c>
      <c r="AO102" s="5">
        <v>1</v>
      </c>
      <c r="AP102" s="5">
        <v>1</v>
      </c>
    </row>
    <row r="103" spans="11:42">
      <c r="K103" s="18">
        <v>99</v>
      </c>
      <c r="L103" s="21" t="s">
        <v>21</v>
      </c>
      <c r="M103" s="21" t="s">
        <v>24</v>
      </c>
      <c r="N103" s="21" t="s">
        <v>24</v>
      </c>
      <c r="O103" s="21" t="s">
        <v>240</v>
      </c>
      <c r="P103" s="21" t="s">
        <v>27</v>
      </c>
      <c r="Q103" s="21" t="s">
        <v>27</v>
      </c>
      <c r="R103" s="21" t="s">
        <v>20</v>
      </c>
      <c r="T103" s="6">
        <f t="shared" si="16"/>
        <v>3</v>
      </c>
      <c r="U103" s="6">
        <f t="shared" si="17"/>
        <v>8</v>
      </c>
      <c r="V103" s="6">
        <f t="shared" si="18"/>
        <v>8</v>
      </c>
      <c r="W103" s="6">
        <f t="shared" si="19"/>
        <v>16</v>
      </c>
      <c r="X103" s="6">
        <f t="shared" si="20"/>
        <v>10</v>
      </c>
      <c r="Y103" s="6">
        <f t="shared" si="21"/>
        <v>10</v>
      </c>
      <c r="Z103" s="6">
        <f t="shared" si="22"/>
        <v>2</v>
      </c>
      <c r="AB103" s="22">
        <v>5</v>
      </c>
      <c r="AC103" s="22">
        <v>0</v>
      </c>
      <c r="AD103" s="22">
        <v>0</v>
      </c>
      <c r="AE103" s="22">
        <v>0</v>
      </c>
      <c r="AF103" s="22">
        <v>0</v>
      </c>
      <c r="AG103" s="22">
        <v>5</v>
      </c>
      <c r="AH103" s="22">
        <v>5</v>
      </c>
      <c r="AJ103" s="5">
        <v>1</v>
      </c>
      <c r="AK103" s="5">
        <v>1</v>
      </c>
      <c r="AL103" s="5">
        <v>1</v>
      </c>
      <c r="AM103" s="5">
        <v>0</v>
      </c>
      <c r="AN103" s="5">
        <v>1</v>
      </c>
      <c r="AO103" s="5">
        <v>1</v>
      </c>
      <c r="AP103" s="5">
        <v>1</v>
      </c>
    </row>
    <row r="104" spans="11:42">
      <c r="K104" s="19">
        <v>100</v>
      </c>
      <c r="L104" s="21" t="s">
        <v>25</v>
      </c>
      <c r="M104" s="21" t="s">
        <v>246</v>
      </c>
      <c r="N104" s="21" t="s">
        <v>19</v>
      </c>
      <c r="O104" s="21" t="s">
        <v>19</v>
      </c>
      <c r="P104" s="21" t="s">
        <v>238</v>
      </c>
      <c r="Q104" s="21" t="s">
        <v>24</v>
      </c>
      <c r="R104" s="21" t="s">
        <v>20</v>
      </c>
      <c r="T104" s="6">
        <f t="shared" si="16"/>
        <v>8</v>
      </c>
      <c r="U104" s="6">
        <f t="shared" si="17"/>
        <v>19</v>
      </c>
      <c r="V104" s="6">
        <f t="shared" si="18"/>
        <v>1</v>
      </c>
      <c r="W104" s="6">
        <f t="shared" si="19"/>
        <v>1</v>
      </c>
      <c r="X104" s="6">
        <f t="shared" si="20"/>
        <v>15</v>
      </c>
      <c r="Y104" s="6">
        <f t="shared" si="21"/>
        <v>8</v>
      </c>
      <c r="Z104" s="6">
        <f t="shared" si="22"/>
        <v>2</v>
      </c>
      <c r="AB104" s="22">
        <v>5</v>
      </c>
      <c r="AC104" s="22">
        <v>5</v>
      </c>
      <c r="AD104" s="22">
        <v>5</v>
      </c>
      <c r="AE104" s="22">
        <v>5</v>
      </c>
      <c r="AF104" s="22">
        <v>6</v>
      </c>
      <c r="AG104" s="22">
        <v>5</v>
      </c>
      <c r="AH104" s="22">
        <v>5</v>
      </c>
      <c r="AJ104" s="5">
        <v>1</v>
      </c>
      <c r="AK104" s="5">
        <v>3</v>
      </c>
      <c r="AL104" s="5">
        <v>1</v>
      </c>
      <c r="AM104" s="5">
        <v>1</v>
      </c>
      <c r="AN104" s="5">
        <v>3</v>
      </c>
      <c r="AO104" s="5">
        <v>1</v>
      </c>
      <c r="AP104" s="5">
        <v>1</v>
      </c>
    </row>
    <row r="105" spans="11:42">
      <c r="K105" s="18">
        <v>101</v>
      </c>
      <c r="L105" s="21" t="s">
        <v>26</v>
      </c>
      <c r="M105" s="21" t="s">
        <v>246</v>
      </c>
      <c r="N105" s="21" t="s">
        <v>234</v>
      </c>
      <c r="O105" s="21" t="s">
        <v>236</v>
      </c>
      <c r="P105" s="21" t="s">
        <v>238</v>
      </c>
      <c r="Q105" s="21" t="s">
        <v>26</v>
      </c>
      <c r="R105" s="21" t="s">
        <v>24</v>
      </c>
      <c r="T105" s="6">
        <f t="shared" si="16"/>
        <v>9</v>
      </c>
      <c r="U105" s="6">
        <f t="shared" si="17"/>
        <v>19</v>
      </c>
      <c r="V105" s="6">
        <f t="shared" si="18"/>
        <v>13</v>
      </c>
      <c r="W105" s="6">
        <f t="shared" si="19"/>
        <v>14</v>
      </c>
      <c r="X105" s="6">
        <f t="shared" si="20"/>
        <v>15</v>
      </c>
      <c r="Y105" s="6">
        <f t="shared" si="21"/>
        <v>9</v>
      </c>
      <c r="Z105" s="6">
        <f t="shared" si="22"/>
        <v>8</v>
      </c>
      <c r="AB105" s="22">
        <v>5</v>
      </c>
      <c r="AC105" s="22">
        <v>0</v>
      </c>
      <c r="AD105" s="22">
        <v>0</v>
      </c>
      <c r="AE105" s="22">
        <v>0</v>
      </c>
      <c r="AF105" s="22">
        <v>0</v>
      </c>
      <c r="AG105" s="22">
        <v>5</v>
      </c>
      <c r="AH105" s="22">
        <v>5</v>
      </c>
      <c r="AJ105" s="5">
        <v>1</v>
      </c>
      <c r="AK105" s="5">
        <v>0</v>
      </c>
      <c r="AL105" s="5">
        <v>3</v>
      </c>
      <c r="AM105" s="5">
        <v>3</v>
      </c>
      <c r="AN105" s="5">
        <v>0</v>
      </c>
      <c r="AO105" s="5">
        <v>1</v>
      </c>
      <c r="AP105" s="5">
        <v>1</v>
      </c>
    </row>
    <row r="106" spans="11:42">
      <c r="K106" s="19">
        <v>102</v>
      </c>
      <c r="L106" s="21" t="s">
        <v>90</v>
      </c>
      <c r="M106" s="21" t="s">
        <v>246</v>
      </c>
      <c r="N106" s="21" t="s">
        <v>234</v>
      </c>
      <c r="O106" s="21" t="s">
        <v>236</v>
      </c>
      <c r="P106" s="21" t="s">
        <v>238</v>
      </c>
      <c r="Q106" s="21" t="s">
        <v>18</v>
      </c>
      <c r="R106" s="21" t="s">
        <v>24</v>
      </c>
      <c r="T106" s="6">
        <f t="shared" si="16"/>
        <v>7</v>
      </c>
      <c r="U106" s="6">
        <f t="shared" si="17"/>
        <v>19</v>
      </c>
      <c r="V106" s="6">
        <f t="shared" si="18"/>
        <v>13</v>
      </c>
      <c r="W106" s="6">
        <f t="shared" si="19"/>
        <v>14</v>
      </c>
      <c r="X106" s="6">
        <f t="shared" si="20"/>
        <v>15</v>
      </c>
      <c r="Y106" s="6">
        <f t="shared" si="21"/>
        <v>5</v>
      </c>
      <c r="Z106" s="6">
        <f t="shared" si="22"/>
        <v>8</v>
      </c>
      <c r="AB106" s="22">
        <v>5</v>
      </c>
      <c r="AC106" s="22">
        <v>0</v>
      </c>
      <c r="AD106" s="22">
        <v>0</v>
      </c>
      <c r="AE106" s="22">
        <v>0</v>
      </c>
      <c r="AF106" s="22">
        <v>0</v>
      </c>
      <c r="AG106" s="22">
        <v>5</v>
      </c>
      <c r="AH106" s="22">
        <v>5</v>
      </c>
      <c r="AJ106" s="5">
        <v>1</v>
      </c>
      <c r="AK106" s="5">
        <v>0</v>
      </c>
      <c r="AL106" s="5">
        <v>0</v>
      </c>
      <c r="AM106" s="5">
        <v>0</v>
      </c>
      <c r="AN106" s="5">
        <v>0</v>
      </c>
      <c r="AO106" s="5">
        <v>1</v>
      </c>
      <c r="AP106" s="5">
        <v>1</v>
      </c>
    </row>
    <row r="107" spans="11:42">
      <c r="K107" s="18">
        <v>103</v>
      </c>
      <c r="L107" s="21" t="s">
        <v>90</v>
      </c>
      <c r="M107" s="21" t="s">
        <v>40</v>
      </c>
      <c r="N107" s="21" t="s">
        <v>234</v>
      </c>
      <c r="O107" s="21" t="s">
        <v>236</v>
      </c>
      <c r="P107" s="21" t="s">
        <v>242</v>
      </c>
      <c r="Q107" s="21" t="s">
        <v>28</v>
      </c>
      <c r="R107" s="21" t="s">
        <v>24</v>
      </c>
      <c r="T107" s="6">
        <f t="shared" si="16"/>
        <v>7</v>
      </c>
      <c r="U107" s="6">
        <f t="shared" si="17"/>
        <v>12</v>
      </c>
      <c r="V107" s="6">
        <f t="shared" si="18"/>
        <v>13</v>
      </c>
      <c r="W107" s="6">
        <f t="shared" si="19"/>
        <v>14</v>
      </c>
      <c r="X107" s="6">
        <f t="shared" si="20"/>
        <v>17</v>
      </c>
      <c r="Y107" s="6">
        <f t="shared" si="21"/>
        <v>11</v>
      </c>
      <c r="Z107" s="6">
        <f t="shared" si="22"/>
        <v>8</v>
      </c>
      <c r="AB107" s="22">
        <v>5</v>
      </c>
      <c r="AC107" s="22">
        <v>0</v>
      </c>
      <c r="AD107" s="22">
        <v>0</v>
      </c>
      <c r="AE107" s="22">
        <v>0</v>
      </c>
      <c r="AF107" s="22">
        <v>0</v>
      </c>
      <c r="AG107" s="22">
        <v>5</v>
      </c>
      <c r="AH107" s="22">
        <v>5</v>
      </c>
      <c r="AJ107" s="5">
        <v>1</v>
      </c>
      <c r="AK107" s="5">
        <v>2</v>
      </c>
      <c r="AL107" s="5">
        <v>0</v>
      </c>
      <c r="AM107" s="5">
        <v>0</v>
      </c>
      <c r="AN107" s="5">
        <v>2</v>
      </c>
      <c r="AO107" s="5">
        <v>1</v>
      </c>
      <c r="AP107" s="5">
        <v>1</v>
      </c>
    </row>
    <row r="108" spans="11:42">
      <c r="K108" s="19">
        <v>104</v>
      </c>
      <c r="L108" s="21" t="s">
        <v>29</v>
      </c>
      <c r="M108" s="21" t="s">
        <v>40</v>
      </c>
      <c r="N108" s="21" t="s">
        <v>24</v>
      </c>
      <c r="O108" s="21" t="s">
        <v>26</v>
      </c>
      <c r="P108" s="21" t="s">
        <v>242</v>
      </c>
      <c r="Q108" s="21" t="s">
        <v>29</v>
      </c>
      <c r="R108" s="21" t="s">
        <v>17</v>
      </c>
      <c r="T108" s="6">
        <f t="shared" si="16"/>
        <v>12</v>
      </c>
      <c r="U108" s="6">
        <f t="shared" si="17"/>
        <v>12</v>
      </c>
      <c r="V108" s="6">
        <f t="shared" si="18"/>
        <v>8</v>
      </c>
      <c r="W108" s="6">
        <f t="shared" si="19"/>
        <v>9</v>
      </c>
      <c r="X108" s="6">
        <f t="shared" si="20"/>
        <v>17</v>
      </c>
      <c r="Y108" s="6">
        <f t="shared" si="21"/>
        <v>12</v>
      </c>
      <c r="Z108" s="6">
        <f t="shared" si="22"/>
        <v>4</v>
      </c>
      <c r="AB108" s="22">
        <v>5</v>
      </c>
      <c r="AC108" s="22">
        <v>0</v>
      </c>
      <c r="AD108" s="22">
        <v>0</v>
      </c>
      <c r="AE108" s="22">
        <v>0</v>
      </c>
      <c r="AF108" s="22">
        <v>0</v>
      </c>
      <c r="AG108" s="22">
        <v>5</v>
      </c>
      <c r="AH108" s="22">
        <v>5</v>
      </c>
      <c r="AJ108" s="5">
        <v>1</v>
      </c>
      <c r="AK108" s="5">
        <v>0</v>
      </c>
      <c r="AL108" s="5">
        <v>1</v>
      </c>
      <c r="AM108" s="5">
        <v>1</v>
      </c>
      <c r="AN108" s="5">
        <v>0</v>
      </c>
      <c r="AO108" s="5">
        <v>1</v>
      </c>
      <c r="AP108" s="5">
        <v>1</v>
      </c>
    </row>
    <row r="109" spans="11:42">
      <c r="K109" s="18">
        <v>105</v>
      </c>
      <c r="L109" s="21" t="s">
        <v>35</v>
      </c>
      <c r="M109" s="21" t="s">
        <v>40</v>
      </c>
      <c r="N109" s="21" t="s">
        <v>24</v>
      </c>
      <c r="O109" s="21" t="s">
        <v>27</v>
      </c>
      <c r="P109" s="21" t="s">
        <v>28</v>
      </c>
      <c r="Q109" s="21" t="s">
        <v>29</v>
      </c>
      <c r="R109" s="21" t="s">
        <v>17</v>
      </c>
      <c r="T109" s="6">
        <f t="shared" si="16"/>
        <v>5</v>
      </c>
      <c r="U109" s="6">
        <f t="shared" si="17"/>
        <v>12</v>
      </c>
      <c r="V109" s="6">
        <f t="shared" si="18"/>
        <v>8</v>
      </c>
      <c r="W109" s="6">
        <f t="shared" si="19"/>
        <v>10</v>
      </c>
      <c r="X109" s="6">
        <f t="shared" si="20"/>
        <v>11</v>
      </c>
      <c r="Y109" s="6">
        <f t="shared" si="21"/>
        <v>12</v>
      </c>
      <c r="Z109" s="6">
        <f t="shared" si="22"/>
        <v>4</v>
      </c>
      <c r="AB109" s="22">
        <v>5</v>
      </c>
      <c r="AC109" s="22">
        <v>5</v>
      </c>
      <c r="AD109" s="22">
        <v>5</v>
      </c>
      <c r="AE109" s="22">
        <v>5</v>
      </c>
      <c r="AF109" s="22">
        <v>4</v>
      </c>
      <c r="AG109" s="22">
        <v>5</v>
      </c>
      <c r="AH109" s="22">
        <v>5</v>
      </c>
      <c r="AJ109" s="5">
        <v>1</v>
      </c>
      <c r="AK109" s="5">
        <v>1</v>
      </c>
      <c r="AL109" s="5">
        <v>1</v>
      </c>
      <c r="AM109" s="5">
        <v>1</v>
      </c>
      <c r="AN109" s="5">
        <v>1</v>
      </c>
      <c r="AO109" s="5">
        <v>1</v>
      </c>
      <c r="AP109" s="5">
        <v>1</v>
      </c>
    </row>
    <row r="110" spans="11:42">
      <c r="K110" s="19">
        <v>106</v>
      </c>
      <c r="L110" s="21" t="s">
        <v>21</v>
      </c>
      <c r="M110" s="21" t="s">
        <v>64</v>
      </c>
      <c r="N110" s="21" t="s">
        <v>28</v>
      </c>
      <c r="O110" s="21" t="s">
        <v>27</v>
      </c>
      <c r="P110" s="21" t="s">
        <v>17</v>
      </c>
      <c r="Q110" s="21" t="s">
        <v>24</v>
      </c>
      <c r="R110" s="21" t="s">
        <v>17</v>
      </c>
      <c r="T110" s="6">
        <f t="shared" si="16"/>
        <v>3</v>
      </c>
      <c r="U110" s="6">
        <f t="shared" si="17"/>
        <v>6</v>
      </c>
      <c r="V110" s="6">
        <f t="shared" si="18"/>
        <v>11</v>
      </c>
      <c r="W110" s="6">
        <f t="shared" si="19"/>
        <v>10</v>
      </c>
      <c r="X110" s="6">
        <f t="shared" si="20"/>
        <v>4</v>
      </c>
      <c r="Y110" s="6">
        <f t="shared" si="21"/>
        <v>8</v>
      </c>
      <c r="Z110" s="6">
        <f t="shared" si="22"/>
        <v>4</v>
      </c>
      <c r="AB110" s="22">
        <v>5</v>
      </c>
      <c r="AC110" s="22">
        <v>0</v>
      </c>
      <c r="AD110" s="22">
        <v>0</v>
      </c>
      <c r="AE110" s="22">
        <v>0</v>
      </c>
      <c r="AF110" s="22">
        <v>1</v>
      </c>
      <c r="AG110" s="22">
        <v>5</v>
      </c>
      <c r="AH110" s="22">
        <v>5</v>
      </c>
      <c r="AJ110" s="5">
        <v>1</v>
      </c>
      <c r="AK110" s="5">
        <v>1</v>
      </c>
      <c r="AL110" s="5">
        <v>1</v>
      </c>
      <c r="AM110" s="5">
        <v>1</v>
      </c>
      <c r="AN110" s="5">
        <v>3</v>
      </c>
      <c r="AO110" s="5">
        <v>1</v>
      </c>
      <c r="AP110" s="5">
        <v>1</v>
      </c>
    </row>
    <row r="111" spans="11:42">
      <c r="K111" s="18">
        <v>107</v>
      </c>
      <c r="L111" s="21" t="s">
        <v>36</v>
      </c>
      <c r="M111" s="21" t="s">
        <v>17</v>
      </c>
      <c r="N111" s="21" t="s">
        <v>28</v>
      </c>
      <c r="O111" s="21" t="s">
        <v>19</v>
      </c>
      <c r="P111" s="21" t="s">
        <v>17</v>
      </c>
      <c r="Q111" s="21" t="s">
        <v>27</v>
      </c>
      <c r="R111" s="21" t="s">
        <v>64</v>
      </c>
      <c r="T111" s="6">
        <f t="shared" si="16"/>
        <v>1</v>
      </c>
      <c r="U111" s="6">
        <f t="shared" si="17"/>
        <v>4</v>
      </c>
      <c r="V111" s="6">
        <f t="shared" si="18"/>
        <v>11</v>
      </c>
      <c r="W111" s="6">
        <f t="shared" si="19"/>
        <v>1</v>
      </c>
      <c r="X111" s="6">
        <f t="shared" si="20"/>
        <v>4</v>
      </c>
      <c r="Y111" s="6">
        <f t="shared" si="21"/>
        <v>10</v>
      </c>
      <c r="Z111" s="6">
        <f t="shared" si="22"/>
        <v>6</v>
      </c>
      <c r="AB111" s="22">
        <v>5</v>
      </c>
      <c r="AC111" s="22">
        <v>0</v>
      </c>
      <c r="AD111" s="22">
        <v>0</v>
      </c>
      <c r="AE111" s="22">
        <v>0</v>
      </c>
      <c r="AF111" s="22">
        <v>0</v>
      </c>
      <c r="AG111" s="22">
        <v>5</v>
      </c>
      <c r="AH111" s="22">
        <v>5</v>
      </c>
      <c r="AJ111" s="5">
        <v>1</v>
      </c>
      <c r="AK111" s="5">
        <v>2</v>
      </c>
      <c r="AL111" s="5">
        <v>1</v>
      </c>
      <c r="AM111" s="5">
        <v>1</v>
      </c>
      <c r="AN111" s="5">
        <v>0</v>
      </c>
      <c r="AO111" s="5">
        <v>1</v>
      </c>
      <c r="AP111" s="5">
        <v>1</v>
      </c>
    </row>
    <row r="112" spans="11:42">
      <c r="K112" s="19">
        <v>108</v>
      </c>
      <c r="L112" s="21" t="s">
        <v>26</v>
      </c>
      <c r="M112" s="21" t="s">
        <v>17</v>
      </c>
      <c r="N112" s="21" t="s">
        <v>19</v>
      </c>
      <c r="O112" s="21" t="s">
        <v>248</v>
      </c>
      <c r="P112" s="21" t="s">
        <v>17</v>
      </c>
      <c r="Q112" s="21" t="s">
        <v>18</v>
      </c>
      <c r="R112" s="21" t="s">
        <v>64</v>
      </c>
      <c r="T112" s="6">
        <f t="shared" si="16"/>
        <v>9</v>
      </c>
      <c r="U112" s="6">
        <f t="shared" si="17"/>
        <v>4</v>
      </c>
      <c r="V112" s="6">
        <f t="shared" si="18"/>
        <v>1</v>
      </c>
      <c r="W112" s="6">
        <f t="shared" si="19"/>
        <v>20</v>
      </c>
      <c r="X112" s="6">
        <f t="shared" si="20"/>
        <v>4</v>
      </c>
      <c r="Y112" s="6">
        <f t="shared" si="21"/>
        <v>5</v>
      </c>
      <c r="Z112" s="6">
        <f t="shared" si="22"/>
        <v>6</v>
      </c>
      <c r="AB112" s="22">
        <v>5</v>
      </c>
      <c r="AC112" s="22">
        <v>0</v>
      </c>
      <c r="AD112" s="22">
        <v>0</v>
      </c>
      <c r="AE112" s="22">
        <v>0</v>
      </c>
      <c r="AF112" s="22">
        <v>0</v>
      </c>
      <c r="AG112" s="22">
        <v>5</v>
      </c>
      <c r="AH112" s="22">
        <v>5</v>
      </c>
      <c r="AJ112" s="5">
        <v>1</v>
      </c>
      <c r="AK112" s="5">
        <v>0</v>
      </c>
      <c r="AL112" s="5">
        <v>1</v>
      </c>
      <c r="AM112" s="5">
        <v>2</v>
      </c>
      <c r="AN112" s="5">
        <v>0</v>
      </c>
      <c r="AO112" s="5">
        <v>1</v>
      </c>
      <c r="AP112" s="5">
        <v>1</v>
      </c>
    </row>
    <row r="113" spans="11:42">
      <c r="K113" s="18">
        <v>109</v>
      </c>
      <c r="L113" s="21" t="s">
        <v>29</v>
      </c>
      <c r="M113" s="21" t="s">
        <v>24</v>
      </c>
      <c r="N113" s="21" t="s">
        <v>21</v>
      </c>
      <c r="O113" s="21" t="s">
        <v>248</v>
      </c>
      <c r="P113" s="21" t="s">
        <v>64</v>
      </c>
      <c r="Q113" s="21" t="s">
        <v>24</v>
      </c>
      <c r="R113" s="21" t="s">
        <v>36</v>
      </c>
      <c r="T113" s="6">
        <f t="shared" si="16"/>
        <v>12</v>
      </c>
      <c r="U113" s="6">
        <f t="shared" si="17"/>
        <v>8</v>
      </c>
      <c r="V113" s="6">
        <f t="shared" si="18"/>
        <v>3</v>
      </c>
      <c r="W113" s="6">
        <f t="shared" si="19"/>
        <v>20</v>
      </c>
      <c r="X113" s="6">
        <f t="shared" si="20"/>
        <v>6</v>
      </c>
      <c r="Y113" s="6">
        <f t="shared" si="21"/>
        <v>8</v>
      </c>
      <c r="Z113" s="6">
        <f t="shared" si="22"/>
        <v>1</v>
      </c>
      <c r="AB113" s="22">
        <v>5</v>
      </c>
      <c r="AC113" s="22">
        <v>0</v>
      </c>
      <c r="AD113" s="22">
        <v>0</v>
      </c>
      <c r="AE113" s="22">
        <v>0</v>
      </c>
      <c r="AF113" s="22">
        <v>1</v>
      </c>
      <c r="AG113" s="22">
        <v>5</v>
      </c>
      <c r="AH113" s="22">
        <v>5</v>
      </c>
      <c r="AJ113" s="5">
        <v>1</v>
      </c>
      <c r="AK113" s="5">
        <v>1</v>
      </c>
      <c r="AL113" s="5">
        <v>1</v>
      </c>
      <c r="AM113" s="5">
        <v>0</v>
      </c>
      <c r="AN113" s="5">
        <v>1</v>
      </c>
      <c r="AO113" s="5">
        <v>1</v>
      </c>
      <c r="AP113" s="5">
        <v>1</v>
      </c>
    </row>
    <row r="114" spans="11:42">
      <c r="K114" s="19">
        <v>110</v>
      </c>
      <c r="L114" s="21" t="s">
        <v>34</v>
      </c>
      <c r="M114" s="21" t="s">
        <v>24</v>
      </c>
      <c r="N114" s="21" t="s">
        <v>27</v>
      </c>
      <c r="O114" s="21" t="s">
        <v>17</v>
      </c>
      <c r="P114" s="21" t="s">
        <v>21</v>
      </c>
      <c r="Q114" s="21" t="s">
        <v>28</v>
      </c>
      <c r="R114" s="21" t="s">
        <v>28</v>
      </c>
      <c r="T114" s="6">
        <f t="shared" si="16"/>
        <v>4</v>
      </c>
      <c r="U114" s="6">
        <f t="shared" si="17"/>
        <v>8</v>
      </c>
      <c r="V114" s="6">
        <f t="shared" si="18"/>
        <v>10</v>
      </c>
      <c r="W114" s="6">
        <f t="shared" si="19"/>
        <v>4</v>
      </c>
      <c r="X114" s="6">
        <f t="shared" si="20"/>
        <v>3</v>
      </c>
      <c r="Y114" s="6">
        <f t="shared" si="21"/>
        <v>11</v>
      </c>
      <c r="Z114" s="6">
        <f t="shared" si="22"/>
        <v>11</v>
      </c>
      <c r="AB114" s="22">
        <v>5</v>
      </c>
      <c r="AC114" s="22">
        <v>5</v>
      </c>
      <c r="AD114" s="22">
        <v>5</v>
      </c>
      <c r="AE114" s="22">
        <v>5</v>
      </c>
      <c r="AF114" s="22">
        <v>5</v>
      </c>
      <c r="AG114" s="22">
        <v>5</v>
      </c>
      <c r="AH114" s="22">
        <v>5</v>
      </c>
      <c r="AJ114" s="5">
        <v>1</v>
      </c>
      <c r="AK114" s="5">
        <v>1</v>
      </c>
      <c r="AL114" s="5">
        <v>1</v>
      </c>
      <c r="AM114" s="5">
        <v>2</v>
      </c>
      <c r="AN114" s="5">
        <v>1</v>
      </c>
      <c r="AO114" s="5">
        <v>1</v>
      </c>
      <c r="AP114" s="5">
        <v>1</v>
      </c>
    </row>
    <row r="115" spans="11:42">
      <c r="K115" s="18">
        <v>111</v>
      </c>
      <c r="L115" s="21" t="s">
        <v>64</v>
      </c>
      <c r="M115" s="21" t="s">
        <v>19</v>
      </c>
      <c r="N115" s="21" t="s">
        <v>19</v>
      </c>
      <c r="O115" s="21" t="s">
        <v>17</v>
      </c>
      <c r="P115" s="21" t="s">
        <v>252</v>
      </c>
      <c r="Q115" s="21" t="s">
        <v>64</v>
      </c>
      <c r="R115" s="21" t="s">
        <v>28</v>
      </c>
      <c r="T115" s="6">
        <f t="shared" si="16"/>
        <v>6</v>
      </c>
      <c r="U115" s="6">
        <f t="shared" si="17"/>
        <v>1</v>
      </c>
      <c r="V115" s="6">
        <f t="shared" si="18"/>
        <v>1</v>
      </c>
      <c r="W115" s="6">
        <f t="shared" si="19"/>
        <v>4</v>
      </c>
      <c r="X115" s="6">
        <f t="shared" si="20"/>
        <v>22</v>
      </c>
      <c r="Y115" s="6">
        <f t="shared" si="21"/>
        <v>6</v>
      </c>
      <c r="Z115" s="6">
        <f t="shared" si="22"/>
        <v>11</v>
      </c>
      <c r="AB115" s="22">
        <v>5</v>
      </c>
      <c r="AC115" s="22">
        <v>0</v>
      </c>
      <c r="AD115" s="22">
        <v>0</v>
      </c>
      <c r="AE115" s="22">
        <v>0</v>
      </c>
      <c r="AF115" s="22">
        <v>0</v>
      </c>
      <c r="AG115" s="22">
        <v>5</v>
      </c>
      <c r="AH115" s="22">
        <v>5</v>
      </c>
      <c r="AJ115" s="5">
        <v>1</v>
      </c>
      <c r="AK115" s="5">
        <v>1</v>
      </c>
      <c r="AL115" s="5">
        <v>1</v>
      </c>
      <c r="AM115" s="5">
        <v>0</v>
      </c>
      <c r="AN115" s="5">
        <v>2</v>
      </c>
      <c r="AO115" s="5">
        <v>1</v>
      </c>
      <c r="AP115" s="5">
        <v>1</v>
      </c>
    </row>
    <row r="116" spans="11:42">
      <c r="K116" s="19">
        <v>112</v>
      </c>
      <c r="L116" s="21" t="s">
        <v>64</v>
      </c>
      <c r="M116" s="21" t="s">
        <v>240</v>
      </c>
      <c r="N116" s="21" t="s">
        <v>242</v>
      </c>
      <c r="O116" s="21" t="s">
        <v>27</v>
      </c>
      <c r="P116" s="21" t="s">
        <v>252</v>
      </c>
      <c r="Q116" s="21" t="s">
        <v>27</v>
      </c>
      <c r="R116" s="21" t="s">
        <v>28</v>
      </c>
      <c r="T116" s="6">
        <f t="shared" si="16"/>
        <v>6</v>
      </c>
      <c r="U116" s="6">
        <f t="shared" si="17"/>
        <v>16</v>
      </c>
      <c r="V116" s="6">
        <f t="shared" si="18"/>
        <v>17</v>
      </c>
      <c r="W116" s="6">
        <f t="shared" si="19"/>
        <v>10</v>
      </c>
      <c r="X116" s="6">
        <f t="shared" si="20"/>
        <v>22</v>
      </c>
      <c r="Y116" s="6">
        <f t="shared" si="21"/>
        <v>10</v>
      </c>
      <c r="Z116" s="6">
        <f t="shared" si="22"/>
        <v>11</v>
      </c>
      <c r="AB116" s="22">
        <v>5</v>
      </c>
      <c r="AC116" s="22">
        <v>0</v>
      </c>
      <c r="AD116" s="22">
        <v>0</v>
      </c>
      <c r="AE116" s="22">
        <v>0</v>
      </c>
      <c r="AF116" s="22">
        <v>0</v>
      </c>
      <c r="AG116" s="22">
        <v>5</v>
      </c>
      <c r="AH116" s="22">
        <v>5</v>
      </c>
      <c r="AJ116" s="5">
        <v>1</v>
      </c>
      <c r="AK116" s="5">
        <v>2</v>
      </c>
      <c r="AL116" s="5">
        <v>2</v>
      </c>
      <c r="AM116" s="5">
        <v>1</v>
      </c>
      <c r="AN116" s="5">
        <v>0</v>
      </c>
      <c r="AO116" s="5">
        <v>1</v>
      </c>
      <c r="AP116" s="5">
        <v>1</v>
      </c>
    </row>
    <row r="117" spans="11:42">
      <c r="K117" s="18">
        <v>113</v>
      </c>
      <c r="L117" s="21" t="s">
        <v>29</v>
      </c>
      <c r="M117" s="21" t="s">
        <v>240</v>
      </c>
      <c r="N117" s="21" t="s">
        <v>242</v>
      </c>
      <c r="O117" s="21" t="s">
        <v>19</v>
      </c>
      <c r="P117" s="21" t="s">
        <v>36</v>
      </c>
      <c r="Q117" s="21" t="s">
        <v>24</v>
      </c>
      <c r="R117" s="21" t="s">
        <v>64</v>
      </c>
      <c r="T117" s="6">
        <f t="shared" si="16"/>
        <v>12</v>
      </c>
      <c r="U117" s="6">
        <f t="shared" si="17"/>
        <v>16</v>
      </c>
      <c r="V117" s="6">
        <f t="shared" si="18"/>
        <v>17</v>
      </c>
      <c r="W117" s="6">
        <f t="shared" si="19"/>
        <v>1</v>
      </c>
      <c r="X117" s="6">
        <f t="shared" si="20"/>
        <v>1</v>
      </c>
      <c r="Y117" s="6">
        <f t="shared" si="21"/>
        <v>8</v>
      </c>
      <c r="Z117" s="6">
        <f t="shared" si="22"/>
        <v>6</v>
      </c>
      <c r="AB117" s="22">
        <v>5</v>
      </c>
      <c r="AC117" s="22">
        <v>0</v>
      </c>
      <c r="AD117" s="22">
        <v>0</v>
      </c>
      <c r="AE117" s="22">
        <v>0</v>
      </c>
      <c r="AF117" s="22">
        <v>0</v>
      </c>
      <c r="AG117" s="22">
        <v>5</v>
      </c>
      <c r="AH117" s="22">
        <v>5</v>
      </c>
      <c r="AJ117" s="5">
        <v>1</v>
      </c>
      <c r="AK117" s="5">
        <v>0</v>
      </c>
      <c r="AL117" s="5">
        <v>0</v>
      </c>
      <c r="AM117" s="5">
        <v>1</v>
      </c>
      <c r="AN117" s="5">
        <v>1</v>
      </c>
      <c r="AO117" s="5">
        <v>1</v>
      </c>
      <c r="AP117" s="5">
        <v>1</v>
      </c>
    </row>
    <row r="118" spans="11:42">
      <c r="K118" s="19">
        <v>114</v>
      </c>
      <c r="L118" s="21" t="s">
        <v>29</v>
      </c>
      <c r="M118" s="21" t="s">
        <v>28</v>
      </c>
      <c r="N118" s="21" t="s">
        <v>18</v>
      </c>
      <c r="O118" s="21" t="s">
        <v>24</v>
      </c>
      <c r="P118" s="21" t="s">
        <v>24</v>
      </c>
      <c r="Q118" s="21" t="s">
        <v>64</v>
      </c>
      <c r="R118" s="21" t="s">
        <v>18</v>
      </c>
      <c r="T118" s="6">
        <f t="shared" si="16"/>
        <v>12</v>
      </c>
      <c r="U118" s="6">
        <f t="shared" si="17"/>
        <v>11</v>
      </c>
      <c r="V118" s="6">
        <f t="shared" si="18"/>
        <v>5</v>
      </c>
      <c r="W118" s="6">
        <f t="shared" si="19"/>
        <v>8</v>
      </c>
      <c r="X118" s="6">
        <f t="shared" si="20"/>
        <v>8</v>
      </c>
      <c r="Y118" s="6">
        <f t="shared" si="21"/>
        <v>6</v>
      </c>
      <c r="Z118" s="6">
        <f t="shared" si="22"/>
        <v>5</v>
      </c>
      <c r="AB118" s="22">
        <v>5</v>
      </c>
      <c r="AC118" s="22">
        <v>0</v>
      </c>
      <c r="AD118" s="22">
        <v>0</v>
      </c>
      <c r="AE118" s="22">
        <v>0</v>
      </c>
      <c r="AF118" s="22">
        <v>1</v>
      </c>
      <c r="AG118" s="22">
        <v>5</v>
      </c>
      <c r="AH118" s="22">
        <v>5</v>
      </c>
      <c r="AJ118" s="5">
        <v>1</v>
      </c>
      <c r="AK118" s="5">
        <v>1</v>
      </c>
      <c r="AL118" s="5">
        <v>1</v>
      </c>
      <c r="AM118" s="5">
        <v>1</v>
      </c>
      <c r="AN118" s="5">
        <v>1</v>
      </c>
      <c r="AO118" s="5">
        <v>1</v>
      </c>
      <c r="AP118" s="5">
        <v>1</v>
      </c>
    </row>
    <row r="119" spans="11:42">
      <c r="K119" s="18">
        <v>115</v>
      </c>
      <c r="L119" s="21" t="s">
        <v>34</v>
      </c>
      <c r="M119" s="21" t="s">
        <v>20</v>
      </c>
      <c r="N119" s="21" t="s">
        <v>27</v>
      </c>
      <c r="O119" s="21" t="s">
        <v>64</v>
      </c>
      <c r="P119" s="21" t="s">
        <v>242</v>
      </c>
      <c r="Q119" s="21" t="s">
        <v>17</v>
      </c>
      <c r="R119" s="21" t="s">
        <v>18</v>
      </c>
      <c r="T119" s="6">
        <f t="shared" si="16"/>
        <v>4</v>
      </c>
      <c r="U119" s="6">
        <f t="shared" si="17"/>
        <v>2</v>
      </c>
      <c r="V119" s="6">
        <f t="shared" si="18"/>
        <v>10</v>
      </c>
      <c r="W119" s="6">
        <f t="shared" si="19"/>
        <v>6</v>
      </c>
      <c r="X119" s="6">
        <f t="shared" si="20"/>
        <v>17</v>
      </c>
      <c r="Y119" s="6">
        <f t="shared" si="21"/>
        <v>4</v>
      </c>
      <c r="Z119" s="6">
        <f t="shared" si="22"/>
        <v>5</v>
      </c>
      <c r="AB119" s="22">
        <v>5</v>
      </c>
      <c r="AC119" s="22">
        <v>5</v>
      </c>
      <c r="AD119" s="22">
        <v>5</v>
      </c>
      <c r="AE119" s="22">
        <v>5</v>
      </c>
      <c r="AF119" s="22">
        <v>6</v>
      </c>
      <c r="AG119" s="22">
        <v>5</v>
      </c>
      <c r="AH119" s="22">
        <v>5</v>
      </c>
      <c r="AJ119" s="5">
        <v>1</v>
      </c>
      <c r="AK119" s="5">
        <v>1</v>
      </c>
      <c r="AL119" s="5">
        <v>1</v>
      </c>
      <c r="AM119" s="5">
        <v>2</v>
      </c>
      <c r="AN119" s="5">
        <v>2</v>
      </c>
      <c r="AO119" s="5">
        <v>1</v>
      </c>
      <c r="AP119" s="5">
        <v>1</v>
      </c>
    </row>
    <row r="120" spans="11:42">
      <c r="K120" s="19">
        <v>116</v>
      </c>
      <c r="L120" s="21" t="s">
        <v>26</v>
      </c>
      <c r="M120" s="21" t="s">
        <v>252</v>
      </c>
      <c r="N120" s="21" t="s">
        <v>27</v>
      </c>
      <c r="O120" s="21" t="s">
        <v>64</v>
      </c>
      <c r="P120" s="21" t="s">
        <v>242</v>
      </c>
      <c r="Q120" s="21" t="s">
        <v>18</v>
      </c>
      <c r="R120" s="21" t="s">
        <v>24</v>
      </c>
      <c r="T120" s="6">
        <f t="shared" si="16"/>
        <v>9</v>
      </c>
      <c r="U120" s="6">
        <f t="shared" si="17"/>
        <v>22</v>
      </c>
      <c r="V120" s="6">
        <f t="shared" si="18"/>
        <v>10</v>
      </c>
      <c r="W120" s="6">
        <f t="shared" si="19"/>
        <v>6</v>
      </c>
      <c r="X120" s="6">
        <f t="shared" si="20"/>
        <v>17</v>
      </c>
      <c r="Y120" s="6">
        <f t="shared" si="21"/>
        <v>5</v>
      </c>
      <c r="Z120" s="6">
        <f t="shared" si="22"/>
        <v>8</v>
      </c>
      <c r="AB120" s="22">
        <v>5</v>
      </c>
      <c r="AC120" s="22">
        <v>0</v>
      </c>
      <c r="AD120" s="22">
        <v>0</v>
      </c>
      <c r="AE120" s="22">
        <v>0</v>
      </c>
      <c r="AF120" s="22">
        <v>0</v>
      </c>
      <c r="AG120" s="22">
        <v>5</v>
      </c>
      <c r="AH120" s="22">
        <v>5</v>
      </c>
      <c r="AJ120" s="5">
        <v>1</v>
      </c>
      <c r="AK120" s="5">
        <v>2</v>
      </c>
      <c r="AL120" s="5">
        <v>1</v>
      </c>
      <c r="AM120" s="5">
        <v>0</v>
      </c>
      <c r="AN120" s="5">
        <v>0</v>
      </c>
      <c r="AO120" s="5">
        <v>1</v>
      </c>
      <c r="AP120" s="5">
        <v>1</v>
      </c>
    </row>
    <row r="121" spans="11:42">
      <c r="K121" s="18">
        <v>117</v>
      </c>
      <c r="L121" s="21" t="s">
        <v>27</v>
      </c>
      <c r="M121" s="21" t="s">
        <v>252</v>
      </c>
      <c r="N121" s="21" t="s">
        <v>19</v>
      </c>
      <c r="O121" s="21" t="s">
        <v>19</v>
      </c>
      <c r="P121" s="21" t="s">
        <v>21</v>
      </c>
      <c r="Q121" s="21" t="s">
        <v>28</v>
      </c>
      <c r="R121" s="21" t="s">
        <v>29</v>
      </c>
      <c r="T121" s="6">
        <f t="shared" si="16"/>
        <v>10</v>
      </c>
      <c r="U121" s="6">
        <f t="shared" si="17"/>
        <v>22</v>
      </c>
      <c r="V121" s="6">
        <f t="shared" si="18"/>
        <v>1</v>
      </c>
      <c r="W121" s="6">
        <f t="shared" si="19"/>
        <v>1</v>
      </c>
      <c r="X121" s="6">
        <f t="shared" si="20"/>
        <v>3</v>
      </c>
      <c r="Y121" s="6">
        <f t="shared" si="21"/>
        <v>11</v>
      </c>
      <c r="Z121" s="6">
        <f t="shared" si="22"/>
        <v>12</v>
      </c>
      <c r="AB121" s="22">
        <v>5</v>
      </c>
      <c r="AC121" s="22">
        <v>0</v>
      </c>
      <c r="AD121" s="22">
        <v>0</v>
      </c>
      <c r="AE121" s="22">
        <v>0</v>
      </c>
      <c r="AF121" s="22">
        <v>0</v>
      </c>
      <c r="AG121" s="22">
        <v>5</v>
      </c>
      <c r="AH121" s="22">
        <v>5</v>
      </c>
      <c r="AJ121" s="5">
        <v>1</v>
      </c>
      <c r="AK121" s="5">
        <v>0</v>
      </c>
      <c r="AL121" s="5">
        <v>1</v>
      </c>
      <c r="AM121" s="5">
        <v>1</v>
      </c>
      <c r="AN121" s="5">
        <v>2</v>
      </c>
      <c r="AO121" s="5">
        <v>1</v>
      </c>
      <c r="AP121" s="5">
        <v>1</v>
      </c>
    </row>
    <row r="122" spans="11:42">
      <c r="K122" s="19">
        <v>118</v>
      </c>
      <c r="L122" s="21" t="s">
        <v>27</v>
      </c>
      <c r="M122" s="21" t="s">
        <v>19</v>
      </c>
      <c r="N122" s="21" t="s">
        <v>64</v>
      </c>
      <c r="O122" s="21" t="s">
        <v>240</v>
      </c>
      <c r="P122" s="21" t="s">
        <v>21</v>
      </c>
      <c r="Q122" s="21" t="s">
        <v>64</v>
      </c>
      <c r="R122" s="21" t="s">
        <v>17</v>
      </c>
      <c r="T122" s="6">
        <f t="shared" si="16"/>
        <v>10</v>
      </c>
      <c r="U122" s="6">
        <f t="shared" si="17"/>
        <v>1</v>
      </c>
      <c r="V122" s="6">
        <f t="shared" si="18"/>
        <v>6</v>
      </c>
      <c r="W122" s="6">
        <f t="shared" si="19"/>
        <v>16</v>
      </c>
      <c r="X122" s="6">
        <f t="shared" si="20"/>
        <v>3</v>
      </c>
      <c r="Y122" s="6">
        <f t="shared" si="21"/>
        <v>6</v>
      </c>
      <c r="Z122" s="6">
        <f t="shared" si="22"/>
        <v>4</v>
      </c>
      <c r="AB122" s="22">
        <v>5</v>
      </c>
      <c r="AC122" s="22">
        <v>0</v>
      </c>
      <c r="AD122" s="22">
        <v>0</v>
      </c>
      <c r="AE122" s="22">
        <v>0</v>
      </c>
      <c r="AF122" s="22">
        <v>0</v>
      </c>
      <c r="AG122" s="22">
        <v>5</v>
      </c>
      <c r="AH122" s="22">
        <v>5</v>
      </c>
      <c r="AJ122" s="5">
        <v>1</v>
      </c>
      <c r="AK122" s="5">
        <v>1</v>
      </c>
      <c r="AL122" s="5">
        <v>1</v>
      </c>
      <c r="AM122" s="5">
        <v>2</v>
      </c>
      <c r="AN122" s="5">
        <v>0</v>
      </c>
      <c r="AO122" s="5">
        <v>1</v>
      </c>
      <c r="AP122" s="5">
        <v>1</v>
      </c>
    </row>
    <row r="123" spans="11:42">
      <c r="K123" s="18">
        <v>119</v>
      </c>
      <c r="L123" s="21" t="s">
        <v>21</v>
      </c>
      <c r="M123" s="21" t="s">
        <v>24</v>
      </c>
      <c r="N123" s="21" t="s">
        <v>24</v>
      </c>
      <c r="O123" s="21" t="s">
        <v>240</v>
      </c>
      <c r="P123" s="21" t="s">
        <v>27</v>
      </c>
      <c r="Q123" s="21" t="s">
        <v>27</v>
      </c>
      <c r="R123" s="21" t="s">
        <v>20</v>
      </c>
      <c r="T123" s="6">
        <f t="shared" si="16"/>
        <v>3</v>
      </c>
      <c r="U123" s="6">
        <f t="shared" si="17"/>
        <v>8</v>
      </c>
      <c r="V123" s="6">
        <f t="shared" si="18"/>
        <v>8</v>
      </c>
      <c r="W123" s="6">
        <f t="shared" si="19"/>
        <v>16</v>
      </c>
      <c r="X123" s="6">
        <f t="shared" si="20"/>
        <v>10</v>
      </c>
      <c r="Y123" s="6">
        <f t="shared" si="21"/>
        <v>10</v>
      </c>
      <c r="Z123" s="6">
        <f t="shared" si="22"/>
        <v>2</v>
      </c>
      <c r="AB123" s="22">
        <v>5</v>
      </c>
      <c r="AC123" s="22">
        <v>0</v>
      </c>
      <c r="AD123" s="22">
        <v>0</v>
      </c>
      <c r="AE123" s="22">
        <v>0</v>
      </c>
      <c r="AF123" s="22">
        <v>0</v>
      </c>
      <c r="AG123" s="22">
        <v>5</v>
      </c>
      <c r="AH123" s="22">
        <v>5</v>
      </c>
      <c r="AJ123" s="5">
        <v>1</v>
      </c>
      <c r="AK123" s="5">
        <v>1</v>
      </c>
      <c r="AL123" s="5">
        <v>1</v>
      </c>
      <c r="AM123" s="5">
        <v>0</v>
      </c>
      <c r="AN123" s="5">
        <v>1</v>
      </c>
      <c r="AO123" s="5">
        <v>1</v>
      </c>
      <c r="AP123" s="5">
        <v>1</v>
      </c>
    </row>
    <row r="124" spans="11:42">
      <c r="K124" s="19">
        <v>120</v>
      </c>
      <c r="L124" s="21" t="s">
        <v>29</v>
      </c>
      <c r="M124" s="21" t="s">
        <v>40</v>
      </c>
      <c r="N124" s="21" t="s">
        <v>24</v>
      </c>
      <c r="O124" s="21" t="s">
        <v>26</v>
      </c>
      <c r="P124" s="21" t="s">
        <v>242</v>
      </c>
      <c r="Q124" s="21" t="s">
        <v>29</v>
      </c>
      <c r="R124" s="21" t="s">
        <v>17</v>
      </c>
      <c r="T124" s="6">
        <f t="shared" ref="T124:Z124" si="23">VLOOKUP(L124, $A$4:$I$29, 9, 0)</f>
        <v>12</v>
      </c>
      <c r="U124" s="6">
        <f t="shared" si="23"/>
        <v>12</v>
      </c>
      <c r="V124" s="6">
        <f t="shared" si="23"/>
        <v>8</v>
      </c>
      <c r="W124" s="6">
        <f t="shared" si="23"/>
        <v>9</v>
      </c>
      <c r="X124" s="6">
        <f t="shared" si="23"/>
        <v>17</v>
      </c>
      <c r="Y124" s="6">
        <f t="shared" si="23"/>
        <v>12</v>
      </c>
      <c r="Z124" s="6">
        <f t="shared" si="23"/>
        <v>4</v>
      </c>
      <c r="AB124" s="22">
        <v>5</v>
      </c>
      <c r="AC124" s="22">
        <v>5</v>
      </c>
      <c r="AD124" s="22">
        <v>5</v>
      </c>
      <c r="AE124" s="22">
        <v>5</v>
      </c>
      <c r="AF124" s="22">
        <v>5</v>
      </c>
      <c r="AG124" s="22">
        <v>5</v>
      </c>
      <c r="AH124" s="5">
        <v>5</v>
      </c>
      <c r="AJ124" s="5">
        <v>1</v>
      </c>
      <c r="AK124" s="5">
        <v>1</v>
      </c>
      <c r="AL124" s="5">
        <v>1</v>
      </c>
      <c r="AM124" s="5">
        <v>1</v>
      </c>
      <c r="AN124" s="5">
        <v>1</v>
      </c>
      <c r="AO124" s="5">
        <v>1</v>
      </c>
      <c r="AP124" s="5">
        <v>1</v>
      </c>
    </row>
    <row r="125" spans="11:42">
      <c r="K125" s="18">
        <v>121</v>
      </c>
      <c r="L125" s="21" t="str">
        <f t="shared" ref="L125:R127" si="24">IF(T125&lt;&gt;"",_xlfn.XLOOKUP(T125,$K$4:$K$27,$A$4:$A$27),"")</f>
        <v/>
      </c>
      <c r="M125" s="21" t="str">
        <f t="shared" si="24"/>
        <v/>
      </c>
      <c r="N125" s="21" t="str">
        <f t="shared" si="24"/>
        <v/>
      </c>
      <c r="O125" s="21" t="str">
        <f t="shared" si="24"/>
        <v/>
      </c>
      <c r="P125" s="21" t="str">
        <f t="shared" si="24"/>
        <v/>
      </c>
      <c r="Q125" s="21" t="str">
        <f t="shared" si="24"/>
        <v/>
      </c>
      <c r="R125" s="21" t="str">
        <f t="shared" si="24"/>
        <v/>
      </c>
      <c r="T125" s="6" t="s">
        <v>22</v>
      </c>
      <c r="U125" s="6" t="s">
        <v>22</v>
      </c>
      <c r="V125" s="6" t="s">
        <v>22</v>
      </c>
      <c r="W125" s="6" t="s">
        <v>22</v>
      </c>
      <c r="X125" s="6" t="s">
        <v>22</v>
      </c>
      <c r="Y125" s="6" t="s">
        <v>22</v>
      </c>
      <c r="Z125" s="6" t="s">
        <v>22</v>
      </c>
      <c r="AB125" s="22" t="s">
        <v>22</v>
      </c>
      <c r="AC125" s="22" t="s">
        <v>22</v>
      </c>
      <c r="AD125" s="22" t="s">
        <v>22</v>
      </c>
      <c r="AE125" s="22" t="s">
        <v>22</v>
      </c>
      <c r="AF125" s="22" t="s">
        <v>22</v>
      </c>
      <c r="AG125" s="22" t="s">
        <v>22</v>
      </c>
      <c r="AH125" s="5" t="s">
        <v>22</v>
      </c>
      <c r="AJ125" s="5" t="s">
        <v>22</v>
      </c>
      <c r="AK125" s="5" t="s">
        <v>22</v>
      </c>
      <c r="AL125" s="5" t="s">
        <v>22</v>
      </c>
      <c r="AM125" s="5" t="s">
        <v>22</v>
      </c>
      <c r="AN125" s="5" t="s">
        <v>22</v>
      </c>
      <c r="AO125" s="5" t="s">
        <v>22</v>
      </c>
      <c r="AP125" s="5" t="s">
        <v>22</v>
      </c>
    </row>
    <row r="126" spans="11:42">
      <c r="K126" s="19">
        <v>122</v>
      </c>
      <c r="L126" s="21" t="str">
        <f t="shared" si="24"/>
        <v/>
      </c>
      <c r="M126" s="21" t="str">
        <f t="shared" si="24"/>
        <v/>
      </c>
      <c r="N126" s="21" t="str">
        <f t="shared" si="24"/>
        <v/>
      </c>
      <c r="O126" s="21" t="str">
        <f t="shared" si="24"/>
        <v/>
      </c>
      <c r="P126" s="21" t="str">
        <f t="shared" si="24"/>
        <v/>
      </c>
      <c r="Q126" s="21" t="str">
        <f t="shared" si="24"/>
        <v/>
      </c>
      <c r="R126" s="21" t="str">
        <f t="shared" si="24"/>
        <v/>
      </c>
      <c r="T126" s="6" t="s">
        <v>22</v>
      </c>
      <c r="U126" s="6" t="s">
        <v>22</v>
      </c>
      <c r="V126" s="6" t="s">
        <v>22</v>
      </c>
      <c r="W126" s="6" t="s">
        <v>22</v>
      </c>
      <c r="X126" s="6" t="s">
        <v>22</v>
      </c>
      <c r="Y126" s="6" t="s">
        <v>22</v>
      </c>
      <c r="Z126" s="6" t="s">
        <v>22</v>
      </c>
      <c r="AB126" s="22" t="s">
        <v>22</v>
      </c>
      <c r="AC126" s="22" t="s">
        <v>22</v>
      </c>
      <c r="AD126" s="22" t="s">
        <v>22</v>
      </c>
      <c r="AE126" s="22" t="s">
        <v>22</v>
      </c>
      <c r="AF126" s="22" t="s">
        <v>22</v>
      </c>
      <c r="AG126" s="22" t="s">
        <v>22</v>
      </c>
      <c r="AH126" s="5" t="s">
        <v>22</v>
      </c>
      <c r="AJ126" s="5" t="s">
        <v>22</v>
      </c>
      <c r="AK126" s="5" t="s">
        <v>22</v>
      </c>
      <c r="AL126" s="5" t="s">
        <v>22</v>
      </c>
      <c r="AM126" s="5" t="s">
        <v>22</v>
      </c>
      <c r="AN126" s="5" t="s">
        <v>22</v>
      </c>
      <c r="AO126" s="5" t="s">
        <v>22</v>
      </c>
      <c r="AP126" s="5" t="s">
        <v>22</v>
      </c>
    </row>
    <row r="127" spans="11:42">
      <c r="K127" s="18">
        <v>123</v>
      </c>
      <c r="L127" s="21" t="str">
        <f t="shared" si="24"/>
        <v/>
      </c>
      <c r="M127" s="21" t="str">
        <f t="shared" si="24"/>
        <v/>
      </c>
      <c r="N127" s="21" t="str">
        <f t="shared" si="24"/>
        <v/>
      </c>
      <c r="O127" s="21" t="str">
        <f t="shared" si="24"/>
        <v/>
      </c>
      <c r="P127" s="21" t="str">
        <f t="shared" si="24"/>
        <v/>
      </c>
      <c r="Q127" s="21" t="str">
        <f t="shared" si="24"/>
        <v/>
      </c>
      <c r="R127" s="21" t="str">
        <f t="shared" si="24"/>
        <v/>
      </c>
      <c r="T127" s="6" t="s">
        <v>22</v>
      </c>
      <c r="U127" s="6" t="s">
        <v>22</v>
      </c>
      <c r="V127" s="6" t="s">
        <v>22</v>
      </c>
      <c r="W127" s="6" t="s">
        <v>22</v>
      </c>
      <c r="X127" s="6" t="s">
        <v>22</v>
      </c>
      <c r="Y127" s="6" t="s">
        <v>22</v>
      </c>
      <c r="Z127" s="6" t="s">
        <v>22</v>
      </c>
      <c r="AB127" s="22" t="s">
        <v>22</v>
      </c>
      <c r="AC127" s="22" t="s">
        <v>22</v>
      </c>
      <c r="AD127" s="22" t="s">
        <v>22</v>
      </c>
      <c r="AE127" s="22" t="s">
        <v>22</v>
      </c>
      <c r="AF127" s="22" t="s">
        <v>22</v>
      </c>
      <c r="AG127" s="22" t="s">
        <v>22</v>
      </c>
      <c r="AH127" s="5" t="s">
        <v>22</v>
      </c>
      <c r="AJ127" s="5" t="s">
        <v>22</v>
      </c>
      <c r="AK127" s="5" t="s">
        <v>22</v>
      </c>
      <c r="AL127" s="5" t="s">
        <v>22</v>
      </c>
      <c r="AM127" s="5" t="s">
        <v>22</v>
      </c>
      <c r="AN127" s="5" t="s">
        <v>22</v>
      </c>
      <c r="AO127" s="5" t="s">
        <v>22</v>
      </c>
      <c r="AP127" s="5" t="s">
        <v>22</v>
      </c>
    </row>
    <row r="128" spans="11:42">
      <c r="K128" s="19">
        <v>124</v>
      </c>
      <c r="L128" s="21" t="str">
        <f t="shared" ref="L128:L191" si="25">IF(T128&lt;&gt;"",_xlfn.XLOOKUP(T128,$K$4:$K$27,$A$4:$A$27),"")</f>
        <v/>
      </c>
      <c r="M128" s="21" t="str">
        <f t="shared" ref="M128:M191" si="26">IF(U128&lt;&gt;"",_xlfn.XLOOKUP(U128,$K$4:$K$27,$A$4:$A$27),"")</f>
        <v/>
      </c>
      <c r="N128" s="21" t="str">
        <f t="shared" ref="N128:N191" si="27">IF(V128&lt;&gt;"",_xlfn.XLOOKUP(V128,$K$4:$K$27,$A$4:$A$27),"")</f>
        <v/>
      </c>
      <c r="O128" s="21" t="str">
        <f t="shared" ref="O128:O191" si="28">IF(W128&lt;&gt;"",_xlfn.XLOOKUP(W128,$K$4:$K$27,$A$4:$A$27),"")</f>
        <v/>
      </c>
      <c r="P128" s="21" t="str">
        <f t="shared" ref="P128:P191" si="29">IF(X128&lt;&gt;"",_xlfn.XLOOKUP(X128,$K$4:$K$27,$A$4:$A$27),"")</f>
        <v/>
      </c>
      <c r="Q128" s="21" t="str">
        <f t="shared" ref="Q128:Q191" si="30">IF(Y128&lt;&gt;"",_xlfn.XLOOKUP(Y128,$K$4:$K$27,$A$4:$A$27),"")</f>
        <v/>
      </c>
      <c r="R128" s="21" t="str">
        <f t="shared" ref="R128:R191" si="31">IF(Z128&lt;&gt;"",_xlfn.XLOOKUP(Z128,$K$4:$K$27,$A$4:$A$27),"")</f>
        <v/>
      </c>
      <c r="T128" s="6" t="s">
        <v>22</v>
      </c>
      <c r="U128" s="6" t="s">
        <v>22</v>
      </c>
      <c r="V128" s="6" t="s">
        <v>22</v>
      </c>
      <c r="W128" s="6" t="s">
        <v>22</v>
      </c>
      <c r="X128" s="6" t="s">
        <v>22</v>
      </c>
      <c r="Y128" s="6" t="s">
        <v>22</v>
      </c>
      <c r="Z128" s="6" t="s">
        <v>22</v>
      </c>
      <c r="AB128" s="22" t="s">
        <v>22</v>
      </c>
      <c r="AC128" s="22" t="s">
        <v>22</v>
      </c>
      <c r="AD128" s="22" t="s">
        <v>22</v>
      </c>
      <c r="AE128" s="22" t="s">
        <v>22</v>
      </c>
      <c r="AF128" s="22" t="s">
        <v>22</v>
      </c>
      <c r="AG128" s="22" t="s">
        <v>22</v>
      </c>
      <c r="AH128" s="5" t="s">
        <v>22</v>
      </c>
      <c r="AJ128" s="5" t="s">
        <v>22</v>
      </c>
      <c r="AK128" s="5" t="s">
        <v>22</v>
      </c>
      <c r="AL128" s="5" t="s">
        <v>22</v>
      </c>
      <c r="AM128" s="5" t="s">
        <v>22</v>
      </c>
      <c r="AN128" s="5" t="s">
        <v>22</v>
      </c>
      <c r="AO128" s="5" t="s">
        <v>22</v>
      </c>
      <c r="AP128" s="5" t="s">
        <v>22</v>
      </c>
    </row>
    <row r="129" spans="11:42">
      <c r="K129" s="18">
        <v>125</v>
      </c>
      <c r="L129" s="21" t="str">
        <f t="shared" si="25"/>
        <v/>
      </c>
      <c r="M129" s="21" t="str">
        <f t="shared" si="26"/>
        <v/>
      </c>
      <c r="N129" s="21" t="str">
        <f t="shared" si="27"/>
        <v/>
      </c>
      <c r="O129" s="21" t="str">
        <f t="shared" si="28"/>
        <v/>
      </c>
      <c r="P129" s="21" t="str">
        <f t="shared" si="29"/>
        <v/>
      </c>
      <c r="Q129" s="21" t="str">
        <f t="shared" si="30"/>
        <v/>
      </c>
      <c r="R129" s="21" t="str">
        <f t="shared" si="31"/>
        <v/>
      </c>
      <c r="T129" s="6" t="s">
        <v>22</v>
      </c>
      <c r="U129" s="6" t="s">
        <v>22</v>
      </c>
      <c r="V129" s="6" t="s">
        <v>22</v>
      </c>
      <c r="W129" s="6" t="s">
        <v>22</v>
      </c>
      <c r="X129" s="6" t="s">
        <v>22</v>
      </c>
      <c r="Y129" s="6" t="s">
        <v>22</v>
      </c>
      <c r="Z129" s="6" t="s">
        <v>22</v>
      </c>
      <c r="AB129" s="22" t="s">
        <v>22</v>
      </c>
      <c r="AC129" s="22" t="s">
        <v>22</v>
      </c>
      <c r="AD129" s="22" t="s">
        <v>22</v>
      </c>
      <c r="AE129" s="22" t="s">
        <v>22</v>
      </c>
      <c r="AF129" s="22" t="s">
        <v>22</v>
      </c>
      <c r="AG129" s="22" t="s">
        <v>22</v>
      </c>
      <c r="AH129" s="5" t="s">
        <v>22</v>
      </c>
      <c r="AJ129" s="5" t="s">
        <v>22</v>
      </c>
      <c r="AK129" s="5" t="s">
        <v>22</v>
      </c>
      <c r="AL129" s="5" t="s">
        <v>22</v>
      </c>
      <c r="AM129" s="5" t="s">
        <v>22</v>
      </c>
      <c r="AN129" s="5" t="s">
        <v>22</v>
      </c>
      <c r="AO129" s="5" t="s">
        <v>22</v>
      </c>
      <c r="AP129" s="5" t="s">
        <v>22</v>
      </c>
    </row>
    <row r="130" spans="11:42">
      <c r="K130" s="19">
        <v>126</v>
      </c>
      <c r="L130" s="21" t="str">
        <f t="shared" si="25"/>
        <v/>
      </c>
      <c r="M130" s="21" t="str">
        <f t="shared" si="26"/>
        <v/>
      </c>
      <c r="N130" s="21" t="str">
        <f t="shared" si="27"/>
        <v/>
      </c>
      <c r="O130" s="21" t="str">
        <f t="shared" si="28"/>
        <v/>
      </c>
      <c r="P130" s="21" t="str">
        <f t="shared" si="29"/>
        <v/>
      </c>
      <c r="Q130" s="21" t="str">
        <f t="shared" si="30"/>
        <v/>
      </c>
      <c r="R130" s="21" t="str">
        <f t="shared" si="31"/>
        <v/>
      </c>
      <c r="T130" s="6" t="s">
        <v>22</v>
      </c>
      <c r="U130" s="6" t="s">
        <v>22</v>
      </c>
      <c r="V130" s="6" t="s">
        <v>22</v>
      </c>
      <c r="W130" s="6" t="s">
        <v>22</v>
      </c>
      <c r="X130" s="6" t="s">
        <v>22</v>
      </c>
      <c r="Y130" s="6" t="s">
        <v>22</v>
      </c>
      <c r="Z130" s="6" t="s">
        <v>22</v>
      </c>
      <c r="AB130" s="22" t="s">
        <v>22</v>
      </c>
      <c r="AC130" s="22" t="s">
        <v>22</v>
      </c>
      <c r="AD130" s="22" t="s">
        <v>22</v>
      </c>
      <c r="AE130" s="22" t="s">
        <v>22</v>
      </c>
      <c r="AF130" s="22" t="s">
        <v>22</v>
      </c>
      <c r="AG130" s="22" t="s">
        <v>22</v>
      </c>
      <c r="AH130" s="5" t="s">
        <v>22</v>
      </c>
      <c r="AJ130" s="5" t="s">
        <v>22</v>
      </c>
      <c r="AK130" s="5" t="s">
        <v>22</v>
      </c>
      <c r="AL130" s="5" t="s">
        <v>22</v>
      </c>
      <c r="AM130" s="5" t="s">
        <v>22</v>
      </c>
      <c r="AN130" s="5" t="s">
        <v>22</v>
      </c>
      <c r="AO130" s="5" t="s">
        <v>22</v>
      </c>
      <c r="AP130" s="5" t="s">
        <v>22</v>
      </c>
    </row>
    <row r="131" spans="11:42">
      <c r="K131" s="18">
        <v>127</v>
      </c>
      <c r="L131" s="21" t="str">
        <f t="shared" si="25"/>
        <v/>
      </c>
      <c r="M131" s="21" t="str">
        <f t="shared" si="26"/>
        <v/>
      </c>
      <c r="N131" s="21" t="str">
        <f t="shared" si="27"/>
        <v/>
      </c>
      <c r="O131" s="21" t="str">
        <f t="shared" si="28"/>
        <v/>
      </c>
      <c r="P131" s="21" t="str">
        <f t="shared" si="29"/>
        <v/>
      </c>
      <c r="Q131" s="21" t="str">
        <f t="shared" si="30"/>
        <v/>
      </c>
      <c r="R131" s="21" t="str">
        <f t="shared" si="31"/>
        <v/>
      </c>
      <c r="T131" s="6" t="s">
        <v>22</v>
      </c>
      <c r="U131" s="6" t="s">
        <v>22</v>
      </c>
      <c r="V131" s="6" t="s">
        <v>22</v>
      </c>
      <c r="W131" s="6" t="s">
        <v>22</v>
      </c>
      <c r="X131" s="6" t="s">
        <v>22</v>
      </c>
      <c r="Y131" s="6" t="s">
        <v>22</v>
      </c>
      <c r="Z131" s="6" t="s">
        <v>22</v>
      </c>
      <c r="AB131" s="22" t="s">
        <v>22</v>
      </c>
      <c r="AC131" s="22" t="s">
        <v>22</v>
      </c>
      <c r="AD131" s="22" t="s">
        <v>22</v>
      </c>
      <c r="AE131" s="22" t="s">
        <v>22</v>
      </c>
      <c r="AF131" s="22" t="s">
        <v>22</v>
      </c>
      <c r="AG131" s="22" t="s">
        <v>22</v>
      </c>
      <c r="AH131" s="5" t="s">
        <v>22</v>
      </c>
      <c r="AJ131" s="5" t="s">
        <v>22</v>
      </c>
      <c r="AK131" s="5" t="s">
        <v>22</v>
      </c>
      <c r="AL131" s="5" t="s">
        <v>22</v>
      </c>
      <c r="AM131" s="5" t="s">
        <v>22</v>
      </c>
      <c r="AN131" s="5" t="s">
        <v>22</v>
      </c>
      <c r="AO131" s="5" t="s">
        <v>22</v>
      </c>
      <c r="AP131" s="5" t="s">
        <v>22</v>
      </c>
    </row>
    <row r="132" spans="11:42">
      <c r="K132" s="19">
        <v>128</v>
      </c>
      <c r="L132" s="21" t="str">
        <f t="shared" si="25"/>
        <v/>
      </c>
      <c r="M132" s="21" t="str">
        <f t="shared" si="26"/>
        <v/>
      </c>
      <c r="N132" s="21" t="str">
        <f t="shared" si="27"/>
        <v/>
      </c>
      <c r="O132" s="21" t="str">
        <f t="shared" si="28"/>
        <v/>
      </c>
      <c r="P132" s="21" t="str">
        <f t="shared" si="29"/>
        <v/>
      </c>
      <c r="Q132" s="21" t="str">
        <f t="shared" si="30"/>
        <v/>
      </c>
      <c r="R132" s="21" t="str">
        <f t="shared" si="31"/>
        <v/>
      </c>
      <c r="T132" s="6" t="s">
        <v>22</v>
      </c>
      <c r="U132" s="6" t="s">
        <v>22</v>
      </c>
      <c r="V132" s="6" t="s">
        <v>22</v>
      </c>
      <c r="W132" s="6" t="s">
        <v>22</v>
      </c>
      <c r="X132" s="6" t="s">
        <v>22</v>
      </c>
      <c r="Y132" s="6" t="s">
        <v>22</v>
      </c>
      <c r="Z132" s="6" t="s">
        <v>22</v>
      </c>
      <c r="AB132" s="22" t="s">
        <v>22</v>
      </c>
      <c r="AC132" s="22" t="s">
        <v>22</v>
      </c>
      <c r="AD132" s="22" t="s">
        <v>22</v>
      </c>
      <c r="AE132" s="22" t="s">
        <v>22</v>
      </c>
      <c r="AF132" s="22" t="s">
        <v>22</v>
      </c>
      <c r="AG132" s="22" t="s">
        <v>22</v>
      </c>
      <c r="AH132" s="5" t="s">
        <v>22</v>
      </c>
      <c r="AJ132" s="5" t="s">
        <v>22</v>
      </c>
      <c r="AK132" s="5" t="s">
        <v>22</v>
      </c>
      <c r="AL132" s="5" t="s">
        <v>22</v>
      </c>
      <c r="AM132" s="5" t="s">
        <v>22</v>
      </c>
      <c r="AN132" s="5" t="s">
        <v>22</v>
      </c>
      <c r="AO132" s="5" t="s">
        <v>22</v>
      </c>
      <c r="AP132" s="5" t="s">
        <v>22</v>
      </c>
    </row>
    <row r="133" spans="11:42">
      <c r="K133" s="18">
        <v>129</v>
      </c>
      <c r="L133" s="21" t="str">
        <f t="shared" si="25"/>
        <v/>
      </c>
      <c r="M133" s="21" t="str">
        <f t="shared" si="26"/>
        <v/>
      </c>
      <c r="N133" s="21" t="str">
        <f t="shared" si="27"/>
        <v/>
      </c>
      <c r="O133" s="21" t="str">
        <f t="shared" si="28"/>
        <v/>
      </c>
      <c r="P133" s="21" t="str">
        <f t="shared" si="29"/>
        <v/>
      </c>
      <c r="Q133" s="21" t="str">
        <f t="shared" si="30"/>
        <v/>
      </c>
      <c r="R133" s="21" t="str">
        <f t="shared" si="31"/>
        <v/>
      </c>
      <c r="T133" s="6" t="s">
        <v>22</v>
      </c>
      <c r="U133" s="6" t="s">
        <v>22</v>
      </c>
      <c r="V133" s="6" t="s">
        <v>22</v>
      </c>
      <c r="W133" s="6" t="s">
        <v>22</v>
      </c>
      <c r="X133" s="6" t="s">
        <v>22</v>
      </c>
      <c r="Y133" s="6" t="s">
        <v>22</v>
      </c>
      <c r="Z133" s="6" t="s">
        <v>22</v>
      </c>
      <c r="AB133" s="22" t="s">
        <v>22</v>
      </c>
      <c r="AC133" s="22" t="s">
        <v>22</v>
      </c>
      <c r="AD133" s="22" t="s">
        <v>22</v>
      </c>
      <c r="AE133" s="22" t="s">
        <v>22</v>
      </c>
      <c r="AF133" s="22" t="s">
        <v>22</v>
      </c>
      <c r="AG133" s="22" t="s">
        <v>22</v>
      </c>
      <c r="AH133" s="5" t="s">
        <v>22</v>
      </c>
      <c r="AJ133" s="5" t="s">
        <v>22</v>
      </c>
      <c r="AK133" s="5" t="s">
        <v>22</v>
      </c>
      <c r="AL133" s="5" t="s">
        <v>22</v>
      </c>
      <c r="AM133" s="5" t="s">
        <v>22</v>
      </c>
      <c r="AN133" s="5" t="s">
        <v>22</v>
      </c>
      <c r="AO133" s="5" t="s">
        <v>22</v>
      </c>
      <c r="AP133" s="5" t="s">
        <v>22</v>
      </c>
    </row>
    <row r="134" spans="11:42">
      <c r="K134" s="19">
        <v>130</v>
      </c>
      <c r="L134" s="21" t="str">
        <f t="shared" si="25"/>
        <v/>
      </c>
      <c r="M134" s="21" t="str">
        <f t="shared" si="26"/>
        <v/>
      </c>
      <c r="N134" s="21" t="str">
        <f t="shared" si="27"/>
        <v/>
      </c>
      <c r="O134" s="21" t="str">
        <f t="shared" si="28"/>
        <v/>
      </c>
      <c r="P134" s="21" t="str">
        <f t="shared" si="29"/>
        <v/>
      </c>
      <c r="Q134" s="21" t="str">
        <f t="shared" si="30"/>
        <v/>
      </c>
      <c r="R134" s="21" t="str">
        <f t="shared" si="31"/>
        <v/>
      </c>
      <c r="T134" s="6" t="s">
        <v>22</v>
      </c>
      <c r="U134" s="6" t="s">
        <v>22</v>
      </c>
      <c r="V134" s="6" t="s">
        <v>22</v>
      </c>
      <c r="W134" s="6" t="s">
        <v>22</v>
      </c>
      <c r="X134" s="6" t="s">
        <v>22</v>
      </c>
      <c r="Y134" s="6" t="s">
        <v>22</v>
      </c>
      <c r="Z134" s="6" t="s">
        <v>22</v>
      </c>
      <c r="AB134" s="22" t="s">
        <v>22</v>
      </c>
      <c r="AC134" s="22" t="s">
        <v>22</v>
      </c>
      <c r="AD134" s="22" t="s">
        <v>22</v>
      </c>
      <c r="AE134" s="22" t="s">
        <v>22</v>
      </c>
      <c r="AF134" s="22" t="s">
        <v>22</v>
      </c>
      <c r="AG134" s="22" t="s">
        <v>22</v>
      </c>
      <c r="AH134" s="5" t="s">
        <v>22</v>
      </c>
      <c r="AJ134" s="5" t="s">
        <v>22</v>
      </c>
      <c r="AK134" s="5" t="s">
        <v>22</v>
      </c>
      <c r="AL134" s="5" t="s">
        <v>22</v>
      </c>
      <c r="AM134" s="5" t="s">
        <v>22</v>
      </c>
      <c r="AN134" s="5" t="s">
        <v>22</v>
      </c>
      <c r="AO134" s="5" t="s">
        <v>22</v>
      </c>
      <c r="AP134" s="5" t="s">
        <v>22</v>
      </c>
    </row>
    <row r="135" spans="11:42">
      <c r="K135" s="18">
        <v>131</v>
      </c>
      <c r="L135" s="21" t="str">
        <f t="shared" si="25"/>
        <v/>
      </c>
      <c r="M135" s="21" t="str">
        <f t="shared" si="26"/>
        <v/>
      </c>
      <c r="N135" s="21" t="str">
        <f t="shared" si="27"/>
        <v/>
      </c>
      <c r="O135" s="21" t="str">
        <f t="shared" si="28"/>
        <v/>
      </c>
      <c r="P135" s="21" t="str">
        <f t="shared" si="29"/>
        <v/>
      </c>
      <c r="Q135" s="21" t="str">
        <f t="shared" si="30"/>
        <v/>
      </c>
      <c r="R135" s="21" t="str">
        <f t="shared" si="31"/>
        <v/>
      </c>
      <c r="T135" s="6" t="s">
        <v>22</v>
      </c>
      <c r="U135" s="6" t="s">
        <v>22</v>
      </c>
      <c r="V135" s="6" t="s">
        <v>22</v>
      </c>
      <c r="W135" s="6" t="s">
        <v>22</v>
      </c>
      <c r="X135" s="6" t="s">
        <v>22</v>
      </c>
      <c r="Y135" s="6" t="s">
        <v>22</v>
      </c>
      <c r="Z135" s="6" t="s">
        <v>22</v>
      </c>
      <c r="AB135" s="22" t="s">
        <v>22</v>
      </c>
      <c r="AC135" s="22" t="s">
        <v>22</v>
      </c>
      <c r="AD135" s="22" t="s">
        <v>22</v>
      </c>
      <c r="AE135" s="22" t="s">
        <v>22</v>
      </c>
      <c r="AF135" s="22" t="s">
        <v>22</v>
      </c>
      <c r="AG135" s="22" t="s">
        <v>22</v>
      </c>
      <c r="AH135" s="5" t="s">
        <v>22</v>
      </c>
      <c r="AJ135" s="5" t="s">
        <v>22</v>
      </c>
      <c r="AK135" s="5" t="s">
        <v>22</v>
      </c>
      <c r="AL135" s="5" t="s">
        <v>22</v>
      </c>
      <c r="AM135" s="5" t="s">
        <v>22</v>
      </c>
      <c r="AN135" s="5" t="s">
        <v>22</v>
      </c>
      <c r="AO135" s="5" t="s">
        <v>22</v>
      </c>
      <c r="AP135" s="5" t="s">
        <v>22</v>
      </c>
    </row>
    <row r="136" spans="11:42">
      <c r="K136" s="19">
        <v>132</v>
      </c>
      <c r="L136" s="21" t="str">
        <f t="shared" si="25"/>
        <v/>
      </c>
      <c r="M136" s="21" t="str">
        <f t="shared" si="26"/>
        <v/>
      </c>
      <c r="N136" s="21" t="str">
        <f t="shared" si="27"/>
        <v/>
      </c>
      <c r="O136" s="21" t="str">
        <f t="shared" si="28"/>
        <v/>
      </c>
      <c r="P136" s="21" t="str">
        <f t="shared" si="29"/>
        <v/>
      </c>
      <c r="Q136" s="21" t="str">
        <f t="shared" si="30"/>
        <v/>
      </c>
      <c r="R136" s="21" t="str">
        <f t="shared" si="31"/>
        <v/>
      </c>
      <c r="T136" s="6" t="s">
        <v>22</v>
      </c>
      <c r="U136" s="6" t="s">
        <v>22</v>
      </c>
      <c r="V136" s="6" t="s">
        <v>22</v>
      </c>
      <c r="W136" s="6" t="s">
        <v>22</v>
      </c>
      <c r="X136" s="6" t="s">
        <v>22</v>
      </c>
      <c r="Y136" s="6" t="s">
        <v>22</v>
      </c>
      <c r="Z136" s="6" t="s">
        <v>22</v>
      </c>
      <c r="AB136" s="22" t="s">
        <v>22</v>
      </c>
      <c r="AC136" s="22" t="s">
        <v>22</v>
      </c>
      <c r="AD136" s="22" t="s">
        <v>22</v>
      </c>
      <c r="AE136" s="22" t="s">
        <v>22</v>
      </c>
      <c r="AF136" s="22" t="s">
        <v>22</v>
      </c>
      <c r="AG136" s="22" t="s">
        <v>22</v>
      </c>
      <c r="AH136" s="5" t="s">
        <v>22</v>
      </c>
      <c r="AJ136" s="5" t="s">
        <v>22</v>
      </c>
      <c r="AK136" s="5" t="s">
        <v>22</v>
      </c>
      <c r="AL136" s="5" t="s">
        <v>22</v>
      </c>
      <c r="AM136" s="5" t="s">
        <v>22</v>
      </c>
      <c r="AN136" s="5" t="s">
        <v>22</v>
      </c>
      <c r="AO136" s="5" t="s">
        <v>22</v>
      </c>
      <c r="AP136" s="5" t="s">
        <v>22</v>
      </c>
    </row>
    <row r="137" spans="11:42">
      <c r="K137" s="18">
        <v>133</v>
      </c>
      <c r="L137" s="21" t="str">
        <f t="shared" si="25"/>
        <v/>
      </c>
      <c r="M137" s="21" t="str">
        <f t="shared" si="26"/>
        <v/>
      </c>
      <c r="N137" s="21" t="str">
        <f t="shared" si="27"/>
        <v/>
      </c>
      <c r="O137" s="21" t="str">
        <f t="shared" si="28"/>
        <v/>
      </c>
      <c r="P137" s="21" t="str">
        <f t="shared" si="29"/>
        <v/>
      </c>
      <c r="Q137" s="21" t="str">
        <f t="shared" si="30"/>
        <v/>
      </c>
      <c r="R137" s="21" t="str">
        <f t="shared" si="31"/>
        <v/>
      </c>
      <c r="T137" s="6" t="s">
        <v>22</v>
      </c>
      <c r="U137" s="6" t="s">
        <v>22</v>
      </c>
      <c r="V137" s="6" t="s">
        <v>22</v>
      </c>
      <c r="W137" s="6" t="s">
        <v>22</v>
      </c>
      <c r="X137" s="6" t="s">
        <v>22</v>
      </c>
      <c r="Y137" s="6" t="s">
        <v>22</v>
      </c>
      <c r="Z137" s="6" t="s">
        <v>22</v>
      </c>
      <c r="AB137" s="22" t="s">
        <v>22</v>
      </c>
      <c r="AC137" s="22" t="s">
        <v>22</v>
      </c>
      <c r="AD137" s="22" t="s">
        <v>22</v>
      </c>
      <c r="AE137" s="22" t="s">
        <v>22</v>
      </c>
      <c r="AF137" s="22" t="s">
        <v>22</v>
      </c>
      <c r="AG137" s="22" t="s">
        <v>22</v>
      </c>
      <c r="AH137" s="5" t="s">
        <v>22</v>
      </c>
      <c r="AJ137" s="5" t="s">
        <v>22</v>
      </c>
      <c r="AK137" s="5" t="s">
        <v>22</v>
      </c>
      <c r="AL137" s="5" t="s">
        <v>22</v>
      </c>
      <c r="AM137" s="5" t="s">
        <v>22</v>
      </c>
      <c r="AN137" s="5" t="s">
        <v>22</v>
      </c>
      <c r="AO137" s="5" t="s">
        <v>22</v>
      </c>
      <c r="AP137" s="5" t="s">
        <v>22</v>
      </c>
    </row>
    <row r="138" spans="11:42">
      <c r="K138" s="19">
        <v>134</v>
      </c>
      <c r="L138" s="21" t="str">
        <f t="shared" si="25"/>
        <v/>
      </c>
      <c r="M138" s="21" t="str">
        <f t="shared" si="26"/>
        <v/>
      </c>
      <c r="N138" s="21" t="str">
        <f t="shared" si="27"/>
        <v/>
      </c>
      <c r="O138" s="21" t="str">
        <f t="shared" si="28"/>
        <v/>
      </c>
      <c r="P138" s="21" t="str">
        <f t="shared" si="29"/>
        <v/>
      </c>
      <c r="Q138" s="21" t="str">
        <f t="shared" si="30"/>
        <v/>
      </c>
      <c r="R138" s="21" t="str">
        <f t="shared" si="31"/>
        <v/>
      </c>
      <c r="T138" s="6" t="s">
        <v>22</v>
      </c>
      <c r="U138" s="6" t="s">
        <v>22</v>
      </c>
      <c r="V138" s="6" t="s">
        <v>22</v>
      </c>
      <c r="W138" s="6" t="s">
        <v>22</v>
      </c>
      <c r="X138" s="6" t="s">
        <v>22</v>
      </c>
      <c r="Y138" s="6" t="s">
        <v>22</v>
      </c>
      <c r="Z138" s="6" t="s">
        <v>22</v>
      </c>
      <c r="AB138" s="22" t="s">
        <v>22</v>
      </c>
      <c r="AC138" s="22" t="s">
        <v>22</v>
      </c>
      <c r="AD138" s="22" t="s">
        <v>22</v>
      </c>
      <c r="AE138" s="22" t="s">
        <v>22</v>
      </c>
      <c r="AF138" s="22" t="s">
        <v>22</v>
      </c>
      <c r="AG138" s="22" t="s">
        <v>22</v>
      </c>
      <c r="AH138" s="5" t="s">
        <v>22</v>
      </c>
      <c r="AJ138" s="5" t="s">
        <v>22</v>
      </c>
      <c r="AK138" s="5" t="s">
        <v>22</v>
      </c>
      <c r="AL138" s="5" t="s">
        <v>22</v>
      </c>
      <c r="AM138" s="5" t="s">
        <v>22</v>
      </c>
      <c r="AN138" s="5" t="s">
        <v>22</v>
      </c>
      <c r="AO138" s="5" t="s">
        <v>22</v>
      </c>
      <c r="AP138" s="5" t="s">
        <v>22</v>
      </c>
    </row>
    <row r="139" spans="11:42">
      <c r="K139" s="18">
        <v>135</v>
      </c>
      <c r="L139" s="21" t="str">
        <f t="shared" si="25"/>
        <v/>
      </c>
      <c r="M139" s="21" t="str">
        <f t="shared" si="26"/>
        <v/>
      </c>
      <c r="N139" s="21" t="str">
        <f t="shared" si="27"/>
        <v/>
      </c>
      <c r="O139" s="21" t="str">
        <f t="shared" si="28"/>
        <v/>
      </c>
      <c r="P139" s="21" t="str">
        <f t="shared" si="29"/>
        <v/>
      </c>
      <c r="Q139" s="21" t="str">
        <f t="shared" si="30"/>
        <v/>
      </c>
      <c r="R139" s="21" t="str">
        <f t="shared" si="31"/>
        <v/>
      </c>
      <c r="T139" s="6" t="s">
        <v>22</v>
      </c>
      <c r="U139" s="6" t="s">
        <v>22</v>
      </c>
      <c r="V139" s="6" t="s">
        <v>22</v>
      </c>
      <c r="W139" s="6" t="s">
        <v>22</v>
      </c>
      <c r="X139" s="6" t="s">
        <v>22</v>
      </c>
      <c r="Y139" s="6" t="s">
        <v>22</v>
      </c>
      <c r="Z139" s="6" t="s">
        <v>22</v>
      </c>
      <c r="AB139" s="22" t="s">
        <v>22</v>
      </c>
      <c r="AC139" s="22" t="s">
        <v>22</v>
      </c>
      <c r="AD139" s="22" t="s">
        <v>22</v>
      </c>
      <c r="AE139" s="22" t="s">
        <v>22</v>
      </c>
      <c r="AF139" s="22" t="s">
        <v>22</v>
      </c>
      <c r="AG139" s="22" t="s">
        <v>22</v>
      </c>
      <c r="AH139" s="5" t="s">
        <v>22</v>
      </c>
      <c r="AJ139" s="5" t="s">
        <v>22</v>
      </c>
      <c r="AK139" s="5" t="s">
        <v>22</v>
      </c>
      <c r="AL139" s="5" t="s">
        <v>22</v>
      </c>
      <c r="AM139" s="5" t="s">
        <v>22</v>
      </c>
      <c r="AN139" s="5" t="s">
        <v>22</v>
      </c>
      <c r="AO139" s="5" t="s">
        <v>22</v>
      </c>
      <c r="AP139" s="5" t="s">
        <v>22</v>
      </c>
    </row>
    <row r="140" spans="11:42">
      <c r="K140" s="19">
        <v>136</v>
      </c>
      <c r="L140" s="21" t="str">
        <f t="shared" si="25"/>
        <v/>
      </c>
      <c r="M140" s="21" t="str">
        <f t="shared" si="26"/>
        <v/>
      </c>
      <c r="N140" s="21" t="str">
        <f t="shared" si="27"/>
        <v/>
      </c>
      <c r="O140" s="21" t="str">
        <f t="shared" si="28"/>
        <v/>
      </c>
      <c r="P140" s="21" t="str">
        <f t="shared" si="29"/>
        <v/>
      </c>
      <c r="Q140" s="21" t="str">
        <f t="shared" si="30"/>
        <v/>
      </c>
      <c r="R140" s="21" t="str">
        <f t="shared" si="31"/>
        <v/>
      </c>
      <c r="T140" s="6" t="s">
        <v>22</v>
      </c>
      <c r="U140" s="6" t="s">
        <v>22</v>
      </c>
      <c r="V140" s="6" t="s">
        <v>22</v>
      </c>
      <c r="W140" s="6" t="s">
        <v>22</v>
      </c>
      <c r="X140" s="6" t="s">
        <v>22</v>
      </c>
      <c r="Y140" s="6" t="s">
        <v>22</v>
      </c>
      <c r="Z140" s="6" t="s">
        <v>22</v>
      </c>
      <c r="AB140" s="22" t="s">
        <v>22</v>
      </c>
      <c r="AC140" s="22" t="s">
        <v>22</v>
      </c>
      <c r="AD140" s="22" t="s">
        <v>22</v>
      </c>
      <c r="AE140" s="22" t="s">
        <v>22</v>
      </c>
      <c r="AF140" s="22" t="s">
        <v>22</v>
      </c>
      <c r="AG140" s="22" t="s">
        <v>22</v>
      </c>
      <c r="AH140" s="5" t="s">
        <v>22</v>
      </c>
      <c r="AJ140" s="5" t="s">
        <v>22</v>
      </c>
      <c r="AK140" s="5" t="s">
        <v>22</v>
      </c>
      <c r="AL140" s="5" t="s">
        <v>22</v>
      </c>
      <c r="AM140" s="5" t="s">
        <v>22</v>
      </c>
      <c r="AN140" s="5" t="s">
        <v>22</v>
      </c>
      <c r="AO140" s="5" t="s">
        <v>22</v>
      </c>
      <c r="AP140" s="5" t="s">
        <v>22</v>
      </c>
    </row>
    <row r="141" spans="11:42">
      <c r="K141" s="18">
        <v>137</v>
      </c>
      <c r="L141" s="21" t="str">
        <f t="shared" si="25"/>
        <v/>
      </c>
      <c r="M141" s="21" t="str">
        <f t="shared" si="26"/>
        <v/>
      </c>
      <c r="N141" s="21" t="str">
        <f t="shared" si="27"/>
        <v/>
      </c>
      <c r="O141" s="21" t="str">
        <f t="shared" si="28"/>
        <v/>
      </c>
      <c r="P141" s="21" t="str">
        <f t="shared" si="29"/>
        <v/>
      </c>
      <c r="Q141" s="21" t="str">
        <f t="shared" si="30"/>
        <v/>
      </c>
      <c r="R141" s="21" t="str">
        <f t="shared" si="31"/>
        <v/>
      </c>
      <c r="T141" s="6" t="s">
        <v>22</v>
      </c>
      <c r="U141" s="6" t="s">
        <v>22</v>
      </c>
      <c r="V141" s="6" t="s">
        <v>22</v>
      </c>
      <c r="W141" s="6" t="s">
        <v>22</v>
      </c>
      <c r="X141" s="6" t="s">
        <v>22</v>
      </c>
      <c r="Y141" s="6" t="s">
        <v>22</v>
      </c>
      <c r="Z141" s="6" t="s">
        <v>22</v>
      </c>
      <c r="AB141" s="22" t="s">
        <v>22</v>
      </c>
      <c r="AC141" s="22" t="s">
        <v>22</v>
      </c>
      <c r="AD141" s="22" t="s">
        <v>22</v>
      </c>
      <c r="AE141" s="22" t="s">
        <v>22</v>
      </c>
      <c r="AF141" s="22" t="s">
        <v>22</v>
      </c>
      <c r="AG141" s="22" t="s">
        <v>22</v>
      </c>
      <c r="AH141" s="5" t="s">
        <v>22</v>
      </c>
      <c r="AJ141" s="5" t="s">
        <v>22</v>
      </c>
      <c r="AK141" s="5" t="s">
        <v>22</v>
      </c>
      <c r="AL141" s="5" t="s">
        <v>22</v>
      </c>
      <c r="AM141" s="5" t="s">
        <v>22</v>
      </c>
      <c r="AN141" s="5" t="s">
        <v>22</v>
      </c>
      <c r="AO141" s="5" t="s">
        <v>22</v>
      </c>
      <c r="AP141" s="5" t="s">
        <v>22</v>
      </c>
    </row>
    <row r="142" spans="11:42">
      <c r="K142" s="19">
        <v>138</v>
      </c>
      <c r="L142" s="21" t="str">
        <f t="shared" si="25"/>
        <v/>
      </c>
      <c r="M142" s="21" t="str">
        <f t="shared" si="26"/>
        <v/>
      </c>
      <c r="N142" s="21" t="str">
        <f t="shared" si="27"/>
        <v/>
      </c>
      <c r="O142" s="21" t="str">
        <f t="shared" si="28"/>
        <v/>
      </c>
      <c r="P142" s="21" t="str">
        <f t="shared" si="29"/>
        <v/>
      </c>
      <c r="Q142" s="21" t="str">
        <f t="shared" si="30"/>
        <v/>
      </c>
      <c r="R142" s="21" t="str">
        <f t="shared" si="31"/>
        <v/>
      </c>
      <c r="T142" s="6" t="s">
        <v>22</v>
      </c>
      <c r="U142" s="6" t="s">
        <v>22</v>
      </c>
      <c r="V142" s="6" t="s">
        <v>22</v>
      </c>
      <c r="W142" s="6" t="s">
        <v>22</v>
      </c>
      <c r="X142" s="6" t="s">
        <v>22</v>
      </c>
      <c r="Y142" s="6" t="s">
        <v>22</v>
      </c>
      <c r="Z142" s="6" t="s">
        <v>22</v>
      </c>
      <c r="AB142" s="22" t="s">
        <v>22</v>
      </c>
      <c r="AC142" s="22" t="s">
        <v>22</v>
      </c>
      <c r="AD142" s="22" t="s">
        <v>22</v>
      </c>
      <c r="AE142" s="22" t="s">
        <v>22</v>
      </c>
      <c r="AF142" s="22" t="s">
        <v>22</v>
      </c>
      <c r="AG142" s="22" t="s">
        <v>22</v>
      </c>
      <c r="AH142" s="5" t="s">
        <v>22</v>
      </c>
      <c r="AJ142" s="5" t="s">
        <v>22</v>
      </c>
      <c r="AK142" s="5" t="s">
        <v>22</v>
      </c>
      <c r="AL142" s="5" t="s">
        <v>22</v>
      </c>
      <c r="AM142" s="5" t="s">
        <v>22</v>
      </c>
      <c r="AN142" s="5" t="s">
        <v>22</v>
      </c>
      <c r="AO142" s="5" t="s">
        <v>22</v>
      </c>
      <c r="AP142" s="5" t="s">
        <v>22</v>
      </c>
    </row>
    <row r="143" spans="11:42">
      <c r="K143" s="18">
        <v>139</v>
      </c>
      <c r="L143" s="21" t="str">
        <f t="shared" si="25"/>
        <v/>
      </c>
      <c r="M143" s="21" t="str">
        <f t="shared" si="26"/>
        <v/>
      </c>
      <c r="N143" s="21" t="str">
        <f t="shared" si="27"/>
        <v/>
      </c>
      <c r="O143" s="21" t="str">
        <f t="shared" si="28"/>
        <v/>
      </c>
      <c r="P143" s="21" t="str">
        <f t="shared" si="29"/>
        <v/>
      </c>
      <c r="Q143" s="21" t="str">
        <f t="shared" si="30"/>
        <v/>
      </c>
      <c r="R143" s="21" t="str">
        <f t="shared" si="31"/>
        <v/>
      </c>
      <c r="T143" s="6" t="s">
        <v>22</v>
      </c>
      <c r="U143" s="6" t="s">
        <v>22</v>
      </c>
      <c r="V143" s="6" t="s">
        <v>22</v>
      </c>
      <c r="W143" s="6" t="s">
        <v>22</v>
      </c>
      <c r="X143" s="6" t="s">
        <v>22</v>
      </c>
      <c r="Y143" s="6" t="s">
        <v>22</v>
      </c>
      <c r="Z143" s="6" t="s">
        <v>22</v>
      </c>
      <c r="AB143" s="22" t="s">
        <v>22</v>
      </c>
      <c r="AC143" s="22" t="s">
        <v>22</v>
      </c>
      <c r="AD143" s="22" t="s">
        <v>22</v>
      </c>
      <c r="AE143" s="22" t="s">
        <v>22</v>
      </c>
      <c r="AF143" s="22" t="s">
        <v>22</v>
      </c>
      <c r="AG143" s="22" t="s">
        <v>22</v>
      </c>
      <c r="AH143" s="5" t="s">
        <v>22</v>
      </c>
      <c r="AJ143" s="5" t="s">
        <v>22</v>
      </c>
      <c r="AK143" s="5" t="s">
        <v>22</v>
      </c>
      <c r="AL143" s="5" t="s">
        <v>22</v>
      </c>
      <c r="AM143" s="5" t="s">
        <v>22</v>
      </c>
      <c r="AN143" s="5" t="s">
        <v>22</v>
      </c>
      <c r="AO143" s="5" t="s">
        <v>22</v>
      </c>
      <c r="AP143" s="5" t="s">
        <v>22</v>
      </c>
    </row>
    <row r="144" spans="11:42">
      <c r="K144" s="19">
        <v>140</v>
      </c>
      <c r="L144" s="21" t="str">
        <f t="shared" si="25"/>
        <v/>
      </c>
      <c r="M144" s="21" t="str">
        <f t="shared" si="26"/>
        <v/>
      </c>
      <c r="N144" s="21" t="str">
        <f t="shared" si="27"/>
        <v/>
      </c>
      <c r="O144" s="21" t="str">
        <f t="shared" si="28"/>
        <v/>
      </c>
      <c r="P144" s="21" t="str">
        <f t="shared" si="29"/>
        <v/>
      </c>
      <c r="Q144" s="21" t="str">
        <f t="shared" si="30"/>
        <v/>
      </c>
      <c r="R144" s="21" t="str">
        <f t="shared" si="31"/>
        <v/>
      </c>
      <c r="T144" s="6" t="s">
        <v>22</v>
      </c>
      <c r="U144" s="6" t="s">
        <v>22</v>
      </c>
      <c r="V144" s="6" t="s">
        <v>22</v>
      </c>
      <c r="W144" s="6" t="s">
        <v>22</v>
      </c>
      <c r="X144" s="6" t="s">
        <v>22</v>
      </c>
      <c r="Y144" s="6" t="s">
        <v>22</v>
      </c>
      <c r="Z144" s="6" t="s">
        <v>22</v>
      </c>
      <c r="AB144" s="22" t="s">
        <v>22</v>
      </c>
      <c r="AC144" s="22" t="s">
        <v>22</v>
      </c>
      <c r="AD144" s="22" t="s">
        <v>22</v>
      </c>
      <c r="AE144" s="22" t="s">
        <v>22</v>
      </c>
      <c r="AF144" s="22" t="s">
        <v>22</v>
      </c>
      <c r="AG144" s="22" t="s">
        <v>22</v>
      </c>
      <c r="AH144" s="5" t="s">
        <v>22</v>
      </c>
      <c r="AJ144" s="5" t="s">
        <v>22</v>
      </c>
      <c r="AK144" s="5" t="s">
        <v>22</v>
      </c>
      <c r="AL144" s="5" t="s">
        <v>22</v>
      </c>
      <c r="AM144" s="5" t="s">
        <v>22</v>
      </c>
      <c r="AN144" s="5" t="s">
        <v>22</v>
      </c>
      <c r="AO144" s="5" t="s">
        <v>22</v>
      </c>
      <c r="AP144" s="5" t="s">
        <v>22</v>
      </c>
    </row>
    <row r="145" spans="11:42">
      <c r="K145" s="18">
        <v>141</v>
      </c>
      <c r="L145" s="21" t="str">
        <f t="shared" si="25"/>
        <v/>
      </c>
      <c r="M145" s="21" t="str">
        <f t="shared" si="26"/>
        <v/>
      </c>
      <c r="N145" s="21" t="str">
        <f t="shared" si="27"/>
        <v/>
      </c>
      <c r="O145" s="21" t="str">
        <f t="shared" si="28"/>
        <v/>
      </c>
      <c r="P145" s="21" t="str">
        <f t="shared" si="29"/>
        <v/>
      </c>
      <c r="Q145" s="21" t="str">
        <f t="shared" si="30"/>
        <v/>
      </c>
      <c r="R145" s="21" t="str">
        <f t="shared" si="31"/>
        <v/>
      </c>
      <c r="T145" s="6" t="s">
        <v>22</v>
      </c>
      <c r="U145" s="6" t="s">
        <v>22</v>
      </c>
      <c r="V145" s="6" t="s">
        <v>22</v>
      </c>
      <c r="W145" s="6" t="s">
        <v>22</v>
      </c>
      <c r="X145" s="6" t="s">
        <v>22</v>
      </c>
      <c r="Y145" s="6" t="s">
        <v>22</v>
      </c>
      <c r="Z145" s="6" t="s">
        <v>22</v>
      </c>
      <c r="AB145" s="22" t="s">
        <v>22</v>
      </c>
      <c r="AC145" s="22" t="s">
        <v>22</v>
      </c>
      <c r="AD145" s="22" t="s">
        <v>22</v>
      </c>
      <c r="AE145" s="22" t="s">
        <v>22</v>
      </c>
      <c r="AF145" s="22" t="s">
        <v>22</v>
      </c>
      <c r="AG145" s="22" t="s">
        <v>22</v>
      </c>
      <c r="AH145" s="5" t="s">
        <v>22</v>
      </c>
      <c r="AJ145" s="5" t="s">
        <v>22</v>
      </c>
      <c r="AK145" s="5" t="s">
        <v>22</v>
      </c>
      <c r="AL145" s="5" t="s">
        <v>22</v>
      </c>
      <c r="AM145" s="5" t="s">
        <v>22</v>
      </c>
      <c r="AN145" s="5" t="s">
        <v>22</v>
      </c>
      <c r="AO145" s="5" t="s">
        <v>22</v>
      </c>
      <c r="AP145" s="5" t="s">
        <v>22</v>
      </c>
    </row>
    <row r="146" spans="11:42">
      <c r="K146" s="19">
        <v>142</v>
      </c>
      <c r="L146" s="21" t="str">
        <f t="shared" si="25"/>
        <v/>
      </c>
      <c r="M146" s="21" t="str">
        <f t="shared" si="26"/>
        <v/>
      </c>
      <c r="N146" s="21" t="str">
        <f t="shared" si="27"/>
        <v/>
      </c>
      <c r="O146" s="21" t="str">
        <f t="shared" si="28"/>
        <v/>
      </c>
      <c r="P146" s="21" t="str">
        <f t="shared" si="29"/>
        <v/>
      </c>
      <c r="Q146" s="21" t="str">
        <f t="shared" si="30"/>
        <v/>
      </c>
      <c r="R146" s="21" t="str">
        <f t="shared" si="31"/>
        <v/>
      </c>
      <c r="T146" s="6" t="s">
        <v>22</v>
      </c>
      <c r="U146" s="6" t="s">
        <v>22</v>
      </c>
      <c r="V146" s="6" t="s">
        <v>22</v>
      </c>
      <c r="W146" s="6" t="s">
        <v>22</v>
      </c>
      <c r="X146" s="6" t="s">
        <v>22</v>
      </c>
      <c r="Y146" s="6" t="s">
        <v>22</v>
      </c>
      <c r="Z146" s="6" t="s">
        <v>22</v>
      </c>
      <c r="AB146" s="22" t="s">
        <v>22</v>
      </c>
      <c r="AC146" s="22" t="s">
        <v>22</v>
      </c>
      <c r="AD146" s="22" t="s">
        <v>22</v>
      </c>
      <c r="AE146" s="22" t="s">
        <v>22</v>
      </c>
      <c r="AF146" s="22" t="s">
        <v>22</v>
      </c>
      <c r="AG146" s="22" t="s">
        <v>22</v>
      </c>
      <c r="AH146" s="5" t="s">
        <v>22</v>
      </c>
      <c r="AJ146" s="5" t="s">
        <v>22</v>
      </c>
      <c r="AK146" s="5" t="s">
        <v>22</v>
      </c>
      <c r="AL146" s="5" t="s">
        <v>22</v>
      </c>
      <c r="AM146" s="5" t="s">
        <v>22</v>
      </c>
      <c r="AN146" s="5" t="s">
        <v>22</v>
      </c>
      <c r="AO146" s="5" t="s">
        <v>22</v>
      </c>
      <c r="AP146" s="5" t="s">
        <v>22</v>
      </c>
    </row>
    <row r="147" spans="11:42">
      <c r="K147" s="18">
        <v>143</v>
      </c>
      <c r="L147" s="21" t="str">
        <f t="shared" si="25"/>
        <v/>
      </c>
      <c r="M147" s="21" t="str">
        <f t="shared" si="26"/>
        <v/>
      </c>
      <c r="N147" s="21" t="str">
        <f t="shared" si="27"/>
        <v/>
      </c>
      <c r="O147" s="21" t="str">
        <f t="shared" si="28"/>
        <v/>
      </c>
      <c r="P147" s="21" t="str">
        <f t="shared" si="29"/>
        <v/>
      </c>
      <c r="Q147" s="21" t="str">
        <f t="shared" si="30"/>
        <v/>
      </c>
      <c r="R147" s="21" t="str">
        <f t="shared" si="31"/>
        <v/>
      </c>
      <c r="T147" s="6" t="s">
        <v>22</v>
      </c>
      <c r="U147" s="6" t="s">
        <v>22</v>
      </c>
      <c r="V147" s="6" t="s">
        <v>22</v>
      </c>
      <c r="W147" s="6" t="s">
        <v>22</v>
      </c>
      <c r="X147" s="6" t="s">
        <v>22</v>
      </c>
      <c r="Y147" s="6" t="s">
        <v>22</v>
      </c>
      <c r="Z147" s="6" t="s">
        <v>22</v>
      </c>
      <c r="AB147" s="22" t="s">
        <v>22</v>
      </c>
      <c r="AC147" s="22" t="s">
        <v>22</v>
      </c>
      <c r="AD147" s="22" t="s">
        <v>22</v>
      </c>
      <c r="AE147" s="22" t="s">
        <v>22</v>
      </c>
      <c r="AF147" s="22" t="s">
        <v>22</v>
      </c>
      <c r="AG147" s="22" t="s">
        <v>22</v>
      </c>
      <c r="AH147" s="5" t="s">
        <v>22</v>
      </c>
      <c r="AJ147" s="5" t="s">
        <v>22</v>
      </c>
      <c r="AK147" s="5" t="s">
        <v>22</v>
      </c>
      <c r="AL147" s="5" t="s">
        <v>22</v>
      </c>
      <c r="AM147" s="5" t="s">
        <v>22</v>
      </c>
      <c r="AN147" s="5" t="s">
        <v>22</v>
      </c>
      <c r="AO147" s="5" t="s">
        <v>22</v>
      </c>
      <c r="AP147" s="5" t="s">
        <v>22</v>
      </c>
    </row>
    <row r="148" spans="11:42">
      <c r="K148" s="19">
        <v>144</v>
      </c>
      <c r="L148" s="21" t="str">
        <f t="shared" si="25"/>
        <v/>
      </c>
      <c r="M148" s="21" t="str">
        <f t="shared" si="26"/>
        <v/>
      </c>
      <c r="N148" s="21" t="str">
        <f t="shared" si="27"/>
        <v/>
      </c>
      <c r="O148" s="21" t="str">
        <f t="shared" si="28"/>
        <v/>
      </c>
      <c r="P148" s="21" t="str">
        <f t="shared" si="29"/>
        <v/>
      </c>
      <c r="Q148" s="21" t="str">
        <f t="shared" si="30"/>
        <v/>
      </c>
      <c r="R148" s="21" t="str">
        <f t="shared" si="31"/>
        <v/>
      </c>
      <c r="T148" s="6" t="s">
        <v>22</v>
      </c>
      <c r="U148" s="6" t="s">
        <v>22</v>
      </c>
      <c r="V148" s="6" t="s">
        <v>22</v>
      </c>
      <c r="W148" s="6" t="s">
        <v>22</v>
      </c>
      <c r="X148" s="6" t="s">
        <v>22</v>
      </c>
      <c r="Y148" s="6" t="s">
        <v>22</v>
      </c>
      <c r="Z148" s="6" t="s">
        <v>22</v>
      </c>
      <c r="AB148" s="22" t="s">
        <v>22</v>
      </c>
      <c r="AC148" s="22" t="s">
        <v>22</v>
      </c>
      <c r="AD148" s="22" t="s">
        <v>22</v>
      </c>
      <c r="AE148" s="22" t="s">
        <v>22</v>
      </c>
      <c r="AF148" s="22" t="s">
        <v>22</v>
      </c>
      <c r="AG148" s="22" t="s">
        <v>22</v>
      </c>
      <c r="AH148" s="5" t="s">
        <v>22</v>
      </c>
      <c r="AJ148" s="5" t="s">
        <v>22</v>
      </c>
      <c r="AK148" s="5" t="s">
        <v>22</v>
      </c>
      <c r="AL148" s="5" t="s">
        <v>22</v>
      </c>
      <c r="AM148" s="5" t="s">
        <v>22</v>
      </c>
      <c r="AN148" s="5" t="s">
        <v>22</v>
      </c>
      <c r="AO148" s="5" t="s">
        <v>22</v>
      </c>
      <c r="AP148" s="5" t="s">
        <v>22</v>
      </c>
    </row>
    <row r="149" spans="11:42">
      <c r="K149" s="18">
        <v>145</v>
      </c>
      <c r="L149" s="21" t="str">
        <f t="shared" si="25"/>
        <v/>
      </c>
      <c r="M149" s="21" t="str">
        <f t="shared" si="26"/>
        <v/>
      </c>
      <c r="N149" s="21" t="str">
        <f t="shared" si="27"/>
        <v/>
      </c>
      <c r="O149" s="21" t="str">
        <f t="shared" si="28"/>
        <v/>
      </c>
      <c r="P149" s="21" t="str">
        <f t="shared" si="29"/>
        <v/>
      </c>
      <c r="Q149" s="21" t="str">
        <f t="shared" si="30"/>
        <v/>
      </c>
      <c r="R149" s="21" t="str">
        <f t="shared" si="31"/>
        <v/>
      </c>
      <c r="T149" s="6" t="s">
        <v>22</v>
      </c>
      <c r="U149" s="6" t="s">
        <v>22</v>
      </c>
      <c r="V149" s="6" t="s">
        <v>22</v>
      </c>
      <c r="W149" s="6" t="s">
        <v>22</v>
      </c>
      <c r="X149" s="6" t="s">
        <v>22</v>
      </c>
      <c r="Y149" s="6" t="s">
        <v>22</v>
      </c>
      <c r="Z149" s="6" t="s">
        <v>22</v>
      </c>
      <c r="AB149" s="22" t="s">
        <v>22</v>
      </c>
      <c r="AC149" s="22" t="s">
        <v>22</v>
      </c>
      <c r="AD149" s="22" t="s">
        <v>22</v>
      </c>
      <c r="AE149" s="22" t="s">
        <v>22</v>
      </c>
      <c r="AF149" s="22" t="s">
        <v>22</v>
      </c>
      <c r="AG149" s="22" t="s">
        <v>22</v>
      </c>
      <c r="AH149" s="5" t="s">
        <v>22</v>
      </c>
      <c r="AJ149" s="5" t="s">
        <v>22</v>
      </c>
      <c r="AK149" s="5" t="s">
        <v>22</v>
      </c>
      <c r="AL149" s="5" t="s">
        <v>22</v>
      </c>
      <c r="AM149" s="5" t="s">
        <v>22</v>
      </c>
      <c r="AN149" s="5" t="s">
        <v>22</v>
      </c>
      <c r="AO149" s="5" t="s">
        <v>22</v>
      </c>
      <c r="AP149" s="5" t="s">
        <v>22</v>
      </c>
    </row>
    <row r="150" spans="11:42">
      <c r="K150" s="19">
        <v>146</v>
      </c>
      <c r="L150" s="21" t="str">
        <f t="shared" si="25"/>
        <v/>
      </c>
      <c r="M150" s="21" t="str">
        <f t="shared" si="26"/>
        <v/>
      </c>
      <c r="N150" s="21" t="str">
        <f t="shared" si="27"/>
        <v/>
      </c>
      <c r="O150" s="21" t="str">
        <f t="shared" si="28"/>
        <v/>
      </c>
      <c r="P150" s="21" t="str">
        <f t="shared" si="29"/>
        <v/>
      </c>
      <c r="Q150" s="21" t="str">
        <f t="shared" si="30"/>
        <v/>
      </c>
      <c r="R150" s="21" t="str">
        <f t="shared" si="31"/>
        <v/>
      </c>
      <c r="T150" s="6" t="s">
        <v>22</v>
      </c>
      <c r="U150" s="6" t="s">
        <v>22</v>
      </c>
      <c r="V150" s="6" t="s">
        <v>22</v>
      </c>
      <c r="W150" s="6" t="s">
        <v>22</v>
      </c>
      <c r="X150" s="6" t="s">
        <v>22</v>
      </c>
      <c r="Y150" s="6" t="s">
        <v>22</v>
      </c>
      <c r="Z150" s="6" t="s">
        <v>22</v>
      </c>
      <c r="AB150" s="22" t="s">
        <v>22</v>
      </c>
      <c r="AC150" s="22" t="s">
        <v>22</v>
      </c>
      <c r="AD150" s="22" t="s">
        <v>22</v>
      </c>
      <c r="AE150" s="22" t="s">
        <v>22</v>
      </c>
      <c r="AF150" s="22" t="s">
        <v>22</v>
      </c>
      <c r="AG150" s="22" t="s">
        <v>22</v>
      </c>
      <c r="AH150" s="5" t="s">
        <v>22</v>
      </c>
      <c r="AJ150" s="5" t="s">
        <v>22</v>
      </c>
      <c r="AK150" s="5" t="s">
        <v>22</v>
      </c>
      <c r="AL150" s="5" t="s">
        <v>22</v>
      </c>
      <c r="AM150" s="5" t="s">
        <v>22</v>
      </c>
      <c r="AN150" s="5" t="s">
        <v>22</v>
      </c>
      <c r="AO150" s="5" t="s">
        <v>22</v>
      </c>
      <c r="AP150" s="5" t="s">
        <v>22</v>
      </c>
    </row>
    <row r="151" spans="11:42">
      <c r="K151" s="18">
        <v>147</v>
      </c>
      <c r="L151" s="21" t="str">
        <f t="shared" si="25"/>
        <v/>
      </c>
      <c r="M151" s="21" t="str">
        <f t="shared" si="26"/>
        <v/>
      </c>
      <c r="N151" s="21" t="str">
        <f t="shared" si="27"/>
        <v/>
      </c>
      <c r="O151" s="21" t="str">
        <f t="shared" si="28"/>
        <v/>
      </c>
      <c r="P151" s="21" t="str">
        <f t="shared" si="29"/>
        <v/>
      </c>
      <c r="Q151" s="21" t="str">
        <f t="shared" si="30"/>
        <v/>
      </c>
      <c r="R151" s="21" t="str">
        <f t="shared" si="31"/>
        <v/>
      </c>
      <c r="T151" s="6" t="s">
        <v>22</v>
      </c>
      <c r="U151" s="6" t="s">
        <v>22</v>
      </c>
      <c r="V151" s="6" t="s">
        <v>22</v>
      </c>
      <c r="W151" s="6" t="s">
        <v>22</v>
      </c>
      <c r="X151" s="6" t="s">
        <v>22</v>
      </c>
      <c r="Y151" s="6" t="s">
        <v>22</v>
      </c>
      <c r="Z151" s="6" t="s">
        <v>22</v>
      </c>
      <c r="AB151" s="22" t="s">
        <v>22</v>
      </c>
      <c r="AC151" s="22" t="s">
        <v>22</v>
      </c>
      <c r="AD151" s="22" t="s">
        <v>22</v>
      </c>
      <c r="AE151" s="22" t="s">
        <v>22</v>
      </c>
      <c r="AF151" s="22" t="s">
        <v>22</v>
      </c>
      <c r="AG151" s="22" t="s">
        <v>22</v>
      </c>
      <c r="AH151" s="5" t="s">
        <v>22</v>
      </c>
      <c r="AJ151" s="5" t="s">
        <v>22</v>
      </c>
      <c r="AK151" s="5" t="s">
        <v>22</v>
      </c>
      <c r="AL151" s="5" t="s">
        <v>22</v>
      </c>
      <c r="AM151" s="5" t="s">
        <v>22</v>
      </c>
      <c r="AN151" s="5" t="s">
        <v>22</v>
      </c>
      <c r="AO151" s="5" t="s">
        <v>22</v>
      </c>
      <c r="AP151" s="5" t="s">
        <v>22</v>
      </c>
    </row>
    <row r="152" spans="11:42">
      <c r="K152" s="19">
        <v>148</v>
      </c>
      <c r="L152" s="21" t="str">
        <f t="shared" si="25"/>
        <v/>
      </c>
      <c r="M152" s="21" t="str">
        <f t="shared" si="26"/>
        <v/>
      </c>
      <c r="N152" s="21" t="str">
        <f t="shared" si="27"/>
        <v/>
      </c>
      <c r="O152" s="21" t="str">
        <f t="shared" si="28"/>
        <v/>
      </c>
      <c r="P152" s="21" t="str">
        <f t="shared" si="29"/>
        <v/>
      </c>
      <c r="Q152" s="21" t="str">
        <f t="shared" si="30"/>
        <v/>
      </c>
      <c r="R152" s="21" t="str">
        <f t="shared" si="31"/>
        <v/>
      </c>
      <c r="T152" s="6" t="s">
        <v>22</v>
      </c>
      <c r="U152" s="6" t="s">
        <v>22</v>
      </c>
      <c r="V152" s="6" t="s">
        <v>22</v>
      </c>
      <c r="W152" s="6" t="s">
        <v>22</v>
      </c>
      <c r="X152" s="6" t="s">
        <v>22</v>
      </c>
      <c r="Y152" s="6" t="s">
        <v>22</v>
      </c>
      <c r="Z152" s="6" t="s">
        <v>22</v>
      </c>
      <c r="AB152" s="22" t="s">
        <v>22</v>
      </c>
      <c r="AC152" s="22" t="s">
        <v>22</v>
      </c>
      <c r="AD152" s="22" t="s">
        <v>22</v>
      </c>
      <c r="AE152" s="22" t="s">
        <v>22</v>
      </c>
      <c r="AF152" s="22" t="s">
        <v>22</v>
      </c>
      <c r="AG152" s="22" t="s">
        <v>22</v>
      </c>
      <c r="AH152" s="5" t="s">
        <v>22</v>
      </c>
      <c r="AJ152" s="5" t="s">
        <v>22</v>
      </c>
      <c r="AK152" s="5" t="s">
        <v>22</v>
      </c>
      <c r="AL152" s="5" t="s">
        <v>22</v>
      </c>
      <c r="AM152" s="5" t="s">
        <v>22</v>
      </c>
      <c r="AN152" s="5" t="s">
        <v>22</v>
      </c>
      <c r="AO152" s="5" t="s">
        <v>22</v>
      </c>
      <c r="AP152" s="5" t="s">
        <v>22</v>
      </c>
    </row>
    <row r="153" spans="11:42">
      <c r="K153" s="18">
        <v>149</v>
      </c>
      <c r="L153" s="21" t="str">
        <f t="shared" si="25"/>
        <v/>
      </c>
      <c r="M153" s="21" t="str">
        <f t="shared" si="26"/>
        <v/>
      </c>
      <c r="N153" s="21" t="str">
        <f t="shared" si="27"/>
        <v/>
      </c>
      <c r="O153" s="21" t="str">
        <f t="shared" si="28"/>
        <v/>
      </c>
      <c r="P153" s="21" t="str">
        <f t="shared" si="29"/>
        <v/>
      </c>
      <c r="Q153" s="21" t="str">
        <f t="shared" si="30"/>
        <v/>
      </c>
      <c r="R153" s="21" t="str">
        <f t="shared" si="31"/>
        <v/>
      </c>
      <c r="T153" s="6" t="s">
        <v>22</v>
      </c>
      <c r="U153" s="6" t="s">
        <v>22</v>
      </c>
      <c r="V153" s="6" t="s">
        <v>22</v>
      </c>
      <c r="W153" s="6" t="s">
        <v>22</v>
      </c>
      <c r="X153" s="6" t="s">
        <v>22</v>
      </c>
      <c r="Y153" s="6" t="s">
        <v>22</v>
      </c>
      <c r="Z153" s="6" t="s">
        <v>22</v>
      </c>
      <c r="AB153" s="22" t="s">
        <v>22</v>
      </c>
      <c r="AC153" s="22" t="s">
        <v>22</v>
      </c>
      <c r="AD153" s="22" t="s">
        <v>22</v>
      </c>
      <c r="AE153" s="22" t="s">
        <v>22</v>
      </c>
      <c r="AF153" s="22" t="s">
        <v>22</v>
      </c>
      <c r="AG153" s="22" t="s">
        <v>22</v>
      </c>
      <c r="AH153" s="5" t="s">
        <v>22</v>
      </c>
      <c r="AJ153" s="5" t="s">
        <v>22</v>
      </c>
      <c r="AK153" s="5" t="s">
        <v>22</v>
      </c>
      <c r="AL153" s="5" t="s">
        <v>22</v>
      </c>
      <c r="AM153" s="5" t="s">
        <v>22</v>
      </c>
      <c r="AN153" s="5" t="s">
        <v>22</v>
      </c>
      <c r="AO153" s="5" t="s">
        <v>22</v>
      </c>
      <c r="AP153" s="5" t="s">
        <v>22</v>
      </c>
    </row>
    <row r="154" spans="11:42">
      <c r="K154" s="19">
        <v>150</v>
      </c>
      <c r="L154" s="21" t="str">
        <f t="shared" si="25"/>
        <v/>
      </c>
      <c r="M154" s="21" t="str">
        <f t="shared" si="26"/>
        <v/>
      </c>
      <c r="N154" s="21" t="str">
        <f t="shared" si="27"/>
        <v/>
      </c>
      <c r="O154" s="21" t="str">
        <f t="shared" si="28"/>
        <v/>
      </c>
      <c r="P154" s="21" t="str">
        <f t="shared" si="29"/>
        <v/>
      </c>
      <c r="Q154" s="21" t="str">
        <f t="shared" si="30"/>
        <v/>
      </c>
      <c r="R154" s="21" t="str">
        <f t="shared" si="31"/>
        <v/>
      </c>
      <c r="T154" s="6" t="s">
        <v>22</v>
      </c>
      <c r="U154" s="6" t="s">
        <v>22</v>
      </c>
      <c r="V154" s="6" t="s">
        <v>22</v>
      </c>
      <c r="W154" s="6" t="s">
        <v>22</v>
      </c>
      <c r="X154" s="6" t="s">
        <v>22</v>
      </c>
      <c r="Y154" s="6" t="s">
        <v>22</v>
      </c>
      <c r="Z154" s="6" t="s">
        <v>22</v>
      </c>
      <c r="AB154" s="22" t="s">
        <v>22</v>
      </c>
      <c r="AC154" s="22" t="s">
        <v>22</v>
      </c>
      <c r="AD154" s="22" t="s">
        <v>22</v>
      </c>
      <c r="AE154" s="22" t="s">
        <v>22</v>
      </c>
      <c r="AF154" s="22" t="s">
        <v>22</v>
      </c>
      <c r="AG154" s="22" t="s">
        <v>22</v>
      </c>
      <c r="AH154" s="5" t="s">
        <v>22</v>
      </c>
      <c r="AJ154" s="5" t="s">
        <v>22</v>
      </c>
      <c r="AK154" s="5" t="s">
        <v>22</v>
      </c>
      <c r="AL154" s="5" t="s">
        <v>22</v>
      </c>
      <c r="AM154" s="5" t="s">
        <v>22</v>
      </c>
      <c r="AN154" s="5" t="s">
        <v>22</v>
      </c>
      <c r="AO154" s="5" t="s">
        <v>22</v>
      </c>
      <c r="AP154" s="5" t="s">
        <v>22</v>
      </c>
    </row>
    <row r="155" spans="11:42">
      <c r="K155" s="18">
        <v>151</v>
      </c>
      <c r="L155" s="21" t="str">
        <f t="shared" si="25"/>
        <v/>
      </c>
      <c r="M155" s="21" t="str">
        <f t="shared" si="26"/>
        <v/>
      </c>
      <c r="N155" s="21" t="str">
        <f t="shared" si="27"/>
        <v/>
      </c>
      <c r="O155" s="21" t="str">
        <f t="shared" si="28"/>
        <v/>
      </c>
      <c r="P155" s="21" t="str">
        <f t="shared" si="29"/>
        <v/>
      </c>
      <c r="Q155" s="21" t="str">
        <f t="shared" si="30"/>
        <v/>
      </c>
      <c r="R155" s="21" t="str">
        <f t="shared" si="31"/>
        <v/>
      </c>
      <c r="T155" s="6" t="s">
        <v>22</v>
      </c>
      <c r="U155" s="6" t="s">
        <v>22</v>
      </c>
      <c r="V155" s="6" t="s">
        <v>22</v>
      </c>
      <c r="W155" s="6" t="s">
        <v>22</v>
      </c>
      <c r="X155" s="6" t="s">
        <v>22</v>
      </c>
      <c r="Y155" s="6" t="s">
        <v>22</v>
      </c>
      <c r="Z155" s="6" t="s">
        <v>22</v>
      </c>
      <c r="AB155" s="22" t="s">
        <v>22</v>
      </c>
      <c r="AC155" s="22" t="s">
        <v>22</v>
      </c>
      <c r="AD155" s="22" t="s">
        <v>22</v>
      </c>
      <c r="AE155" s="22" t="s">
        <v>22</v>
      </c>
      <c r="AF155" s="22" t="s">
        <v>22</v>
      </c>
      <c r="AG155" s="22" t="s">
        <v>22</v>
      </c>
      <c r="AH155" s="5" t="s">
        <v>22</v>
      </c>
      <c r="AJ155" s="5" t="s">
        <v>22</v>
      </c>
      <c r="AK155" s="5" t="s">
        <v>22</v>
      </c>
      <c r="AL155" s="5" t="s">
        <v>22</v>
      </c>
      <c r="AM155" s="5" t="s">
        <v>22</v>
      </c>
      <c r="AN155" s="5" t="s">
        <v>22</v>
      </c>
      <c r="AO155" s="5" t="s">
        <v>22</v>
      </c>
      <c r="AP155" s="5" t="s">
        <v>22</v>
      </c>
    </row>
    <row r="156" spans="11:42">
      <c r="K156" s="19">
        <v>152</v>
      </c>
      <c r="L156" s="21" t="str">
        <f t="shared" si="25"/>
        <v/>
      </c>
      <c r="M156" s="21" t="str">
        <f t="shared" si="26"/>
        <v/>
      </c>
      <c r="N156" s="21" t="str">
        <f t="shared" si="27"/>
        <v/>
      </c>
      <c r="O156" s="21" t="str">
        <f t="shared" si="28"/>
        <v/>
      </c>
      <c r="P156" s="21" t="str">
        <f t="shared" si="29"/>
        <v/>
      </c>
      <c r="Q156" s="21" t="str">
        <f t="shared" si="30"/>
        <v/>
      </c>
      <c r="R156" s="21" t="str">
        <f t="shared" si="31"/>
        <v/>
      </c>
      <c r="T156" s="6" t="s">
        <v>22</v>
      </c>
      <c r="U156" s="6" t="s">
        <v>22</v>
      </c>
      <c r="V156" s="6" t="s">
        <v>22</v>
      </c>
      <c r="W156" s="6" t="s">
        <v>22</v>
      </c>
      <c r="X156" s="6" t="s">
        <v>22</v>
      </c>
      <c r="Y156" s="6" t="s">
        <v>22</v>
      </c>
      <c r="Z156" s="6" t="s">
        <v>22</v>
      </c>
      <c r="AB156" s="22" t="s">
        <v>22</v>
      </c>
      <c r="AC156" s="22" t="s">
        <v>22</v>
      </c>
      <c r="AD156" s="22" t="s">
        <v>22</v>
      </c>
      <c r="AE156" s="22" t="s">
        <v>22</v>
      </c>
      <c r="AF156" s="22" t="s">
        <v>22</v>
      </c>
      <c r="AG156" s="22" t="s">
        <v>22</v>
      </c>
      <c r="AH156" s="5" t="s">
        <v>22</v>
      </c>
      <c r="AJ156" s="5" t="s">
        <v>22</v>
      </c>
      <c r="AK156" s="5" t="s">
        <v>22</v>
      </c>
      <c r="AL156" s="5" t="s">
        <v>22</v>
      </c>
      <c r="AM156" s="5" t="s">
        <v>22</v>
      </c>
      <c r="AN156" s="5" t="s">
        <v>22</v>
      </c>
      <c r="AO156" s="5" t="s">
        <v>22</v>
      </c>
      <c r="AP156" s="5" t="s">
        <v>22</v>
      </c>
    </row>
    <row r="157" spans="11:42">
      <c r="K157" s="18">
        <v>153</v>
      </c>
      <c r="L157" s="21" t="str">
        <f t="shared" si="25"/>
        <v/>
      </c>
      <c r="M157" s="21" t="str">
        <f t="shared" si="26"/>
        <v/>
      </c>
      <c r="N157" s="21" t="str">
        <f t="shared" si="27"/>
        <v/>
      </c>
      <c r="O157" s="21" t="str">
        <f t="shared" si="28"/>
        <v/>
      </c>
      <c r="P157" s="21" t="str">
        <f t="shared" si="29"/>
        <v/>
      </c>
      <c r="Q157" s="21" t="str">
        <f t="shared" si="30"/>
        <v/>
      </c>
      <c r="R157" s="21" t="str">
        <f t="shared" si="31"/>
        <v/>
      </c>
      <c r="T157" s="6" t="s">
        <v>22</v>
      </c>
      <c r="U157" s="6" t="s">
        <v>22</v>
      </c>
      <c r="V157" s="6" t="s">
        <v>22</v>
      </c>
      <c r="W157" s="6" t="s">
        <v>22</v>
      </c>
      <c r="X157" s="6" t="s">
        <v>22</v>
      </c>
      <c r="Y157" s="6" t="s">
        <v>22</v>
      </c>
      <c r="Z157" s="6" t="s">
        <v>22</v>
      </c>
      <c r="AB157" s="22" t="s">
        <v>22</v>
      </c>
      <c r="AC157" s="22" t="s">
        <v>22</v>
      </c>
      <c r="AD157" s="22" t="s">
        <v>22</v>
      </c>
      <c r="AE157" s="22" t="s">
        <v>22</v>
      </c>
      <c r="AF157" s="22" t="s">
        <v>22</v>
      </c>
      <c r="AG157" s="22" t="s">
        <v>22</v>
      </c>
      <c r="AH157" s="5" t="s">
        <v>22</v>
      </c>
      <c r="AJ157" s="5" t="s">
        <v>22</v>
      </c>
      <c r="AK157" s="5" t="s">
        <v>22</v>
      </c>
      <c r="AL157" s="5" t="s">
        <v>22</v>
      </c>
      <c r="AM157" s="5" t="s">
        <v>22</v>
      </c>
      <c r="AN157" s="5" t="s">
        <v>22</v>
      </c>
      <c r="AO157" s="5" t="s">
        <v>22</v>
      </c>
      <c r="AP157" s="5" t="s">
        <v>22</v>
      </c>
    </row>
    <row r="158" spans="11:42">
      <c r="K158" s="19">
        <v>154</v>
      </c>
      <c r="L158" s="21" t="str">
        <f t="shared" si="25"/>
        <v/>
      </c>
      <c r="M158" s="21" t="str">
        <f t="shared" si="26"/>
        <v/>
      </c>
      <c r="N158" s="21" t="str">
        <f t="shared" si="27"/>
        <v/>
      </c>
      <c r="O158" s="21" t="str">
        <f t="shared" si="28"/>
        <v/>
      </c>
      <c r="P158" s="21" t="str">
        <f t="shared" si="29"/>
        <v/>
      </c>
      <c r="Q158" s="21" t="str">
        <f t="shared" si="30"/>
        <v/>
      </c>
      <c r="R158" s="21" t="str">
        <f t="shared" si="31"/>
        <v/>
      </c>
      <c r="T158" s="6" t="s">
        <v>22</v>
      </c>
      <c r="U158" s="6" t="s">
        <v>22</v>
      </c>
      <c r="V158" s="6" t="s">
        <v>22</v>
      </c>
      <c r="W158" s="6" t="s">
        <v>22</v>
      </c>
      <c r="X158" s="6" t="s">
        <v>22</v>
      </c>
      <c r="Y158" s="6" t="s">
        <v>22</v>
      </c>
      <c r="Z158" s="6" t="s">
        <v>22</v>
      </c>
      <c r="AB158" s="22" t="s">
        <v>22</v>
      </c>
      <c r="AC158" s="22" t="s">
        <v>22</v>
      </c>
      <c r="AD158" s="22" t="s">
        <v>22</v>
      </c>
      <c r="AE158" s="22" t="s">
        <v>22</v>
      </c>
      <c r="AF158" s="22" t="s">
        <v>22</v>
      </c>
      <c r="AG158" s="22" t="s">
        <v>22</v>
      </c>
      <c r="AH158" s="5" t="s">
        <v>22</v>
      </c>
      <c r="AJ158" s="5" t="s">
        <v>22</v>
      </c>
      <c r="AK158" s="5" t="s">
        <v>22</v>
      </c>
      <c r="AL158" s="5" t="s">
        <v>22</v>
      </c>
      <c r="AM158" s="5" t="s">
        <v>22</v>
      </c>
      <c r="AN158" s="5" t="s">
        <v>22</v>
      </c>
      <c r="AO158" s="5" t="s">
        <v>22</v>
      </c>
      <c r="AP158" s="5" t="s">
        <v>22</v>
      </c>
    </row>
    <row r="159" spans="11:42">
      <c r="K159" s="18">
        <v>155</v>
      </c>
      <c r="L159" s="21" t="str">
        <f t="shared" si="25"/>
        <v/>
      </c>
      <c r="M159" s="21" t="str">
        <f t="shared" si="26"/>
        <v/>
      </c>
      <c r="N159" s="21" t="str">
        <f t="shared" si="27"/>
        <v/>
      </c>
      <c r="O159" s="21" t="str">
        <f t="shared" si="28"/>
        <v/>
      </c>
      <c r="P159" s="21" t="str">
        <f t="shared" si="29"/>
        <v/>
      </c>
      <c r="Q159" s="21" t="str">
        <f t="shared" si="30"/>
        <v/>
      </c>
      <c r="R159" s="21" t="str">
        <f t="shared" si="31"/>
        <v/>
      </c>
      <c r="T159" s="6" t="s">
        <v>22</v>
      </c>
      <c r="U159" s="6" t="s">
        <v>22</v>
      </c>
      <c r="V159" s="6" t="s">
        <v>22</v>
      </c>
      <c r="W159" s="6" t="s">
        <v>22</v>
      </c>
      <c r="X159" s="6" t="s">
        <v>22</v>
      </c>
      <c r="Y159" s="6" t="s">
        <v>22</v>
      </c>
      <c r="Z159" s="6" t="s">
        <v>22</v>
      </c>
      <c r="AB159" s="22" t="s">
        <v>22</v>
      </c>
      <c r="AC159" s="22" t="s">
        <v>22</v>
      </c>
      <c r="AD159" s="22" t="s">
        <v>22</v>
      </c>
      <c r="AE159" s="22" t="s">
        <v>22</v>
      </c>
      <c r="AF159" s="22" t="s">
        <v>22</v>
      </c>
      <c r="AG159" s="22" t="s">
        <v>22</v>
      </c>
      <c r="AH159" s="5" t="s">
        <v>22</v>
      </c>
      <c r="AJ159" s="5" t="s">
        <v>22</v>
      </c>
      <c r="AK159" s="5" t="s">
        <v>22</v>
      </c>
      <c r="AL159" s="5" t="s">
        <v>22</v>
      </c>
      <c r="AM159" s="5" t="s">
        <v>22</v>
      </c>
      <c r="AN159" s="5" t="s">
        <v>22</v>
      </c>
      <c r="AO159" s="5" t="s">
        <v>22</v>
      </c>
      <c r="AP159" s="5" t="s">
        <v>22</v>
      </c>
    </row>
    <row r="160" spans="11:42">
      <c r="K160" s="19">
        <v>156</v>
      </c>
      <c r="L160" s="21" t="str">
        <f t="shared" si="25"/>
        <v/>
      </c>
      <c r="M160" s="21" t="str">
        <f t="shared" si="26"/>
        <v/>
      </c>
      <c r="N160" s="21" t="str">
        <f t="shared" si="27"/>
        <v/>
      </c>
      <c r="O160" s="21" t="str">
        <f t="shared" si="28"/>
        <v/>
      </c>
      <c r="P160" s="21" t="str">
        <f t="shared" si="29"/>
        <v/>
      </c>
      <c r="Q160" s="21" t="str">
        <f t="shared" si="30"/>
        <v/>
      </c>
      <c r="R160" s="21" t="str">
        <f t="shared" si="31"/>
        <v/>
      </c>
      <c r="T160" s="6" t="s">
        <v>22</v>
      </c>
      <c r="U160" s="6" t="s">
        <v>22</v>
      </c>
      <c r="V160" s="6" t="s">
        <v>22</v>
      </c>
      <c r="W160" s="6" t="s">
        <v>22</v>
      </c>
      <c r="X160" s="6" t="s">
        <v>22</v>
      </c>
      <c r="Y160" s="6" t="s">
        <v>22</v>
      </c>
      <c r="Z160" s="6" t="s">
        <v>22</v>
      </c>
      <c r="AB160" s="22" t="s">
        <v>22</v>
      </c>
      <c r="AC160" s="22" t="s">
        <v>22</v>
      </c>
      <c r="AD160" s="22" t="s">
        <v>22</v>
      </c>
      <c r="AE160" s="22" t="s">
        <v>22</v>
      </c>
      <c r="AF160" s="22" t="s">
        <v>22</v>
      </c>
      <c r="AG160" s="22" t="s">
        <v>22</v>
      </c>
      <c r="AH160" s="5" t="s">
        <v>22</v>
      </c>
      <c r="AJ160" s="5" t="s">
        <v>22</v>
      </c>
      <c r="AK160" s="5" t="s">
        <v>22</v>
      </c>
      <c r="AL160" s="5" t="s">
        <v>22</v>
      </c>
      <c r="AM160" s="5" t="s">
        <v>22</v>
      </c>
      <c r="AN160" s="5" t="s">
        <v>22</v>
      </c>
      <c r="AO160" s="5" t="s">
        <v>22</v>
      </c>
      <c r="AP160" s="5" t="s">
        <v>22</v>
      </c>
    </row>
    <row r="161" spans="11:42">
      <c r="K161" s="18">
        <v>157</v>
      </c>
      <c r="L161" s="21" t="str">
        <f t="shared" si="25"/>
        <v/>
      </c>
      <c r="M161" s="21" t="str">
        <f t="shared" si="26"/>
        <v/>
      </c>
      <c r="N161" s="21" t="str">
        <f t="shared" si="27"/>
        <v/>
      </c>
      <c r="O161" s="21" t="str">
        <f t="shared" si="28"/>
        <v/>
      </c>
      <c r="P161" s="21" t="str">
        <f t="shared" si="29"/>
        <v/>
      </c>
      <c r="Q161" s="21" t="str">
        <f t="shared" si="30"/>
        <v/>
      </c>
      <c r="R161" s="21" t="str">
        <f t="shared" si="31"/>
        <v/>
      </c>
      <c r="T161" s="6" t="s">
        <v>22</v>
      </c>
      <c r="U161" s="6" t="s">
        <v>22</v>
      </c>
      <c r="V161" s="6" t="s">
        <v>22</v>
      </c>
      <c r="W161" s="6" t="s">
        <v>22</v>
      </c>
      <c r="X161" s="6" t="s">
        <v>22</v>
      </c>
      <c r="Y161" s="6" t="s">
        <v>22</v>
      </c>
      <c r="Z161" s="6" t="s">
        <v>22</v>
      </c>
      <c r="AB161" s="22" t="s">
        <v>22</v>
      </c>
      <c r="AC161" s="22" t="s">
        <v>22</v>
      </c>
      <c r="AD161" s="22" t="s">
        <v>22</v>
      </c>
      <c r="AE161" s="22" t="s">
        <v>22</v>
      </c>
      <c r="AF161" s="22" t="s">
        <v>22</v>
      </c>
      <c r="AG161" s="22" t="s">
        <v>22</v>
      </c>
      <c r="AH161" s="5" t="s">
        <v>22</v>
      </c>
      <c r="AJ161" s="5" t="s">
        <v>22</v>
      </c>
      <c r="AK161" s="5" t="s">
        <v>22</v>
      </c>
      <c r="AL161" s="5" t="s">
        <v>22</v>
      </c>
      <c r="AM161" s="5" t="s">
        <v>22</v>
      </c>
      <c r="AN161" s="5" t="s">
        <v>22</v>
      </c>
      <c r="AO161" s="5" t="s">
        <v>22</v>
      </c>
      <c r="AP161" s="5" t="s">
        <v>22</v>
      </c>
    </row>
    <row r="162" spans="11:42">
      <c r="K162" s="19">
        <v>158</v>
      </c>
      <c r="L162" s="21" t="str">
        <f t="shared" si="25"/>
        <v/>
      </c>
      <c r="M162" s="21" t="str">
        <f t="shared" si="26"/>
        <v/>
      </c>
      <c r="N162" s="21" t="str">
        <f t="shared" si="27"/>
        <v/>
      </c>
      <c r="O162" s="21" t="str">
        <f t="shared" si="28"/>
        <v/>
      </c>
      <c r="P162" s="21" t="str">
        <f t="shared" si="29"/>
        <v/>
      </c>
      <c r="Q162" s="21" t="str">
        <f t="shared" si="30"/>
        <v/>
      </c>
      <c r="R162" s="21" t="str">
        <f t="shared" si="31"/>
        <v/>
      </c>
      <c r="T162" s="6" t="s">
        <v>22</v>
      </c>
      <c r="U162" s="6" t="s">
        <v>22</v>
      </c>
      <c r="V162" s="6" t="s">
        <v>22</v>
      </c>
      <c r="W162" s="6" t="s">
        <v>22</v>
      </c>
      <c r="X162" s="6" t="s">
        <v>22</v>
      </c>
      <c r="Y162" s="6" t="s">
        <v>22</v>
      </c>
      <c r="Z162" s="6" t="s">
        <v>22</v>
      </c>
      <c r="AB162" s="22" t="s">
        <v>22</v>
      </c>
      <c r="AC162" s="22" t="s">
        <v>22</v>
      </c>
      <c r="AD162" s="22" t="s">
        <v>22</v>
      </c>
      <c r="AE162" s="22" t="s">
        <v>22</v>
      </c>
      <c r="AF162" s="22" t="s">
        <v>22</v>
      </c>
      <c r="AG162" s="22" t="s">
        <v>22</v>
      </c>
      <c r="AH162" s="5" t="s">
        <v>22</v>
      </c>
      <c r="AJ162" s="5" t="s">
        <v>22</v>
      </c>
      <c r="AK162" s="5" t="s">
        <v>22</v>
      </c>
      <c r="AL162" s="5" t="s">
        <v>22</v>
      </c>
      <c r="AM162" s="5" t="s">
        <v>22</v>
      </c>
      <c r="AN162" s="5" t="s">
        <v>22</v>
      </c>
      <c r="AO162" s="5" t="s">
        <v>22</v>
      </c>
      <c r="AP162" s="5" t="s">
        <v>22</v>
      </c>
    </row>
    <row r="163" spans="11:42">
      <c r="K163" s="18">
        <v>159</v>
      </c>
      <c r="L163" s="21" t="str">
        <f t="shared" si="25"/>
        <v/>
      </c>
      <c r="M163" s="21" t="str">
        <f t="shared" si="26"/>
        <v/>
      </c>
      <c r="N163" s="21" t="str">
        <f t="shared" si="27"/>
        <v/>
      </c>
      <c r="O163" s="21" t="str">
        <f t="shared" si="28"/>
        <v/>
      </c>
      <c r="P163" s="21" t="str">
        <f t="shared" si="29"/>
        <v/>
      </c>
      <c r="Q163" s="21" t="str">
        <f t="shared" si="30"/>
        <v/>
      </c>
      <c r="R163" s="21" t="str">
        <f t="shared" si="31"/>
        <v/>
      </c>
      <c r="T163" s="6" t="s">
        <v>22</v>
      </c>
      <c r="U163" s="6" t="s">
        <v>22</v>
      </c>
      <c r="V163" s="6" t="s">
        <v>22</v>
      </c>
      <c r="W163" s="6" t="s">
        <v>22</v>
      </c>
      <c r="X163" s="6" t="s">
        <v>22</v>
      </c>
      <c r="Y163" s="6" t="s">
        <v>22</v>
      </c>
      <c r="Z163" s="6" t="s">
        <v>22</v>
      </c>
      <c r="AB163" s="22" t="s">
        <v>22</v>
      </c>
      <c r="AC163" s="22" t="s">
        <v>22</v>
      </c>
      <c r="AD163" s="22" t="s">
        <v>22</v>
      </c>
      <c r="AE163" s="22" t="s">
        <v>22</v>
      </c>
      <c r="AF163" s="22" t="s">
        <v>22</v>
      </c>
      <c r="AG163" s="22" t="s">
        <v>22</v>
      </c>
      <c r="AH163" s="5" t="s">
        <v>22</v>
      </c>
      <c r="AJ163" s="5" t="s">
        <v>22</v>
      </c>
      <c r="AK163" s="5" t="s">
        <v>22</v>
      </c>
      <c r="AL163" s="5" t="s">
        <v>22</v>
      </c>
      <c r="AM163" s="5" t="s">
        <v>22</v>
      </c>
      <c r="AN163" s="5" t="s">
        <v>22</v>
      </c>
      <c r="AO163" s="5" t="s">
        <v>22</v>
      </c>
      <c r="AP163" s="5" t="s">
        <v>22</v>
      </c>
    </row>
    <row r="164" spans="11:42">
      <c r="K164" s="19">
        <v>160</v>
      </c>
      <c r="L164" s="21" t="str">
        <f t="shared" si="25"/>
        <v/>
      </c>
      <c r="M164" s="21" t="str">
        <f t="shared" si="26"/>
        <v/>
      </c>
      <c r="N164" s="21" t="str">
        <f t="shared" si="27"/>
        <v/>
      </c>
      <c r="O164" s="21" t="str">
        <f t="shared" si="28"/>
        <v/>
      </c>
      <c r="P164" s="21" t="str">
        <f t="shared" si="29"/>
        <v/>
      </c>
      <c r="Q164" s="21" t="str">
        <f t="shared" si="30"/>
        <v/>
      </c>
      <c r="R164" s="21" t="str">
        <f t="shared" si="31"/>
        <v/>
      </c>
      <c r="T164" s="6" t="s">
        <v>22</v>
      </c>
      <c r="U164" s="6" t="s">
        <v>22</v>
      </c>
      <c r="V164" s="6" t="s">
        <v>22</v>
      </c>
      <c r="W164" s="6" t="s">
        <v>22</v>
      </c>
      <c r="X164" s="6" t="s">
        <v>22</v>
      </c>
      <c r="Y164" s="6" t="s">
        <v>22</v>
      </c>
      <c r="Z164" s="6" t="s">
        <v>22</v>
      </c>
      <c r="AB164" s="22" t="s">
        <v>22</v>
      </c>
      <c r="AC164" s="22" t="s">
        <v>22</v>
      </c>
      <c r="AD164" s="22" t="s">
        <v>22</v>
      </c>
      <c r="AE164" s="22" t="s">
        <v>22</v>
      </c>
      <c r="AF164" s="22" t="s">
        <v>22</v>
      </c>
      <c r="AG164" s="22" t="s">
        <v>22</v>
      </c>
      <c r="AH164" s="5" t="s">
        <v>22</v>
      </c>
      <c r="AJ164" s="5" t="s">
        <v>22</v>
      </c>
      <c r="AK164" s="5" t="s">
        <v>22</v>
      </c>
      <c r="AL164" s="5" t="s">
        <v>22</v>
      </c>
      <c r="AM164" s="5" t="s">
        <v>22</v>
      </c>
      <c r="AN164" s="5" t="s">
        <v>22</v>
      </c>
      <c r="AO164" s="5" t="s">
        <v>22</v>
      </c>
      <c r="AP164" s="5" t="s">
        <v>22</v>
      </c>
    </row>
    <row r="165" spans="11:42">
      <c r="K165" s="18">
        <v>161</v>
      </c>
      <c r="L165" s="21" t="str">
        <f t="shared" si="25"/>
        <v/>
      </c>
      <c r="M165" s="21" t="str">
        <f t="shared" si="26"/>
        <v/>
      </c>
      <c r="N165" s="21" t="str">
        <f t="shared" si="27"/>
        <v/>
      </c>
      <c r="O165" s="21" t="str">
        <f t="shared" si="28"/>
        <v/>
      </c>
      <c r="P165" s="21" t="str">
        <f t="shared" si="29"/>
        <v/>
      </c>
      <c r="Q165" s="21" t="str">
        <f t="shared" si="30"/>
        <v/>
      </c>
      <c r="R165" s="21" t="str">
        <f t="shared" si="31"/>
        <v/>
      </c>
      <c r="T165" s="6" t="s">
        <v>22</v>
      </c>
      <c r="U165" s="6" t="s">
        <v>22</v>
      </c>
      <c r="V165" s="6" t="s">
        <v>22</v>
      </c>
      <c r="W165" s="6" t="s">
        <v>22</v>
      </c>
      <c r="X165" s="6" t="s">
        <v>22</v>
      </c>
      <c r="Y165" s="6" t="s">
        <v>22</v>
      </c>
      <c r="Z165" s="6" t="s">
        <v>22</v>
      </c>
      <c r="AB165" s="22" t="s">
        <v>22</v>
      </c>
      <c r="AC165" s="22" t="s">
        <v>22</v>
      </c>
      <c r="AD165" s="22" t="s">
        <v>22</v>
      </c>
      <c r="AE165" s="22" t="s">
        <v>22</v>
      </c>
      <c r="AF165" s="22" t="s">
        <v>22</v>
      </c>
      <c r="AG165" s="22" t="s">
        <v>22</v>
      </c>
      <c r="AH165" s="5" t="s">
        <v>22</v>
      </c>
      <c r="AJ165" s="5" t="s">
        <v>22</v>
      </c>
      <c r="AK165" s="5" t="s">
        <v>22</v>
      </c>
      <c r="AL165" s="5" t="s">
        <v>22</v>
      </c>
      <c r="AM165" s="5" t="s">
        <v>22</v>
      </c>
      <c r="AN165" s="5" t="s">
        <v>22</v>
      </c>
      <c r="AO165" s="5" t="s">
        <v>22</v>
      </c>
      <c r="AP165" s="5" t="s">
        <v>22</v>
      </c>
    </row>
    <row r="166" spans="11:42">
      <c r="K166" s="19">
        <v>162</v>
      </c>
      <c r="L166" s="21" t="str">
        <f t="shared" si="25"/>
        <v/>
      </c>
      <c r="M166" s="21" t="str">
        <f t="shared" si="26"/>
        <v/>
      </c>
      <c r="N166" s="21" t="str">
        <f t="shared" si="27"/>
        <v/>
      </c>
      <c r="O166" s="21" t="str">
        <f t="shared" si="28"/>
        <v/>
      </c>
      <c r="P166" s="21" t="str">
        <f t="shared" si="29"/>
        <v/>
      </c>
      <c r="Q166" s="21" t="str">
        <f t="shared" si="30"/>
        <v/>
      </c>
      <c r="R166" s="21" t="str">
        <f t="shared" si="31"/>
        <v/>
      </c>
      <c r="T166" s="6" t="s">
        <v>22</v>
      </c>
      <c r="U166" s="6" t="s">
        <v>22</v>
      </c>
      <c r="V166" s="6" t="s">
        <v>22</v>
      </c>
      <c r="W166" s="6" t="s">
        <v>22</v>
      </c>
      <c r="X166" s="6" t="s">
        <v>22</v>
      </c>
      <c r="Y166" s="6" t="s">
        <v>22</v>
      </c>
      <c r="Z166" s="6" t="s">
        <v>22</v>
      </c>
      <c r="AB166" s="22" t="s">
        <v>22</v>
      </c>
      <c r="AC166" s="22" t="s">
        <v>22</v>
      </c>
      <c r="AD166" s="22" t="s">
        <v>22</v>
      </c>
      <c r="AE166" s="22" t="s">
        <v>22</v>
      </c>
      <c r="AF166" s="22" t="s">
        <v>22</v>
      </c>
      <c r="AG166" s="22" t="s">
        <v>22</v>
      </c>
      <c r="AH166" s="5" t="s">
        <v>22</v>
      </c>
      <c r="AJ166" s="5" t="s">
        <v>22</v>
      </c>
      <c r="AK166" s="5" t="s">
        <v>22</v>
      </c>
      <c r="AL166" s="5" t="s">
        <v>22</v>
      </c>
      <c r="AM166" s="5" t="s">
        <v>22</v>
      </c>
      <c r="AN166" s="5" t="s">
        <v>22</v>
      </c>
      <c r="AO166" s="5" t="s">
        <v>22</v>
      </c>
      <c r="AP166" s="5" t="s">
        <v>22</v>
      </c>
    </row>
    <row r="167" spans="11:42">
      <c r="K167" s="18">
        <v>163</v>
      </c>
      <c r="L167" s="21" t="str">
        <f t="shared" si="25"/>
        <v/>
      </c>
      <c r="M167" s="21" t="str">
        <f t="shared" si="26"/>
        <v/>
      </c>
      <c r="N167" s="21" t="str">
        <f t="shared" si="27"/>
        <v/>
      </c>
      <c r="O167" s="21" t="str">
        <f t="shared" si="28"/>
        <v/>
      </c>
      <c r="P167" s="21" t="str">
        <f t="shared" si="29"/>
        <v/>
      </c>
      <c r="Q167" s="21" t="str">
        <f t="shared" si="30"/>
        <v/>
      </c>
      <c r="R167" s="21" t="str">
        <f t="shared" si="31"/>
        <v/>
      </c>
      <c r="T167" s="6" t="s">
        <v>22</v>
      </c>
      <c r="U167" s="6" t="s">
        <v>22</v>
      </c>
      <c r="V167" s="6" t="s">
        <v>22</v>
      </c>
      <c r="W167" s="6" t="s">
        <v>22</v>
      </c>
      <c r="X167" s="6" t="s">
        <v>22</v>
      </c>
      <c r="Y167" s="6" t="s">
        <v>22</v>
      </c>
      <c r="Z167" s="6" t="s">
        <v>22</v>
      </c>
      <c r="AB167" s="22" t="s">
        <v>22</v>
      </c>
      <c r="AC167" s="22" t="s">
        <v>22</v>
      </c>
      <c r="AD167" s="22" t="s">
        <v>22</v>
      </c>
      <c r="AE167" s="22" t="s">
        <v>22</v>
      </c>
      <c r="AF167" s="22" t="s">
        <v>22</v>
      </c>
      <c r="AG167" s="22" t="s">
        <v>22</v>
      </c>
      <c r="AH167" s="5" t="s">
        <v>22</v>
      </c>
      <c r="AJ167" s="5" t="s">
        <v>22</v>
      </c>
      <c r="AK167" s="5" t="s">
        <v>22</v>
      </c>
      <c r="AL167" s="5" t="s">
        <v>22</v>
      </c>
      <c r="AM167" s="5" t="s">
        <v>22</v>
      </c>
      <c r="AN167" s="5" t="s">
        <v>22</v>
      </c>
      <c r="AO167" s="5" t="s">
        <v>22</v>
      </c>
      <c r="AP167" s="5" t="s">
        <v>22</v>
      </c>
    </row>
    <row r="168" spans="11:42">
      <c r="K168" s="19">
        <v>164</v>
      </c>
      <c r="L168" s="21" t="str">
        <f t="shared" si="25"/>
        <v/>
      </c>
      <c r="M168" s="21" t="str">
        <f t="shared" si="26"/>
        <v/>
      </c>
      <c r="N168" s="21" t="str">
        <f t="shared" si="27"/>
        <v/>
      </c>
      <c r="O168" s="21" t="str">
        <f t="shared" si="28"/>
        <v/>
      </c>
      <c r="P168" s="21" t="str">
        <f t="shared" si="29"/>
        <v/>
      </c>
      <c r="Q168" s="21" t="str">
        <f t="shared" si="30"/>
        <v/>
      </c>
      <c r="R168" s="21" t="str">
        <f t="shared" si="31"/>
        <v/>
      </c>
      <c r="T168" s="6" t="s">
        <v>22</v>
      </c>
      <c r="U168" s="6" t="s">
        <v>22</v>
      </c>
      <c r="V168" s="6" t="s">
        <v>22</v>
      </c>
      <c r="W168" s="6" t="s">
        <v>22</v>
      </c>
      <c r="X168" s="6" t="s">
        <v>22</v>
      </c>
      <c r="Y168" s="6" t="s">
        <v>22</v>
      </c>
      <c r="Z168" s="6" t="s">
        <v>22</v>
      </c>
      <c r="AB168" s="22" t="s">
        <v>22</v>
      </c>
      <c r="AC168" s="22" t="s">
        <v>22</v>
      </c>
      <c r="AD168" s="22" t="s">
        <v>22</v>
      </c>
      <c r="AE168" s="22" t="s">
        <v>22</v>
      </c>
      <c r="AF168" s="22" t="s">
        <v>22</v>
      </c>
      <c r="AG168" s="22" t="s">
        <v>22</v>
      </c>
      <c r="AH168" s="5" t="s">
        <v>22</v>
      </c>
      <c r="AJ168" s="5" t="s">
        <v>22</v>
      </c>
      <c r="AK168" s="5" t="s">
        <v>22</v>
      </c>
      <c r="AL168" s="5" t="s">
        <v>22</v>
      </c>
      <c r="AM168" s="5" t="s">
        <v>22</v>
      </c>
      <c r="AN168" s="5" t="s">
        <v>22</v>
      </c>
      <c r="AO168" s="5" t="s">
        <v>22</v>
      </c>
      <c r="AP168" s="5" t="s">
        <v>22</v>
      </c>
    </row>
    <row r="169" spans="11:42">
      <c r="K169" s="18">
        <v>165</v>
      </c>
      <c r="L169" s="21" t="str">
        <f t="shared" si="25"/>
        <v/>
      </c>
      <c r="M169" s="21" t="str">
        <f t="shared" si="26"/>
        <v/>
      </c>
      <c r="N169" s="21" t="str">
        <f t="shared" si="27"/>
        <v/>
      </c>
      <c r="O169" s="21" t="str">
        <f t="shared" si="28"/>
        <v/>
      </c>
      <c r="P169" s="21" t="str">
        <f t="shared" si="29"/>
        <v/>
      </c>
      <c r="Q169" s="21" t="str">
        <f t="shared" si="30"/>
        <v/>
      </c>
      <c r="R169" s="21" t="str">
        <f t="shared" si="31"/>
        <v/>
      </c>
      <c r="T169" s="6" t="s">
        <v>22</v>
      </c>
      <c r="U169" s="6" t="s">
        <v>22</v>
      </c>
      <c r="V169" s="6" t="s">
        <v>22</v>
      </c>
      <c r="W169" s="6" t="s">
        <v>22</v>
      </c>
      <c r="X169" s="6" t="s">
        <v>22</v>
      </c>
      <c r="Y169" s="6" t="s">
        <v>22</v>
      </c>
      <c r="Z169" s="6" t="s">
        <v>22</v>
      </c>
      <c r="AB169" s="22" t="s">
        <v>22</v>
      </c>
      <c r="AC169" s="22" t="s">
        <v>22</v>
      </c>
      <c r="AD169" s="22" t="s">
        <v>22</v>
      </c>
      <c r="AE169" s="22" t="s">
        <v>22</v>
      </c>
      <c r="AF169" s="22" t="s">
        <v>22</v>
      </c>
      <c r="AG169" s="22" t="s">
        <v>22</v>
      </c>
      <c r="AH169" s="5" t="s">
        <v>22</v>
      </c>
      <c r="AJ169" s="5" t="s">
        <v>22</v>
      </c>
      <c r="AK169" s="5" t="s">
        <v>22</v>
      </c>
      <c r="AL169" s="5" t="s">
        <v>22</v>
      </c>
      <c r="AM169" s="5" t="s">
        <v>22</v>
      </c>
      <c r="AN169" s="5" t="s">
        <v>22</v>
      </c>
      <c r="AO169" s="5" t="s">
        <v>22</v>
      </c>
      <c r="AP169" s="5" t="s">
        <v>22</v>
      </c>
    </row>
    <row r="170" spans="11:42">
      <c r="K170" s="19">
        <v>166</v>
      </c>
      <c r="L170" s="21" t="str">
        <f t="shared" si="25"/>
        <v/>
      </c>
      <c r="M170" s="21" t="str">
        <f t="shared" si="26"/>
        <v/>
      </c>
      <c r="N170" s="21" t="str">
        <f t="shared" si="27"/>
        <v/>
      </c>
      <c r="O170" s="21" t="str">
        <f t="shared" si="28"/>
        <v/>
      </c>
      <c r="P170" s="21" t="str">
        <f t="shared" si="29"/>
        <v/>
      </c>
      <c r="Q170" s="21" t="str">
        <f t="shared" si="30"/>
        <v/>
      </c>
      <c r="R170" s="21" t="str">
        <f t="shared" si="31"/>
        <v/>
      </c>
      <c r="T170" s="6" t="s">
        <v>22</v>
      </c>
      <c r="U170" s="6" t="s">
        <v>22</v>
      </c>
      <c r="V170" s="6" t="s">
        <v>22</v>
      </c>
      <c r="W170" s="6" t="s">
        <v>22</v>
      </c>
      <c r="X170" s="6" t="s">
        <v>22</v>
      </c>
      <c r="Y170" s="6" t="s">
        <v>22</v>
      </c>
      <c r="Z170" s="6" t="s">
        <v>22</v>
      </c>
      <c r="AB170" s="22" t="s">
        <v>22</v>
      </c>
      <c r="AC170" s="22" t="s">
        <v>22</v>
      </c>
      <c r="AD170" s="22" t="s">
        <v>22</v>
      </c>
      <c r="AE170" s="22" t="s">
        <v>22</v>
      </c>
      <c r="AF170" s="22" t="s">
        <v>22</v>
      </c>
      <c r="AG170" s="22" t="s">
        <v>22</v>
      </c>
      <c r="AH170" s="5" t="s">
        <v>22</v>
      </c>
      <c r="AJ170" s="5" t="s">
        <v>22</v>
      </c>
      <c r="AK170" s="5" t="s">
        <v>22</v>
      </c>
      <c r="AL170" s="5" t="s">
        <v>22</v>
      </c>
      <c r="AM170" s="5" t="s">
        <v>22</v>
      </c>
      <c r="AN170" s="5" t="s">
        <v>22</v>
      </c>
      <c r="AO170" s="5" t="s">
        <v>22</v>
      </c>
      <c r="AP170" s="5" t="s">
        <v>22</v>
      </c>
    </row>
    <row r="171" spans="11:42">
      <c r="K171" s="18">
        <v>167</v>
      </c>
      <c r="L171" s="21" t="str">
        <f t="shared" si="25"/>
        <v/>
      </c>
      <c r="M171" s="21" t="str">
        <f t="shared" si="26"/>
        <v/>
      </c>
      <c r="N171" s="21" t="str">
        <f t="shared" si="27"/>
        <v/>
      </c>
      <c r="O171" s="21" t="str">
        <f t="shared" si="28"/>
        <v/>
      </c>
      <c r="P171" s="21" t="str">
        <f t="shared" si="29"/>
        <v/>
      </c>
      <c r="Q171" s="21" t="str">
        <f t="shared" si="30"/>
        <v/>
      </c>
      <c r="R171" s="21" t="str">
        <f t="shared" si="31"/>
        <v/>
      </c>
      <c r="T171" s="6" t="s">
        <v>22</v>
      </c>
      <c r="U171" s="6" t="s">
        <v>22</v>
      </c>
      <c r="V171" s="6" t="s">
        <v>22</v>
      </c>
      <c r="W171" s="6" t="s">
        <v>22</v>
      </c>
      <c r="X171" s="6" t="s">
        <v>22</v>
      </c>
      <c r="Y171" s="6" t="s">
        <v>22</v>
      </c>
      <c r="Z171" s="6" t="s">
        <v>22</v>
      </c>
      <c r="AB171" s="22" t="s">
        <v>22</v>
      </c>
      <c r="AC171" s="22" t="s">
        <v>22</v>
      </c>
      <c r="AD171" s="22" t="s">
        <v>22</v>
      </c>
      <c r="AE171" s="22" t="s">
        <v>22</v>
      </c>
      <c r="AF171" s="22" t="s">
        <v>22</v>
      </c>
      <c r="AG171" s="22" t="s">
        <v>22</v>
      </c>
      <c r="AH171" s="5" t="s">
        <v>22</v>
      </c>
      <c r="AJ171" s="5" t="s">
        <v>22</v>
      </c>
      <c r="AK171" s="5" t="s">
        <v>22</v>
      </c>
      <c r="AL171" s="5" t="s">
        <v>22</v>
      </c>
      <c r="AM171" s="5" t="s">
        <v>22</v>
      </c>
      <c r="AN171" s="5" t="s">
        <v>22</v>
      </c>
      <c r="AO171" s="5" t="s">
        <v>22</v>
      </c>
      <c r="AP171" s="5" t="s">
        <v>22</v>
      </c>
    </row>
    <row r="172" spans="11:42">
      <c r="K172" s="19">
        <v>168</v>
      </c>
      <c r="L172" s="21" t="str">
        <f t="shared" si="25"/>
        <v/>
      </c>
      <c r="M172" s="21" t="str">
        <f t="shared" si="26"/>
        <v/>
      </c>
      <c r="N172" s="21" t="str">
        <f t="shared" si="27"/>
        <v/>
      </c>
      <c r="O172" s="21" t="str">
        <f t="shared" si="28"/>
        <v/>
      </c>
      <c r="P172" s="21" t="str">
        <f t="shared" si="29"/>
        <v/>
      </c>
      <c r="Q172" s="21" t="str">
        <f t="shared" si="30"/>
        <v/>
      </c>
      <c r="R172" s="21" t="str">
        <f t="shared" si="31"/>
        <v/>
      </c>
      <c r="T172" s="6" t="s">
        <v>22</v>
      </c>
      <c r="U172" s="6" t="s">
        <v>22</v>
      </c>
      <c r="V172" s="6" t="s">
        <v>22</v>
      </c>
      <c r="W172" s="6" t="s">
        <v>22</v>
      </c>
      <c r="X172" s="6" t="s">
        <v>22</v>
      </c>
      <c r="Y172" s="6" t="s">
        <v>22</v>
      </c>
      <c r="Z172" s="6" t="s">
        <v>22</v>
      </c>
      <c r="AB172" s="22" t="s">
        <v>22</v>
      </c>
      <c r="AC172" s="22" t="s">
        <v>22</v>
      </c>
      <c r="AD172" s="22" t="s">
        <v>22</v>
      </c>
      <c r="AE172" s="22" t="s">
        <v>22</v>
      </c>
      <c r="AF172" s="22" t="s">
        <v>22</v>
      </c>
      <c r="AG172" s="22" t="s">
        <v>22</v>
      </c>
      <c r="AH172" s="5" t="s">
        <v>22</v>
      </c>
      <c r="AJ172" s="5" t="s">
        <v>22</v>
      </c>
      <c r="AK172" s="5" t="s">
        <v>22</v>
      </c>
      <c r="AL172" s="5" t="s">
        <v>22</v>
      </c>
      <c r="AM172" s="5" t="s">
        <v>22</v>
      </c>
      <c r="AN172" s="5" t="s">
        <v>22</v>
      </c>
      <c r="AO172" s="5" t="s">
        <v>22</v>
      </c>
      <c r="AP172" s="5" t="s">
        <v>22</v>
      </c>
    </row>
    <row r="173" spans="11:42">
      <c r="K173" s="18">
        <v>169</v>
      </c>
      <c r="L173" s="21" t="str">
        <f t="shared" si="25"/>
        <v/>
      </c>
      <c r="M173" s="21" t="str">
        <f t="shared" si="26"/>
        <v/>
      </c>
      <c r="N173" s="21" t="str">
        <f t="shared" si="27"/>
        <v/>
      </c>
      <c r="O173" s="21" t="str">
        <f t="shared" si="28"/>
        <v/>
      </c>
      <c r="P173" s="21" t="str">
        <f t="shared" si="29"/>
        <v/>
      </c>
      <c r="Q173" s="21" t="str">
        <f t="shared" si="30"/>
        <v/>
      </c>
      <c r="R173" s="21" t="str">
        <f t="shared" si="31"/>
        <v/>
      </c>
      <c r="T173" s="6" t="s">
        <v>22</v>
      </c>
      <c r="U173" s="6" t="s">
        <v>22</v>
      </c>
      <c r="V173" s="6" t="s">
        <v>22</v>
      </c>
      <c r="W173" s="6" t="s">
        <v>22</v>
      </c>
      <c r="X173" s="6" t="s">
        <v>22</v>
      </c>
      <c r="Y173" s="6" t="s">
        <v>22</v>
      </c>
      <c r="Z173" s="6" t="s">
        <v>22</v>
      </c>
      <c r="AB173" s="22" t="s">
        <v>22</v>
      </c>
      <c r="AC173" s="22" t="s">
        <v>22</v>
      </c>
      <c r="AD173" s="22" t="s">
        <v>22</v>
      </c>
      <c r="AE173" s="22" t="s">
        <v>22</v>
      </c>
      <c r="AF173" s="22" t="s">
        <v>22</v>
      </c>
      <c r="AG173" s="22" t="s">
        <v>22</v>
      </c>
      <c r="AH173" s="5" t="s">
        <v>22</v>
      </c>
      <c r="AJ173" s="5" t="s">
        <v>22</v>
      </c>
      <c r="AK173" s="5" t="s">
        <v>22</v>
      </c>
      <c r="AL173" s="5" t="s">
        <v>22</v>
      </c>
      <c r="AM173" s="5" t="s">
        <v>22</v>
      </c>
      <c r="AN173" s="5" t="s">
        <v>22</v>
      </c>
      <c r="AO173" s="5" t="s">
        <v>22</v>
      </c>
      <c r="AP173" s="5" t="s">
        <v>22</v>
      </c>
    </row>
    <row r="174" spans="11:42">
      <c r="K174" s="19">
        <v>170</v>
      </c>
      <c r="L174" s="21" t="str">
        <f t="shared" si="25"/>
        <v/>
      </c>
      <c r="M174" s="21" t="str">
        <f t="shared" si="26"/>
        <v/>
      </c>
      <c r="N174" s="21" t="str">
        <f t="shared" si="27"/>
        <v/>
      </c>
      <c r="O174" s="21" t="str">
        <f t="shared" si="28"/>
        <v/>
      </c>
      <c r="P174" s="21" t="str">
        <f t="shared" si="29"/>
        <v/>
      </c>
      <c r="Q174" s="21" t="str">
        <f t="shared" si="30"/>
        <v/>
      </c>
      <c r="R174" s="21" t="str">
        <f t="shared" si="31"/>
        <v/>
      </c>
      <c r="T174" s="6" t="s">
        <v>22</v>
      </c>
      <c r="U174" s="6" t="s">
        <v>22</v>
      </c>
      <c r="V174" s="6" t="s">
        <v>22</v>
      </c>
      <c r="W174" s="6" t="s">
        <v>22</v>
      </c>
      <c r="X174" s="6" t="s">
        <v>22</v>
      </c>
      <c r="Y174" s="6" t="s">
        <v>22</v>
      </c>
      <c r="Z174" s="6" t="s">
        <v>22</v>
      </c>
      <c r="AB174" s="22" t="s">
        <v>22</v>
      </c>
      <c r="AC174" s="22" t="s">
        <v>22</v>
      </c>
      <c r="AD174" s="22" t="s">
        <v>22</v>
      </c>
      <c r="AE174" s="22" t="s">
        <v>22</v>
      </c>
      <c r="AF174" s="22" t="s">
        <v>22</v>
      </c>
      <c r="AG174" s="22" t="s">
        <v>22</v>
      </c>
      <c r="AH174" s="5" t="s">
        <v>22</v>
      </c>
      <c r="AJ174" s="5" t="s">
        <v>22</v>
      </c>
      <c r="AK174" s="5" t="s">
        <v>22</v>
      </c>
      <c r="AL174" s="5" t="s">
        <v>22</v>
      </c>
      <c r="AM174" s="5" t="s">
        <v>22</v>
      </c>
      <c r="AN174" s="5" t="s">
        <v>22</v>
      </c>
      <c r="AO174" s="5" t="s">
        <v>22</v>
      </c>
      <c r="AP174" s="5" t="s">
        <v>22</v>
      </c>
    </row>
    <row r="175" spans="11:42">
      <c r="K175" s="18">
        <v>171</v>
      </c>
      <c r="L175" s="21" t="str">
        <f t="shared" si="25"/>
        <v/>
      </c>
      <c r="M175" s="21" t="str">
        <f t="shared" si="26"/>
        <v/>
      </c>
      <c r="N175" s="21" t="str">
        <f t="shared" si="27"/>
        <v/>
      </c>
      <c r="O175" s="21" t="str">
        <f t="shared" si="28"/>
        <v/>
      </c>
      <c r="P175" s="21" t="str">
        <f t="shared" si="29"/>
        <v/>
      </c>
      <c r="Q175" s="21" t="str">
        <f t="shared" si="30"/>
        <v/>
      </c>
      <c r="R175" s="21" t="str">
        <f t="shared" si="31"/>
        <v/>
      </c>
      <c r="T175" s="6" t="s">
        <v>22</v>
      </c>
      <c r="U175" s="6" t="s">
        <v>22</v>
      </c>
      <c r="V175" s="6" t="s">
        <v>22</v>
      </c>
      <c r="W175" s="6" t="s">
        <v>22</v>
      </c>
      <c r="X175" s="6" t="s">
        <v>22</v>
      </c>
      <c r="Y175" s="6" t="s">
        <v>22</v>
      </c>
      <c r="Z175" s="6" t="s">
        <v>22</v>
      </c>
      <c r="AB175" s="22" t="s">
        <v>22</v>
      </c>
      <c r="AC175" s="22" t="s">
        <v>22</v>
      </c>
      <c r="AD175" s="22" t="s">
        <v>22</v>
      </c>
      <c r="AE175" s="22" t="s">
        <v>22</v>
      </c>
      <c r="AF175" s="22" t="s">
        <v>22</v>
      </c>
      <c r="AG175" s="22" t="s">
        <v>22</v>
      </c>
      <c r="AH175" s="5" t="s">
        <v>22</v>
      </c>
      <c r="AJ175" s="5" t="s">
        <v>22</v>
      </c>
      <c r="AK175" s="5" t="s">
        <v>22</v>
      </c>
      <c r="AL175" s="5" t="s">
        <v>22</v>
      </c>
      <c r="AM175" s="5" t="s">
        <v>22</v>
      </c>
      <c r="AN175" s="5" t="s">
        <v>22</v>
      </c>
      <c r="AO175" s="5" t="s">
        <v>22</v>
      </c>
      <c r="AP175" s="5" t="s">
        <v>22</v>
      </c>
    </row>
    <row r="176" spans="11:42">
      <c r="K176" s="19">
        <v>172</v>
      </c>
      <c r="L176" s="21" t="str">
        <f t="shared" si="25"/>
        <v/>
      </c>
      <c r="M176" s="21" t="str">
        <f t="shared" si="26"/>
        <v/>
      </c>
      <c r="N176" s="21" t="str">
        <f t="shared" si="27"/>
        <v/>
      </c>
      <c r="O176" s="21" t="str">
        <f t="shared" si="28"/>
        <v/>
      </c>
      <c r="P176" s="21" t="str">
        <f t="shared" si="29"/>
        <v/>
      </c>
      <c r="Q176" s="21" t="str">
        <f t="shared" si="30"/>
        <v/>
      </c>
      <c r="R176" s="21" t="str">
        <f t="shared" si="31"/>
        <v/>
      </c>
      <c r="T176" s="6" t="s">
        <v>22</v>
      </c>
      <c r="U176" s="6" t="s">
        <v>22</v>
      </c>
      <c r="V176" s="6" t="s">
        <v>22</v>
      </c>
      <c r="W176" s="6" t="s">
        <v>22</v>
      </c>
      <c r="X176" s="6" t="s">
        <v>22</v>
      </c>
      <c r="Y176" s="6" t="s">
        <v>22</v>
      </c>
      <c r="Z176" s="6" t="s">
        <v>22</v>
      </c>
      <c r="AB176" s="22" t="s">
        <v>22</v>
      </c>
      <c r="AC176" s="22" t="s">
        <v>22</v>
      </c>
      <c r="AD176" s="22" t="s">
        <v>22</v>
      </c>
      <c r="AE176" s="22" t="s">
        <v>22</v>
      </c>
      <c r="AF176" s="22" t="s">
        <v>22</v>
      </c>
      <c r="AG176" s="22" t="s">
        <v>22</v>
      </c>
      <c r="AH176" s="5" t="s">
        <v>22</v>
      </c>
      <c r="AJ176" s="5" t="s">
        <v>22</v>
      </c>
      <c r="AK176" s="5" t="s">
        <v>22</v>
      </c>
      <c r="AL176" s="5" t="s">
        <v>22</v>
      </c>
      <c r="AM176" s="5" t="s">
        <v>22</v>
      </c>
      <c r="AN176" s="5" t="s">
        <v>22</v>
      </c>
      <c r="AO176" s="5" t="s">
        <v>22</v>
      </c>
      <c r="AP176" s="5" t="s">
        <v>22</v>
      </c>
    </row>
    <row r="177" spans="11:42">
      <c r="K177" s="18">
        <v>173</v>
      </c>
      <c r="L177" s="21" t="str">
        <f t="shared" si="25"/>
        <v/>
      </c>
      <c r="M177" s="21" t="str">
        <f t="shared" si="26"/>
        <v/>
      </c>
      <c r="N177" s="21" t="str">
        <f t="shared" si="27"/>
        <v/>
      </c>
      <c r="O177" s="21" t="str">
        <f t="shared" si="28"/>
        <v/>
      </c>
      <c r="P177" s="21" t="str">
        <f t="shared" si="29"/>
        <v/>
      </c>
      <c r="Q177" s="21" t="str">
        <f t="shared" si="30"/>
        <v/>
      </c>
      <c r="R177" s="21" t="str">
        <f t="shared" si="31"/>
        <v/>
      </c>
      <c r="T177" s="6" t="s">
        <v>22</v>
      </c>
      <c r="U177" s="6" t="s">
        <v>22</v>
      </c>
      <c r="V177" s="6" t="s">
        <v>22</v>
      </c>
      <c r="W177" s="6" t="s">
        <v>22</v>
      </c>
      <c r="X177" s="6" t="s">
        <v>22</v>
      </c>
      <c r="Y177" s="6" t="s">
        <v>22</v>
      </c>
      <c r="Z177" s="6" t="s">
        <v>22</v>
      </c>
      <c r="AB177" s="22" t="s">
        <v>22</v>
      </c>
      <c r="AC177" s="22" t="s">
        <v>22</v>
      </c>
      <c r="AD177" s="22" t="s">
        <v>22</v>
      </c>
      <c r="AE177" s="22" t="s">
        <v>22</v>
      </c>
      <c r="AF177" s="22" t="s">
        <v>22</v>
      </c>
      <c r="AG177" s="22" t="s">
        <v>22</v>
      </c>
      <c r="AH177" s="5" t="s">
        <v>22</v>
      </c>
      <c r="AJ177" s="5" t="s">
        <v>22</v>
      </c>
      <c r="AK177" s="5" t="s">
        <v>22</v>
      </c>
      <c r="AL177" s="5" t="s">
        <v>22</v>
      </c>
      <c r="AM177" s="5" t="s">
        <v>22</v>
      </c>
      <c r="AN177" s="5" t="s">
        <v>22</v>
      </c>
      <c r="AO177" s="5" t="s">
        <v>22</v>
      </c>
      <c r="AP177" s="5" t="s">
        <v>22</v>
      </c>
    </row>
    <row r="178" spans="11:42">
      <c r="K178" s="19">
        <v>174</v>
      </c>
      <c r="L178" s="21" t="str">
        <f t="shared" si="25"/>
        <v/>
      </c>
      <c r="M178" s="21" t="str">
        <f t="shared" si="26"/>
        <v/>
      </c>
      <c r="N178" s="21" t="str">
        <f t="shared" si="27"/>
        <v/>
      </c>
      <c r="O178" s="21" t="str">
        <f t="shared" si="28"/>
        <v/>
      </c>
      <c r="P178" s="21" t="str">
        <f t="shared" si="29"/>
        <v/>
      </c>
      <c r="Q178" s="21" t="str">
        <f t="shared" si="30"/>
        <v/>
      </c>
      <c r="R178" s="21" t="str">
        <f t="shared" si="31"/>
        <v/>
      </c>
      <c r="T178" s="6" t="s">
        <v>22</v>
      </c>
      <c r="U178" s="6" t="s">
        <v>22</v>
      </c>
      <c r="V178" s="6" t="s">
        <v>22</v>
      </c>
      <c r="W178" s="6" t="s">
        <v>22</v>
      </c>
      <c r="X178" s="6" t="s">
        <v>22</v>
      </c>
      <c r="Y178" s="6" t="s">
        <v>22</v>
      </c>
      <c r="Z178" s="6" t="s">
        <v>22</v>
      </c>
      <c r="AB178" s="22" t="s">
        <v>22</v>
      </c>
      <c r="AC178" s="22" t="s">
        <v>22</v>
      </c>
      <c r="AD178" s="22" t="s">
        <v>22</v>
      </c>
      <c r="AE178" s="22" t="s">
        <v>22</v>
      </c>
      <c r="AF178" s="22" t="s">
        <v>22</v>
      </c>
      <c r="AG178" s="22" t="s">
        <v>22</v>
      </c>
      <c r="AH178" s="5" t="s">
        <v>22</v>
      </c>
      <c r="AJ178" s="5" t="s">
        <v>22</v>
      </c>
      <c r="AK178" s="5" t="s">
        <v>22</v>
      </c>
      <c r="AL178" s="5" t="s">
        <v>22</v>
      </c>
      <c r="AM178" s="5" t="s">
        <v>22</v>
      </c>
      <c r="AN178" s="5" t="s">
        <v>22</v>
      </c>
      <c r="AO178" s="5" t="s">
        <v>22</v>
      </c>
      <c r="AP178" s="5" t="s">
        <v>22</v>
      </c>
    </row>
    <row r="179" spans="11:42">
      <c r="K179" s="18">
        <v>175</v>
      </c>
      <c r="L179" s="21" t="str">
        <f t="shared" si="25"/>
        <v/>
      </c>
      <c r="M179" s="21" t="str">
        <f t="shared" si="26"/>
        <v/>
      </c>
      <c r="N179" s="21" t="str">
        <f t="shared" si="27"/>
        <v/>
      </c>
      <c r="O179" s="21" t="str">
        <f t="shared" si="28"/>
        <v/>
      </c>
      <c r="P179" s="21" t="str">
        <f t="shared" si="29"/>
        <v/>
      </c>
      <c r="Q179" s="21" t="str">
        <f t="shared" si="30"/>
        <v/>
      </c>
      <c r="R179" s="21" t="str">
        <f t="shared" si="31"/>
        <v/>
      </c>
      <c r="T179" s="6" t="s">
        <v>22</v>
      </c>
      <c r="U179" s="6" t="s">
        <v>22</v>
      </c>
      <c r="V179" s="6" t="s">
        <v>22</v>
      </c>
      <c r="W179" s="6" t="s">
        <v>22</v>
      </c>
      <c r="X179" s="6" t="s">
        <v>22</v>
      </c>
      <c r="Y179" s="6" t="s">
        <v>22</v>
      </c>
      <c r="Z179" s="6" t="s">
        <v>22</v>
      </c>
      <c r="AB179" s="22" t="s">
        <v>22</v>
      </c>
      <c r="AC179" s="22" t="s">
        <v>22</v>
      </c>
      <c r="AD179" s="22" t="s">
        <v>22</v>
      </c>
      <c r="AE179" s="22" t="s">
        <v>22</v>
      </c>
      <c r="AF179" s="22" t="s">
        <v>22</v>
      </c>
      <c r="AG179" s="22" t="s">
        <v>22</v>
      </c>
      <c r="AH179" s="5" t="s">
        <v>22</v>
      </c>
      <c r="AJ179" s="5" t="s">
        <v>22</v>
      </c>
      <c r="AK179" s="5" t="s">
        <v>22</v>
      </c>
      <c r="AL179" s="5" t="s">
        <v>22</v>
      </c>
      <c r="AM179" s="5" t="s">
        <v>22</v>
      </c>
      <c r="AN179" s="5" t="s">
        <v>22</v>
      </c>
      <c r="AO179" s="5" t="s">
        <v>22</v>
      </c>
      <c r="AP179" s="5" t="s">
        <v>22</v>
      </c>
    </row>
    <row r="180" spans="11:42">
      <c r="K180" s="19">
        <v>176</v>
      </c>
      <c r="L180" s="21" t="str">
        <f t="shared" si="25"/>
        <v/>
      </c>
      <c r="M180" s="21" t="str">
        <f t="shared" si="26"/>
        <v/>
      </c>
      <c r="N180" s="21" t="str">
        <f t="shared" si="27"/>
        <v/>
      </c>
      <c r="O180" s="21" t="str">
        <f t="shared" si="28"/>
        <v/>
      </c>
      <c r="P180" s="21" t="str">
        <f t="shared" si="29"/>
        <v/>
      </c>
      <c r="Q180" s="21" t="str">
        <f t="shared" si="30"/>
        <v/>
      </c>
      <c r="R180" s="21" t="str">
        <f t="shared" si="31"/>
        <v/>
      </c>
      <c r="T180" s="6" t="s">
        <v>22</v>
      </c>
      <c r="U180" s="6" t="s">
        <v>22</v>
      </c>
      <c r="V180" s="6" t="s">
        <v>22</v>
      </c>
      <c r="W180" s="6" t="s">
        <v>22</v>
      </c>
      <c r="X180" s="6" t="s">
        <v>22</v>
      </c>
      <c r="Y180" s="6" t="s">
        <v>22</v>
      </c>
      <c r="Z180" s="6" t="s">
        <v>22</v>
      </c>
      <c r="AB180" s="22" t="s">
        <v>22</v>
      </c>
      <c r="AC180" s="22" t="s">
        <v>22</v>
      </c>
      <c r="AD180" s="22" t="s">
        <v>22</v>
      </c>
      <c r="AE180" s="22" t="s">
        <v>22</v>
      </c>
      <c r="AF180" s="22" t="s">
        <v>22</v>
      </c>
      <c r="AG180" s="22" t="s">
        <v>22</v>
      </c>
      <c r="AH180" s="5" t="s">
        <v>22</v>
      </c>
      <c r="AJ180" s="5" t="s">
        <v>22</v>
      </c>
      <c r="AK180" s="5" t="s">
        <v>22</v>
      </c>
      <c r="AL180" s="5" t="s">
        <v>22</v>
      </c>
      <c r="AM180" s="5" t="s">
        <v>22</v>
      </c>
      <c r="AN180" s="5" t="s">
        <v>22</v>
      </c>
      <c r="AO180" s="5" t="s">
        <v>22</v>
      </c>
      <c r="AP180" s="5" t="s">
        <v>22</v>
      </c>
    </row>
    <row r="181" spans="11:42">
      <c r="K181" s="18">
        <v>177</v>
      </c>
      <c r="L181" s="21" t="str">
        <f t="shared" si="25"/>
        <v/>
      </c>
      <c r="M181" s="21" t="str">
        <f t="shared" si="26"/>
        <v/>
      </c>
      <c r="N181" s="21" t="str">
        <f t="shared" si="27"/>
        <v/>
      </c>
      <c r="O181" s="21" t="str">
        <f t="shared" si="28"/>
        <v/>
      </c>
      <c r="P181" s="21" t="str">
        <f t="shared" si="29"/>
        <v/>
      </c>
      <c r="Q181" s="21" t="str">
        <f t="shared" si="30"/>
        <v/>
      </c>
      <c r="R181" s="21" t="str">
        <f t="shared" si="31"/>
        <v/>
      </c>
      <c r="T181" s="6" t="s">
        <v>22</v>
      </c>
      <c r="U181" s="6" t="s">
        <v>22</v>
      </c>
      <c r="V181" s="6" t="s">
        <v>22</v>
      </c>
      <c r="W181" s="6" t="s">
        <v>22</v>
      </c>
      <c r="X181" s="6" t="s">
        <v>22</v>
      </c>
      <c r="Y181" s="6" t="s">
        <v>22</v>
      </c>
      <c r="Z181" s="6" t="s">
        <v>22</v>
      </c>
      <c r="AB181" s="22" t="s">
        <v>22</v>
      </c>
      <c r="AC181" s="22" t="s">
        <v>22</v>
      </c>
      <c r="AD181" s="22" t="s">
        <v>22</v>
      </c>
      <c r="AE181" s="22" t="s">
        <v>22</v>
      </c>
      <c r="AF181" s="22" t="s">
        <v>22</v>
      </c>
      <c r="AG181" s="22" t="s">
        <v>22</v>
      </c>
      <c r="AH181" s="5" t="s">
        <v>22</v>
      </c>
      <c r="AJ181" s="5" t="s">
        <v>22</v>
      </c>
      <c r="AK181" s="5" t="s">
        <v>22</v>
      </c>
      <c r="AL181" s="5" t="s">
        <v>22</v>
      </c>
      <c r="AM181" s="5" t="s">
        <v>22</v>
      </c>
      <c r="AN181" s="5" t="s">
        <v>22</v>
      </c>
      <c r="AO181" s="5" t="s">
        <v>22</v>
      </c>
      <c r="AP181" s="5" t="s">
        <v>22</v>
      </c>
    </row>
    <row r="182" spans="11:42">
      <c r="K182" s="19">
        <v>178</v>
      </c>
      <c r="L182" s="21" t="str">
        <f t="shared" si="25"/>
        <v/>
      </c>
      <c r="M182" s="21" t="str">
        <f t="shared" si="26"/>
        <v/>
      </c>
      <c r="N182" s="21" t="str">
        <f t="shared" si="27"/>
        <v/>
      </c>
      <c r="O182" s="21" t="str">
        <f t="shared" si="28"/>
        <v/>
      </c>
      <c r="P182" s="21" t="str">
        <f t="shared" si="29"/>
        <v/>
      </c>
      <c r="Q182" s="21" t="str">
        <f t="shared" si="30"/>
        <v/>
      </c>
      <c r="R182" s="21" t="str">
        <f t="shared" si="31"/>
        <v/>
      </c>
      <c r="T182" s="6" t="s">
        <v>22</v>
      </c>
      <c r="U182" s="6" t="s">
        <v>22</v>
      </c>
      <c r="V182" s="6" t="s">
        <v>22</v>
      </c>
      <c r="W182" s="6" t="s">
        <v>22</v>
      </c>
      <c r="X182" s="6" t="s">
        <v>22</v>
      </c>
      <c r="Y182" s="6" t="s">
        <v>22</v>
      </c>
      <c r="Z182" s="6" t="s">
        <v>22</v>
      </c>
      <c r="AB182" s="22" t="s">
        <v>22</v>
      </c>
      <c r="AC182" s="22" t="s">
        <v>22</v>
      </c>
      <c r="AD182" s="22" t="s">
        <v>22</v>
      </c>
      <c r="AE182" s="22" t="s">
        <v>22</v>
      </c>
      <c r="AF182" s="22" t="s">
        <v>22</v>
      </c>
      <c r="AG182" s="22" t="s">
        <v>22</v>
      </c>
      <c r="AH182" s="5" t="s">
        <v>22</v>
      </c>
      <c r="AJ182" s="5" t="s">
        <v>22</v>
      </c>
      <c r="AK182" s="5" t="s">
        <v>22</v>
      </c>
      <c r="AL182" s="5" t="s">
        <v>22</v>
      </c>
      <c r="AM182" s="5" t="s">
        <v>22</v>
      </c>
      <c r="AN182" s="5" t="s">
        <v>22</v>
      </c>
      <c r="AO182" s="5" t="s">
        <v>22</v>
      </c>
      <c r="AP182" s="5" t="s">
        <v>22</v>
      </c>
    </row>
    <row r="183" spans="11:42">
      <c r="K183" s="18">
        <v>179</v>
      </c>
      <c r="L183" s="21" t="str">
        <f t="shared" si="25"/>
        <v/>
      </c>
      <c r="M183" s="21" t="str">
        <f t="shared" si="26"/>
        <v/>
      </c>
      <c r="N183" s="21" t="str">
        <f t="shared" si="27"/>
        <v/>
      </c>
      <c r="O183" s="21" t="str">
        <f t="shared" si="28"/>
        <v/>
      </c>
      <c r="P183" s="21" t="str">
        <f t="shared" si="29"/>
        <v/>
      </c>
      <c r="Q183" s="21" t="str">
        <f t="shared" si="30"/>
        <v/>
      </c>
      <c r="R183" s="21" t="str">
        <f t="shared" si="31"/>
        <v/>
      </c>
      <c r="T183" s="6" t="s">
        <v>22</v>
      </c>
      <c r="U183" s="6" t="s">
        <v>22</v>
      </c>
      <c r="V183" s="6" t="s">
        <v>22</v>
      </c>
      <c r="W183" s="6" t="s">
        <v>22</v>
      </c>
      <c r="X183" s="6" t="s">
        <v>22</v>
      </c>
      <c r="Y183" s="6" t="s">
        <v>22</v>
      </c>
      <c r="Z183" s="6" t="s">
        <v>22</v>
      </c>
      <c r="AB183" s="22" t="s">
        <v>22</v>
      </c>
      <c r="AC183" s="22" t="s">
        <v>22</v>
      </c>
      <c r="AD183" s="22" t="s">
        <v>22</v>
      </c>
      <c r="AE183" s="22" t="s">
        <v>22</v>
      </c>
      <c r="AF183" s="22" t="s">
        <v>22</v>
      </c>
      <c r="AG183" s="22" t="s">
        <v>22</v>
      </c>
      <c r="AH183" s="5" t="s">
        <v>22</v>
      </c>
      <c r="AJ183" s="5" t="s">
        <v>22</v>
      </c>
      <c r="AK183" s="5" t="s">
        <v>22</v>
      </c>
      <c r="AL183" s="5" t="s">
        <v>22</v>
      </c>
      <c r="AM183" s="5" t="s">
        <v>22</v>
      </c>
      <c r="AN183" s="5" t="s">
        <v>22</v>
      </c>
      <c r="AO183" s="5" t="s">
        <v>22</v>
      </c>
      <c r="AP183" s="5" t="s">
        <v>22</v>
      </c>
    </row>
    <row r="184" spans="11:42">
      <c r="K184" s="19">
        <v>180</v>
      </c>
      <c r="L184" s="21" t="str">
        <f t="shared" si="25"/>
        <v/>
      </c>
      <c r="M184" s="21" t="str">
        <f t="shared" si="26"/>
        <v/>
      </c>
      <c r="N184" s="21" t="str">
        <f t="shared" si="27"/>
        <v/>
      </c>
      <c r="O184" s="21" t="str">
        <f t="shared" si="28"/>
        <v/>
      </c>
      <c r="P184" s="21" t="str">
        <f t="shared" si="29"/>
        <v/>
      </c>
      <c r="Q184" s="21" t="str">
        <f t="shared" si="30"/>
        <v/>
      </c>
      <c r="R184" s="21" t="str">
        <f t="shared" si="31"/>
        <v/>
      </c>
      <c r="T184" s="6" t="s">
        <v>22</v>
      </c>
      <c r="U184" s="6" t="s">
        <v>22</v>
      </c>
      <c r="V184" s="6" t="s">
        <v>22</v>
      </c>
      <c r="W184" s="6" t="s">
        <v>22</v>
      </c>
      <c r="X184" s="6" t="s">
        <v>22</v>
      </c>
      <c r="Y184" s="6" t="s">
        <v>22</v>
      </c>
      <c r="Z184" s="6" t="s">
        <v>22</v>
      </c>
      <c r="AB184" s="22" t="s">
        <v>22</v>
      </c>
      <c r="AC184" s="22" t="s">
        <v>22</v>
      </c>
      <c r="AD184" s="22" t="s">
        <v>22</v>
      </c>
      <c r="AE184" s="22" t="s">
        <v>22</v>
      </c>
      <c r="AF184" s="22" t="s">
        <v>22</v>
      </c>
      <c r="AG184" s="22" t="s">
        <v>22</v>
      </c>
      <c r="AH184" s="5" t="s">
        <v>22</v>
      </c>
      <c r="AJ184" s="5" t="s">
        <v>22</v>
      </c>
      <c r="AK184" s="5" t="s">
        <v>22</v>
      </c>
      <c r="AL184" s="5" t="s">
        <v>22</v>
      </c>
      <c r="AM184" s="5" t="s">
        <v>22</v>
      </c>
      <c r="AN184" s="5" t="s">
        <v>22</v>
      </c>
      <c r="AO184" s="5" t="s">
        <v>22</v>
      </c>
      <c r="AP184" s="5" t="s">
        <v>22</v>
      </c>
    </row>
    <row r="185" spans="11:42">
      <c r="K185" s="18">
        <v>181</v>
      </c>
      <c r="L185" s="21" t="str">
        <f t="shared" si="25"/>
        <v/>
      </c>
      <c r="M185" s="21" t="str">
        <f t="shared" si="26"/>
        <v/>
      </c>
      <c r="N185" s="21" t="str">
        <f t="shared" si="27"/>
        <v/>
      </c>
      <c r="O185" s="21" t="str">
        <f t="shared" si="28"/>
        <v/>
      </c>
      <c r="P185" s="21" t="str">
        <f t="shared" si="29"/>
        <v/>
      </c>
      <c r="Q185" s="21" t="str">
        <f t="shared" si="30"/>
        <v/>
      </c>
      <c r="R185" s="21" t="str">
        <f t="shared" si="31"/>
        <v/>
      </c>
      <c r="T185" s="6" t="s">
        <v>22</v>
      </c>
      <c r="U185" s="6" t="s">
        <v>22</v>
      </c>
      <c r="V185" s="6" t="s">
        <v>22</v>
      </c>
      <c r="W185" s="6" t="s">
        <v>22</v>
      </c>
      <c r="X185" s="6" t="s">
        <v>22</v>
      </c>
      <c r="Y185" s="6" t="s">
        <v>22</v>
      </c>
      <c r="Z185" s="6" t="s">
        <v>22</v>
      </c>
      <c r="AB185" s="22" t="s">
        <v>22</v>
      </c>
      <c r="AC185" s="22" t="s">
        <v>22</v>
      </c>
      <c r="AD185" s="22" t="s">
        <v>22</v>
      </c>
      <c r="AE185" s="22" t="s">
        <v>22</v>
      </c>
      <c r="AF185" s="22" t="s">
        <v>22</v>
      </c>
      <c r="AG185" s="22" t="s">
        <v>22</v>
      </c>
      <c r="AH185" s="5" t="s">
        <v>22</v>
      </c>
      <c r="AJ185" s="5" t="s">
        <v>22</v>
      </c>
      <c r="AK185" s="5" t="s">
        <v>22</v>
      </c>
      <c r="AL185" s="5" t="s">
        <v>22</v>
      </c>
      <c r="AM185" s="5" t="s">
        <v>22</v>
      </c>
      <c r="AN185" s="5" t="s">
        <v>22</v>
      </c>
      <c r="AO185" s="5" t="s">
        <v>22</v>
      </c>
      <c r="AP185" s="5" t="s">
        <v>22</v>
      </c>
    </row>
    <row r="186" spans="11:42">
      <c r="K186" s="19">
        <v>182</v>
      </c>
      <c r="L186" s="21" t="str">
        <f t="shared" si="25"/>
        <v/>
      </c>
      <c r="M186" s="21" t="str">
        <f t="shared" si="26"/>
        <v/>
      </c>
      <c r="N186" s="21" t="str">
        <f t="shared" si="27"/>
        <v/>
      </c>
      <c r="O186" s="21" t="str">
        <f t="shared" si="28"/>
        <v/>
      </c>
      <c r="P186" s="21" t="str">
        <f t="shared" si="29"/>
        <v/>
      </c>
      <c r="Q186" s="21" t="str">
        <f t="shared" si="30"/>
        <v/>
      </c>
      <c r="R186" s="21" t="str">
        <f t="shared" si="31"/>
        <v/>
      </c>
      <c r="T186" s="6" t="s">
        <v>22</v>
      </c>
      <c r="U186" s="6" t="s">
        <v>22</v>
      </c>
      <c r="V186" s="6" t="s">
        <v>22</v>
      </c>
      <c r="W186" s="6" t="s">
        <v>22</v>
      </c>
      <c r="X186" s="6" t="s">
        <v>22</v>
      </c>
      <c r="Y186" s="6" t="s">
        <v>22</v>
      </c>
      <c r="Z186" s="6" t="s">
        <v>22</v>
      </c>
      <c r="AB186" s="22" t="s">
        <v>22</v>
      </c>
      <c r="AC186" s="22" t="s">
        <v>22</v>
      </c>
      <c r="AD186" s="22" t="s">
        <v>22</v>
      </c>
      <c r="AE186" s="22" t="s">
        <v>22</v>
      </c>
      <c r="AF186" s="22" t="s">
        <v>22</v>
      </c>
      <c r="AG186" s="22" t="s">
        <v>22</v>
      </c>
      <c r="AH186" s="5" t="s">
        <v>22</v>
      </c>
      <c r="AJ186" s="5" t="s">
        <v>22</v>
      </c>
      <c r="AK186" s="5" t="s">
        <v>22</v>
      </c>
      <c r="AL186" s="5" t="s">
        <v>22</v>
      </c>
      <c r="AM186" s="5" t="s">
        <v>22</v>
      </c>
      <c r="AN186" s="5" t="s">
        <v>22</v>
      </c>
      <c r="AO186" s="5" t="s">
        <v>22</v>
      </c>
      <c r="AP186" s="5" t="s">
        <v>22</v>
      </c>
    </row>
    <row r="187" spans="11:42">
      <c r="K187" s="18">
        <v>183</v>
      </c>
      <c r="L187" s="21" t="str">
        <f t="shared" si="25"/>
        <v/>
      </c>
      <c r="M187" s="21" t="str">
        <f t="shared" si="26"/>
        <v/>
      </c>
      <c r="N187" s="21" t="str">
        <f t="shared" si="27"/>
        <v/>
      </c>
      <c r="O187" s="21" t="str">
        <f t="shared" si="28"/>
        <v/>
      </c>
      <c r="P187" s="21" t="str">
        <f t="shared" si="29"/>
        <v/>
      </c>
      <c r="Q187" s="21" t="str">
        <f t="shared" si="30"/>
        <v/>
      </c>
      <c r="R187" s="21" t="str">
        <f t="shared" si="31"/>
        <v/>
      </c>
      <c r="T187" s="6" t="s">
        <v>22</v>
      </c>
      <c r="U187" s="6" t="s">
        <v>22</v>
      </c>
      <c r="V187" s="6" t="s">
        <v>22</v>
      </c>
      <c r="W187" s="6" t="s">
        <v>22</v>
      </c>
      <c r="X187" s="6" t="s">
        <v>22</v>
      </c>
      <c r="Y187" s="6" t="s">
        <v>22</v>
      </c>
      <c r="Z187" s="6" t="s">
        <v>22</v>
      </c>
      <c r="AB187" s="22" t="s">
        <v>22</v>
      </c>
      <c r="AC187" s="22" t="s">
        <v>22</v>
      </c>
      <c r="AD187" s="22" t="s">
        <v>22</v>
      </c>
      <c r="AE187" s="22" t="s">
        <v>22</v>
      </c>
      <c r="AF187" s="22" t="s">
        <v>22</v>
      </c>
      <c r="AG187" s="22" t="s">
        <v>22</v>
      </c>
      <c r="AH187" s="5" t="s">
        <v>22</v>
      </c>
      <c r="AJ187" s="5" t="s">
        <v>22</v>
      </c>
      <c r="AK187" s="5" t="s">
        <v>22</v>
      </c>
      <c r="AL187" s="5" t="s">
        <v>22</v>
      </c>
      <c r="AM187" s="5" t="s">
        <v>22</v>
      </c>
      <c r="AN187" s="5" t="s">
        <v>22</v>
      </c>
      <c r="AO187" s="5" t="s">
        <v>22</v>
      </c>
      <c r="AP187" s="5" t="s">
        <v>22</v>
      </c>
    </row>
    <row r="188" spans="11:42">
      <c r="K188" s="19">
        <v>184</v>
      </c>
      <c r="L188" s="21" t="str">
        <f t="shared" si="25"/>
        <v/>
      </c>
      <c r="M188" s="21" t="str">
        <f t="shared" si="26"/>
        <v/>
      </c>
      <c r="N188" s="21" t="str">
        <f t="shared" si="27"/>
        <v/>
      </c>
      <c r="O188" s="21" t="str">
        <f t="shared" si="28"/>
        <v/>
      </c>
      <c r="P188" s="21" t="str">
        <f t="shared" si="29"/>
        <v/>
      </c>
      <c r="Q188" s="21" t="str">
        <f t="shared" si="30"/>
        <v/>
      </c>
      <c r="R188" s="21" t="str">
        <f t="shared" si="31"/>
        <v/>
      </c>
      <c r="T188" s="6" t="s">
        <v>22</v>
      </c>
      <c r="U188" s="6" t="s">
        <v>22</v>
      </c>
      <c r="V188" s="6" t="s">
        <v>22</v>
      </c>
      <c r="W188" s="6" t="s">
        <v>22</v>
      </c>
      <c r="X188" s="6" t="s">
        <v>22</v>
      </c>
      <c r="Y188" s="6" t="s">
        <v>22</v>
      </c>
      <c r="Z188" s="6" t="s">
        <v>22</v>
      </c>
      <c r="AB188" s="22" t="s">
        <v>22</v>
      </c>
      <c r="AC188" s="22" t="s">
        <v>22</v>
      </c>
      <c r="AD188" s="22" t="s">
        <v>22</v>
      </c>
      <c r="AE188" s="22" t="s">
        <v>22</v>
      </c>
      <c r="AF188" s="22" t="s">
        <v>22</v>
      </c>
      <c r="AG188" s="22" t="s">
        <v>22</v>
      </c>
      <c r="AH188" s="5" t="s">
        <v>22</v>
      </c>
      <c r="AJ188" s="5" t="s">
        <v>22</v>
      </c>
      <c r="AK188" s="5" t="s">
        <v>22</v>
      </c>
      <c r="AL188" s="5" t="s">
        <v>22</v>
      </c>
      <c r="AM188" s="5" t="s">
        <v>22</v>
      </c>
      <c r="AN188" s="5" t="s">
        <v>22</v>
      </c>
      <c r="AO188" s="5" t="s">
        <v>22</v>
      </c>
      <c r="AP188" s="5" t="s">
        <v>22</v>
      </c>
    </row>
    <row r="189" spans="11:42">
      <c r="K189" s="18">
        <v>185</v>
      </c>
      <c r="L189" s="21" t="str">
        <f t="shared" si="25"/>
        <v/>
      </c>
      <c r="M189" s="21" t="str">
        <f t="shared" si="26"/>
        <v/>
      </c>
      <c r="N189" s="21" t="str">
        <f t="shared" si="27"/>
        <v/>
      </c>
      <c r="O189" s="21" t="str">
        <f t="shared" si="28"/>
        <v/>
      </c>
      <c r="P189" s="21" t="str">
        <f t="shared" si="29"/>
        <v/>
      </c>
      <c r="Q189" s="21" t="str">
        <f t="shared" si="30"/>
        <v/>
      </c>
      <c r="R189" s="21" t="str">
        <f t="shared" si="31"/>
        <v/>
      </c>
      <c r="T189" s="6" t="s">
        <v>22</v>
      </c>
      <c r="U189" s="6" t="s">
        <v>22</v>
      </c>
      <c r="V189" s="6" t="s">
        <v>22</v>
      </c>
      <c r="W189" s="6" t="s">
        <v>22</v>
      </c>
      <c r="X189" s="6" t="s">
        <v>22</v>
      </c>
      <c r="Y189" s="6" t="s">
        <v>22</v>
      </c>
      <c r="Z189" s="6" t="s">
        <v>22</v>
      </c>
      <c r="AB189" s="22" t="s">
        <v>22</v>
      </c>
      <c r="AC189" s="22" t="s">
        <v>22</v>
      </c>
      <c r="AD189" s="22" t="s">
        <v>22</v>
      </c>
      <c r="AE189" s="22" t="s">
        <v>22</v>
      </c>
      <c r="AF189" s="22" t="s">
        <v>22</v>
      </c>
      <c r="AG189" s="22" t="s">
        <v>22</v>
      </c>
      <c r="AH189" s="5" t="s">
        <v>22</v>
      </c>
      <c r="AJ189" s="5" t="s">
        <v>22</v>
      </c>
      <c r="AK189" s="5" t="s">
        <v>22</v>
      </c>
      <c r="AL189" s="5" t="s">
        <v>22</v>
      </c>
      <c r="AM189" s="5" t="s">
        <v>22</v>
      </c>
      <c r="AN189" s="5" t="s">
        <v>22</v>
      </c>
      <c r="AO189" s="5" t="s">
        <v>22</v>
      </c>
      <c r="AP189" s="5" t="s">
        <v>22</v>
      </c>
    </row>
    <row r="190" spans="11:42">
      <c r="K190" s="19">
        <v>186</v>
      </c>
      <c r="L190" s="21" t="str">
        <f t="shared" si="25"/>
        <v/>
      </c>
      <c r="M190" s="21" t="str">
        <f t="shared" si="26"/>
        <v/>
      </c>
      <c r="N190" s="21" t="str">
        <f t="shared" si="27"/>
        <v/>
      </c>
      <c r="O190" s="21" t="str">
        <f t="shared" si="28"/>
        <v/>
      </c>
      <c r="P190" s="21" t="str">
        <f t="shared" si="29"/>
        <v/>
      </c>
      <c r="Q190" s="21" t="str">
        <f t="shared" si="30"/>
        <v/>
      </c>
      <c r="R190" s="21" t="str">
        <f t="shared" si="31"/>
        <v/>
      </c>
      <c r="T190" s="6" t="s">
        <v>22</v>
      </c>
      <c r="U190" s="6" t="s">
        <v>22</v>
      </c>
      <c r="V190" s="6" t="s">
        <v>22</v>
      </c>
      <c r="W190" s="6" t="s">
        <v>22</v>
      </c>
      <c r="X190" s="6" t="s">
        <v>22</v>
      </c>
      <c r="Y190" s="6" t="s">
        <v>22</v>
      </c>
      <c r="Z190" s="6" t="s">
        <v>22</v>
      </c>
      <c r="AB190" s="22" t="s">
        <v>22</v>
      </c>
      <c r="AC190" s="22" t="s">
        <v>22</v>
      </c>
      <c r="AD190" s="22" t="s">
        <v>22</v>
      </c>
      <c r="AE190" s="22" t="s">
        <v>22</v>
      </c>
      <c r="AF190" s="22" t="s">
        <v>22</v>
      </c>
      <c r="AG190" s="22" t="s">
        <v>22</v>
      </c>
      <c r="AH190" s="5" t="s">
        <v>22</v>
      </c>
      <c r="AJ190" s="5" t="s">
        <v>22</v>
      </c>
      <c r="AK190" s="5" t="s">
        <v>22</v>
      </c>
      <c r="AL190" s="5" t="s">
        <v>22</v>
      </c>
      <c r="AM190" s="5" t="s">
        <v>22</v>
      </c>
      <c r="AN190" s="5" t="s">
        <v>22</v>
      </c>
      <c r="AO190" s="5" t="s">
        <v>22</v>
      </c>
      <c r="AP190" s="5" t="s">
        <v>22</v>
      </c>
    </row>
    <row r="191" spans="11:42">
      <c r="K191" s="18">
        <v>187</v>
      </c>
      <c r="L191" s="21" t="str">
        <f t="shared" si="25"/>
        <v/>
      </c>
      <c r="M191" s="21" t="str">
        <f t="shared" si="26"/>
        <v/>
      </c>
      <c r="N191" s="21" t="str">
        <f t="shared" si="27"/>
        <v/>
      </c>
      <c r="O191" s="21" t="str">
        <f t="shared" si="28"/>
        <v/>
      </c>
      <c r="P191" s="21" t="str">
        <f t="shared" si="29"/>
        <v/>
      </c>
      <c r="Q191" s="21" t="str">
        <f t="shared" si="30"/>
        <v/>
      </c>
      <c r="R191" s="21" t="str">
        <f t="shared" si="31"/>
        <v/>
      </c>
      <c r="T191" s="6" t="s">
        <v>22</v>
      </c>
      <c r="U191" s="6" t="s">
        <v>22</v>
      </c>
      <c r="V191" s="6" t="s">
        <v>22</v>
      </c>
      <c r="W191" s="6" t="s">
        <v>22</v>
      </c>
      <c r="X191" s="6" t="s">
        <v>22</v>
      </c>
      <c r="Y191" s="6" t="s">
        <v>22</v>
      </c>
      <c r="Z191" s="6" t="s">
        <v>22</v>
      </c>
      <c r="AB191" s="22" t="s">
        <v>22</v>
      </c>
      <c r="AC191" s="22" t="s">
        <v>22</v>
      </c>
      <c r="AD191" s="22" t="s">
        <v>22</v>
      </c>
      <c r="AE191" s="22" t="s">
        <v>22</v>
      </c>
      <c r="AF191" s="22" t="s">
        <v>22</v>
      </c>
      <c r="AG191" s="22" t="s">
        <v>22</v>
      </c>
      <c r="AH191" s="5" t="s">
        <v>22</v>
      </c>
      <c r="AJ191" s="5" t="s">
        <v>22</v>
      </c>
      <c r="AK191" s="5" t="s">
        <v>22</v>
      </c>
      <c r="AL191" s="5" t="s">
        <v>22</v>
      </c>
      <c r="AM191" s="5" t="s">
        <v>22</v>
      </c>
      <c r="AN191" s="5" t="s">
        <v>22</v>
      </c>
      <c r="AO191" s="5" t="s">
        <v>22</v>
      </c>
      <c r="AP191" s="5" t="s">
        <v>22</v>
      </c>
    </row>
    <row r="192" spans="11:42">
      <c r="K192" s="19">
        <v>188</v>
      </c>
      <c r="L192" s="21" t="str">
        <f t="shared" ref="L192:L255" si="32">IF(T192&lt;&gt;"",_xlfn.XLOOKUP(T192,$K$4:$K$27,$A$4:$A$27),"")</f>
        <v/>
      </c>
      <c r="M192" s="21" t="str">
        <f t="shared" ref="M192:M255" si="33">IF(U192&lt;&gt;"",_xlfn.XLOOKUP(U192,$K$4:$K$27,$A$4:$A$27),"")</f>
        <v/>
      </c>
      <c r="N192" s="21" t="str">
        <f t="shared" ref="N192:N255" si="34">IF(V192&lt;&gt;"",_xlfn.XLOOKUP(V192,$K$4:$K$27,$A$4:$A$27),"")</f>
        <v/>
      </c>
      <c r="O192" s="21" t="str">
        <f t="shared" ref="O192:O255" si="35">IF(W192&lt;&gt;"",_xlfn.XLOOKUP(W192,$K$4:$K$27,$A$4:$A$27),"")</f>
        <v/>
      </c>
      <c r="P192" s="21" t="str">
        <f t="shared" ref="P192:P255" si="36">IF(X192&lt;&gt;"",_xlfn.XLOOKUP(X192,$K$4:$K$27,$A$4:$A$27),"")</f>
        <v/>
      </c>
      <c r="Q192" s="21" t="str">
        <f t="shared" ref="Q192:Q255" si="37">IF(Y192&lt;&gt;"",_xlfn.XLOOKUP(Y192,$K$4:$K$27,$A$4:$A$27),"")</f>
        <v/>
      </c>
      <c r="R192" s="21" t="str">
        <f t="shared" ref="R192:R255" si="38">IF(Z192&lt;&gt;"",_xlfn.XLOOKUP(Z192,$K$4:$K$27,$A$4:$A$27),"")</f>
        <v/>
      </c>
      <c r="T192" s="6" t="s">
        <v>22</v>
      </c>
      <c r="U192" s="6" t="s">
        <v>22</v>
      </c>
      <c r="V192" s="6" t="s">
        <v>22</v>
      </c>
      <c r="W192" s="6" t="s">
        <v>22</v>
      </c>
      <c r="X192" s="6" t="s">
        <v>22</v>
      </c>
      <c r="Y192" s="6" t="s">
        <v>22</v>
      </c>
      <c r="Z192" s="6" t="s">
        <v>22</v>
      </c>
      <c r="AB192" s="22" t="s">
        <v>22</v>
      </c>
      <c r="AC192" s="22" t="s">
        <v>22</v>
      </c>
      <c r="AD192" s="22" t="s">
        <v>22</v>
      </c>
      <c r="AE192" s="22" t="s">
        <v>22</v>
      </c>
      <c r="AF192" s="22" t="s">
        <v>22</v>
      </c>
      <c r="AG192" s="22" t="s">
        <v>22</v>
      </c>
      <c r="AH192" s="5" t="s">
        <v>22</v>
      </c>
      <c r="AJ192" s="5" t="s">
        <v>22</v>
      </c>
      <c r="AK192" s="5" t="s">
        <v>22</v>
      </c>
      <c r="AL192" s="5" t="s">
        <v>22</v>
      </c>
      <c r="AM192" s="5" t="s">
        <v>22</v>
      </c>
      <c r="AN192" s="5" t="s">
        <v>22</v>
      </c>
      <c r="AO192" s="5" t="s">
        <v>22</v>
      </c>
      <c r="AP192" s="5" t="s">
        <v>22</v>
      </c>
    </row>
    <row r="193" spans="11:42">
      <c r="K193" s="18">
        <v>189</v>
      </c>
      <c r="L193" s="21" t="str">
        <f t="shared" si="32"/>
        <v/>
      </c>
      <c r="M193" s="21" t="str">
        <f t="shared" si="33"/>
        <v/>
      </c>
      <c r="N193" s="21" t="str">
        <f t="shared" si="34"/>
        <v/>
      </c>
      <c r="O193" s="21" t="str">
        <f t="shared" si="35"/>
        <v/>
      </c>
      <c r="P193" s="21" t="str">
        <f t="shared" si="36"/>
        <v/>
      </c>
      <c r="Q193" s="21" t="str">
        <f t="shared" si="37"/>
        <v/>
      </c>
      <c r="R193" s="21" t="str">
        <f t="shared" si="38"/>
        <v/>
      </c>
      <c r="T193" s="6" t="s">
        <v>22</v>
      </c>
      <c r="U193" s="6" t="s">
        <v>22</v>
      </c>
      <c r="V193" s="6" t="s">
        <v>22</v>
      </c>
      <c r="W193" s="6" t="s">
        <v>22</v>
      </c>
      <c r="X193" s="6" t="s">
        <v>22</v>
      </c>
      <c r="Y193" s="6" t="s">
        <v>22</v>
      </c>
      <c r="Z193" s="6" t="s">
        <v>22</v>
      </c>
      <c r="AB193" s="22" t="s">
        <v>22</v>
      </c>
      <c r="AC193" s="22" t="s">
        <v>22</v>
      </c>
      <c r="AD193" s="22" t="s">
        <v>22</v>
      </c>
      <c r="AE193" s="22" t="s">
        <v>22</v>
      </c>
      <c r="AF193" s="22" t="s">
        <v>22</v>
      </c>
      <c r="AG193" s="22" t="s">
        <v>22</v>
      </c>
      <c r="AH193" s="5" t="s">
        <v>22</v>
      </c>
      <c r="AJ193" s="5" t="s">
        <v>22</v>
      </c>
      <c r="AK193" s="5" t="s">
        <v>22</v>
      </c>
      <c r="AL193" s="5" t="s">
        <v>22</v>
      </c>
      <c r="AM193" s="5" t="s">
        <v>22</v>
      </c>
      <c r="AN193" s="5" t="s">
        <v>22</v>
      </c>
      <c r="AO193" s="5" t="s">
        <v>22</v>
      </c>
      <c r="AP193" s="5" t="s">
        <v>22</v>
      </c>
    </row>
    <row r="194" spans="11:42">
      <c r="K194" s="19">
        <v>190</v>
      </c>
      <c r="L194" s="21" t="str">
        <f t="shared" si="32"/>
        <v/>
      </c>
      <c r="M194" s="21" t="str">
        <f t="shared" si="33"/>
        <v/>
      </c>
      <c r="N194" s="21" t="str">
        <f t="shared" si="34"/>
        <v/>
      </c>
      <c r="O194" s="21" t="str">
        <f t="shared" si="35"/>
        <v/>
      </c>
      <c r="P194" s="21" t="str">
        <f t="shared" si="36"/>
        <v/>
      </c>
      <c r="Q194" s="21" t="str">
        <f t="shared" si="37"/>
        <v/>
      </c>
      <c r="R194" s="21" t="str">
        <f t="shared" si="38"/>
        <v/>
      </c>
      <c r="T194" s="6" t="s">
        <v>22</v>
      </c>
      <c r="U194" s="6" t="s">
        <v>22</v>
      </c>
      <c r="V194" s="6" t="s">
        <v>22</v>
      </c>
      <c r="W194" s="6" t="s">
        <v>22</v>
      </c>
      <c r="X194" s="6" t="s">
        <v>22</v>
      </c>
      <c r="Y194" s="6" t="s">
        <v>22</v>
      </c>
      <c r="Z194" s="6" t="s">
        <v>22</v>
      </c>
      <c r="AB194" s="22" t="s">
        <v>22</v>
      </c>
      <c r="AC194" s="22" t="s">
        <v>22</v>
      </c>
      <c r="AD194" s="22" t="s">
        <v>22</v>
      </c>
      <c r="AE194" s="22" t="s">
        <v>22</v>
      </c>
      <c r="AF194" s="22" t="s">
        <v>22</v>
      </c>
      <c r="AG194" s="22" t="s">
        <v>22</v>
      </c>
      <c r="AH194" s="5" t="s">
        <v>22</v>
      </c>
      <c r="AJ194" s="5" t="s">
        <v>22</v>
      </c>
      <c r="AK194" s="5" t="s">
        <v>22</v>
      </c>
      <c r="AL194" s="5" t="s">
        <v>22</v>
      </c>
      <c r="AM194" s="5" t="s">
        <v>22</v>
      </c>
      <c r="AN194" s="5" t="s">
        <v>22</v>
      </c>
      <c r="AO194" s="5" t="s">
        <v>22</v>
      </c>
      <c r="AP194" s="5" t="s">
        <v>22</v>
      </c>
    </row>
    <row r="195" spans="11:42">
      <c r="K195" s="18">
        <v>191</v>
      </c>
      <c r="L195" s="21" t="str">
        <f t="shared" si="32"/>
        <v/>
      </c>
      <c r="M195" s="21" t="str">
        <f t="shared" si="33"/>
        <v/>
      </c>
      <c r="N195" s="21" t="str">
        <f t="shared" si="34"/>
        <v/>
      </c>
      <c r="O195" s="21" t="str">
        <f t="shared" si="35"/>
        <v/>
      </c>
      <c r="P195" s="21" t="str">
        <f t="shared" si="36"/>
        <v/>
      </c>
      <c r="Q195" s="21" t="str">
        <f t="shared" si="37"/>
        <v/>
      </c>
      <c r="R195" s="21" t="str">
        <f t="shared" si="38"/>
        <v/>
      </c>
      <c r="T195" s="6" t="s">
        <v>22</v>
      </c>
      <c r="U195" s="6" t="s">
        <v>22</v>
      </c>
      <c r="V195" s="6" t="s">
        <v>22</v>
      </c>
      <c r="W195" s="6" t="s">
        <v>22</v>
      </c>
      <c r="X195" s="6" t="s">
        <v>22</v>
      </c>
      <c r="Y195" s="6" t="s">
        <v>22</v>
      </c>
      <c r="Z195" s="6" t="s">
        <v>22</v>
      </c>
      <c r="AB195" s="22" t="s">
        <v>22</v>
      </c>
      <c r="AC195" s="22" t="s">
        <v>22</v>
      </c>
      <c r="AD195" s="22" t="s">
        <v>22</v>
      </c>
      <c r="AE195" s="22" t="s">
        <v>22</v>
      </c>
      <c r="AF195" s="22" t="s">
        <v>22</v>
      </c>
      <c r="AG195" s="22" t="s">
        <v>22</v>
      </c>
      <c r="AH195" s="5" t="s">
        <v>22</v>
      </c>
      <c r="AJ195" s="5" t="s">
        <v>22</v>
      </c>
      <c r="AK195" s="5" t="s">
        <v>22</v>
      </c>
      <c r="AL195" s="5" t="s">
        <v>22</v>
      </c>
      <c r="AM195" s="5" t="s">
        <v>22</v>
      </c>
      <c r="AN195" s="5" t="s">
        <v>22</v>
      </c>
      <c r="AO195" s="5" t="s">
        <v>22</v>
      </c>
      <c r="AP195" s="5" t="s">
        <v>22</v>
      </c>
    </row>
    <row r="196" spans="11:42">
      <c r="K196" s="19">
        <v>192</v>
      </c>
      <c r="L196" s="21" t="str">
        <f t="shared" si="32"/>
        <v/>
      </c>
      <c r="M196" s="21" t="str">
        <f t="shared" si="33"/>
        <v/>
      </c>
      <c r="N196" s="21" t="str">
        <f t="shared" si="34"/>
        <v/>
      </c>
      <c r="O196" s="21" t="str">
        <f t="shared" si="35"/>
        <v/>
      </c>
      <c r="P196" s="21" t="str">
        <f t="shared" si="36"/>
        <v/>
      </c>
      <c r="Q196" s="21" t="str">
        <f t="shared" si="37"/>
        <v/>
      </c>
      <c r="R196" s="21" t="str">
        <f t="shared" si="38"/>
        <v/>
      </c>
      <c r="T196" s="6" t="s">
        <v>22</v>
      </c>
      <c r="U196" s="6" t="s">
        <v>22</v>
      </c>
      <c r="V196" s="6" t="s">
        <v>22</v>
      </c>
      <c r="W196" s="6" t="s">
        <v>22</v>
      </c>
      <c r="X196" s="6" t="s">
        <v>22</v>
      </c>
      <c r="Y196" s="6" t="s">
        <v>22</v>
      </c>
      <c r="Z196" s="6" t="s">
        <v>22</v>
      </c>
      <c r="AB196" s="22" t="s">
        <v>22</v>
      </c>
      <c r="AC196" s="22" t="s">
        <v>22</v>
      </c>
      <c r="AD196" s="22" t="s">
        <v>22</v>
      </c>
      <c r="AE196" s="22" t="s">
        <v>22</v>
      </c>
      <c r="AF196" s="22" t="s">
        <v>22</v>
      </c>
      <c r="AG196" s="22" t="s">
        <v>22</v>
      </c>
      <c r="AH196" s="5" t="s">
        <v>22</v>
      </c>
      <c r="AJ196" s="5" t="s">
        <v>22</v>
      </c>
      <c r="AK196" s="5" t="s">
        <v>22</v>
      </c>
      <c r="AL196" s="5" t="s">
        <v>22</v>
      </c>
      <c r="AM196" s="5" t="s">
        <v>22</v>
      </c>
      <c r="AN196" s="5" t="s">
        <v>22</v>
      </c>
      <c r="AO196" s="5" t="s">
        <v>22</v>
      </c>
      <c r="AP196" s="5" t="s">
        <v>22</v>
      </c>
    </row>
    <row r="197" spans="11:42">
      <c r="K197" s="18">
        <v>193</v>
      </c>
      <c r="L197" s="21" t="str">
        <f t="shared" si="32"/>
        <v/>
      </c>
      <c r="M197" s="21" t="str">
        <f t="shared" si="33"/>
        <v/>
      </c>
      <c r="N197" s="21" t="str">
        <f t="shared" si="34"/>
        <v/>
      </c>
      <c r="O197" s="21" t="str">
        <f t="shared" si="35"/>
        <v/>
      </c>
      <c r="P197" s="21" t="str">
        <f t="shared" si="36"/>
        <v/>
      </c>
      <c r="Q197" s="21" t="str">
        <f t="shared" si="37"/>
        <v/>
      </c>
      <c r="R197" s="21" t="str">
        <f t="shared" si="38"/>
        <v/>
      </c>
      <c r="T197" s="6" t="s">
        <v>22</v>
      </c>
      <c r="U197" s="6" t="s">
        <v>22</v>
      </c>
      <c r="V197" s="6" t="s">
        <v>22</v>
      </c>
      <c r="W197" s="6" t="s">
        <v>22</v>
      </c>
      <c r="X197" s="6" t="s">
        <v>22</v>
      </c>
      <c r="Y197" s="6" t="s">
        <v>22</v>
      </c>
      <c r="Z197" s="6" t="s">
        <v>22</v>
      </c>
      <c r="AB197" s="22" t="s">
        <v>22</v>
      </c>
      <c r="AC197" s="22" t="s">
        <v>22</v>
      </c>
      <c r="AD197" s="22" t="s">
        <v>22</v>
      </c>
      <c r="AE197" s="22" t="s">
        <v>22</v>
      </c>
      <c r="AF197" s="22" t="s">
        <v>22</v>
      </c>
      <c r="AG197" s="22" t="s">
        <v>22</v>
      </c>
      <c r="AH197" s="5" t="s">
        <v>22</v>
      </c>
      <c r="AJ197" s="5" t="s">
        <v>22</v>
      </c>
      <c r="AK197" s="5" t="s">
        <v>22</v>
      </c>
      <c r="AL197" s="5" t="s">
        <v>22</v>
      </c>
      <c r="AM197" s="5" t="s">
        <v>22</v>
      </c>
      <c r="AN197" s="5" t="s">
        <v>22</v>
      </c>
      <c r="AO197" s="5" t="s">
        <v>22</v>
      </c>
      <c r="AP197" s="5" t="s">
        <v>22</v>
      </c>
    </row>
    <row r="198" spans="11:42">
      <c r="K198" s="19">
        <v>194</v>
      </c>
      <c r="L198" s="21" t="str">
        <f t="shared" si="32"/>
        <v/>
      </c>
      <c r="M198" s="21" t="str">
        <f t="shared" si="33"/>
        <v/>
      </c>
      <c r="N198" s="21" t="str">
        <f t="shared" si="34"/>
        <v/>
      </c>
      <c r="O198" s="21" t="str">
        <f t="shared" si="35"/>
        <v/>
      </c>
      <c r="P198" s="21" t="str">
        <f t="shared" si="36"/>
        <v/>
      </c>
      <c r="Q198" s="21" t="str">
        <f t="shared" si="37"/>
        <v/>
      </c>
      <c r="R198" s="21" t="str">
        <f t="shared" si="38"/>
        <v/>
      </c>
      <c r="T198" s="6" t="s">
        <v>22</v>
      </c>
      <c r="U198" s="6" t="s">
        <v>22</v>
      </c>
      <c r="V198" s="6" t="s">
        <v>22</v>
      </c>
      <c r="W198" s="6" t="s">
        <v>22</v>
      </c>
      <c r="X198" s="6" t="s">
        <v>22</v>
      </c>
      <c r="Y198" s="6" t="s">
        <v>22</v>
      </c>
      <c r="Z198" s="6" t="s">
        <v>22</v>
      </c>
      <c r="AB198" s="5" t="s">
        <v>22</v>
      </c>
      <c r="AC198" s="5" t="s">
        <v>22</v>
      </c>
      <c r="AD198" s="5" t="s">
        <v>22</v>
      </c>
      <c r="AE198" s="5" t="s">
        <v>22</v>
      </c>
      <c r="AF198" s="5" t="s">
        <v>22</v>
      </c>
      <c r="AG198" s="5" t="s">
        <v>22</v>
      </c>
      <c r="AH198" s="5" t="s">
        <v>22</v>
      </c>
      <c r="AJ198" s="5" t="s">
        <v>22</v>
      </c>
      <c r="AK198" s="5" t="s">
        <v>22</v>
      </c>
      <c r="AL198" s="5" t="s">
        <v>22</v>
      </c>
      <c r="AM198" s="5" t="s">
        <v>22</v>
      </c>
      <c r="AN198" s="5" t="s">
        <v>22</v>
      </c>
      <c r="AO198" s="5" t="s">
        <v>22</v>
      </c>
      <c r="AP198" s="5" t="s">
        <v>22</v>
      </c>
    </row>
    <row r="199" spans="11:42">
      <c r="K199" s="18">
        <v>195</v>
      </c>
      <c r="L199" s="21" t="str">
        <f t="shared" si="32"/>
        <v/>
      </c>
      <c r="M199" s="21" t="str">
        <f t="shared" si="33"/>
        <v/>
      </c>
      <c r="N199" s="21" t="str">
        <f t="shared" si="34"/>
        <v/>
      </c>
      <c r="O199" s="21" t="str">
        <f t="shared" si="35"/>
        <v/>
      </c>
      <c r="P199" s="21" t="str">
        <f t="shared" si="36"/>
        <v/>
      </c>
      <c r="Q199" s="21" t="str">
        <f t="shared" si="37"/>
        <v/>
      </c>
      <c r="R199" s="21" t="str">
        <f t="shared" si="38"/>
        <v/>
      </c>
      <c r="T199" s="6" t="s">
        <v>22</v>
      </c>
      <c r="U199" s="6" t="s">
        <v>22</v>
      </c>
      <c r="V199" s="6" t="s">
        <v>22</v>
      </c>
      <c r="W199" s="6" t="s">
        <v>22</v>
      </c>
      <c r="X199" s="6" t="s">
        <v>22</v>
      </c>
      <c r="Y199" s="6" t="s">
        <v>22</v>
      </c>
      <c r="Z199" s="6" t="s">
        <v>22</v>
      </c>
      <c r="AB199" s="5" t="s">
        <v>22</v>
      </c>
      <c r="AC199" s="5" t="s">
        <v>22</v>
      </c>
      <c r="AD199" s="5" t="s">
        <v>22</v>
      </c>
      <c r="AE199" s="5" t="s">
        <v>22</v>
      </c>
      <c r="AF199" s="5" t="s">
        <v>22</v>
      </c>
      <c r="AG199" s="5" t="s">
        <v>22</v>
      </c>
      <c r="AH199" s="5" t="s">
        <v>22</v>
      </c>
      <c r="AJ199" s="5" t="s">
        <v>22</v>
      </c>
      <c r="AK199" s="5" t="s">
        <v>22</v>
      </c>
      <c r="AL199" s="5" t="s">
        <v>22</v>
      </c>
      <c r="AM199" s="5" t="s">
        <v>22</v>
      </c>
      <c r="AN199" s="5" t="s">
        <v>22</v>
      </c>
      <c r="AO199" s="5" t="s">
        <v>22</v>
      </c>
      <c r="AP199" s="5" t="s">
        <v>22</v>
      </c>
    </row>
    <row r="200" spans="11:42">
      <c r="K200" s="19">
        <v>196</v>
      </c>
      <c r="L200" s="21" t="str">
        <f t="shared" si="32"/>
        <v/>
      </c>
      <c r="M200" s="21" t="str">
        <f t="shared" si="33"/>
        <v/>
      </c>
      <c r="N200" s="21" t="str">
        <f t="shared" si="34"/>
        <v/>
      </c>
      <c r="O200" s="21" t="str">
        <f t="shared" si="35"/>
        <v/>
      </c>
      <c r="P200" s="21" t="str">
        <f t="shared" si="36"/>
        <v/>
      </c>
      <c r="Q200" s="21" t="str">
        <f t="shared" si="37"/>
        <v/>
      </c>
      <c r="R200" s="21" t="str">
        <f t="shared" si="38"/>
        <v/>
      </c>
      <c r="T200" s="6" t="s">
        <v>22</v>
      </c>
      <c r="U200" s="6" t="s">
        <v>22</v>
      </c>
      <c r="V200" s="6" t="s">
        <v>22</v>
      </c>
      <c r="W200" s="6" t="s">
        <v>22</v>
      </c>
      <c r="X200" s="6" t="s">
        <v>22</v>
      </c>
      <c r="Y200" s="6" t="s">
        <v>22</v>
      </c>
      <c r="Z200" s="6" t="s">
        <v>22</v>
      </c>
      <c r="AB200" s="5" t="s">
        <v>22</v>
      </c>
      <c r="AC200" s="5" t="s">
        <v>22</v>
      </c>
      <c r="AD200" s="5" t="s">
        <v>22</v>
      </c>
      <c r="AE200" s="5" t="s">
        <v>22</v>
      </c>
      <c r="AF200" s="5" t="s">
        <v>22</v>
      </c>
      <c r="AG200" s="5" t="s">
        <v>22</v>
      </c>
      <c r="AH200" s="5" t="s">
        <v>22</v>
      </c>
      <c r="AJ200" s="5" t="s">
        <v>22</v>
      </c>
      <c r="AK200" s="5" t="s">
        <v>22</v>
      </c>
      <c r="AL200" s="5" t="s">
        <v>22</v>
      </c>
      <c r="AM200" s="5" t="s">
        <v>22</v>
      </c>
      <c r="AN200" s="5" t="s">
        <v>22</v>
      </c>
      <c r="AO200" s="5" t="s">
        <v>22</v>
      </c>
      <c r="AP200" s="5" t="s">
        <v>22</v>
      </c>
    </row>
    <row r="201" spans="11:42">
      <c r="K201" s="18">
        <v>197</v>
      </c>
      <c r="L201" s="21" t="str">
        <f t="shared" si="32"/>
        <v/>
      </c>
      <c r="M201" s="21" t="str">
        <f t="shared" si="33"/>
        <v/>
      </c>
      <c r="N201" s="21" t="str">
        <f t="shared" si="34"/>
        <v/>
      </c>
      <c r="O201" s="21" t="str">
        <f t="shared" si="35"/>
        <v/>
      </c>
      <c r="P201" s="21" t="str">
        <f t="shared" si="36"/>
        <v/>
      </c>
      <c r="Q201" s="21" t="str">
        <f t="shared" si="37"/>
        <v/>
      </c>
      <c r="R201" s="21" t="str">
        <f t="shared" si="38"/>
        <v/>
      </c>
      <c r="T201" s="6" t="s">
        <v>22</v>
      </c>
      <c r="U201" s="6" t="s">
        <v>22</v>
      </c>
      <c r="V201" s="6" t="s">
        <v>22</v>
      </c>
      <c r="W201" s="6" t="s">
        <v>22</v>
      </c>
      <c r="X201" s="6" t="s">
        <v>22</v>
      </c>
      <c r="Y201" s="6" t="s">
        <v>22</v>
      </c>
      <c r="Z201" s="6" t="s">
        <v>22</v>
      </c>
      <c r="AB201" s="5" t="s">
        <v>22</v>
      </c>
      <c r="AC201" s="5" t="s">
        <v>22</v>
      </c>
      <c r="AD201" s="5" t="s">
        <v>22</v>
      </c>
      <c r="AE201" s="5" t="s">
        <v>22</v>
      </c>
      <c r="AF201" s="5" t="s">
        <v>22</v>
      </c>
      <c r="AG201" s="5" t="s">
        <v>22</v>
      </c>
      <c r="AH201" s="5" t="s">
        <v>22</v>
      </c>
      <c r="AJ201" s="5" t="s">
        <v>22</v>
      </c>
      <c r="AK201" s="5" t="s">
        <v>22</v>
      </c>
      <c r="AL201" s="5" t="s">
        <v>22</v>
      </c>
      <c r="AM201" s="5" t="s">
        <v>22</v>
      </c>
      <c r="AN201" s="5" t="s">
        <v>22</v>
      </c>
      <c r="AO201" s="5" t="s">
        <v>22</v>
      </c>
      <c r="AP201" s="5" t="s">
        <v>22</v>
      </c>
    </row>
    <row r="202" spans="11:42">
      <c r="K202" s="19">
        <v>198</v>
      </c>
      <c r="L202" s="21" t="str">
        <f t="shared" si="32"/>
        <v/>
      </c>
      <c r="M202" s="21" t="str">
        <f t="shared" si="33"/>
        <v/>
      </c>
      <c r="N202" s="21" t="str">
        <f t="shared" si="34"/>
        <v/>
      </c>
      <c r="O202" s="21" t="str">
        <f t="shared" si="35"/>
        <v/>
      </c>
      <c r="P202" s="21" t="str">
        <f t="shared" si="36"/>
        <v/>
      </c>
      <c r="Q202" s="21" t="str">
        <f t="shared" si="37"/>
        <v/>
      </c>
      <c r="R202" s="21" t="str">
        <f t="shared" si="38"/>
        <v/>
      </c>
      <c r="T202" s="6" t="s">
        <v>22</v>
      </c>
      <c r="U202" s="6" t="s">
        <v>22</v>
      </c>
      <c r="V202" s="6" t="s">
        <v>22</v>
      </c>
      <c r="W202" s="6" t="s">
        <v>22</v>
      </c>
      <c r="X202" s="6" t="s">
        <v>22</v>
      </c>
      <c r="Y202" s="6" t="s">
        <v>22</v>
      </c>
      <c r="Z202" s="6" t="s">
        <v>22</v>
      </c>
      <c r="AB202" s="5" t="s">
        <v>22</v>
      </c>
      <c r="AC202" s="5" t="s">
        <v>22</v>
      </c>
      <c r="AD202" s="5" t="s">
        <v>22</v>
      </c>
      <c r="AE202" s="5" t="s">
        <v>22</v>
      </c>
      <c r="AF202" s="5" t="s">
        <v>22</v>
      </c>
      <c r="AG202" s="5" t="s">
        <v>22</v>
      </c>
      <c r="AH202" s="5" t="s">
        <v>22</v>
      </c>
      <c r="AJ202" s="5" t="s">
        <v>22</v>
      </c>
      <c r="AK202" s="5" t="s">
        <v>22</v>
      </c>
      <c r="AL202" s="5" t="s">
        <v>22</v>
      </c>
      <c r="AM202" s="5" t="s">
        <v>22</v>
      </c>
      <c r="AN202" s="5" t="s">
        <v>22</v>
      </c>
      <c r="AO202" s="5" t="s">
        <v>22</v>
      </c>
      <c r="AP202" s="5" t="s">
        <v>22</v>
      </c>
    </row>
    <row r="203" spans="11:42">
      <c r="K203" s="18">
        <v>199</v>
      </c>
      <c r="L203" s="21" t="str">
        <f t="shared" si="32"/>
        <v/>
      </c>
      <c r="M203" s="21" t="str">
        <f t="shared" si="33"/>
        <v/>
      </c>
      <c r="N203" s="21" t="str">
        <f t="shared" si="34"/>
        <v/>
      </c>
      <c r="O203" s="21" t="str">
        <f t="shared" si="35"/>
        <v/>
      </c>
      <c r="P203" s="21" t="str">
        <f t="shared" si="36"/>
        <v/>
      </c>
      <c r="Q203" s="21" t="str">
        <f t="shared" si="37"/>
        <v/>
      </c>
      <c r="R203" s="21" t="str">
        <f t="shared" si="38"/>
        <v/>
      </c>
      <c r="T203" s="6" t="s">
        <v>22</v>
      </c>
      <c r="U203" s="6" t="s">
        <v>22</v>
      </c>
      <c r="V203" s="6" t="s">
        <v>22</v>
      </c>
      <c r="W203" s="6" t="s">
        <v>22</v>
      </c>
      <c r="X203" s="6" t="s">
        <v>22</v>
      </c>
      <c r="Y203" s="6" t="s">
        <v>22</v>
      </c>
      <c r="Z203" s="6" t="s">
        <v>22</v>
      </c>
      <c r="AB203" s="5" t="s">
        <v>22</v>
      </c>
      <c r="AC203" s="5" t="s">
        <v>22</v>
      </c>
      <c r="AD203" s="5" t="s">
        <v>22</v>
      </c>
      <c r="AE203" s="5" t="s">
        <v>22</v>
      </c>
      <c r="AF203" s="5" t="s">
        <v>22</v>
      </c>
      <c r="AG203" s="5" t="s">
        <v>22</v>
      </c>
      <c r="AH203" s="5" t="s">
        <v>22</v>
      </c>
      <c r="AJ203" s="5" t="s">
        <v>22</v>
      </c>
      <c r="AK203" s="5" t="s">
        <v>22</v>
      </c>
      <c r="AL203" s="5" t="s">
        <v>22</v>
      </c>
      <c r="AM203" s="5" t="s">
        <v>22</v>
      </c>
      <c r="AN203" s="5" t="s">
        <v>22</v>
      </c>
      <c r="AO203" s="5" t="s">
        <v>22</v>
      </c>
      <c r="AP203" s="5" t="s">
        <v>22</v>
      </c>
    </row>
    <row r="204" spans="11:42">
      <c r="K204" s="19">
        <v>200</v>
      </c>
      <c r="L204" s="21" t="str">
        <f t="shared" si="32"/>
        <v/>
      </c>
      <c r="M204" s="21" t="str">
        <f t="shared" si="33"/>
        <v/>
      </c>
      <c r="N204" s="21" t="str">
        <f t="shared" si="34"/>
        <v/>
      </c>
      <c r="O204" s="21" t="str">
        <f t="shared" si="35"/>
        <v/>
      </c>
      <c r="P204" s="21" t="str">
        <f t="shared" si="36"/>
        <v/>
      </c>
      <c r="Q204" s="21" t="str">
        <f t="shared" si="37"/>
        <v/>
      </c>
      <c r="R204" s="21" t="str">
        <f t="shared" si="38"/>
        <v/>
      </c>
      <c r="T204" s="6" t="s">
        <v>22</v>
      </c>
      <c r="U204" s="6" t="s">
        <v>22</v>
      </c>
      <c r="V204" s="6" t="s">
        <v>22</v>
      </c>
      <c r="W204" s="6" t="s">
        <v>22</v>
      </c>
      <c r="X204" s="6" t="s">
        <v>22</v>
      </c>
      <c r="Y204" s="6" t="s">
        <v>22</v>
      </c>
      <c r="Z204" s="6" t="s">
        <v>22</v>
      </c>
      <c r="AB204" s="5" t="s">
        <v>22</v>
      </c>
      <c r="AC204" s="5" t="s">
        <v>22</v>
      </c>
      <c r="AD204" s="5" t="s">
        <v>22</v>
      </c>
      <c r="AE204" s="5" t="s">
        <v>22</v>
      </c>
      <c r="AF204" s="5" t="s">
        <v>22</v>
      </c>
      <c r="AG204" s="5" t="s">
        <v>22</v>
      </c>
      <c r="AH204" s="5" t="s">
        <v>22</v>
      </c>
      <c r="AJ204" s="5" t="s">
        <v>22</v>
      </c>
      <c r="AK204" s="5" t="s">
        <v>22</v>
      </c>
      <c r="AL204" s="5" t="s">
        <v>22</v>
      </c>
      <c r="AM204" s="5" t="s">
        <v>22</v>
      </c>
      <c r="AN204" s="5" t="s">
        <v>22</v>
      </c>
      <c r="AO204" s="5" t="s">
        <v>22</v>
      </c>
      <c r="AP204" s="5" t="s">
        <v>22</v>
      </c>
    </row>
    <row r="205" spans="11:42">
      <c r="K205" s="18">
        <v>201</v>
      </c>
      <c r="L205" s="21" t="str">
        <f t="shared" si="32"/>
        <v/>
      </c>
      <c r="M205" s="21" t="str">
        <f t="shared" si="33"/>
        <v/>
      </c>
      <c r="N205" s="21" t="str">
        <f t="shared" si="34"/>
        <v/>
      </c>
      <c r="O205" s="21" t="str">
        <f t="shared" si="35"/>
        <v/>
      </c>
      <c r="P205" s="21" t="str">
        <f t="shared" si="36"/>
        <v/>
      </c>
      <c r="Q205" s="21" t="str">
        <f t="shared" si="37"/>
        <v/>
      </c>
      <c r="R205" s="21" t="str">
        <f t="shared" si="38"/>
        <v/>
      </c>
      <c r="T205" s="6" t="s">
        <v>22</v>
      </c>
      <c r="U205" s="6" t="s">
        <v>22</v>
      </c>
      <c r="V205" s="6" t="s">
        <v>22</v>
      </c>
      <c r="W205" s="6" t="s">
        <v>22</v>
      </c>
      <c r="X205" s="6" t="s">
        <v>22</v>
      </c>
      <c r="Y205" s="6" t="s">
        <v>22</v>
      </c>
      <c r="Z205" s="6" t="s">
        <v>22</v>
      </c>
      <c r="AB205" s="5" t="s">
        <v>22</v>
      </c>
      <c r="AC205" s="5" t="s">
        <v>22</v>
      </c>
      <c r="AD205" s="5" t="s">
        <v>22</v>
      </c>
      <c r="AE205" s="5" t="s">
        <v>22</v>
      </c>
      <c r="AF205" s="5" t="s">
        <v>22</v>
      </c>
      <c r="AG205" s="5" t="s">
        <v>22</v>
      </c>
      <c r="AH205" s="5" t="s">
        <v>22</v>
      </c>
      <c r="AJ205" s="5" t="s">
        <v>22</v>
      </c>
      <c r="AK205" s="5" t="s">
        <v>22</v>
      </c>
      <c r="AL205" s="5" t="s">
        <v>22</v>
      </c>
      <c r="AM205" s="5" t="s">
        <v>22</v>
      </c>
      <c r="AN205" s="5" t="s">
        <v>22</v>
      </c>
      <c r="AO205" s="5" t="s">
        <v>22</v>
      </c>
      <c r="AP205" s="5" t="s">
        <v>22</v>
      </c>
    </row>
    <row r="206" spans="11:42">
      <c r="K206" s="19">
        <v>202</v>
      </c>
      <c r="L206" s="21" t="str">
        <f t="shared" si="32"/>
        <v/>
      </c>
      <c r="M206" s="21" t="str">
        <f t="shared" si="33"/>
        <v/>
      </c>
      <c r="N206" s="21" t="str">
        <f t="shared" si="34"/>
        <v/>
      </c>
      <c r="O206" s="21" t="str">
        <f t="shared" si="35"/>
        <v/>
      </c>
      <c r="P206" s="21" t="str">
        <f t="shared" si="36"/>
        <v/>
      </c>
      <c r="Q206" s="21" t="str">
        <f t="shared" si="37"/>
        <v/>
      </c>
      <c r="R206" s="21" t="str">
        <f t="shared" si="38"/>
        <v/>
      </c>
      <c r="T206" s="6" t="s">
        <v>22</v>
      </c>
      <c r="U206" s="6" t="s">
        <v>22</v>
      </c>
      <c r="V206" s="6" t="s">
        <v>22</v>
      </c>
      <c r="W206" s="6" t="s">
        <v>22</v>
      </c>
      <c r="X206" s="6" t="s">
        <v>22</v>
      </c>
      <c r="Y206" s="6" t="s">
        <v>22</v>
      </c>
      <c r="Z206" s="6" t="s">
        <v>22</v>
      </c>
      <c r="AB206" s="5" t="s">
        <v>22</v>
      </c>
      <c r="AC206" s="5" t="s">
        <v>22</v>
      </c>
      <c r="AD206" s="5" t="s">
        <v>22</v>
      </c>
      <c r="AE206" s="5" t="s">
        <v>22</v>
      </c>
      <c r="AF206" s="5" t="s">
        <v>22</v>
      </c>
      <c r="AG206" s="5" t="s">
        <v>22</v>
      </c>
      <c r="AH206" s="5" t="s">
        <v>22</v>
      </c>
      <c r="AJ206" s="5" t="s">
        <v>22</v>
      </c>
      <c r="AK206" s="5" t="s">
        <v>22</v>
      </c>
      <c r="AL206" s="5" t="s">
        <v>22</v>
      </c>
      <c r="AM206" s="5" t="s">
        <v>22</v>
      </c>
      <c r="AN206" s="5" t="s">
        <v>22</v>
      </c>
      <c r="AO206" s="5" t="s">
        <v>22</v>
      </c>
      <c r="AP206" s="5" t="s">
        <v>22</v>
      </c>
    </row>
    <row r="207" spans="11:42">
      <c r="K207" s="18">
        <v>203</v>
      </c>
      <c r="L207" s="21" t="str">
        <f t="shared" si="32"/>
        <v/>
      </c>
      <c r="M207" s="21" t="str">
        <f t="shared" si="33"/>
        <v/>
      </c>
      <c r="N207" s="21" t="str">
        <f t="shared" si="34"/>
        <v/>
      </c>
      <c r="O207" s="21" t="str">
        <f t="shared" si="35"/>
        <v/>
      </c>
      <c r="P207" s="21" t="str">
        <f t="shared" si="36"/>
        <v/>
      </c>
      <c r="Q207" s="21" t="str">
        <f t="shared" si="37"/>
        <v/>
      </c>
      <c r="R207" s="21" t="str">
        <f t="shared" si="38"/>
        <v/>
      </c>
      <c r="T207" s="6" t="s">
        <v>22</v>
      </c>
      <c r="U207" s="6" t="s">
        <v>22</v>
      </c>
      <c r="V207" s="6" t="s">
        <v>22</v>
      </c>
      <c r="W207" s="6" t="s">
        <v>22</v>
      </c>
      <c r="X207" s="6" t="s">
        <v>22</v>
      </c>
      <c r="Y207" s="6" t="s">
        <v>22</v>
      </c>
      <c r="Z207" s="6" t="s">
        <v>22</v>
      </c>
      <c r="AB207" s="5" t="s">
        <v>22</v>
      </c>
      <c r="AC207" s="5" t="s">
        <v>22</v>
      </c>
      <c r="AD207" s="5" t="s">
        <v>22</v>
      </c>
      <c r="AE207" s="5" t="s">
        <v>22</v>
      </c>
      <c r="AF207" s="5" t="s">
        <v>22</v>
      </c>
      <c r="AG207" s="5" t="s">
        <v>22</v>
      </c>
      <c r="AH207" s="5" t="s">
        <v>22</v>
      </c>
      <c r="AJ207" s="5" t="s">
        <v>22</v>
      </c>
      <c r="AK207" s="5" t="s">
        <v>22</v>
      </c>
      <c r="AL207" s="5" t="s">
        <v>22</v>
      </c>
      <c r="AM207" s="5" t="s">
        <v>22</v>
      </c>
      <c r="AN207" s="5" t="s">
        <v>22</v>
      </c>
      <c r="AO207" s="5" t="s">
        <v>22</v>
      </c>
      <c r="AP207" s="5" t="s">
        <v>22</v>
      </c>
    </row>
    <row r="208" spans="11:42">
      <c r="K208" s="19">
        <v>204</v>
      </c>
      <c r="L208" s="21" t="str">
        <f t="shared" si="32"/>
        <v/>
      </c>
      <c r="M208" s="21" t="str">
        <f t="shared" si="33"/>
        <v/>
      </c>
      <c r="N208" s="21" t="str">
        <f t="shared" si="34"/>
        <v/>
      </c>
      <c r="O208" s="21" t="str">
        <f t="shared" si="35"/>
        <v/>
      </c>
      <c r="P208" s="21" t="str">
        <f t="shared" si="36"/>
        <v/>
      </c>
      <c r="Q208" s="21" t="str">
        <f t="shared" si="37"/>
        <v/>
      </c>
      <c r="R208" s="21" t="str">
        <f t="shared" si="38"/>
        <v/>
      </c>
      <c r="T208" s="6" t="s">
        <v>22</v>
      </c>
      <c r="U208" s="6" t="s">
        <v>22</v>
      </c>
      <c r="V208" s="6" t="s">
        <v>22</v>
      </c>
      <c r="W208" s="6" t="s">
        <v>22</v>
      </c>
      <c r="X208" s="6" t="s">
        <v>22</v>
      </c>
      <c r="Y208" s="6" t="s">
        <v>22</v>
      </c>
      <c r="Z208" s="6" t="s">
        <v>22</v>
      </c>
      <c r="AB208" s="5" t="s">
        <v>22</v>
      </c>
      <c r="AC208" s="5" t="s">
        <v>22</v>
      </c>
      <c r="AD208" s="5" t="s">
        <v>22</v>
      </c>
      <c r="AE208" s="5" t="s">
        <v>22</v>
      </c>
      <c r="AF208" s="5" t="s">
        <v>22</v>
      </c>
      <c r="AG208" s="5" t="s">
        <v>22</v>
      </c>
      <c r="AH208" s="5" t="s">
        <v>22</v>
      </c>
      <c r="AJ208" s="5" t="s">
        <v>22</v>
      </c>
      <c r="AK208" s="5" t="s">
        <v>22</v>
      </c>
      <c r="AL208" s="5" t="s">
        <v>22</v>
      </c>
      <c r="AM208" s="5" t="s">
        <v>22</v>
      </c>
      <c r="AN208" s="5" t="s">
        <v>22</v>
      </c>
      <c r="AO208" s="5" t="s">
        <v>22</v>
      </c>
      <c r="AP208" s="5" t="s">
        <v>22</v>
      </c>
    </row>
    <row r="209" spans="11:42">
      <c r="K209" s="18">
        <v>205</v>
      </c>
      <c r="L209" s="21" t="str">
        <f t="shared" si="32"/>
        <v/>
      </c>
      <c r="M209" s="21" t="str">
        <f t="shared" si="33"/>
        <v/>
      </c>
      <c r="N209" s="21" t="str">
        <f t="shared" si="34"/>
        <v/>
      </c>
      <c r="O209" s="21" t="str">
        <f t="shared" si="35"/>
        <v/>
      </c>
      <c r="P209" s="21" t="str">
        <f t="shared" si="36"/>
        <v/>
      </c>
      <c r="Q209" s="21" t="str">
        <f t="shared" si="37"/>
        <v/>
      </c>
      <c r="R209" s="21" t="str">
        <f t="shared" si="38"/>
        <v/>
      </c>
      <c r="T209" s="6" t="s">
        <v>22</v>
      </c>
      <c r="U209" s="6" t="s">
        <v>22</v>
      </c>
      <c r="V209" s="6" t="s">
        <v>22</v>
      </c>
      <c r="W209" s="6" t="s">
        <v>22</v>
      </c>
      <c r="X209" s="6" t="s">
        <v>22</v>
      </c>
      <c r="Y209" s="6" t="s">
        <v>22</v>
      </c>
      <c r="Z209" s="6" t="s">
        <v>22</v>
      </c>
      <c r="AB209" s="5" t="s">
        <v>22</v>
      </c>
      <c r="AC209" s="5" t="s">
        <v>22</v>
      </c>
      <c r="AD209" s="5" t="s">
        <v>22</v>
      </c>
      <c r="AE209" s="5" t="s">
        <v>22</v>
      </c>
      <c r="AF209" s="5" t="s">
        <v>22</v>
      </c>
      <c r="AG209" s="5" t="s">
        <v>22</v>
      </c>
      <c r="AH209" s="5" t="s">
        <v>22</v>
      </c>
      <c r="AJ209" s="5" t="s">
        <v>22</v>
      </c>
      <c r="AK209" s="5" t="s">
        <v>22</v>
      </c>
      <c r="AL209" s="5" t="s">
        <v>22</v>
      </c>
      <c r="AM209" s="5" t="s">
        <v>22</v>
      </c>
      <c r="AN209" s="5" t="s">
        <v>22</v>
      </c>
      <c r="AO209" s="5" t="s">
        <v>22</v>
      </c>
      <c r="AP209" s="5" t="s">
        <v>22</v>
      </c>
    </row>
    <row r="210" spans="11:42">
      <c r="K210" s="19">
        <v>206</v>
      </c>
      <c r="L210" s="21" t="str">
        <f t="shared" si="32"/>
        <v/>
      </c>
      <c r="M210" s="21" t="str">
        <f t="shared" si="33"/>
        <v/>
      </c>
      <c r="N210" s="21" t="str">
        <f t="shared" si="34"/>
        <v/>
      </c>
      <c r="O210" s="21" t="str">
        <f t="shared" si="35"/>
        <v/>
      </c>
      <c r="P210" s="21" t="str">
        <f t="shared" si="36"/>
        <v/>
      </c>
      <c r="Q210" s="21" t="str">
        <f t="shared" si="37"/>
        <v/>
      </c>
      <c r="R210" s="21" t="str">
        <f t="shared" si="38"/>
        <v/>
      </c>
      <c r="T210" s="6" t="s">
        <v>22</v>
      </c>
      <c r="U210" s="6" t="s">
        <v>22</v>
      </c>
      <c r="V210" s="6" t="s">
        <v>22</v>
      </c>
      <c r="W210" s="6" t="s">
        <v>22</v>
      </c>
      <c r="X210" s="6" t="s">
        <v>22</v>
      </c>
      <c r="Y210" s="6" t="s">
        <v>22</v>
      </c>
      <c r="Z210" s="6" t="s">
        <v>22</v>
      </c>
      <c r="AB210" s="5" t="s">
        <v>22</v>
      </c>
      <c r="AC210" s="5" t="s">
        <v>22</v>
      </c>
      <c r="AD210" s="5" t="s">
        <v>22</v>
      </c>
      <c r="AE210" s="5" t="s">
        <v>22</v>
      </c>
      <c r="AF210" s="5" t="s">
        <v>22</v>
      </c>
      <c r="AG210" s="5" t="s">
        <v>22</v>
      </c>
      <c r="AH210" s="5" t="s">
        <v>22</v>
      </c>
      <c r="AJ210" s="5" t="s">
        <v>22</v>
      </c>
      <c r="AK210" s="5" t="s">
        <v>22</v>
      </c>
      <c r="AL210" s="5" t="s">
        <v>22</v>
      </c>
      <c r="AM210" s="5" t="s">
        <v>22</v>
      </c>
      <c r="AN210" s="5" t="s">
        <v>22</v>
      </c>
      <c r="AO210" s="5" t="s">
        <v>22</v>
      </c>
      <c r="AP210" s="5" t="s">
        <v>22</v>
      </c>
    </row>
    <row r="211" spans="11:42">
      <c r="K211" s="18">
        <v>207</v>
      </c>
      <c r="L211" s="21" t="str">
        <f t="shared" si="32"/>
        <v/>
      </c>
      <c r="M211" s="21" t="str">
        <f t="shared" si="33"/>
        <v/>
      </c>
      <c r="N211" s="21" t="str">
        <f t="shared" si="34"/>
        <v/>
      </c>
      <c r="O211" s="21" t="str">
        <f t="shared" si="35"/>
        <v/>
      </c>
      <c r="P211" s="21" t="str">
        <f t="shared" si="36"/>
        <v/>
      </c>
      <c r="Q211" s="21" t="str">
        <f t="shared" si="37"/>
        <v/>
      </c>
      <c r="R211" s="21" t="str">
        <f t="shared" si="38"/>
        <v/>
      </c>
      <c r="T211" s="6" t="s">
        <v>22</v>
      </c>
      <c r="U211" s="6" t="s">
        <v>22</v>
      </c>
      <c r="V211" s="6" t="s">
        <v>22</v>
      </c>
      <c r="W211" s="6" t="s">
        <v>22</v>
      </c>
      <c r="X211" s="6" t="s">
        <v>22</v>
      </c>
      <c r="Y211" s="6" t="s">
        <v>22</v>
      </c>
      <c r="Z211" s="6" t="s">
        <v>22</v>
      </c>
      <c r="AB211" s="5" t="s">
        <v>22</v>
      </c>
      <c r="AC211" s="5" t="s">
        <v>22</v>
      </c>
      <c r="AD211" s="5" t="s">
        <v>22</v>
      </c>
      <c r="AE211" s="5" t="s">
        <v>22</v>
      </c>
      <c r="AF211" s="5" t="s">
        <v>22</v>
      </c>
      <c r="AG211" s="5" t="s">
        <v>22</v>
      </c>
      <c r="AH211" s="5" t="s">
        <v>22</v>
      </c>
      <c r="AJ211" s="5" t="s">
        <v>22</v>
      </c>
      <c r="AK211" s="5" t="s">
        <v>22</v>
      </c>
      <c r="AL211" s="5" t="s">
        <v>22</v>
      </c>
      <c r="AM211" s="5" t="s">
        <v>22</v>
      </c>
      <c r="AN211" s="5" t="s">
        <v>22</v>
      </c>
      <c r="AO211" s="5" t="s">
        <v>22</v>
      </c>
      <c r="AP211" s="5" t="s">
        <v>22</v>
      </c>
    </row>
    <row r="212" spans="11:42">
      <c r="K212" s="19">
        <v>208</v>
      </c>
      <c r="L212" s="21" t="str">
        <f t="shared" si="32"/>
        <v/>
      </c>
      <c r="M212" s="21" t="str">
        <f t="shared" si="33"/>
        <v/>
      </c>
      <c r="N212" s="21" t="str">
        <f t="shared" si="34"/>
        <v/>
      </c>
      <c r="O212" s="21" t="str">
        <f t="shared" si="35"/>
        <v/>
      </c>
      <c r="P212" s="21" t="str">
        <f t="shared" si="36"/>
        <v/>
      </c>
      <c r="Q212" s="21" t="str">
        <f t="shared" si="37"/>
        <v/>
      </c>
      <c r="R212" s="21" t="str">
        <f t="shared" si="38"/>
        <v/>
      </c>
      <c r="T212" s="6" t="s">
        <v>22</v>
      </c>
      <c r="U212" s="6" t="s">
        <v>22</v>
      </c>
      <c r="V212" s="6" t="s">
        <v>22</v>
      </c>
      <c r="W212" s="6" t="s">
        <v>22</v>
      </c>
      <c r="X212" s="6" t="s">
        <v>22</v>
      </c>
      <c r="Y212" s="6" t="s">
        <v>22</v>
      </c>
      <c r="Z212" s="6" t="s">
        <v>22</v>
      </c>
      <c r="AB212" s="5" t="s">
        <v>22</v>
      </c>
      <c r="AC212" s="5" t="s">
        <v>22</v>
      </c>
      <c r="AD212" s="5" t="s">
        <v>22</v>
      </c>
      <c r="AE212" s="5" t="s">
        <v>22</v>
      </c>
      <c r="AF212" s="5" t="s">
        <v>22</v>
      </c>
      <c r="AG212" s="5" t="s">
        <v>22</v>
      </c>
      <c r="AH212" s="5" t="s">
        <v>22</v>
      </c>
      <c r="AJ212" s="5" t="s">
        <v>22</v>
      </c>
      <c r="AK212" s="5" t="s">
        <v>22</v>
      </c>
      <c r="AL212" s="5" t="s">
        <v>22</v>
      </c>
      <c r="AM212" s="5" t="s">
        <v>22</v>
      </c>
      <c r="AN212" s="5" t="s">
        <v>22</v>
      </c>
      <c r="AO212" s="5" t="s">
        <v>22</v>
      </c>
      <c r="AP212" s="5" t="s">
        <v>22</v>
      </c>
    </row>
    <row r="213" spans="11:42">
      <c r="K213" s="18">
        <v>209</v>
      </c>
      <c r="L213" s="21" t="str">
        <f t="shared" si="32"/>
        <v/>
      </c>
      <c r="M213" s="21" t="str">
        <f t="shared" si="33"/>
        <v/>
      </c>
      <c r="N213" s="21" t="str">
        <f t="shared" si="34"/>
        <v/>
      </c>
      <c r="O213" s="21" t="str">
        <f t="shared" si="35"/>
        <v/>
      </c>
      <c r="P213" s="21" t="str">
        <f t="shared" si="36"/>
        <v/>
      </c>
      <c r="Q213" s="21" t="str">
        <f t="shared" si="37"/>
        <v/>
      </c>
      <c r="R213" s="21" t="str">
        <f t="shared" si="38"/>
        <v/>
      </c>
      <c r="T213" s="6" t="s">
        <v>22</v>
      </c>
      <c r="U213" s="6" t="s">
        <v>22</v>
      </c>
      <c r="V213" s="6" t="s">
        <v>22</v>
      </c>
      <c r="W213" s="6" t="s">
        <v>22</v>
      </c>
      <c r="X213" s="6" t="s">
        <v>22</v>
      </c>
      <c r="Y213" s="6" t="s">
        <v>22</v>
      </c>
      <c r="Z213" s="6" t="s">
        <v>22</v>
      </c>
      <c r="AB213" s="5" t="s">
        <v>22</v>
      </c>
      <c r="AC213" s="5" t="s">
        <v>22</v>
      </c>
      <c r="AD213" s="5" t="s">
        <v>22</v>
      </c>
      <c r="AE213" s="5" t="s">
        <v>22</v>
      </c>
      <c r="AF213" s="5" t="s">
        <v>22</v>
      </c>
      <c r="AG213" s="5" t="s">
        <v>22</v>
      </c>
      <c r="AH213" s="5" t="s">
        <v>22</v>
      </c>
      <c r="AJ213" s="5" t="s">
        <v>22</v>
      </c>
      <c r="AK213" s="5" t="s">
        <v>22</v>
      </c>
      <c r="AL213" s="5" t="s">
        <v>22</v>
      </c>
      <c r="AM213" s="5" t="s">
        <v>22</v>
      </c>
      <c r="AN213" s="5" t="s">
        <v>22</v>
      </c>
      <c r="AO213" s="5" t="s">
        <v>22</v>
      </c>
      <c r="AP213" s="5" t="s">
        <v>22</v>
      </c>
    </row>
    <row r="214" spans="11:42">
      <c r="K214" s="19">
        <v>210</v>
      </c>
      <c r="L214" s="21" t="str">
        <f t="shared" si="32"/>
        <v/>
      </c>
      <c r="M214" s="21" t="str">
        <f t="shared" si="33"/>
        <v/>
      </c>
      <c r="N214" s="21" t="str">
        <f t="shared" si="34"/>
        <v/>
      </c>
      <c r="O214" s="21" t="str">
        <f t="shared" si="35"/>
        <v/>
      </c>
      <c r="P214" s="21" t="str">
        <f t="shared" si="36"/>
        <v/>
      </c>
      <c r="Q214" s="21" t="str">
        <f t="shared" si="37"/>
        <v/>
      </c>
      <c r="R214" s="21" t="str">
        <f t="shared" si="38"/>
        <v/>
      </c>
      <c r="T214" s="6" t="s">
        <v>22</v>
      </c>
      <c r="U214" s="6" t="s">
        <v>22</v>
      </c>
      <c r="V214" s="6" t="s">
        <v>22</v>
      </c>
      <c r="W214" s="6" t="s">
        <v>22</v>
      </c>
      <c r="X214" s="6" t="s">
        <v>22</v>
      </c>
      <c r="Y214" s="6" t="s">
        <v>22</v>
      </c>
      <c r="Z214" s="6" t="s">
        <v>22</v>
      </c>
      <c r="AB214" s="5" t="s">
        <v>22</v>
      </c>
      <c r="AC214" s="5" t="s">
        <v>22</v>
      </c>
      <c r="AD214" s="5" t="s">
        <v>22</v>
      </c>
      <c r="AE214" s="5" t="s">
        <v>22</v>
      </c>
      <c r="AF214" s="5" t="s">
        <v>22</v>
      </c>
      <c r="AG214" s="5" t="s">
        <v>22</v>
      </c>
      <c r="AH214" s="5" t="s">
        <v>22</v>
      </c>
      <c r="AJ214" s="5" t="s">
        <v>22</v>
      </c>
      <c r="AK214" s="5" t="s">
        <v>22</v>
      </c>
      <c r="AL214" s="5" t="s">
        <v>22</v>
      </c>
      <c r="AM214" s="5" t="s">
        <v>22</v>
      </c>
      <c r="AN214" s="5" t="s">
        <v>22</v>
      </c>
      <c r="AO214" s="5" t="s">
        <v>22</v>
      </c>
      <c r="AP214" s="5" t="s">
        <v>22</v>
      </c>
    </row>
    <row r="215" spans="11:42">
      <c r="K215" s="18">
        <v>211</v>
      </c>
      <c r="L215" s="21" t="str">
        <f t="shared" si="32"/>
        <v/>
      </c>
      <c r="M215" s="21" t="str">
        <f t="shared" si="33"/>
        <v/>
      </c>
      <c r="N215" s="21" t="str">
        <f t="shared" si="34"/>
        <v/>
      </c>
      <c r="O215" s="21" t="str">
        <f t="shared" si="35"/>
        <v/>
      </c>
      <c r="P215" s="21" t="str">
        <f t="shared" si="36"/>
        <v/>
      </c>
      <c r="Q215" s="21" t="str">
        <f t="shared" si="37"/>
        <v/>
      </c>
      <c r="R215" s="21" t="str">
        <f t="shared" si="38"/>
        <v/>
      </c>
      <c r="T215" s="6" t="s">
        <v>22</v>
      </c>
      <c r="U215" s="6" t="s">
        <v>22</v>
      </c>
      <c r="V215" s="6" t="s">
        <v>22</v>
      </c>
      <c r="W215" s="6" t="s">
        <v>22</v>
      </c>
      <c r="X215" s="6" t="s">
        <v>22</v>
      </c>
      <c r="Y215" s="6" t="s">
        <v>22</v>
      </c>
      <c r="Z215" s="6" t="s">
        <v>22</v>
      </c>
      <c r="AB215" s="5" t="s">
        <v>22</v>
      </c>
      <c r="AC215" s="5" t="s">
        <v>22</v>
      </c>
      <c r="AD215" s="5" t="s">
        <v>22</v>
      </c>
      <c r="AE215" s="5" t="s">
        <v>22</v>
      </c>
      <c r="AF215" s="5" t="s">
        <v>22</v>
      </c>
      <c r="AG215" s="5" t="s">
        <v>22</v>
      </c>
      <c r="AH215" s="5" t="s">
        <v>22</v>
      </c>
      <c r="AJ215" s="5" t="s">
        <v>22</v>
      </c>
      <c r="AK215" s="5" t="s">
        <v>22</v>
      </c>
      <c r="AL215" s="5" t="s">
        <v>22</v>
      </c>
      <c r="AM215" s="5" t="s">
        <v>22</v>
      </c>
      <c r="AN215" s="5" t="s">
        <v>22</v>
      </c>
      <c r="AO215" s="5" t="s">
        <v>22</v>
      </c>
      <c r="AP215" s="5" t="s">
        <v>22</v>
      </c>
    </row>
    <row r="216" spans="11:42">
      <c r="K216" s="19">
        <v>212</v>
      </c>
      <c r="L216" s="21" t="str">
        <f t="shared" si="32"/>
        <v/>
      </c>
      <c r="M216" s="21" t="str">
        <f t="shared" si="33"/>
        <v/>
      </c>
      <c r="N216" s="21" t="str">
        <f t="shared" si="34"/>
        <v/>
      </c>
      <c r="O216" s="21" t="str">
        <f t="shared" si="35"/>
        <v/>
      </c>
      <c r="P216" s="21" t="str">
        <f t="shared" si="36"/>
        <v/>
      </c>
      <c r="Q216" s="21" t="str">
        <f t="shared" si="37"/>
        <v/>
      </c>
      <c r="R216" s="21" t="str">
        <f t="shared" si="38"/>
        <v/>
      </c>
      <c r="T216" s="6" t="s">
        <v>22</v>
      </c>
      <c r="U216" s="6" t="s">
        <v>22</v>
      </c>
      <c r="V216" s="6" t="s">
        <v>22</v>
      </c>
      <c r="W216" s="6" t="s">
        <v>22</v>
      </c>
      <c r="X216" s="6" t="s">
        <v>22</v>
      </c>
      <c r="Y216" s="6" t="s">
        <v>22</v>
      </c>
      <c r="Z216" s="6" t="s">
        <v>22</v>
      </c>
      <c r="AB216" s="5" t="s">
        <v>22</v>
      </c>
      <c r="AC216" s="5" t="s">
        <v>22</v>
      </c>
      <c r="AD216" s="5" t="s">
        <v>22</v>
      </c>
      <c r="AE216" s="5" t="s">
        <v>22</v>
      </c>
      <c r="AF216" s="5" t="s">
        <v>22</v>
      </c>
      <c r="AG216" s="5" t="s">
        <v>22</v>
      </c>
      <c r="AH216" s="5" t="s">
        <v>22</v>
      </c>
      <c r="AJ216" s="5" t="s">
        <v>22</v>
      </c>
      <c r="AK216" s="5" t="s">
        <v>22</v>
      </c>
      <c r="AL216" s="5" t="s">
        <v>22</v>
      </c>
      <c r="AM216" s="5" t="s">
        <v>22</v>
      </c>
      <c r="AN216" s="5" t="s">
        <v>22</v>
      </c>
      <c r="AO216" s="5" t="s">
        <v>22</v>
      </c>
      <c r="AP216" s="5" t="s">
        <v>22</v>
      </c>
    </row>
    <row r="217" spans="11:42">
      <c r="K217" s="18">
        <v>213</v>
      </c>
      <c r="L217" s="21" t="str">
        <f t="shared" si="32"/>
        <v/>
      </c>
      <c r="M217" s="21" t="str">
        <f t="shared" si="33"/>
        <v/>
      </c>
      <c r="N217" s="21" t="str">
        <f t="shared" si="34"/>
        <v/>
      </c>
      <c r="O217" s="21" t="str">
        <f t="shared" si="35"/>
        <v/>
      </c>
      <c r="P217" s="21" t="str">
        <f t="shared" si="36"/>
        <v/>
      </c>
      <c r="Q217" s="21" t="str">
        <f t="shared" si="37"/>
        <v/>
      </c>
      <c r="R217" s="21" t="str">
        <f t="shared" si="38"/>
        <v/>
      </c>
      <c r="T217" s="6" t="s">
        <v>22</v>
      </c>
      <c r="U217" s="6" t="s">
        <v>22</v>
      </c>
      <c r="V217" s="6" t="s">
        <v>22</v>
      </c>
      <c r="W217" s="6" t="s">
        <v>22</v>
      </c>
      <c r="X217" s="6" t="s">
        <v>22</v>
      </c>
      <c r="Y217" s="6" t="s">
        <v>22</v>
      </c>
      <c r="Z217" s="6" t="s">
        <v>22</v>
      </c>
      <c r="AB217" s="5" t="s">
        <v>22</v>
      </c>
      <c r="AC217" s="5" t="s">
        <v>22</v>
      </c>
      <c r="AD217" s="5" t="s">
        <v>22</v>
      </c>
      <c r="AE217" s="5" t="s">
        <v>22</v>
      </c>
      <c r="AF217" s="5" t="s">
        <v>22</v>
      </c>
      <c r="AG217" s="5" t="s">
        <v>22</v>
      </c>
      <c r="AH217" s="5" t="s">
        <v>22</v>
      </c>
      <c r="AJ217" s="5" t="s">
        <v>22</v>
      </c>
      <c r="AK217" s="5" t="s">
        <v>22</v>
      </c>
      <c r="AL217" s="5" t="s">
        <v>22</v>
      </c>
      <c r="AM217" s="5" t="s">
        <v>22</v>
      </c>
      <c r="AN217" s="5" t="s">
        <v>22</v>
      </c>
      <c r="AO217" s="5" t="s">
        <v>22</v>
      </c>
      <c r="AP217" s="5" t="s">
        <v>22</v>
      </c>
    </row>
    <row r="218" spans="11:42">
      <c r="K218" s="19">
        <v>214</v>
      </c>
      <c r="L218" s="21" t="str">
        <f t="shared" si="32"/>
        <v/>
      </c>
      <c r="M218" s="21" t="str">
        <f t="shared" si="33"/>
        <v/>
      </c>
      <c r="N218" s="21" t="str">
        <f t="shared" si="34"/>
        <v/>
      </c>
      <c r="O218" s="21" t="str">
        <f t="shared" si="35"/>
        <v/>
      </c>
      <c r="P218" s="21" t="str">
        <f t="shared" si="36"/>
        <v/>
      </c>
      <c r="Q218" s="21" t="str">
        <f t="shared" si="37"/>
        <v/>
      </c>
      <c r="R218" s="21" t="str">
        <f t="shared" si="38"/>
        <v/>
      </c>
      <c r="T218" s="6" t="s">
        <v>22</v>
      </c>
      <c r="U218" s="6" t="s">
        <v>22</v>
      </c>
      <c r="V218" s="6" t="s">
        <v>22</v>
      </c>
      <c r="W218" s="6" t="s">
        <v>22</v>
      </c>
      <c r="X218" s="6" t="s">
        <v>22</v>
      </c>
      <c r="Y218" s="6" t="s">
        <v>22</v>
      </c>
      <c r="Z218" s="6" t="s">
        <v>22</v>
      </c>
      <c r="AB218" s="5" t="s">
        <v>22</v>
      </c>
      <c r="AC218" s="5" t="s">
        <v>22</v>
      </c>
      <c r="AD218" s="5" t="s">
        <v>22</v>
      </c>
      <c r="AE218" s="5" t="s">
        <v>22</v>
      </c>
      <c r="AF218" s="5" t="s">
        <v>22</v>
      </c>
      <c r="AG218" s="5" t="s">
        <v>22</v>
      </c>
      <c r="AH218" s="5" t="s">
        <v>22</v>
      </c>
      <c r="AJ218" s="5" t="s">
        <v>22</v>
      </c>
      <c r="AK218" s="5" t="s">
        <v>22</v>
      </c>
      <c r="AL218" s="5" t="s">
        <v>22</v>
      </c>
      <c r="AM218" s="5" t="s">
        <v>22</v>
      </c>
      <c r="AN218" s="5" t="s">
        <v>22</v>
      </c>
      <c r="AO218" s="5" t="s">
        <v>22</v>
      </c>
      <c r="AP218" s="5" t="s">
        <v>22</v>
      </c>
    </row>
    <row r="219" spans="11:42">
      <c r="K219" s="18">
        <v>215</v>
      </c>
      <c r="L219" s="21" t="str">
        <f t="shared" si="32"/>
        <v/>
      </c>
      <c r="M219" s="21" t="str">
        <f t="shared" si="33"/>
        <v/>
      </c>
      <c r="N219" s="21" t="str">
        <f t="shared" si="34"/>
        <v/>
      </c>
      <c r="O219" s="21" t="str">
        <f t="shared" si="35"/>
        <v/>
      </c>
      <c r="P219" s="21" t="str">
        <f t="shared" si="36"/>
        <v/>
      </c>
      <c r="Q219" s="21" t="str">
        <f t="shared" si="37"/>
        <v/>
      </c>
      <c r="R219" s="21" t="str">
        <f t="shared" si="38"/>
        <v/>
      </c>
      <c r="T219" s="6" t="s">
        <v>22</v>
      </c>
      <c r="U219" s="6" t="s">
        <v>22</v>
      </c>
      <c r="V219" s="6" t="s">
        <v>22</v>
      </c>
      <c r="W219" s="6" t="s">
        <v>22</v>
      </c>
      <c r="X219" s="6" t="s">
        <v>22</v>
      </c>
      <c r="Y219" s="6" t="s">
        <v>22</v>
      </c>
      <c r="Z219" s="6" t="s">
        <v>22</v>
      </c>
      <c r="AB219" s="5" t="s">
        <v>22</v>
      </c>
      <c r="AC219" s="5" t="s">
        <v>22</v>
      </c>
      <c r="AD219" s="5" t="s">
        <v>22</v>
      </c>
      <c r="AE219" s="5" t="s">
        <v>22</v>
      </c>
      <c r="AF219" s="5" t="s">
        <v>22</v>
      </c>
      <c r="AG219" s="5" t="s">
        <v>22</v>
      </c>
      <c r="AH219" s="5" t="s">
        <v>22</v>
      </c>
      <c r="AJ219" s="5" t="s">
        <v>22</v>
      </c>
      <c r="AK219" s="5" t="s">
        <v>22</v>
      </c>
      <c r="AL219" s="5" t="s">
        <v>22</v>
      </c>
      <c r="AM219" s="5" t="s">
        <v>22</v>
      </c>
      <c r="AN219" s="5" t="s">
        <v>22</v>
      </c>
      <c r="AO219" s="5" t="s">
        <v>22</v>
      </c>
      <c r="AP219" s="5" t="s">
        <v>22</v>
      </c>
    </row>
    <row r="220" spans="11:42">
      <c r="K220" s="19">
        <v>216</v>
      </c>
      <c r="L220" s="21" t="str">
        <f t="shared" si="32"/>
        <v/>
      </c>
      <c r="M220" s="21" t="str">
        <f t="shared" si="33"/>
        <v/>
      </c>
      <c r="N220" s="21" t="str">
        <f t="shared" si="34"/>
        <v/>
      </c>
      <c r="O220" s="21" t="str">
        <f t="shared" si="35"/>
        <v/>
      </c>
      <c r="P220" s="21" t="str">
        <f t="shared" si="36"/>
        <v/>
      </c>
      <c r="Q220" s="21" t="str">
        <f t="shared" si="37"/>
        <v/>
      </c>
      <c r="R220" s="21" t="str">
        <f t="shared" si="38"/>
        <v/>
      </c>
      <c r="T220" s="6" t="s">
        <v>22</v>
      </c>
      <c r="U220" s="6" t="s">
        <v>22</v>
      </c>
      <c r="V220" s="6" t="s">
        <v>22</v>
      </c>
      <c r="W220" s="6" t="s">
        <v>22</v>
      </c>
      <c r="X220" s="6" t="s">
        <v>22</v>
      </c>
      <c r="Y220" s="6" t="s">
        <v>22</v>
      </c>
      <c r="Z220" s="6" t="s">
        <v>22</v>
      </c>
      <c r="AB220" s="5" t="s">
        <v>22</v>
      </c>
      <c r="AC220" s="5" t="s">
        <v>22</v>
      </c>
      <c r="AD220" s="5" t="s">
        <v>22</v>
      </c>
      <c r="AE220" s="5" t="s">
        <v>22</v>
      </c>
      <c r="AF220" s="5" t="s">
        <v>22</v>
      </c>
      <c r="AG220" s="5" t="s">
        <v>22</v>
      </c>
      <c r="AH220" s="5" t="s">
        <v>22</v>
      </c>
      <c r="AJ220" s="5" t="s">
        <v>22</v>
      </c>
      <c r="AK220" s="5" t="s">
        <v>22</v>
      </c>
      <c r="AL220" s="5" t="s">
        <v>22</v>
      </c>
      <c r="AM220" s="5" t="s">
        <v>22</v>
      </c>
      <c r="AN220" s="5" t="s">
        <v>22</v>
      </c>
      <c r="AO220" s="5" t="s">
        <v>22</v>
      </c>
      <c r="AP220" s="5" t="s">
        <v>22</v>
      </c>
    </row>
    <row r="221" spans="11:42">
      <c r="K221" s="18">
        <v>217</v>
      </c>
      <c r="L221" s="21" t="str">
        <f t="shared" si="32"/>
        <v/>
      </c>
      <c r="M221" s="21" t="str">
        <f t="shared" si="33"/>
        <v/>
      </c>
      <c r="N221" s="21" t="str">
        <f t="shared" si="34"/>
        <v/>
      </c>
      <c r="O221" s="21" t="str">
        <f t="shared" si="35"/>
        <v/>
      </c>
      <c r="P221" s="21" t="str">
        <f t="shared" si="36"/>
        <v/>
      </c>
      <c r="Q221" s="21" t="str">
        <f t="shared" si="37"/>
        <v/>
      </c>
      <c r="R221" s="21" t="str">
        <f t="shared" si="38"/>
        <v/>
      </c>
      <c r="T221" s="6" t="s">
        <v>22</v>
      </c>
      <c r="U221" s="6" t="s">
        <v>22</v>
      </c>
      <c r="V221" s="6" t="s">
        <v>22</v>
      </c>
      <c r="W221" s="6" t="s">
        <v>22</v>
      </c>
      <c r="X221" s="6" t="s">
        <v>22</v>
      </c>
      <c r="Y221" s="6" t="s">
        <v>22</v>
      </c>
      <c r="Z221" s="6" t="s">
        <v>22</v>
      </c>
      <c r="AB221" s="5" t="s">
        <v>22</v>
      </c>
      <c r="AC221" s="5" t="s">
        <v>22</v>
      </c>
      <c r="AD221" s="5" t="s">
        <v>22</v>
      </c>
      <c r="AE221" s="5" t="s">
        <v>22</v>
      </c>
      <c r="AF221" s="5" t="s">
        <v>22</v>
      </c>
      <c r="AG221" s="5" t="s">
        <v>22</v>
      </c>
      <c r="AH221" s="5" t="s">
        <v>22</v>
      </c>
      <c r="AJ221" s="5" t="s">
        <v>22</v>
      </c>
      <c r="AK221" s="5" t="s">
        <v>22</v>
      </c>
      <c r="AL221" s="5" t="s">
        <v>22</v>
      </c>
      <c r="AM221" s="5" t="s">
        <v>22</v>
      </c>
      <c r="AN221" s="5" t="s">
        <v>22</v>
      </c>
      <c r="AO221" s="5" t="s">
        <v>22</v>
      </c>
      <c r="AP221" s="5" t="s">
        <v>22</v>
      </c>
    </row>
    <row r="222" spans="11:42">
      <c r="K222" s="19">
        <v>218</v>
      </c>
      <c r="L222" s="21" t="str">
        <f t="shared" si="32"/>
        <v/>
      </c>
      <c r="M222" s="21" t="str">
        <f t="shared" si="33"/>
        <v/>
      </c>
      <c r="N222" s="21" t="str">
        <f t="shared" si="34"/>
        <v/>
      </c>
      <c r="O222" s="21" t="str">
        <f t="shared" si="35"/>
        <v/>
      </c>
      <c r="P222" s="21" t="str">
        <f t="shared" si="36"/>
        <v/>
      </c>
      <c r="Q222" s="21" t="str">
        <f t="shared" si="37"/>
        <v/>
      </c>
      <c r="R222" s="21" t="str">
        <f t="shared" si="38"/>
        <v/>
      </c>
      <c r="T222" s="6" t="s">
        <v>22</v>
      </c>
      <c r="U222" s="6" t="s">
        <v>22</v>
      </c>
      <c r="V222" s="6" t="s">
        <v>22</v>
      </c>
      <c r="W222" s="6" t="s">
        <v>22</v>
      </c>
      <c r="X222" s="6" t="s">
        <v>22</v>
      </c>
      <c r="Y222" s="6" t="s">
        <v>22</v>
      </c>
      <c r="Z222" s="6" t="s">
        <v>22</v>
      </c>
      <c r="AB222" s="5" t="s">
        <v>22</v>
      </c>
      <c r="AC222" s="5" t="s">
        <v>22</v>
      </c>
      <c r="AD222" s="5" t="s">
        <v>22</v>
      </c>
      <c r="AE222" s="5" t="s">
        <v>22</v>
      </c>
      <c r="AF222" s="5" t="s">
        <v>22</v>
      </c>
      <c r="AG222" s="5" t="s">
        <v>22</v>
      </c>
      <c r="AH222" s="5" t="s">
        <v>22</v>
      </c>
      <c r="AJ222" s="5" t="s">
        <v>22</v>
      </c>
      <c r="AK222" s="5" t="s">
        <v>22</v>
      </c>
      <c r="AL222" s="5" t="s">
        <v>22</v>
      </c>
      <c r="AM222" s="5" t="s">
        <v>22</v>
      </c>
      <c r="AN222" s="5" t="s">
        <v>22</v>
      </c>
      <c r="AO222" s="5" t="s">
        <v>22</v>
      </c>
      <c r="AP222" s="5" t="s">
        <v>22</v>
      </c>
    </row>
    <row r="223" spans="11:42">
      <c r="K223" s="18">
        <v>219</v>
      </c>
      <c r="L223" s="21" t="str">
        <f t="shared" si="32"/>
        <v/>
      </c>
      <c r="M223" s="21" t="str">
        <f t="shared" si="33"/>
        <v/>
      </c>
      <c r="N223" s="21" t="str">
        <f t="shared" si="34"/>
        <v/>
      </c>
      <c r="O223" s="21" t="str">
        <f t="shared" si="35"/>
        <v/>
      </c>
      <c r="P223" s="21" t="str">
        <f t="shared" si="36"/>
        <v/>
      </c>
      <c r="Q223" s="21" t="str">
        <f t="shared" si="37"/>
        <v/>
      </c>
      <c r="R223" s="21" t="str">
        <f t="shared" si="38"/>
        <v/>
      </c>
      <c r="T223" s="6" t="s">
        <v>22</v>
      </c>
      <c r="U223" s="6" t="s">
        <v>22</v>
      </c>
      <c r="V223" s="6" t="s">
        <v>22</v>
      </c>
      <c r="W223" s="6" t="s">
        <v>22</v>
      </c>
      <c r="X223" s="6" t="s">
        <v>22</v>
      </c>
      <c r="Y223" s="6" t="s">
        <v>22</v>
      </c>
      <c r="Z223" s="6" t="s">
        <v>22</v>
      </c>
      <c r="AB223" s="5" t="s">
        <v>22</v>
      </c>
      <c r="AC223" s="5" t="s">
        <v>22</v>
      </c>
      <c r="AD223" s="5" t="s">
        <v>22</v>
      </c>
      <c r="AE223" s="5" t="s">
        <v>22</v>
      </c>
      <c r="AF223" s="5" t="s">
        <v>22</v>
      </c>
      <c r="AG223" s="5" t="s">
        <v>22</v>
      </c>
      <c r="AH223" s="5" t="s">
        <v>22</v>
      </c>
      <c r="AJ223" s="5" t="s">
        <v>22</v>
      </c>
      <c r="AK223" s="5" t="s">
        <v>22</v>
      </c>
      <c r="AL223" s="5" t="s">
        <v>22</v>
      </c>
      <c r="AM223" s="5" t="s">
        <v>22</v>
      </c>
      <c r="AN223" s="5" t="s">
        <v>22</v>
      </c>
      <c r="AO223" s="5" t="s">
        <v>22</v>
      </c>
      <c r="AP223" s="5" t="s">
        <v>22</v>
      </c>
    </row>
    <row r="224" spans="11:42">
      <c r="K224" s="19">
        <v>220</v>
      </c>
      <c r="L224" s="21" t="str">
        <f t="shared" si="32"/>
        <v/>
      </c>
      <c r="M224" s="21" t="str">
        <f t="shared" si="33"/>
        <v/>
      </c>
      <c r="N224" s="21" t="str">
        <f t="shared" si="34"/>
        <v/>
      </c>
      <c r="O224" s="21" t="str">
        <f t="shared" si="35"/>
        <v/>
      </c>
      <c r="P224" s="21" t="str">
        <f t="shared" si="36"/>
        <v/>
      </c>
      <c r="Q224" s="21" t="str">
        <f t="shared" si="37"/>
        <v/>
      </c>
      <c r="R224" s="21" t="str">
        <f t="shared" si="38"/>
        <v/>
      </c>
      <c r="T224" s="6" t="s">
        <v>22</v>
      </c>
      <c r="U224" s="6" t="s">
        <v>22</v>
      </c>
      <c r="V224" s="6" t="s">
        <v>22</v>
      </c>
      <c r="W224" s="6" t="s">
        <v>22</v>
      </c>
      <c r="X224" s="6" t="s">
        <v>22</v>
      </c>
      <c r="Y224" s="6" t="s">
        <v>22</v>
      </c>
      <c r="Z224" s="6" t="s">
        <v>22</v>
      </c>
      <c r="AB224" s="5" t="s">
        <v>22</v>
      </c>
      <c r="AC224" s="5" t="s">
        <v>22</v>
      </c>
      <c r="AD224" s="5" t="s">
        <v>22</v>
      </c>
      <c r="AE224" s="5" t="s">
        <v>22</v>
      </c>
      <c r="AF224" s="5" t="s">
        <v>22</v>
      </c>
      <c r="AG224" s="5" t="s">
        <v>22</v>
      </c>
      <c r="AH224" s="5" t="s">
        <v>22</v>
      </c>
      <c r="AJ224" s="5" t="s">
        <v>22</v>
      </c>
      <c r="AK224" s="5" t="s">
        <v>22</v>
      </c>
      <c r="AL224" s="5" t="s">
        <v>22</v>
      </c>
      <c r="AM224" s="5" t="s">
        <v>22</v>
      </c>
      <c r="AN224" s="5" t="s">
        <v>22</v>
      </c>
      <c r="AO224" s="5" t="s">
        <v>22</v>
      </c>
      <c r="AP224" s="5" t="s">
        <v>22</v>
      </c>
    </row>
    <row r="225" spans="11:42">
      <c r="K225" s="18">
        <v>221</v>
      </c>
      <c r="L225" s="21" t="str">
        <f t="shared" si="32"/>
        <v/>
      </c>
      <c r="M225" s="21" t="str">
        <f t="shared" si="33"/>
        <v/>
      </c>
      <c r="N225" s="21" t="str">
        <f t="shared" si="34"/>
        <v/>
      </c>
      <c r="O225" s="21" t="str">
        <f t="shared" si="35"/>
        <v/>
      </c>
      <c r="P225" s="21" t="str">
        <f t="shared" si="36"/>
        <v/>
      </c>
      <c r="Q225" s="21" t="str">
        <f t="shared" si="37"/>
        <v/>
      </c>
      <c r="R225" s="21" t="str">
        <f t="shared" si="38"/>
        <v/>
      </c>
      <c r="T225" s="6" t="s">
        <v>22</v>
      </c>
      <c r="U225" s="6" t="s">
        <v>22</v>
      </c>
      <c r="V225" s="6" t="s">
        <v>22</v>
      </c>
      <c r="W225" s="6" t="s">
        <v>22</v>
      </c>
      <c r="X225" s="6" t="s">
        <v>22</v>
      </c>
      <c r="Y225" s="6" t="s">
        <v>22</v>
      </c>
      <c r="Z225" s="6" t="s">
        <v>22</v>
      </c>
      <c r="AB225" s="5" t="s">
        <v>22</v>
      </c>
      <c r="AC225" s="5" t="s">
        <v>22</v>
      </c>
      <c r="AD225" s="5" t="s">
        <v>22</v>
      </c>
      <c r="AE225" s="5" t="s">
        <v>22</v>
      </c>
      <c r="AF225" s="5" t="s">
        <v>22</v>
      </c>
      <c r="AG225" s="5" t="s">
        <v>22</v>
      </c>
      <c r="AH225" s="5" t="s">
        <v>22</v>
      </c>
      <c r="AJ225" s="5" t="s">
        <v>22</v>
      </c>
      <c r="AK225" s="5" t="s">
        <v>22</v>
      </c>
      <c r="AL225" s="5" t="s">
        <v>22</v>
      </c>
      <c r="AM225" s="5" t="s">
        <v>22</v>
      </c>
      <c r="AN225" s="5" t="s">
        <v>22</v>
      </c>
      <c r="AO225" s="5" t="s">
        <v>22</v>
      </c>
      <c r="AP225" s="5" t="s">
        <v>22</v>
      </c>
    </row>
    <row r="226" spans="11:42">
      <c r="K226" s="19">
        <v>222</v>
      </c>
      <c r="L226" s="21" t="str">
        <f t="shared" si="32"/>
        <v/>
      </c>
      <c r="M226" s="21" t="str">
        <f t="shared" si="33"/>
        <v/>
      </c>
      <c r="N226" s="21" t="str">
        <f t="shared" si="34"/>
        <v/>
      </c>
      <c r="O226" s="21" t="str">
        <f t="shared" si="35"/>
        <v/>
      </c>
      <c r="P226" s="21" t="str">
        <f t="shared" si="36"/>
        <v/>
      </c>
      <c r="Q226" s="21" t="str">
        <f t="shared" si="37"/>
        <v/>
      </c>
      <c r="R226" s="21" t="str">
        <f t="shared" si="38"/>
        <v/>
      </c>
      <c r="T226" s="6" t="s">
        <v>22</v>
      </c>
      <c r="U226" s="6" t="s">
        <v>22</v>
      </c>
      <c r="V226" s="6" t="s">
        <v>22</v>
      </c>
      <c r="W226" s="6" t="s">
        <v>22</v>
      </c>
      <c r="X226" s="6" t="s">
        <v>22</v>
      </c>
      <c r="Y226" s="6" t="s">
        <v>22</v>
      </c>
      <c r="Z226" s="6" t="s">
        <v>22</v>
      </c>
      <c r="AB226" s="5" t="s">
        <v>22</v>
      </c>
      <c r="AC226" s="5" t="s">
        <v>22</v>
      </c>
      <c r="AD226" s="5" t="s">
        <v>22</v>
      </c>
      <c r="AE226" s="5" t="s">
        <v>22</v>
      </c>
      <c r="AF226" s="5" t="s">
        <v>22</v>
      </c>
      <c r="AG226" s="5" t="s">
        <v>22</v>
      </c>
      <c r="AH226" s="5" t="s">
        <v>22</v>
      </c>
      <c r="AJ226" s="5" t="s">
        <v>22</v>
      </c>
      <c r="AK226" s="5" t="s">
        <v>22</v>
      </c>
      <c r="AL226" s="5" t="s">
        <v>22</v>
      </c>
      <c r="AM226" s="5" t="s">
        <v>22</v>
      </c>
      <c r="AN226" s="5" t="s">
        <v>22</v>
      </c>
      <c r="AO226" s="5" t="s">
        <v>22</v>
      </c>
      <c r="AP226" s="5" t="s">
        <v>22</v>
      </c>
    </row>
    <row r="227" spans="11:42">
      <c r="K227" s="18">
        <v>223</v>
      </c>
      <c r="L227" s="21" t="str">
        <f t="shared" si="32"/>
        <v/>
      </c>
      <c r="M227" s="21" t="str">
        <f t="shared" si="33"/>
        <v/>
      </c>
      <c r="N227" s="21" t="str">
        <f t="shared" si="34"/>
        <v/>
      </c>
      <c r="O227" s="21" t="str">
        <f t="shared" si="35"/>
        <v/>
      </c>
      <c r="P227" s="21" t="str">
        <f t="shared" si="36"/>
        <v/>
      </c>
      <c r="Q227" s="21" t="str">
        <f t="shared" si="37"/>
        <v/>
      </c>
      <c r="R227" s="21" t="str">
        <f t="shared" si="38"/>
        <v/>
      </c>
      <c r="T227" s="6" t="s">
        <v>22</v>
      </c>
      <c r="U227" s="6" t="s">
        <v>22</v>
      </c>
      <c r="V227" s="6" t="s">
        <v>22</v>
      </c>
      <c r="W227" s="6" t="s">
        <v>22</v>
      </c>
      <c r="X227" s="6" t="s">
        <v>22</v>
      </c>
      <c r="Y227" s="6" t="s">
        <v>22</v>
      </c>
      <c r="Z227" s="6" t="s">
        <v>22</v>
      </c>
      <c r="AB227" s="5" t="s">
        <v>22</v>
      </c>
      <c r="AC227" s="5" t="s">
        <v>22</v>
      </c>
      <c r="AD227" s="5" t="s">
        <v>22</v>
      </c>
      <c r="AE227" s="5" t="s">
        <v>22</v>
      </c>
      <c r="AF227" s="5" t="s">
        <v>22</v>
      </c>
      <c r="AG227" s="5" t="s">
        <v>22</v>
      </c>
      <c r="AH227" s="5" t="s">
        <v>22</v>
      </c>
      <c r="AJ227" s="5" t="s">
        <v>22</v>
      </c>
      <c r="AK227" s="5" t="s">
        <v>22</v>
      </c>
      <c r="AL227" s="5" t="s">
        <v>22</v>
      </c>
      <c r="AM227" s="5" t="s">
        <v>22</v>
      </c>
      <c r="AN227" s="5" t="s">
        <v>22</v>
      </c>
      <c r="AO227" s="5" t="s">
        <v>22</v>
      </c>
      <c r="AP227" s="5" t="s">
        <v>22</v>
      </c>
    </row>
    <row r="228" spans="11:42">
      <c r="K228" s="19">
        <v>224</v>
      </c>
      <c r="L228" s="21" t="str">
        <f t="shared" si="32"/>
        <v/>
      </c>
      <c r="M228" s="21" t="str">
        <f t="shared" si="33"/>
        <v/>
      </c>
      <c r="N228" s="21" t="str">
        <f t="shared" si="34"/>
        <v/>
      </c>
      <c r="O228" s="21" t="str">
        <f t="shared" si="35"/>
        <v/>
      </c>
      <c r="P228" s="21" t="str">
        <f t="shared" si="36"/>
        <v/>
      </c>
      <c r="Q228" s="21" t="str">
        <f t="shared" si="37"/>
        <v/>
      </c>
      <c r="R228" s="21" t="str">
        <f t="shared" si="38"/>
        <v/>
      </c>
      <c r="T228" s="6" t="s">
        <v>22</v>
      </c>
      <c r="U228" s="6" t="s">
        <v>22</v>
      </c>
      <c r="V228" s="6" t="s">
        <v>22</v>
      </c>
      <c r="W228" s="6" t="s">
        <v>22</v>
      </c>
      <c r="X228" s="6" t="s">
        <v>22</v>
      </c>
      <c r="Y228" s="6" t="s">
        <v>22</v>
      </c>
      <c r="Z228" s="6" t="s">
        <v>22</v>
      </c>
      <c r="AB228" s="5" t="s">
        <v>22</v>
      </c>
      <c r="AC228" s="5" t="s">
        <v>22</v>
      </c>
      <c r="AD228" s="5" t="s">
        <v>22</v>
      </c>
      <c r="AE228" s="5" t="s">
        <v>22</v>
      </c>
      <c r="AF228" s="5" t="s">
        <v>22</v>
      </c>
      <c r="AG228" s="5" t="s">
        <v>22</v>
      </c>
      <c r="AH228" s="5" t="s">
        <v>22</v>
      </c>
      <c r="AJ228" s="5" t="s">
        <v>22</v>
      </c>
      <c r="AK228" s="5" t="s">
        <v>22</v>
      </c>
      <c r="AL228" s="5" t="s">
        <v>22</v>
      </c>
      <c r="AM228" s="5" t="s">
        <v>22</v>
      </c>
      <c r="AN228" s="5" t="s">
        <v>22</v>
      </c>
      <c r="AO228" s="5" t="s">
        <v>22</v>
      </c>
      <c r="AP228" s="5" t="s">
        <v>22</v>
      </c>
    </row>
    <row r="229" spans="11:42">
      <c r="K229" s="18">
        <v>225</v>
      </c>
      <c r="L229" s="21" t="str">
        <f t="shared" si="32"/>
        <v/>
      </c>
      <c r="M229" s="21" t="str">
        <f t="shared" si="33"/>
        <v/>
      </c>
      <c r="N229" s="21" t="str">
        <f t="shared" si="34"/>
        <v/>
      </c>
      <c r="O229" s="21" t="str">
        <f t="shared" si="35"/>
        <v/>
      </c>
      <c r="P229" s="21" t="str">
        <f t="shared" si="36"/>
        <v/>
      </c>
      <c r="Q229" s="21" t="str">
        <f t="shared" si="37"/>
        <v/>
      </c>
      <c r="R229" s="21" t="str">
        <f t="shared" si="38"/>
        <v/>
      </c>
      <c r="T229" s="6" t="s">
        <v>22</v>
      </c>
      <c r="U229" s="6" t="s">
        <v>22</v>
      </c>
      <c r="V229" s="6" t="s">
        <v>22</v>
      </c>
      <c r="W229" s="6" t="s">
        <v>22</v>
      </c>
      <c r="X229" s="6" t="s">
        <v>22</v>
      </c>
      <c r="Y229" s="6" t="s">
        <v>22</v>
      </c>
      <c r="Z229" s="6" t="s">
        <v>22</v>
      </c>
      <c r="AB229" s="5" t="s">
        <v>22</v>
      </c>
      <c r="AC229" s="5" t="s">
        <v>22</v>
      </c>
      <c r="AD229" s="5" t="s">
        <v>22</v>
      </c>
      <c r="AE229" s="5" t="s">
        <v>22</v>
      </c>
      <c r="AF229" s="5" t="s">
        <v>22</v>
      </c>
      <c r="AG229" s="5" t="s">
        <v>22</v>
      </c>
      <c r="AH229" s="5" t="s">
        <v>22</v>
      </c>
      <c r="AJ229" s="5" t="s">
        <v>22</v>
      </c>
      <c r="AK229" s="5" t="s">
        <v>22</v>
      </c>
      <c r="AL229" s="5" t="s">
        <v>22</v>
      </c>
      <c r="AM229" s="5" t="s">
        <v>22</v>
      </c>
      <c r="AN229" s="5" t="s">
        <v>22</v>
      </c>
      <c r="AO229" s="5" t="s">
        <v>22</v>
      </c>
      <c r="AP229" s="5" t="s">
        <v>22</v>
      </c>
    </row>
    <row r="230" spans="11:42">
      <c r="K230" s="19">
        <v>226</v>
      </c>
      <c r="L230" s="21" t="str">
        <f t="shared" si="32"/>
        <v/>
      </c>
      <c r="M230" s="21" t="str">
        <f t="shared" si="33"/>
        <v/>
      </c>
      <c r="N230" s="21" t="str">
        <f t="shared" si="34"/>
        <v/>
      </c>
      <c r="O230" s="21" t="str">
        <f t="shared" si="35"/>
        <v/>
      </c>
      <c r="P230" s="21" t="str">
        <f t="shared" si="36"/>
        <v/>
      </c>
      <c r="Q230" s="21" t="str">
        <f t="shared" si="37"/>
        <v/>
      </c>
      <c r="R230" s="21" t="str">
        <f t="shared" si="38"/>
        <v/>
      </c>
      <c r="T230" s="6" t="s">
        <v>22</v>
      </c>
      <c r="U230" s="6" t="s">
        <v>22</v>
      </c>
      <c r="V230" s="6" t="s">
        <v>22</v>
      </c>
      <c r="W230" s="6" t="s">
        <v>22</v>
      </c>
      <c r="X230" s="6" t="s">
        <v>22</v>
      </c>
      <c r="Y230" s="6" t="s">
        <v>22</v>
      </c>
      <c r="Z230" s="6" t="s">
        <v>22</v>
      </c>
      <c r="AB230" s="5" t="s">
        <v>22</v>
      </c>
      <c r="AC230" s="5" t="s">
        <v>22</v>
      </c>
      <c r="AD230" s="5" t="s">
        <v>22</v>
      </c>
      <c r="AE230" s="5" t="s">
        <v>22</v>
      </c>
      <c r="AF230" s="5" t="s">
        <v>22</v>
      </c>
      <c r="AG230" s="5" t="s">
        <v>22</v>
      </c>
      <c r="AH230" s="5" t="s">
        <v>22</v>
      </c>
      <c r="AJ230" s="5" t="s">
        <v>22</v>
      </c>
      <c r="AK230" s="5" t="s">
        <v>22</v>
      </c>
      <c r="AL230" s="5" t="s">
        <v>22</v>
      </c>
      <c r="AM230" s="5" t="s">
        <v>22</v>
      </c>
      <c r="AN230" s="5" t="s">
        <v>22</v>
      </c>
      <c r="AO230" s="5" t="s">
        <v>22</v>
      </c>
      <c r="AP230" s="5" t="s">
        <v>22</v>
      </c>
    </row>
    <row r="231" spans="11:42">
      <c r="K231" s="18">
        <v>227</v>
      </c>
      <c r="L231" s="21" t="str">
        <f t="shared" si="32"/>
        <v/>
      </c>
      <c r="M231" s="21" t="str">
        <f t="shared" si="33"/>
        <v/>
      </c>
      <c r="N231" s="21" t="str">
        <f t="shared" si="34"/>
        <v/>
      </c>
      <c r="O231" s="21" t="str">
        <f t="shared" si="35"/>
        <v/>
      </c>
      <c r="P231" s="21" t="str">
        <f t="shared" si="36"/>
        <v/>
      </c>
      <c r="Q231" s="21" t="str">
        <f t="shared" si="37"/>
        <v/>
      </c>
      <c r="R231" s="21" t="str">
        <f t="shared" si="38"/>
        <v/>
      </c>
      <c r="T231" s="6" t="s">
        <v>22</v>
      </c>
      <c r="U231" s="6" t="s">
        <v>22</v>
      </c>
      <c r="V231" s="6" t="s">
        <v>22</v>
      </c>
      <c r="W231" s="6" t="s">
        <v>22</v>
      </c>
      <c r="X231" s="6" t="s">
        <v>22</v>
      </c>
      <c r="Y231" s="6" t="s">
        <v>22</v>
      </c>
      <c r="Z231" s="6" t="s">
        <v>22</v>
      </c>
      <c r="AB231" s="5" t="s">
        <v>22</v>
      </c>
      <c r="AC231" s="5" t="s">
        <v>22</v>
      </c>
      <c r="AD231" s="5" t="s">
        <v>22</v>
      </c>
      <c r="AE231" s="5" t="s">
        <v>22</v>
      </c>
      <c r="AF231" s="5" t="s">
        <v>22</v>
      </c>
      <c r="AG231" s="5" t="s">
        <v>22</v>
      </c>
      <c r="AH231" s="5" t="s">
        <v>22</v>
      </c>
      <c r="AJ231" s="5" t="s">
        <v>22</v>
      </c>
      <c r="AK231" s="5" t="s">
        <v>22</v>
      </c>
      <c r="AL231" s="5" t="s">
        <v>22</v>
      </c>
      <c r="AM231" s="5" t="s">
        <v>22</v>
      </c>
      <c r="AN231" s="5" t="s">
        <v>22</v>
      </c>
      <c r="AO231" s="5" t="s">
        <v>22</v>
      </c>
      <c r="AP231" s="5" t="s">
        <v>22</v>
      </c>
    </row>
    <row r="232" spans="11:42">
      <c r="K232" s="19">
        <v>228</v>
      </c>
      <c r="L232" s="21" t="str">
        <f t="shared" si="32"/>
        <v/>
      </c>
      <c r="M232" s="21" t="str">
        <f t="shared" si="33"/>
        <v/>
      </c>
      <c r="N232" s="21" t="str">
        <f t="shared" si="34"/>
        <v/>
      </c>
      <c r="O232" s="21" t="str">
        <f t="shared" si="35"/>
        <v/>
      </c>
      <c r="P232" s="21" t="str">
        <f t="shared" si="36"/>
        <v/>
      </c>
      <c r="Q232" s="21" t="str">
        <f t="shared" si="37"/>
        <v/>
      </c>
      <c r="R232" s="21" t="str">
        <f t="shared" si="38"/>
        <v/>
      </c>
      <c r="T232" s="6" t="s">
        <v>22</v>
      </c>
      <c r="U232" s="6" t="s">
        <v>22</v>
      </c>
      <c r="V232" s="6" t="s">
        <v>22</v>
      </c>
      <c r="W232" s="6" t="s">
        <v>22</v>
      </c>
      <c r="X232" s="6" t="s">
        <v>22</v>
      </c>
      <c r="Y232" s="6" t="s">
        <v>22</v>
      </c>
      <c r="Z232" s="6" t="s">
        <v>22</v>
      </c>
      <c r="AB232" s="5" t="s">
        <v>22</v>
      </c>
      <c r="AC232" s="5" t="s">
        <v>22</v>
      </c>
      <c r="AD232" s="5" t="s">
        <v>22</v>
      </c>
      <c r="AE232" s="5" t="s">
        <v>22</v>
      </c>
      <c r="AF232" s="5" t="s">
        <v>22</v>
      </c>
      <c r="AG232" s="5" t="s">
        <v>22</v>
      </c>
      <c r="AH232" s="5" t="s">
        <v>22</v>
      </c>
      <c r="AJ232" s="5" t="s">
        <v>22</v>
      </c>
      <c r="AK232" s="5" t="s">
        <v>22</v>
      </c>
      <c r="AL232" s="5" t="s">
        <v>22</v>
      </c>
      <c r="AM232" s="5" t="s">
        <v>22</v>
      </c>
      <c r="AN232" s="5" t="s">
        <v>22</v>
      </c>
      <c r="AO232" s="5" t="s">
        <v>22</v>
      </c>
      <c r="AP232" s="5" t="s">
        <v>22</v>
      </c>
    </row>
    <row r="233" spans="11:42">
      <c r="K233" s="18">
        <v>229</v>
      </c>
      <c r="L233" s="21" t="str">
        <f t="shared" si="32"/>
        <v/>
      </c>
      <c r="M233" s="21" t="str">
        <f t="shared" si="33"/>
        <v/>
      </c>
      <c r="N233" s="21" t="str">
        <f t="shared" si="34"/>
        <v/>
      </c>
      <c r="O233" s="21" t="str">
        <f t="shared" si="35"/>
        <v/>
      </c>
      <c r="P233" s="21" t="str">
        <f t="shared" si="36"/>
        <v/>
      </c>
      <c r="Q233" s="21" t="str">
        <f t="shared" si="37"/>
        <v/>
      </c>
      <c r="R233" s="21" t="str">
        <f t="shared" si="38"/>
        <v/>
      </c>
      <c r="T233" s="6" t="s">
        <v>22</v>
      </c>
      <c r="U233" s="6" t="s">
        <v>22</v>
      </c>
      <c r="V233" s="6" t="s">
        <v>22</v>
      </c>
      <c r="W233" s="6" t="s">
        <v>22</v>
      </c>
      <c r="X233" s="6" t="s">
        <v>22</v>
      </c>
      <c r="Y233" s="6" t="s">
        <v>22</v>
      </c>
      <c r="Z233" s="6" t="s">
        <v>22</v>
      </c>
      <c r="AB233" s="5" t="s">
        <v>22</v>
      </c>
      <c r="AC233" s="5" t="s">
        <v>22</v>
      </c>
      <c r="AD233" s="5" t="s">
        <v>22</v>
      </c>
      <c r="AE233" s="5" t="s">
        <v>22</v>
      </c>
      <c r="AF233" s="5" t="s">
        <v>22</v>
      </c>
      <c r="AG233" s="5" t="s">
        <v>22</v>
      </c>
      <c r="AH233" s="5" t="s">
        <v>22</v>
      </c>
      <c r="AJ233" s="5" t="s">
        <v>22</v>
      </c>
      <c r="AK233" s="5" t="s">
        <v>22</v>
      </c>
      <c r="AL233" s="5" t="s">
        <v>22</v>
      </c>
      <c r="AM233" s="5" t="s">
        <v>22</v>
      </c>
      <c r="AN233" s="5" t="s">
        <v>22</v>
      </c>
      <c r="AO233" s="5" t="s">
        <v>22</v>
      </c>
      <c r="AP233" s="5" t="s">
        <v>22</v>
      </c>
    </row>
    <row r="234" spans="11:42">
      <c r="K234" s="19">
        <v>230</v>
      </c>
      <c r="L234" s="21" t="str">
        <f t="shared" si="32"/>
        <v/>
      </c>
      <c r="M234" s="21" t="str">
        <f t="shared" si="33"/>
        <v/>
      </c>
      <c r="N234" s="21" t="str">
        <f t="shared" si="34"/>
        <v/>
      </c>
      <c r="O234" s="21" t="str">
        <f t="shared" si="35"/>
        <v/>
      </c>
      <c r="P234" s="21" t="str">
        <f t="shared" si="36"/>
        <v/>
      </c>
      <c r="Q234" s="21" t="str">
        <f t="shared" si="37"/>
        <v/>
      </c>
      <c r="R234" s="21" t="str">
        <f t="shared" si="38"/>
        <v/>
      </c>
      <c r="T234" s="6" t="s">
        <v>22</v>
      </c>
      <c r="U234" s="6" t="s">
        <v>22</v>
      </c>
      <c r="V234" s="6" t="s">
        <v>22</v>
      </c>
      <c r="W234" s="6" t="s">
        <v>22</v>
      </c>
      <c r="X234" s="6" t="s">
        <v>22</v>
      </c>
      <c r="Y234" s="6" t="s">
        <v>22</v>
      </c>
      <c r="Z234" s="6" t="s">
        <v>22</v>
      </c>
      <c r="AB234" s="5" t="s">
        <v>22</v>
      </c>
      <c r="AC234" s="5" t="s">
        <v>22</v>
      </c>
      <c r="AD234" s="5" t="s">
        <v>22</v>
      </c>
      <c r="AE234" s="5" t="s">
        <v>22</v>
      </c>
      <c r="AF234" s="5" t="s">
        <v>22</v>
      </c>
      <c r="AG234" s="5" t="s">
        <v>22</v>
      </c>
      <c r="AH234" s="5" t="s">
        <v>22</v>
      </c>
      <c r="AJ234" s="5" t="s">
        <v>22</v>
      </c>
      <c r="AK234" s="5" t="s">
        <v>22</v>
      </c>
      <c r="AL234" s="5" t="s">
        <v>22</v>
      </c>
      <c r="AM234" s="5" t="s">
        <v>22</v>
      </c>
      <c r="AN234" s="5" t="s">
        <v>22</v>
      </c>
      <c r="AO234" s="5" t="s">
        <v>22</v>
      </c>
      <c r="AP234" s="5" t="s">
        <v>22</v>
      </c>
    </row>
    <row r="235" spans="11:42">
      <c r="K235" s="18">
        <v>231</v>
      </c>
      <c r="L235" s="21" t="str">
        <f t="shared" si="32"/>
        <v/>
      </c>
      <c r="M235" s="21" t="str">
        <f t="shared" si="33"/>
        <v/>
      </c>
      <c r="N235" s="21" t="str">
        <f t="shared" si="34"/>
        <v/>
      </c>
      <c r="O235" s="21" t="str">
        <f t="shared" si="35"/>
        <v/>
      </c>
      <c r="P235" s="21" t="str">
        <f t="shared" si="36"/>
        <v/>
      </c>
      <c r="Q235" s="21" t="str">
        <f t="shared" si="37"/>
        <v/>
      </c>
      <c r="R235" s="21" t="str">
        <f t="shared" si="38"/>
        <v/>
      </c>
      <c r="T235" s="6" t="s">
        <v>22</v>
      </c>
      <c r="U235" s="6" t="s">
        <v>22</v>
      </c>
      <c r="V235" s="6" t="s">
        <v>22</v>
      </c>
      <c r="W235" s="6" t="s">
        <v>22</v>
      </c>
      <c r="X235" s="6" t="s">
        <v>22</v>
      </c>
      <c r="Y235" s="6" t="s">
        <v>22</v>
      </c>
      <c r="Z235" s="6" t="s">
        <v>22</v>
      </c>
      <c r="AB235" s="5" t="s">
        <v>22</v>
      </c>
      <c r="AC235" s="5" t="s">
        <v>22</v>
      </c>
      <c r="AD235" s="5" t="s">
        <v>22</v>
      </c>
      <c r="AE235" s="5" t="s">
        <v>22</v>
      </c>
      <c r="AF235" s="5" t="s">
        <v>22</v>
      </c>
      <c r="AG235" s="5" t="s">
        <v>22</v>
      </c>
      <c r="AH235" s="5" t="s">
        <v>22</v>
      </c>
      <c r="AJ235" s="5" t="s">
        <v>22</v>
      </c>
      <c r="AK235" s="5" t="s">
        <v>22</v>
      </c>
      <c r="AL235" s="5" t="s">
        <v>22</v>
      </c>
      <c r="AM235" s="5" t="s">
        <v>22</v>
      </c>
      <c r="AN235" s="5" t="s">
        <v>22</v>
      </c>
      <c r="AO235" s="5" t="s">
        <v>22</v>
      </c>
      <c r="AP235" s="5" t="s">
        <v>22</v>
      </c>
    </row>
    <row r="236" spans="11:42">
      <c r="K236" s="19">
        <v>232</v>
      </c>
      <c r="L236" s="21" t="str">
        <f t="shared" si="32"/>
        <v/>
      </c>
      <c r="M236" s="21" t="str">
        <f t="shared" si="33"/>
        <v/>
      </c>
      <c r="N236" s="21" t="str">
        <f t="shared" si="34"/>
        <v/>
      </c>
      <c r="O236" s="21" t="str">
        <f t="shared" si="35"/>
        <v/>
      </c>
      <c r="P236" s="21" t="str">
        <f t="shared" si="36"/>
        <v/>
      </c>
      <c r="Q236" s="21" t="str">
        <f t="shared" si="37"/>
        <v/>
      </c>
      <c r="R236" s="21" t="str">
        <f t="shared" si="38"/>
        <v/>
      </c>
      <c r="T236" s="6" t="s">
        <v>22</v>
      </c>
      <c r="U236" s="6" t="s">
        <v>22</v>
      </c>
      <c r="V236" s="6" t="s">
        <v>22</v>
      </c>
      <c r="W236" s="6" t="s">
        <v>22</v>
      </c>
      <c r="X236" s="6" t="s">
        <v>22</v>
      </c>
      <c r="Y236" s="6" t="s">
        <v>22</v>
      </c>
      <c r="Z236" s="6" t="s">
        <v>22</v>
      </c>
      <c r="AB236" s="5" t="s">
        <v>22</v>
      </c>
      <c r="AC236" s="5" t="s">
        <v>22</v>
      </c>
      <c r="AD236" s="5" t="s">
        <v>22</v>
      </c>
      <c r="AE236" s="5" t="s">
        <v>22</v>
      </c>
      <c r="AF236" s="5" t="s">
        <v>22</v>
      </c>
      <c r="AG236" s="5" t="s">
        <v>22</v>
      </c>
      <c r="AH236" s="5" t="s">
        <v>22</v>
      </c>
      <c r="AJ236" s="5" t="s">
        <v>22</v>
      </c>
      <c r="AK236" s="5" t="s">
        <v>22</v>
      </c>
      <c r="AL236" s="5" t="s">
        <v>22</v>
      </c>
      <c r="AM236" s="5" t="s">
        <v>22</v>
      </c>
      <c r="AN236" s="5" t="s">
        <v>22</v>
      </c>
      <c r="AO236" s="5" t="s">
        <v>22</v>
      </c>
      <c r="AP236" s="5" t="s">
        <v>22</v>
      </c>
    </row>
    <row r="237" spans="11:42">
      <c r="K237" s="18">
        <v>233</v>
      </c>
      <c r="L237" s="21" t="str">
        <f t="shared" si="32"/>
        <v/>
      </c>
      <c r="M237" s="21" t="str">
        <f t="shared" si="33"/>
        <v/>
      </c>
      <c r="N237" s="21" t="str">
        <f t="shared" si="34"/>
        <v/>
      </c>
      <c r="O237" s="21" t="str">
        <f t="shared" si="35"/>
        <v/>
      </c>
      <c r="P237" s="21" t="str">
        <f t="shared" si="36"/>
        <v/>
      </c>
      <c r="Q237" s="21" t="str">
        <f t="shared" si="37"/>
        <v/>
      </c>
      <c r="R237" s="21" t="str">
        <f t="shared" si="38"/>
        <v/>
      </c>
      <c r="T237" s="6" t="s">
        <v>22</v>
      </c>
      <c r="U237" s="6" t="s">
        <v>22</v>
      </c>
      <c r="V237" s="6" t="s">
        <v>22</v>
      </c>
      <c r="W237" s="6" t="s">
        <v>22</v>
      </c>
      <c r="X237" s="6" t="s">
        <v>22</v>
      </c>
      <c r="Y237" s="6" t="s">
        <v>22</v>
      </c>
      <c r="Z237" s="6" t="s">
        <v>22</v>
      </c>
      <c r="AB237" s="5" t="s">
        <v>22</v>
      </c>
      <c r="AC237" s="5" t="s">
        <v>22</v>
      </c>
      <c r="AD237" s="5" t="s">
        <v>22</v>
      </c>
      <c r="AE237" s="5" t="s">
        <v>22</v>
      </c>
      <c r="AF237" s="5" t="s">
        <v>22</v>
      </c>
      <c r="AG237" s="5" t="s">
        <v>22</v>
      </c>
      <c r="AH237" s="5" t="s">
        <v>22</v>
      </c>
      <c r="AJ237" s="5" t="s">
        <v>22</v>
      </c>
      <c r="AK237" s="5" t="s">
        <v>22</v>
      </c>
      <c r="AL237" s="5" t="s">
        <v>22</v>
      </c>
      <c r="AM237" s="5" t="s">
        <v>22</v>
      </c>
      <c r="AN237" s="5" t="s">
        <v>22</v>
      </c>
      <c r="AO237" s="5" t="s">
        <v>22</v>
      </c>
      <c r="AP237" s="5" t="s">
        <v>22</v>
      </c>
    </row>
    <row r="238" spans="11:42">
      <c r="K238" s="19">
        <v>234</v>
      </c>
      <c r="L238" s="21" t="str">
        <f t="shared" si="32"/>
        <v/>
      </c>
      <c r="M238" s="21" t="str">
        <f t="shared" si="33"/>
        <v/>
      </c>
      <c r="N238" s="21" t="str">
        <f t="shared" si="34"/>
        <v/>
      </c>
      <c r="O238" s="21" t="str">
        <f t="shared" si="35"/>
        <v/>
      </c>
      <c r="P238" s="21" t="str">
        <f t="shared" si="36"/>
        <v/>
      </c>
      <c r="Q238" s="21" t="str">
        <f t="shared" si="37"/>
        <v/>
      </c>
      <c r="R238" s="21" t="str">
        <f t="shared" si="38"/>
        <v/>
      </c>
      <c r="T238" s="6" t="s">
        <v>22</v>
      </c>
      <c r="U238" s="6" t="s">
        <v>22</v>
      </c>
      <c r="V238" s="6" t="s">
        <v>22</v>
      </c>
      <c r="W238" s="6" t="s">
        <v>22</v>
      </c>
      <c r="X238" s="6" t="s">
        <v>22</v>
      </c>
      <c r="Y238" s="6" t="s">
        <v>22</v>
      </c>
      <c r="Z238" s="6" t="s">
        <v>22</v>
      </c>
      <c r="AB238" s="5" t="s">
        <v>22</v>
      </c>
      <c r="AC238" s="5" t="s">
        <v>22</v>
      </c>
      <c r="AD238" s="5" t="s">
        <v>22</v>
      </c>
      <c r="AE238" s="5" t="s">
        <v>22</v>
      </c>
      <c r="AF238" s="5" t="s">
        <v>22</v>
      </c>
      <c r="AG238" s="5" t="s">
        <v>22</v>
      </c>
      <c r="AH238" s="5" t="s">
        <v>22</v>
      </c>
      <c r="AJ238" s="5" t="s">
        <v>22</v>
      </c>
      <c r="AK238" s="5" t="s">
        <v>22</v>
      </c>
      <c r="AL238" s="5" t="s">
        <v>22</v>
      </c>
      <c r="AM238" s="5" t="s">
        <v>22</v>
      </c>
      <c r="AN238" s="5" t="s">
        <v>22</v>
      </c>
      <c r="AO238" s="5" t="s">
        <v>22</v>
      </c>
      <c r="AP238" s="5" t="s">
        <v>22</v>
      </c>
    </row>
    <row r="239" spans="11:42">
      <c r="K239" s="18">
        <v>235</v>
      </c>
      <c r="L239" s="21" t="str">
        <f t="shared" si="32"/>
        <v/>
      </c>
      <c r="M239" s="21" t="str">
        <f t="shared" si="33"/>
        <v/>
      </c>
      <c r="N239" s="21" t="str">
        <f t="shared" si="34"/>
        <v/>
      </c>
      <c r="O239" s="21" t="str">
        <f t="shared" si="35"/>
        <v/>
      </c>
      <c r="P239" s="21" t="str">
        <f t="shared" si="36"/>
        <v/>
      </c>
      <c r="Q239" s="21" t="str">
        <f t="shared" si="37"/>
        <v/>
      </c>
      <c r="R239" s="21" t="str">
        <f t="shared" si="38"/>
        <v/>
      </c>
      <c r="T239" s="6" t="s">
        <v>22</v>
      </c>
      <c r="U239" s="6" t="s">
        <v>22</v>
      </c>
      <c r="V239" s="6" t="s">
        <v>22</v>
      </c>
      <c r="W239" s="6" t="s">
        <v>22</v>
      </c>
      <c r="X239" s="6" t="s">
        <v>22</v>
      </c>
      <c r="Y239" s="6" t="s">
        <v>22</v>
      </c>
      <c r="Z239" s="6" t="s">
        <v>22</v>
      </c>
      <c r="AB239" s="5" t="s">
        <v>22</v>
      </c>
      <c r="AC239" s="5" t="s">
        <v>22</v>
      </c>
      <c r="AD239" s="5" t="s">
        <v>22</v>
      </c>
      <c r="AE239" s="5" t="s">
        <v>22</v>
      </c>
      <c r="AF239" s="5" t="s">
        <v>22</v>
      </c>
      <c r="AG239" s="5" t="s">
        <v>22</v>
      </c>
      <c r="AH239" s="5" t="s">
        <v>22</v>
      </c>
      <c r="AJ239" s="5" t="s">
        <v>22</v>
      </c>
      <c r="AK239" s="5" t="s">
        <v>22</v>
      </c>
      <c r="AL239" s="5" t="s">
        <v>22</v>
      </c>
      <c r="AM239" s="5" t="s">
        <v>22</v>
      </c>
      <c r="AN239" s="5" t="s">
        <v>22</v>
      </c>
      <c r="AO239" s="5" t="s">
        <v>22</v>
      </c>
      <c r="AP239" s="5" t="s">
        <v>22</v>
      </c>
    </row>
    <row r="240" spans="11:42">
      <c r="K240" s="19">
        <v>236</v>
      </c>
      <c r="L240" s="21" t="str">
        <f t="shared" si="32"/>
        <v/>
      </c>
      <c r="M240" s="21" t="str">
        <f t="shared" si="33"/>
        <v/>
      </c>
      <c r="N240" s="21" t="str">
        <f t="shared" si="34"/>
        <v/>
      </c>
      <c r="O240" s="21" t="str">
        <f t="shared" si="35"/>
        <v/>
      </c>
      <c r="P240" s="21" t="str">
        <f t="shared" si="36"/>
        <v/>
      </c>
      <c r="Q240" s="21" t="str">
        <f t="shared" si="37"/>
        <v/>
      </c>
      <c r="R240" s="21" t="str">
        <f t="shared" si="38"/>
        <v/>
      </c>
      <c r="T240" s="6" t="s">
        <v>22</v>
      </c>
      <c r="U240" s="6" t="s">
        <v>22</v>
      </c>
      <c r="V240" s="6" t="s">
        <v>22</v>
      </c>
      <c r="W240" s="6" t="s">
        <v>22</v>
      </c>
      <c r="X240" s="6" t="s">
        <v>22</v>
      </c>
      <c r="Y240" s="6" t="s">
        <v>22</v>
      </c>
      <c r="Z240" s="6" t="s">
        <v>22</v>
      </c>
      <c r="AB240" s="5" t="s">
        <v>22</v>
      </c>
      <c r="AC240" s="5" t="s">
        <v>22</v>
      </c>
      <c r="AD240" s="5" t="s">
        <v>22</v>
      </c>
      <c r="AE240" s="5" t="s">
        <v>22</v>
      </c>
      <c r="AF240" s="5" t="s">
        <v>22</v>
      </c>
      <c r="AG240" s="5" t="s">
        <v>22</v>
      </c>
      <c r="AH240" s="5" t="s">
        <v>22</v>
      </c>
      <c r="AJ240" s="5" t="s">
        <v>22</v>
      </c>
      <c r="AK240" s="5" t="s">
        <v>22</v>
      </c>
      <c r="AL240" s="5" t="s">
        <v>22</v>
      </c>
      <c r="AM240" s="5" t="s">
        <v>22</v>
      </c>
      <c r="AN240" s="5" t="s">
        <v>22</v>
      </c>
      <c r="AO240" s="5" t="s">
        <v>22</v>
      </c>
      <c r="AP240" s="5" t="s">
        <v>22</v>
      </c>
    </row>
    <row r="241" spans="11:42">
      <c r="K241" s="18">
        <v>237</v>
      </c>
      <c r="L241" s="21" t="str">
        <f t="shared" si="32"/>
        <v/>
      </c>
      <c r="M241" s="21" t="str">
        <f t="shared" si="33"/>
        <v/>
      </c>
      <c r="N241" s="21" t="str">
        <f t="shared" si="34"/>
        <v/>
      </c>
      <c r="O241" s="21" t="str">
        <f t="shared" si="35"/>
        <v/>
      </c>
      <c r="P241" s="21" t="str">
        <f t="shared" si="36"/>
        <v/>
      </c>
      <c r="Q241" s="21" t="str">
        <f t="shared" si="37"/>
        <v/>
      </c>
      <c r="R241" s="21" t="str">
        <f t="shared" si="38"/>
        <v/>
      </c>
      <c r="T241" s="6" t="s">
        <v>22</v>
      </c>
      <c r="U241" s="6" t="s">
        <v>22</v>
      </c>
      <c r="V241" s="6" t="s">
        <v>22</v>
      </c>
      <c r="W241" s="6" t="s">
        <v>22</v>
      </c>
      <c r="X241" s="6" t="s">
        <v>22</v>
      </c>
      <c r="Y241" s="6" t="s">
        <v>22</v>
      </c>
      <c r="Z241" s="6" t="s">
        <v>22</v>
      </c>
      <c r="AB241" s="5" t="s">
        <v>22</v>
      </c>
      <c r="AC241" s="5" t="s">
        <v>22</v>
      </c>
      <c r="AD241" s="5" t="s">
        <v>22</v>
      </c>
      <c r="AE241" s="5" t="s">
        <v>22</v>
      </c>
      <c r="AF241" s="5" t="s">
        <v>22</v>
      </c>
      <c r="AG241" s="5" t="s">
        <v>22</v>
      </c>
      <c r="AH241" s="5" t="s">
        <v>22</v>
      </c>
      <c r="AJ241" s="5" t="s">
        <v>22</v>
      </c>
      <c r="AK241" s="5" t="s">
        <v>22</v>
      </c>
      <c r="AL241" s="5" t="s">
        <v>22</v>
      </c>
      <c r="AM241" s="5" t="s">
        <v>22</v>
      </c>
      <c r="AN241" s="5" t="s">
        <v>22</v>
      </c>
      <c r="AO241" s="5" t="s">
        <v>22</v>
      </c>
      <c r="AP241" s="5" t="s">
        <v>22</v>
      </c>
    </row>
    <row r="242" spans="11:42">
      <c r="K242" s="19">
        <v>238</v>
      </c>
      <c r="L242" s="21" t="str">
        <f t="shared" si="32"/>
        <v/>
      </c>
      <c r="M242" s="21" t="str">
        <f t="shared" si="33"/>
        <v/>
      </c>
      <c r="N242" s="21" t="str">
        <f t="shared" si="34"/>
        <v/>
      </c>
      <c r="O242" s="21" t="str">
        <f t="shared" si="35"/>
        <v/>
      </c>
      <c r="P242" s="21" t="str">
        <f t="shared" si="36"/>
        <v/>
      </c>
      <c r="Q242" s="21" t="str">
        <f t="shared" si="37"/>
        <v/>
      </c>
      <c r="R242" s="21" t="str">
        <f t="shared" si="38"/>
        <v/>
      </c>
      <c r="T242" s="6" t="s">
        <v>22</v>
      </c>
      <c r="U242" s="6" t="s">
        <v>22</v>
      </c>
      <c r="V242" s="6" t="s">
        <v>22</v>
      </c>
      <c r="W242" s="6" t="s">
        <v>22</v>
      </c>
      <c r="X242" s="6" t="s">
        <v>22</v>
      </c>
      <c r="Y242" s="6" t="s">
        <v>22</v>
      </c>
      <c r="Z242" s="6" t="s">
        <v>22</v>
      </c>
      <c r="AB242" s="5" t="s">
        <v>22</v>
      </c>
      <c r="AC242" s="5" t="s">
        <v>22</v>
      </c>
      <c r="AD242" s="5" t="s">
        <v>22</v>
      </c>
      <c r="AE242" s="5" t="s">
        <v>22</v>
      </c>
      <c r="AF242" s="5" t="s">
        <v>22</v>
      </c>
      <c r="AG242" s="5" t="s">
        <v>22</v>
      </c>
      <c r="AH242" s="5" t="s">
        <v>22</v>
      </c>
      <c r="AJ242" s="5" t="s">
        <v>22</v>
      </c>
      <c r="AK242" s="5" t="s">
        <v>22</v>
      </c>
      <c r="AL242" s="5" t="s">
        <v>22</v>
      </c>
      <c r="AM242" s="5" t="s">
        <v>22</v>
      </c>
      <c r="AN242" s="5" t="s">
        <v>22</v>
      </c>
      <c r="AO242" s="5" t="s">
        <v>22</v>
      </c>
      <c r="AP242" s="5" t="s">
        <v>22</v>
      </c>
    </row>
    <row r="243" spans="11:42">
      <c r="K243" s="18">
        <v>239</v>
      </c>
      <c r="L243" s="21" t="str">
        <f t="shared" si="32"/>
        <v/>
      </c>
      <c r="M243" s="21" t="str">
        <f t="shared" si="33"/>
        <v/>
      </c>
      <c r="N243" s="21" t="str">
        <f t="shared" si="34"/>
        <v/>
      </c>
      <c r="O243" s="21" t="str">
        <f t="shared" si="35"/>
        <v/>
      </c>
      <c r="P243" s="21" t="str">
        <f t="shared" si="36"/>
        <v/>
      </c>
      <c r="Q243" s="21" t="str">
        <f t="shared" si="37"/>
        <v/>
      </c>
      <c r="R243" s="21" t="str">
        <f t="shared" si="38"/>
        <v/>
      </c>
      <c r="T243" s="6" t="s">
        <v>22</v>
      </c>
      <c r="U243" s="6" t="s">
        <v>22</v>
      </c>
      <c r="V243" s="6" t="s">
        <v>22</v>
      </c>
      <c r="W243" s="6" t="s">
        <v>22</v>
      </c>
      <c r="X243" s="6" t="s">
        <v>22</v>
      </c>
      <c r="Y243" s="6" t="s">
        <v>22</v>
      </c>
      <c r="Z243" s="6" t="s">
        <v>22</v>
      </c>
      <c r="AB243" s="5" t="s">
        <v>22</v>
      </c>
      <c r="AC243" s="5" t="s">
        <v>22</v>
      </c>
      <c r="AD243" s="5" t="s">
        <v>22</v>
      </c>
      <c r="AE243" s="5" t="s">
        <v>22</v>
      </c>
      <c r="AF243" s="5" t="s">
        <v>22</v>
      </c>
      <c r="AG243" s="5" t="s">
        <v>22</v>
      </c>
      <c r="AH243" s="5" t="s">
        <v>22</v>
      </c>
      <c r="AJ243" s="5" t="s">
        <v>22</v>
      </c>
      <c r="AK243" s="5" t="s">
        <v>22</v>
      </c>
      <c r="AL243" s="5" t="s">
        <v>22</v>
      </c>
      <c r="AM243" s="5" t="s">
        <v>22</v>
      </c>
      <c r="AN243" s="5" t="s">
        <v>22</v>
      </c>
      <c r="AO243" s="5" t="s">
        <v>22</v>
      </c>
      <c r="AP243" s="5" t="s">
        <v>22</v>
      </c>
    </row>
    <row r="244" spans="11:42">
      <c r="K244" s="19">
        <v>240</v>
      </c>
      <c r="L244" s="21" t="str">
        <f t="shared" si="32"/>
        <v/>
      </c>
      <c r="M244" s="21" t="str">
        <f t="shared" si="33"/>
        <v/>
      </c>
      <c r="N244" s="21" t="str">
        <f t="shared" si="34"/>
        <v/>
      </c>
      <c r="O244" s="21" t="str">
        <f t="shared" si="35"/>
        <v/>
      </c>
      <c r="P244" s="21" t="str">
        <f t="shared" si="36"/>
        <v/>
      </c>
      <c r="Q244" s="21" t="str">
        <f t="shared" si="37"/>
        <v/>
      </c>
      <c r="R244" s="21" t="str">
        <f t="shared" si="38"/>
        <v/>
      </c>
      <c r="T244" s="6" t="s">
        <v>22</v>
      </c>
      <c r="U244" s="6" t="s">
        <v>22</v>
      </c>
      <c r="V244" s="6" t="s">
        <v>22</v>
      </c>
      <c r="W244" s="6" t="s">
        <v>22</v>
      </c>
      <c r="X244" s="6" t="s">
        <v>22</v>
      </c>
      <c r="Y244" s="6" t="s">
        <v>22</v>
      </c>
      <c r="Z244" s="6" t="s">
        <v>22</v>
      </c>
      <c r="AB244" s="5" t="s">
        <v>22</v>
      </c>
      <c r="AC244" s="5" t="s">
        <v>22</v>
      </c>
      <c r="AD244" s="5" t="s">
        <v>22</v>
      </c>
      <c r="AE244" s="5" t="s">
        <v>22</v>
      </c>
      <c r="AF244" s="5" t="s">
        <v>22</v>
      </c>
      <c r="AG244" s="5" t="s">
        <v>22</v>
      </c>
      <c r="AH244" s="5" t="s">
        <v>22</v>
      </c>
      <c r="AJ244" s="5" t="s">
        <v>22</v>
      </c>
      <c r="AK244" s="5" t="s">
        <v>22</v>
      </c>
      <c r="AL244" s="5" t="s">
        <v>22</v>
      </c>
      <c r="AM244" s="5" t="s">
        <v>22</v>
      </c>
      <c r="AN244" s="5" t="s">
        <v>22</v>
      </c>
      <c r="AO244" s="5" t="s">
        <v>22</v>
      </c>
      <c r="AP244" s="5" t="s">
        <v>22</v>
      </c>
    </row>
    <row r="245" spans="11:42">
      <c r="K245" s="18">
        <v>241</v>
      </c>
      <c r="L245" s="21" t="str">
        <f t="shared" si="32"/>
        <v/>
      </c>
      <c r="M245" s="21" t="str">
        <f t="shared" si="33"/>
        <v/>
      </c>
      <c r="N245" s="21" t="str">
        <f t="shared" si="34"/>
        <v/>
      </c>
      <c r="O245" s="21" t="str">
        <f t="shared" si="35"/>
        <v/>
      </c>
      <c r="P245" s="21" t="str">
        <f t="shared" si="36"/>
        <v/>
      </c>
      <c r="Q245" s="21" t="str">
        <f t="shared" si="37"/>
        <v/>
      </c>
      <c r="R245" s="21" t="str">
        <f t="shared" si="38"/>
        <v/>
      </c>
      <c r="T245" s="6" t="s">
        <v>22</v>
      </c>
      <c r="U245" s="6" t="s">
        <v>22</v>
      </c>
      <c r="V245" s="6" t="s">
        <v>22</v>
      </c>
      <c r="W245" s="6" t="s">
        <v>22</v>
      </c>
      <c r="X245" s="6" t="s">
        <v>22</v>
      </c>
      <c r="Y245" s="6" t="s">
        <v>22</v>
      </c>
      <c r="Z245" s="6" t="s">
        <v>22</v>
      </c>
      <c r="AB245" s="5" t="s">
        <v>22</v>
      </c>
      <c r="AC245" s="5" t="s">
        <v>22</v>
      </c>
      <c r="AD245" s="5" t="s">
        <v>22</v>
      </c>
      <c r="AE245" s="5" t="s">
        <v>22</v>
      </c>
      <c r="AF245" s="5" t="s">
        <v>22</v>
      </c>
      <c r="AG245" s="5" t="s">
        <v>22</v>
      </c>
      <c r="AH245" s="5" t="s">
        <v>22</v>
      </c>
      <c r="AJ245" s="5" t="s">
        <v>22</v>
      </c>
      <c r="AK245" s="5" t="s">
        <v>22</v>
      </c>
      <c r="AL245" s="5" t="s">
        <v>22</v>
      </c>
      <c r="AM245" s="5" t="s">
        <v>22</v>
      </c>
      <c r="AN245" s="5" t="s">
        <v>22</v>
      </c>
      <c r="AO245" s="5" t="s">
        <v>22</v>
      </c>
      <c r="AP245" s="5" t="s">
        <v>22</v>
      </c>
    </row>
    <row r="246" spans="11:42">
      <c r="K246" s="19">
        <v>242</v>
      </c>
      <c r="L246" s="21" t="str">
        <f t="shared" si="32"/>
        <v/>
      </c>
      <c r="M246" s="21" t="str">
        <f t="shared" si="33"/>
        <v/>
      </c>
      <c r="N246" s="21" t="str">
        <f t="shared" si="34"/>
        <v/>
      </c>
      <c r="O246" s="21" t="str">
        <f t="shared" si="35"/>
        <v/>
      </c>
      <c r="P246" s="21" t="str">
        <f t="shared" si="36"/>
        <v/>
      </c>
      <c r="Q246" s="21" t="str">
        <f t="shared" si="37"/>
        <v/>
      </c>
      <c r="R246" s="21" t="str">
        <f t="shared" si="38"/>
        <v/>
      </c>
      <c r="T246" s="6" t="s">
        <v>22</v>
      </c>
      <c r="U246" s="6" t="s">
        <v>22</v>
      </c>
      <c r="V246" s="6" t="s">
        <v>22</v>
      </c>
      <c r="W246" s="6" t="s">
        <v>22</v>
      </c>
      <c r="X246" s="6" t="s">
        <v>22</v>
      </c>
      <c r="Y246" s="6" t="s">
        <v>22</v>
      </c>
      <c r="Z246" s="6" t="s">
        <v>22</v>
      </c>
      <c r="AB246" s="5" t="s">
        <v>22</v>
      </c>
      <c r="AC246" s="5" t="s">
        <v>22</v>
      </c>
      <c r="AD246" s="5" t="s">
        <v>22</v>
      </c>
      <c r="AE246" s="5" t="s">
        <v>22</v>
      </c>
      <c r="AF246" s="5" t="s">
        <v>22</v>
      </c>
      <c r="AG246" s="5" t="s">
        <v>22</v>
      </c>
      <c r="AH246" s="5" t="s">
        <v>22</v>
      </c>
      <c r="AJ246" s="5" t="s">
        <v>22</v>
      </c>
      <c r="AK246" s="5" t="s">
        <v>22</v>
      </c>
      <c r="AL246" s="5" t="s">
        <v>22</v>
      </c>
      <c r="AM246" s="5" t="s">
        <v>22</v>
      </c>
      <c r="AN246" s="5" t="s">
        <v>22</v>
      </c>
      <c r="AO246" s="5" t="s">
        <v>22</v>
      </c>
      <c r="AP246" s="5" t="s">
        <v>22</v>
      </c>
    </row>
    <row r="247" spans="11:42">
      <c r="K247" s="18">
        <v>243</v>
      </c>
      <c r="L247" s="21" t="str">
        <f t="shared" si="32"/>
        <v/>
      </c>
      <c r="M247" s="21" t="str">
        <f t="shared" si="33"/>
        <v/>
      </c>
      <c r="N247" s="21" t="str">
        <f t="shared" si="34"/>
        <v/>
      </c>
      <c r="O247" s="21" t="str">
        <f t="shared" si="35"/>
        <v/>
      </c>
      <c r="P247" s="21" t="str">
        <f t="shared" si="36"/>
        <v/>
      </c>
      <c r="Q247" s="21" t="str">
        <f t="shared" si="37"/>
        <v/>
      </c>
      <c r="R247" s="21" t="str">
        <f t="shared" si="38"/>
        <v/>
      </c>
      <c r="T247" s="6" t="s">
        <v>22</v>
      </c>
      <c r="U247" s="6" t="s">
        <v>22</v>
      </c>
      <c r="V247" s="6" t="s">
        <v>22</v>
      </c>
      <c r="W247" s="6" t="s">
        <v>22</v>
      </c>
      <c r="X247" s="6" t="s">
        <v>22</v>
      </c>
      <c r="Y247" s="6" t="s">
        <v>22</v>
      </c>
      <c r="Z247" s="6" t="s">
        <v>22</v>
      </c>
      <c r="AB247" s="5" t="s">
        <v>22</v>
      </c>
      <c r="AC247" s="5" t="s">
        <v>22</v>
      </c>
      <c r="AD247" s="5" t="s">
        <v>22</v>
      </c>
      <c r="AE247" s="5" t="s">
        <v>22</v>
      </c>
      <c r="AF247" s="5" t="s">
        <v>22</v>
      </c>
      <c r="AG247" s="5" t="s">
        <v>22</v>
      </c>
      <c r="AH247" s="5" t="s">
        <v>22</v>
      </c>
      <c r="AJ247" s="5" t="s">
        <v>22</v>
      </c>
      <c r="AK247" s="5" t="s">
        <v>22</v>
      </c>
      <c r="AL247" s="5" t="s">
        <v>22</v>
      </c>
      <c r="AM247" s="5" t="s">
        <v>22</v>
      </c>
      <c r="AN247" s="5" t="s">
        <v>22</v>
      </c>
      <c r="AO247" s="5" t="s">
        <v>22</v>
      </c>
      <c r="AP247" s="5" t="s">
        <v>22</v>
      </c>
    </row>
    <row r="248" spans="11:42">
      <c r="K248" s="19">
        <v>244</v>
      </c>
      <c r="L248" s="21" t="str">
        <f t="shared" si="32"/>
        <v/>
      </c>
      <c r="M248" s="21" t="str">
        <f t="shared" si="33"/>
        <v/>
      </c>
      <c r="N248" s="21" t="str">
        <f t="shared" si="34"/>
        <v/>
      </c>
      <c r="O248" s="21" t="str">
        <f t="shared" si="35"/>
        <v/>
      </c>
      <c r="P248" s="21" t="str">
        <f t="shared" si="36"/>
        <v/>
      </c>
      <c r="Q248" s="21" t="str">
        <f t="shared" si="37"/>
        <v/>
      </c>
      <c r="R248" s="21" t="str">
        <f t="shared" si="38"/>
        <v/>
      </c>
      <c r="T248" s="6" t="s">
        <v>22</v>
      </c>
      <c r="U248" s="6" t="s">
        <v>22</v>
      </c>
      <c r="V248" s="6" t="s">
        <v>22</v>
      </c>
      <c r="W248" s="6" t="s">
        <v>22</v>
      </c>
      <c r="X248" s="6" t="s">
        <v>22</v>
      </c>
      <c r="Y248" s="6" t="s">
        <v>22</v>
      </c>
      <c r="Z248" s="6" t="s">
        <v>22</v>
      </c>
      <c r="AB248" s="5" t="s">
        <v>22</v>
      </c>
      <c r="AC248" s="5" t="s">
        <v>22</v>
      </c>
      <c r="AD248" s="5" t="s">
        <v>22</v>
      </c>
      <c r="AE248" s="5" t="s">
        <v>22</v>
      </c>
      <c r="AF248" s="5" t="s">
        <v>22</v>
      </c>
      <c r="AG248" s="5" t="s">
        <v>22</v>
      </c>
      <c r="AH248" s="5" t="s">
        <v>22</v>
      </c>
      <c r="AJ248" s="5" t="s">
        <v>22</v>
      </c>
      <c r="AK248" s="5" t="s">
        <v>22</v>
      </c>
      <c r="AL248" s="5" t="s">
        <v>22</v>
      </c>
      <c r="AM248" s="5" t="s">
        <v>22</v>
      </c>
      <c r="AN248" s="5" t="s">
        <v>22</v>
      </c>
      <c r="AO248" s="5" t="s">
        <v>22</v>
      </c>
      <c r="AP248" s="5" t="s">
        <v>22</v>
      </c>
    </row>
    <row r="249" spans="11:42">
      <c r="K249" s="18">
        <v>245</v>
      </c>
      <c r="L249" s="21" t="str">
        <f t="shared" si="32"/>
        <v/>
      </c>
      <c r="M249" s="21" t="str">
        <f t="shared" si="33"/>
        <v/>
      </c>
      <c r="N249" s="21" t="str">
        <f t="shared" si="34"/>
        <v/>
      </c>
      <c r="O249" s="21" t="str">
        <f t="shared" si="35"/>
        <v/>
      </c>
      <c r="P249" s="21" t="str">
        <f t="shared" si="36"/>
        <v/>
      </c>
      <c r="Q249" s="21" t="str">
        <f t="shared" si="37"/>
        <v/>
      </c>
      <c r="R249" s="21" t="str">
        <f t="shared" si="38"/>
        <v/>
      </c>
      <c r="T249" s="6" t="s">
        <v>22</v>
      </c>
      <c r="U249" s="6" t="s">
        <v>22</v>
      </c>
      <c r="V249" s="6" t="s">
        <v>22</v>
      </c>
      <c r="W249" s="6" t="s">
        <v>22</v>
      </c>
      <c r="X249" s="6" t="s">
        <v>22</v>
      </c>
      <c r="Y249" s="6" t="s">
        <v>22</v>
      </c>
      <c r="Z249" s="6" t="s">
        <v>22</v>
      </c>
      <c r="AB249" s="5" t="s">
        <v>22</v>
      </c>
      <c r="AC249" s="5" t="s">
        <v>22</v>
      </c>
      <c r="AD249" s="5" t="s">
        <v>22</v>
      </c>
      <c r="AE249" s="5" t="s">
        <v>22</v>
      </c>
      <c r="AF249" s="5" t="s">
        <v>22</v>
      </c>
      <c r="AG249" s="5" t="s">
        <v>22</v>
      </c>
      <c r="AH249" s="5" t="s">
        <v>22</v>
      </c>
      <c r="AJ249" s="5" t="s">
        <v>22</v>
      </c>
      <c r="AK249" s="5" t="s">
        <v>22</v>
      </c>
      <c r="AL249" s="5" t="s">
        <v>22</v>
      </c>
      <c r="AM249" s="5" t="s">
        <v>22</v>
      </c>
      <c r="AN249" s="5" t="s">
        <v>22</v>
      </c>
      <c r="AO249" s="5" t="s">
        <v>22</v>
      </c>
      <c r="AP249" s="5" t="s">
        <v>22</v>
      </c>
    </row>
    <row r="250" spans="11:42">
      <c r="K250" s="19">
        <v>246</v>
      </c>
      <c r="L250" s="21" t="str">
        <f t="shared" si="32"/>
        <v/>
      </c>
      <c r="M250" s="21" t="str">
        <f t="shared" si="33"/>
        <v/>
      </c>
      <c r="N250" s="21" t="str">
        <f t="shared" si="34"/>
        <v/>
      </c>
      <c r="O250" s="21" t="str">
        <f t="shared" si="35"/>
        <v/>
      </c>
      <c r="P250" s="21" t="str">
        <f t="shared" si="36"/>
        <v/>
      </c>
      <c r="Q250" s="21" t="str">
        <f t="shared" si="37"/>
        <v/>
      </c>
      <c r="R250" s="21" t="str">
        <f t="shared" si="38"/>
        <v/>
      </c>
      <c r="T250" s="6" t="s">
        <v>22</v>
      </c>
      <c r="U250" s="6" t="s">
        <v>22</v>
      </c>
      <c r="V250" s="6" t="s">
        <v>22</v>
      </c>
      <c r="W250" s="6" t="s">
        <v>22</v>
      </c>
      <c r="X250" s="6" t="s">
        <v>22</v>
      </c>
      <c r="Y250" s="6" t="s">
        <v>22</v>
      </c>
      <c r="Z250" s="6" t="s">
        <v>22</v>
      </c>
      <c r="AB250" s="5" t="s">
        <v>22</v>
      </c>
      <c r="AC250" s="5" t="s">
        <v>22</v>
      </c>
      <c r="AD250" s="5" t="s">
        <v>22</v>
      </c>
      <c r="AE250" s="5" t="s">
        <v>22</v>
      </c>
      <c r="AF250" s="5" t="s">
        <v>22</v>
      </c>
      <c r="AG250" s="5" t="s">
        <v>22</v>
      </c>
      <c r="AH250" s="5" t="s">
        <v>22</v>
      </c>
      <c r="AJ250" s="5" t="s">
        <v>22</v>
      </c>
      <c r="AK250" s="5" t="s">
        <v>22</v>
      </c>
      <c r="AL250" s="5" t="s">
        <v>22</v>
      </c>
      <c r="AM250" s="5" t="s">
        <v>22</v>
      </c>
      <c r="AN250" s="5" t="s">
        <v>22</v>
      </c>
      <c r="AO250" s="5" t="s">
        <v>22</v>
      </c>
      <c r="AP250" s="5" t="s">
        <v>22</v>
      </c>
    </row>
    <row r="251" spans="11:42">
      <c r="K251" s="18">
        <v>247</v>
      </c>
      <c r="L251" s="21" t="str">
        <f t="shared" si="32"/>
        <v/>
      </c>
      <c r="M251" s="21" t="str">
        <f t="shared" si="33"/>
        <v/>
      </c>
      <c r="N251" s="21" t="str">
        <f t="shared" si="34"/>
        <v/>
      </c>
      <c r="O251" s="21" t="str">
        <f t="shared" si="35"/>
        <v/>
      </c>
      <c r="P251" s="21" t="str">
        <f t="shared" si="36"/>
        <v/>
      </c>
      <c r="Q251" s="21" t="str">
        <f t="shared" si="37"/>
        <v/>
      </c>
      <c r="R251" s="21" t="str">
        <f t="shared" si="38"/>
        <v/>
      </c>
      <c r="T251" s="6" t="s">
        <v>22</v>
      </c>
      <c r="U251" s="6" t="s">
        <v>22</v>
      </c>
      <c r="V251" s="6" t="s">
        <v>22</v>
      </c>
      <c r="W251" s="6" t="s">
        <v>22</v>
      </c>
      <c r="X251" s="6" t="s">
        <v>22</v>
      </c>
      <c r="Y251" s="6" t="s">
        <v>22</v>
      </c>
      <c r="Z251" s="6" t="s">
        <v>22</v>
      </c>
      <c r="AB251" s="5" t="s">
        <v>22</v>
      </c>
      <c r="AC251" s="5" t="s">
        <v>22</v>
      </c>
      <c r="AD251" s="5" t="s">
        <v>22</v>
      </c>
      <c r="AE251" s="5" t="s">
        <v>22</v>
      </c>
      <c r="AF251" s="5" t="s">
        <v>22</v>
      </c>
      <c r="AG251" s="5" t="s">
        <v>22</v>
      </c>
      <c r="AH251" s="5" t="s">
        <v>22</v>
      </c>
      <c r="AJ251" s="5" t="s">
        <v>22</v>
      </c>
      <c r="AK251" s="5" t="s">
        <v>22</v>
      </c>
      <c r="AL251" s="5" t="s">
        <v>22</v>
      </c>
      <c r="AM251" s="5" t="s">
        <v>22</v>
      </c>
      <c r="AN251" s="5" t="s">
        <v>22</v>
      </c>
      <c r="AO251" s="5" t="s">
        <v>22</v>
      </c>
      <c r="AP251" s="5" t="s">
        <v>22</v>
      </c>
    </row>
    <row r="252" spans="11:42">
      <c r="K252" s="19">
        <v>248</v>
      </c>
      <c r="L252" s="21" t="str">
        <f t="shared" si="32"/>
        <v/>
      </c>
      <c r="M252" s="21" t="str">
        <f t="shared" si="33"/>
        <v/>
      </c>
      <c r="N252" s="21" t="str">
        <f t="shared" si="34"/>
        <v/>
      </c>
      <c r="O252" s="21" t="str">
        <f t="shared" si="35"/>
        <v/>
      </c>
      <c r="P252" s="21" t="str">
        <f t="shared" si="36"/>
        <v/>
      </c>
      <c r="Q252" s="21" t="str">
        <f t="shared" si="37"/>
        <v/>
      </c>
      <c r="R252" s="21" t="str">
        <f t="shared" si="38"/>
        <v/>
      </c>
      <c r="T252" s="6" t="s">
        <v>22</v>
      </c>
      <c r="U252" s="6" t="s">
        <v>22</v>
      </c>
      <c r="V252" s="6" t="s">
        <v>22</v>
      </c>
      <c r="W252" s="6" t="s">
        <v>22</v>
      </c>
      <c r="X252" s="6" t="s">
        <v>22</v>
      </c>
      <c r="Y252" s="6" t="s">
        <v>22</v>
      </c>
      <c r="Z252" s="6" t="s">
        <v>22</v>
      </c>
      <c r="AB252" s="5" t="s">
        <v>22</v>
      </c>
      <c r="AC252" s="5" t="s">
        <v>22</v>
      </c>
      <c r="AD252" s="5" t="s">
        <v>22</v>
      </c>
      <c r="AE252" s="5" t="s">
        <v>22</v>
      </c>
      <c r="AF252" s="5" t="s">
        <v>22</v>
      </c>
      <c r="AG252" s="5" t="s">
        <v>22</v>
      </c>
      <c r="AH252" s="5" t="s">
        <v>22</v>
      </c>
      <c r="AJ252" s="5" t="s">
        <v>22</v>
      </c>
      <c r="AK252" s="5" t="s">
        <v>22</v>
      </c>
      <c r="AL252" s="5" t="s">
        <v>22</v>
      </c>
      <c r="AM252" s="5" t="s">
        <v>22</v>
      </c>
      <c r="AN252" s="5" t="s">
        <v>22</v>
      </c>
      <c r="AO252" s="5" t="s">
        <v>22</v>
      </c>
      <c r="AP252" s="5" t="s">
        <v>22</v>
      </c>
    </row>
    <row r="253" spans="11:42">
      <c r="K253" s="18">
        <v>249</v>
      </c>
      <c r="L253" s="21" t="str">
        <f t="shared" si="32"/>
        <v/>
      </c>
      <c r="M253" s="21" t="str">
        <f t="shared" si="33"/>
        <v/>
      </c>
      <c r="N253" s="21" t="str">
        <f t="shared" si="34"/>
        <v/>
      </c>
      <c r="O253" s="21" t="str">
        <f t="shared" si="35"/>
        <v/>
      </c>
      <c r="P253" s="21" t="str">
        <f t="shared" si="36"/>
        <v/>
      </c>
      <c r="Q253" s="21" t="str">
        <f t="shared" si="37"/>
        <v/>
      </c>
      <c r="R253" s="21" t="str">
        <f t="shared" si="38"/>
        <v/>
      </c>
      <c r="T253" s="6" t="s">
        <v>22</v>
      </c>
      <c r="U253" s="6" t="s">
        <v>22</v>
      </c>
      <c r="V253" s="6" t="s">
        <v>22</v>
      </c>
      <c r="W253" s="6" t="s">
        <v>22</v>
      </c>
      <c r="X253" s="6" t="s">
        <v>22</v>
      </c>
      <c r="Y253" s="6" t="s">
        <v>22</v>
      </c>
      <c r="Z253" s="6" t="s">
        <v>22</v>
      </c>
      <c r="AB253" s="5" t="s">
        <v>22</v>
      </c>
      <c r="AC253" s="5" t="s">
        <v>22</v>
      </c>
      <c r="AD253" s="5" t="s">
        <v>22</v>
      </c>
      <c r="AE253" s="5" t="s">
        <v>22</v>
      </c>
      <c r="AF253" s="5" t="s">
        <v>22</v>
      </c>
      <c r="AG253" s="5" t="s">
        <v>22</v>
      </c>
      <c r="AH253" s="5" t="s">
        <v>22</v>
      </c>
      <c r="AJ253" s="5" t="s">
        <v>22</v>
      </c>
      <c r="AK253" s="5" t="s">
        <v>22</v>
      </c>
      <c r="AL253" s="5" t="s">
        <v>22</v>
      </c>
      <c r="AM253" s="5" t="s">
        <v>22</v>
      </c>
      <c r="AN253" s="5" t="s">
        <v>22</v>
      </c>
      <c r="AO253" s="5" t="s">
        <v>22</v>
      </c>
      <c r="AP253" s="5" t="s">
        <v>22</v>
      </c>
    </row>
    <row r="254" spans="11:42">
      <c r="K254" s="19">
        <v>250</v>
      </c>
      <c r="L254" s="21" t="str">
        <f t="shared" si="32"/>
        <v/>
      </c>
      <c r="M254" s="21" t="str">
        <f t="shared" si="33"/>
        <v/>
      </c>
      <c r="N254" s="21" t="str">
        <f t="shared" si="34"/>
        <v/>
      </c>
      <c r="O254" s="21" t="str">
        <f t="shared" si="35"/>
        <v/>
      </c>
      <c r="P254" s="21" t="str">
        <f t="shared" si="36"/>
        <v/>
      </c>
      <c r="Q254" s="21" t="str">
        <f t="shared" si="37"/>
        <v/>
      </c>
      <c r="R254" s="21" t="str">
        <f t="shared" si="38"/>
        <v/>
      </c>
      <c r="T254" s="6" t="s">
        <v>22</v>
      </c>
      <c r="U254" s="6" t="s">
        <v>22</v>
      </c>
      <c r="V254" s="6" t="s">
        <v>22</v>
      </c>
      <c r="W254" s="6" t="s">
        <v>22</v>
      </c>
      <c r="X254" s="6" t="s">
        <v>22</v>
      </c>
      <c r="Y254" s="6" t="s">
        <v>22</v>
      </c>
      <c r="Z254" s="6" t="s">
        <v>22</v>
      </c>
      <c r="AB254" s="5" t="s">
        <v>22</v>
      </c>
      <c r="AC254" s="5" t="s">
        <v>22</v>
      </c>
      <c r="AD254" s="5" t="s">
        <v>22</v>
      </c>
      <c r="AE254" s="5" t="s">
        <v>22</v>
      </c>
      <c r="AF254" s="5" t="s">
        <v>22</v>
      </c>
      <c r="AG254" s="5" t="s">
        <v>22</v>
      </c>
      <c r="AH254" s="5" t="s">
        <v>22</v>
      </c>
      <c r="AJ254" s="5" t="s">
        <v>22</v>
      </c>
      <c r="AK254" s="5" t="s">
        <v>22</v>
      </c>
      <c r="AL254" s="5" t="s">
        <v>22</v>
      </c>
      <c r="AM254" s="5" t="s">
        <v>22</v>
      </c>
      <c r="AN254" s="5" t="s">
        <v>22</v>
      </c>
      <c r="AO254" s="5" t="s">
        <v>22</v>
      </c>
      <c r="AP254" s="5" t="s">
        <v>22</v>
      </c>
    </row>
    <row r="255" spans="11:42">
      <c r="K255" s="18">
        <v>251</v>
      </c>
      <c r="L255" s="21" t="str">
        <f t="shared" si="32"/>
        <v/>
      </c>
      <c r="M255" s="21" t="str">
        <f t="shared" si="33"/>
        <v/>
      </c>
      <c r="N255" s="21" t="str">
        <f t="shared" si="34"/>
        <v/>
      </c>
      <c r="O255" s="21" t="str">
        <f t="shared" si="35"/>
        <v/>
      </c>
      <c r="P255" s="21" t="str">
        <f t="shared" si="36"/>
        <v/>
      </c>
      <c r="Q255" s="21" t="str">
        <f t="shared" si="37"/>
        <v/>
      </c>
      <c r="R255" s="21" t="str">
        <f t="shared" si="38"/>
        <v/>
      </c>
      <c r="T255" s="6" t="s">
        <v>22</v>
      </c>
      <c r="U255" s="6" t="s">
        <v>22</v>
      </c>
      <c r="V255" s="6" t="s">
        <v>22</v>
      </c>
      <c r="W255" s="6" t="s">
        <v>22</v>
      </c>
      <c r="X255" s="6" t="s">
        <v>22</v>
      </c>
      <c r="Y255" s="6" t="s">
        <v>22</v>
      </c>
      <c r="Z255" s="6" t="s">
        <v>22</v>
      </c>
      <c r="AB255" s="5" t="s">
        <v>22</v>
      </c>
      <c r="AC255" s="5" t="s">
        <v>22</v>
      </c>
      <c r="AD255" s="5" t="s">
        <v>22</v>
      </c>
      <c r="AE255" s="5" t="s">
        <v>22</v>
      </c>
      <c r="AF255" s="5" t="s">
        <v>22</v>
      </c>
      <c r="AG255" s="5" t="s">
        <v>22</v>
      </c>
      <c r="AH255" s="5" t="s">
        <v>22</v>
      </c>
      <c r="AJ255" s="5" t="s">
        <v>22</v>
      </c>
      <c r="AK255" s="5" t="s">
        <v>22</v>
      </c>
      <c r="AL255" s="5" t="s">
        <v>22</v>
      </c>
      <c r="AM255" s="5" t="s">
        <v>22</v>
      </c>
      <c r="AN255" s="5" t="s">
        <v>22</v>
      </c>
      <c r="AO255" s="5" t="s">
        <v>22</v>
      </c>
      <c r="AP255" s="5" t="s">
        <v>22</v>
      </c>
    </row>
    <row r="256" spans="11:42">
      <c r="K256" s="19">
        <v>252</v>
      </c>
      <c r="L256" s="21" t="str">
        <f t="shared" ref="L256:L309" si="39">IF(T256&lt;&gt;"",_xlfn.XLOOKUP(T256,$K$4:$K$27,$A$4:$A$27),"")</f>
        <v/>
      </c>
      <c r="M256" s="21" t="str">
        <f t="shared" ref="M256:M309" si="40">IF(U256&lt;&gt;"",_xlfn.XLOOKUP(U256,$K$4:$K$27,$A$4:$A$27),"")</f>
        <v/>
      </c>
      <c r="N256" s="21" t="str">
        <f t="shared" ref="N256:N309" si="41">IF(V256&lt;&gt;"",_xlfn.XLOOKUP(V256,$K$4:$K$27,$A$4:$A$27),"")</f>
        <v/>
      </c>
      <c r="O256" s="21" t="str">
        <f t="shared" ref="O256:O309" si="42">IF(W256&lt;&gt;"",_xlfn.XLOOKUP(W256,$K$4:$K$27,$A$4:$A$27),"")</f>
        <v/>
      </c>
      <c r="P256" s="21" t="str">
        <f t="shared" ref="P256:P309" si="43">IF(X256&lt;&gt;"",_xlfn.XLOOKUP(X256,$K$4:$K$27,$A$4:$A$27),"")</f>
        <v/>
      </c>
      <c r="Q256" s="21" t="str">
        <f t="shared" ref="Q256:Q309" si="44">IF(Y256&lt;&gt;"",_xlfn.XLOOKUP(Y256,$K$4:$K$27,$A$4:$A$27),"")</f>
        <v/>
      </c>
      <c r="R256" s="21" t="str">
        <f t="shared" ref="R256:R309" si="45">IF(Z256&lt;&gt;"",_xlfn.XLOOKUP(Z256,$K$4:$K$27,$A$4:$A$27),"")</f>
        <v/>
      </c>
      <c r="T256" s="6" t="s">
        <v>22</v>
      </c>
      <c r="U256" s="6" t="s">
        <v>22</v>
      </c>
      <c r="V256" s="6" t="s">
        <v>22</v>
      </c>
      <c r="W256" s="6" t="s">
        <v>22</v>
      </c>
      <c r="X256" s="6" t="s">
        <v>22</v>
      </c>
      <c r="Y256" s="6" t="s">
        <v>22</v>
      </c>
      <c r="Z256" s="6" t="s">
        <v>22</v>
      </c>
      <c r="AB256" s="5" t="s">
        <v>22</v>
      </c>
      <c r="AC256" s="5" t="s">
        <v>22</v>
      </c>
      <c r="AD256" s="5" t="s">
        <v>22</v>
      </c>
      <c r="AE256" s="5" t="s">
        <v>22</v>
      </c>
      <c r="AF256" s="5" t="s">
        <v>22</v>
      </c>
      <c r="AG256" s="5" t="s">
        <v>22</v>
      </c>
      <c r="AH256" s="5" t="s">
        <v>22</v>
      </c>
      <c r="AJ256" s="5" t="s">
        <v>22</v>
      </c>
      <c r="AK256" s="5" t="s">
        <v>22</v>
      </c>
      <c r="AL256" s="5" t="s">
        <v>22</v>
      </c>
      <c r="AM256" s="5" t="s">
        <v>22</v>
      </c>
      <c r="AN256" s="5" t="s">
        <v>22</v>
      </c>
      <c r="AO256" s="5" t="s">
        <v>22</v>
      </c>
      <c r="AP256" s="5" t="s">
        <v>22</v>
      </c>
    </row>
    <row r="257" spans="11:42">
      <c r="K257" s="18">
        <v>253</v>
      </c>
      <c r="L257" s="21" t="str">
        <f t="shared" si="39"/>
        <v/>
      </c>
      <c r="M257" s="21" t="str">
        <f t="shared" si="40"/>
        <v/>
      </c>
      <c r="N257" s="21" t="str">
        <f t="shared" si="41"/>
        <v/>
      </c>
      <c r="O257" s="21" t="str">
        <f t="shared" si="42"/>
        <v/>
      </c>
      <c r="P257" s="21" t="str">
        <f t="shared" si="43"/>
        <v/>
      </c>
      <c r="Q257" s="21" t="str">
        <f t="shared" si="44"/>
        <v/>
      </c>
      <c r="R257" s="21" t="str">
        <f t="shared" si="45"/>
        <v/>
      </c>
      <c r="T257" s="6" t="s">
        <v>22</v>
      </c>
      <c r="U257" s="6" t="s">
        <v>22</v>
      </c>
      <c r="V257" s="6" t="s">
        <v>22</v>
      </c>
      <c r="W257" s="6" t="s">
        <v>22</v>
      </c>
      <c r="X257" s="6" t="s">
        <v>22</v>
      </c>
      <c r="Y257" s="6" t="s">
        <v>22</v>
      </c>
      <c r="Z257" s="6" t="s">
        <v>22</v>
      </c>
      <c r="AB257" s="5" t="s">
        <v>22</v>
      </c>
      <c r="AC257" s="5" t="s">
        <v>22</v>
      </c>
      <c r="AD257" s="5" t="s">
        <v>22</v>
      </c>
      <c r="AE257" s="5" t="s">
        <v>22</v>
      </c>
      <c r="AF257" s="5" t="s">
        <v>22</v>
      </c>
      <c r="AG257" s="5" t="s">
        <v>22</v>
      </c>
      <c r="AH257" s="5" t="s">
        <v>22</v>
      </c>
      <c r="AJ257" s="5" t="s">
        <v>22</v>
      </c>
      <c r="AK257" s="5" t="s">
        <v>22</v>
      </c>
      <c r="AL257" s="5" t="s">
        <v>22</v>
      </c>
      <c r="AM257" s="5" t="s">
        <v>22</v>
      </c>
      <c r="AN257" s="5" t="s">
        <v>22</v>
      </c>
      <c r="AO257" s="5" t="s">
        <v>22</v>
      </c>
      <c r="AP257" s="5" t="s">
        <v>22</v>
      </c>
    </row>
    <row r="258" spans="11:42">
      <c r="K258" s="19">
        <v>254</v>
      </c>
      <c r="L258" s="21" t="str">
        <f t="shared" si="39"/>
        <v/>
      </c>
      <c r="M258" s="21" t="str">
        <f t="shared" si="40"/>
        <v/>
      </c>
      <c r="N258" s="21" t="str">
        <f t="shared" si="41"/>
        <v/>
      </c>
      <c r="O258" s="21" t="str">
        <f t="shared" si="42"/>
        <v/>
      </c>
      <c r="P258" s="21" t="str">
        <f t="shared" si="43"/>
        <v/>
      </c>
      <c r="Q258" s="21" t="str">
        <f t="shared" si="44"/>
        <v/>
      </c>
      <c r="R258" s="21" t="str">
        <f t="shared" si="45"/>
        <v/>
      </c>
      <c r="T258" s="6" t="s">
        <v>22</v>
      </c>
      <c r="U258" s="6" t="s">
        <v>22</v>
      </c>
      <c r="V258" s="6" t="s">
        <v>22</v>
      </c>
      <c r="W258" s="6" t="s">
        <v>22</v>
      </c>
      <c r="X258" s="6" t="s">
        <v>22</v>
      </c>
      <c r="Y258" s="6" t="s">
        <v>22</v>
      </c>
      <c r="Z258" s="6" t="s">
        <v>22</v>
      </c>
      <c r="AB258" s="5" t="s">
        <v>22</v>
      </c>
      <c r="AC258" s="5" t="s">
        <v>22</v>
      </c>
      <c r="AD258" s="5" t="s">
        <v>22</v>
      </c>
      <c r="AE258" s="5" t="s">
        <v>22</v>
      </c>
      <c r="AF258" s="5" t="s">
        <v>22</v>
      </c>
      <c r="AG258" s="5" t="s">
        <v>22</v>
      </c>
      <c r="AH258" s="5" t="s">
        <v>22</v>
      </c>
      <c r="AJ258" s="5" t="s">
        <v>22</v>
      </c>
      <c r="AK258" s="5" t="s">
        <v>22</v>
      </c>
      <c r="AL258" s="5" t="s">
        <v>22</v>
      </c>
      <c r="AM258" s="5" t="s">
        <v>22</v>
      </c>
      <c r="AN258" s="5" t="s">
        <v>22</v>
      </c>
      <c r="AO258" s="5" t="s">
        <v>22</v>
      </c>
      <c r="AP258" s="5" t="s">
        <v>22</v>
      </c>
    </row>
    <row r="259" spans="11:42">
      <c r="K259" s="18">
        <v>255</v>
      </c>
      <c r="L259" s="21" t="str">
        <f t="shared" si="39"/>
        <v/>
      </c>
      <c r="M259" s="21" t="str">
        <f t="shared" si="40"/>
        <v/>
      </c>
      <c r="N259" s="21" t="str">
        <f t="shared" si="41"/>
        <v/>
      </c>
      <c r="O259" s="21" t="str">
        <f t="shared" si="42"/>
        <v/>
      </c>
      <c r="P259" s="21" t="str">
        <f t="shared" si="43"/>
        <v/>
      </c>
      <c r="Q259" s="21" t="str">
        <f t="shared" si="44"/>
        <v/>
      </c>
      <c r="R259" s="21" t="str">
        <f t="shared" si="45"/>
        <v/>
      </c>
      <c r="T259" s="6" t="s">
        <v>22</v>
      </c>
      <c r="U259" s="6" t="s">
        <v>22</v>
      </c>
      <c r="V259" s="6" t="s">
        <v>22</v>
      </c>
      <c r="W259" s="6" t="s">
        <v>22</v>
      </c>
      <c r="X259" s="6" t="s">
        <v>22</v>
      </c>
      <c r="Y259" s="6" t="s">
        <v>22</v>
      </c>
      <c r="Z259" s="6" t="s">
        <v>22</v>
      </c>
      <c r="AB259" s="5" t="s">
        <v>22</v>
      </c>
      <c r="AC259" s="5" t="s">
        <v>22</v>
      </c>
      <c r="AD259" s="5" t="s">
        <v>22</v>
      </c>
      <c r="AE259" s="5" t="s">
        <v>22</v>
      </c>
      <c r="AF259" s="5" t="s">
        <v>22</v>
      </c>
      <c r="AG259" s="5" t="s">
        <v>22</v>
      </c>
      <c r="AH259" s="5" t="s">
        <v>22</v>
      </c>
      <c r="AJ259" s="5" t="s">
        <v>22</v>
      </c>
      <c r="AK259" s="5" t="s">
        <v>22</v>
      </c>
      <c r="AL259" s="5" t="s">
        <v>22</v>
      </c>
      <c r="AM259" s="5" t="s">
        <v>22</v>
      </c>
      <c r="AN259" s="5" t="s">
        <v>22</v>
      </c>
      <c r="AO259" s="5" t="s">
        <v>22</v>
      </c>
      <c r="AP259" s="5" t="s">
        <v>22</v>
      </c>
    </row>
    <row r="260" spans="11:42">
      <c r="K260" s="19">
        <v>256</v>
      </c>
      <c r="L260" s="21" t="str">
        <f t="shared" si="39"/>
        <v/>
      </c>
      <c r="M260" s="21" t="str">
        <f t="shared" si="40"/>
        <v/>
      </c>
      <c r="N260" s="21" t="str">
        <f t="shared" si="41"/>
        <v/>
      </c>
      <c r="O260" s="21" t="str">
        <f t="shared" si="42"/>
        <v/>
      </c>
      <c r="P260" s="21" t="str">
        <f t="shared" si="43"/>
        <v/>
      </c>
      <c r="Q260" s="21" t="str">
        <f t="shared" si="44"/>
        <v/>
      </c>
      <c r="R260" s="21" t="str">
        <f t="shared" si="45"/>
        <v/>
      </c>
      <c r="T260" s="6" t="s">
        <v>22</v>
      </c>
      <c r="U260" s="6" t="s">
        <v>22</v>
      </c>
      <c r="V260" s="6" t="s">
        <v>22</v>
      </c>
      <c r="W260" s="6" t="s">
        <v>22</v>
      </c>
      <c r="X260" s="6" t="s">
        <v>22</v>
      </c>
      <c r="Y260" s="6" t="s">
        <v>22</v>
      </c>
      <c r="Z260" s="6" t="s">
        <v>22</v>
      </c>
      <c r="AB260" s="5" t="s">
        <v>22</v>
      </c>
      <c r="AC260" s="5" t="s">
        <v>22</v>
      </c>
      <c r="AD260" s="5" t="s">
        <v>22</v>
      </c>
      <c r="AE260" s="5" t="s">
        <v>22</v>
      </c>
      <c r="AF260" s="5" t="s">
        <v>22</v>
      </c>
      <c r="AG260" s="5" t="s">
        <v>22</v>
      </c>
      <c r="AH260" s="5" t="s">
        <v>22</v>
      </c>
      <c r="AJ260" s="5" t="s">
        <v>22</v>
      </c>
      <c r="AK260" s="5" t="s">
        <v>22</v>
      </c>
      <c r="AL260" s="5" t="s">
        <v>22</v>
      </c>
      <c r="AM260" s="5" t="s">
        <v>22</v>
      </c>
      <c r="AN260" s="5" t="s">
        <v>22</v>
      </c>
      <c r="AO260" s="5" t="s">
        <v>22</v>
      </c>
      <c r="AP260" s="5" t="s">
        <v>22</v>
      </c>
    </row>
    <row r="261" spans="11:42">
      <c r="K261" s="18">
        <v>257</v>
      </c>
      <c r="L261" s="21" t="str">
        <f t="shared" si="39"/>
        <v/>
      </c>
      <c r="M261" s="21" t="str">
        <f t="shared" si="40"/>
        <v/>
      </c>
      <c r="N261" s="21" t="str">
        <f t="shared" si="41"/>
        <v/>
      </c>
      <c r="O261" s="21" t="str">
        <f t="shared" si="42"/>
        <v/>
      </c>
      <c r="P261" s="21" t="str">
        <f t="shared" si="43"/>
        <v/>
      </c>
      <c r="Q261" s="21" t="str">
        <f t="shared" si="44"/>
        <v/>
      </c>
      <c r="R261" s="21" t="str">
        <f t="shared" si="45"/>
        <v/>
      </c>
      <c r="T261" s="6" t="s">
        <v>22</v>
      </c>
      <c r="U261" s="6" t="s">
        <v>22</v>
      </c>
      <c r="V261" s="6" t="s">
        <v>22</v>
      </c>
      <c r="W261" s="6" t="s">
        <v>22</v>
      </c>
      <c r="X261" s="6" t="s">
        <v>22</v>
      </c>
      <c r="Y261" s="6" t="s">
        <v>22</v>
      </c>
      <c r="Z261" s="6" t="s">
        <v>22</v>
      </c>
      <c r="AB261" s="5" t="s">
        <v>22</v>
      </c>
      <c r="AC261" s="5" t="s">
        <v>22</v>
      </c>
      <c r="AD261" s="5" t="s">
        <v>22</v>
      </c>
      <c r="AE261" s="5" t="s">
        <v>22</v>
      </c>
      <c r="AF261" s="5" t="s">
        <v>22</v>
      </c>
      <c r="AG261" s="5" t="s">
        <v>22</v>
      </c>
      <c r="AH261" s="5" t="s">
        <v>22</v>
      </c>
      <c r="AJ261" s="5" t="s">
        <v>22</v>
      </c>
      <c r="AK261" s="5" t="s">
        <v>22</v>
      </c>
      <c r="AL261" s="5" t="s">
        <v>22</v>
      </c>
      <c r="AM261" s="5" t="s">
        <v>22</v>
      </c>
      <c r="AN261" s="5" t="s">
        <v>22</v>
      </c>
      <c r="AO261" s="5" t="s">
        <v>22</v>
      </c>
      <c r="AP261" s="5" t="s">
        <v>22</v>
      </c>
    </row>
    <row r="262" spans="11:42">
      <c r="K262" s="19">
        <v>258</v>
      </c>
      <c r="L262" s="21" t="str">
        <f t="shared" si="39"/>
        <v/>
      </c>
      <c r="M262" s="21" t="str">
        <f t="shared" si="40"/>
        <v/>
      </c>
      <c r="N262" s="21" t="str">
        <f t="shared" si="41"/>
        <v/>
      </c>
      <c r="O262" s="21" t="str">
        <f t="shared" si="42"/>
        <v/>
      </c>
      <c r="P262" s="21" t="str">
        <f t="shared" si="43"/>
        <v/>
      </c>
      <c r="Q262" s="21" t="str">
        <f t="shared" si="44"/>
        <v/>
      </c>
      <c r="R262" s="21" t="str">
        <f t="shared" si="45"/>
        <v/>
      </c>
      <c r="T262" s="6" t="s">
        <v>22</v>
      </c>
      <c r="U262" s="6" t="s">
        <v>22</v>
      </c>
      <c r="V262" s="6" t="s">
        <v>22</v>
      </c>
      <c r="W262" s="6" t="s">
        <v>22</v>
      </c>
      <c r="X262" s="6" t="s">
        <v>22</v>
      </c>
      <c r="Y262" s="6" t="s">
        <v>22</v>
      </c>
      <c r="Z262" s="6" t="s">
        <v>22</v>
      </c>
      <c r="AB262" s="5" t="s">
        <v>22</v>
      </c>
      <c r="AC262" s="5" t="s">
        <v>22</v>
      </c>
      <c r="AD262" s="5" t="s">
        <v>22</v>
      </c>
      <c r="AE262" s="5" t="s">
        <v>22</v>
      </c>
      <c r="AF262" s="5" t="s">
        <v>22</v>
      </c>
      <c r="AG262" s="5" t="s">
        <v>22</v>
      </c>
      <c r="AH262" s="5" t="s">
        <v>22</v>
      </c>
      <c r="AJ262" s="5" t="s">
        <v>22</v>
      </c>
      <c r="AK262" s="5" t="s">
        <v>22</v>
      </c>
      <c r="AL262" s="5" t="s">
        <v>22</v>
      </c>
      <c r="AM262" s="5" t="s">
        <v>22</v>
      </c>
      <c r="AN262" s="5" t="s">
        <v>22</v>
      </c>
      <c r="AO262" s="5" t="s">
        <v>22</v>
      </c>
      <c r="AP262" s="5" t="s">
        <v>22</v>
      </c>
    </row>
    <row r="263" spans="11:42">
      <c r="K263" s="18">
        <v>259</v>
      </c>
      <c r="L263" s="21" t="str">
        <f t="shared" si="39"/>
        <v/>
      </c>
      <c r="M263" s="21" t="str">
        <f t="shared" si="40"/>
        <v/>
      </c>
      <c r="N263" s="21" t="str">
        <f t="shared" si="41"/>
        <v/>
      </c>
      <c r="O263" s="21" t="str">
        <f t="shared" si="42"/>
        <v/>
      </c>
      <c r="P263" s="21" t="str">
        <f t="shared" si="43"/>
        <v/>
      </c>
      <c r="Q263" s="21" t="str">
        <f t="shared" si="44"/>
        <v/>
      </c>
      <c r="R263" s="21" t="str">
        <f t="shared" si="45"/>
        <v/>
      </c>
      <c r="T263" s="6" t="s">
        <v>22</v>
      </c>
      <c r="U263" s="6" t="s">
        <v>22</v>
      </c>
      <c r="V263" s="6" t="s">
        <v>22</v>
      </c>
      <c r="W263" s="6" t="s">
        <v>22</v>
      </c>
      <c r="X263" s="6" t="s">
        <v>22</v>
      </c>
      <c r="Y263" s="6" t="s">
        <v>22</v>
      </c>
      <c r="Z263" s="6" t="s">
        <v>22</v>
      </c>
      <c r="AB263" s="5" t="s">
        <v>22</v>
      </c>
      <c r="AC263" s="5" t="s">
        <v>22</v>
      </c>
      <c r="AD263" s="5" t="s">
        <v>22</v>
      </c>
      <c r="AE263" s="5" t="s">
        <v>22</v>
      </c>
      <c r="AF263" s="5" t="s">
        <v>22</v>
      </c>
      <c r="AG263" s="5" t="s">
        <v>22</v>
      </c>
      <c r="AH263" s="5" t="s">
        <v>22</v>
      </c>
      <c r="AJ263" s="5" t="s">
        <v>22</v>
      </c>
      <c r="AK263" s="5" t="s">
        <v>22</v>
      </c>
      <c r="AL263" s="5" t="s">
        <v>22</v>
      </c>
      <c r="AM263" s="5" t="s">
        <v>22</v>
      </c>
      <c r="AN263" s="5" t="s">
        <v>22</v>
      </c>
      <c r="AO263" s="5" t="s">
        <v>22</v>
      </c>
      <c r="AP263" s="5" t="s">
        <v>22</v>
      </c>
    </row>
    <row r="264" spans="11:42">
      <c r="K264" s="19">
        <v>260</v>
      </c>
      <c r="L264" s="21" t="str">
        <f t="shared" si="39"/>
        <v/>
      </c>
      <c r="M264" s="21" t="str">
        <f t="shared" si="40"/>
        <v/>
      </c>
      <c r="N264" s="21" t="str">
        <f t="shared" si="41"/>
        <v/>
      </c>
      <c r="O264" s="21" t="str">
        <f t="shared" si="42"/>
        <v/>
      </c>
      <c r="P264" s="21" t="str">
        <f t="shared" si="43"/>
        <v/>
      </c>
      <c r="Q264" s="21" t="str">
        <f t="shared" si="44"/>
        <v/>
      </c>
      <c r="R264" s="21" t="str">
        <f t="shared" si="45"/>
        <v/>
      </c>
      <c r="T264" s="6" t="s">
        <v>22</v>
      </c>
      <c r="U264" s="6" t="s">
        <v>22</v>
      </c>
      <c r="V264" s="6" t="s">
        <v>22</v>
      </c>
      <c r="W264" s="6" t="s">
        <v>22</v>
      </c>
      <c r="X264" s="6" t="s">
        <v>22</v>
      </c>
      <c r="Y264" s="6" t="s">
        <v>22</v>
      </c>
      <c r="Z264" s="6" t="s">
        <v>22</v>
      </c>
      <c r="AB264" s="5" t="s">
        <v>22</v>
      </c>
      <c r="AC264" s="5" t="s">
        <v>22</v>
      </c>
      <c r="AD264" s="5" t="s">
        <v>22</v>
      </c>
      <c r="AE264" s="5" t="s">
        <v>22</v>
      </c>
      <c r="AF264" s="5" t="s">
        <v>22</v>
      </c>
      <c r="AG264" s="5" t="s">
        <v>22</v>
      </c>
      <c r="AH264" s="5" t="s">
        <v>22</v>
      </c>
      <c r="AJ264" s="5" t="s">
        <v>22</v>
      </c>
      <c r="AK264" s="5" t="s">
        <v>22</v>
      </c>
      <c r="AL264" s="5" t="s">
        <v>22</v>
      </c>
      <c r="AM264" s="5" t="s">
        <v>22</v>
      </c>
      <c r="AN264" s="5" t="s">
        <v>22</v>
      </c>
      <c r="AO264" s="5" t="s">
        <v>22</v>
      </c>
      <c r="AP264" s="5" t="s">
        <v>22</v>
      </c>
    </row>
    <row r="265" spans="11:42">
      <c r="K265" s="18">
        <v>261</v>
      </c>
      <c r="L265" s="21" t="str">
        <f t="shared" si="39"/>
        <v/>
      </c>
      <c r="M265" s="21" t="str">
        <f t="shared" si="40"/>
        <v/>
      </c>
      <c r="N265" s="21" t="str">
        <f t="shared" si="41"/>
        <v/>
      </c>
      <c r="O265" s="21" t="str">
        <f t="shared" si="42"/>
        <v/>
      </c>
      <c r="P265" s="21" t="str">
        <f t="shared" si="43"/>
        <v/>
      </c>
      <c r="Q265" s="21" t="str">
        <f t="shared" si="44"/>
        <v/>
      </c>
      <c r="R265" s="21" t="str">
        <f t="shared" si="45"/>
        <v/>
      </c>
      <c r="T265" s="6" t="s">
        <v>22</v>
      </c>
      <c r="U265" s="6" t="s">
        <v>22</v>
      </c>
      <c r="V265" s="6" t="s">
        <v>22</v>
      </c>
      <c r="W265" s="6" t="s">
        <v>22</v>
      </c>
      <c r="X265" s="6" t="s">
        <v>22</v>
      </c>
      <c r="Y265" s="6" t="s">
        <v>22</v>
      </c>
      <c r="Z265" s="6" t="s">
        <v>22</v>
      </c>
      <c r="AB265" s="5" t="s">
        <v>22</v>
      </c>
      <c r="AC265" s="5" t="s">
        <v>22</v>
      </c>
      <c r="AD265" s="5" t="s">
        <v>22</v>
      </c>
      <c r="AE265" s="5" t="s">
        <v>22</v>
      </c>
      <c r="AF265" s="5" t="s">
        <v>22</v>
      </c>
      <c r="AG265" s="5" t="s">
        <v>22</v>
      </c>
      <c r="AH265" s="5" t="s">
        <v>22</v>
      </c>
      <c r="AJ265" s="5" t="s">
        <v>22</v>
      </c>
      <c r="AK265" s="5" t="s">
        <v>22</v>
      </c>
      <c r="AL265" s="5" t="s">
        <v>22</v>
      </c>
      <c r="AM265" s="5" t="s">
        <v>22</v>
      </c>
      <c r="AN265" s="5" t="s">
        <v>22</v>
      </c>
      <c r="AO265" s="5" t="s">
        <v>22</v>
      </c>
      <c r="AP265" s="5" t="s">
        <v>22</v>
      </c>
    </row>
    <row r="266" spans="11:42">
      <c r="K266" s="19">
        <v>262</v>
      </c>
      <c r="L266" s="21" t="str">
        <f t="shared" si="39"/>
        <v/>
      </c>
      <c r="M266" s="21" t="str">
        <f t="shared" si="40"/>
        <v/>
      </c>
      <c r="N266" s="21" t="str">
        <f t="shared" si="41"/>
        <v/>
      </c>
      <c r="O266" s="21" t="str">
        <f t="shared" si="42"/>
        <v/>
      </c>
      <c r="P266" s="21" t="str">
        <f t="shared" si="43"/>
        <v/>
      </c>
      <c r="Q266" s="21" t="str">
        <f t="shared" si="44"/>
        <v/>
      </c>
      <c r="R266" s="21" t="str">
        <f t="shared" si="45"/>
        <v/>
      </c>
      <c r="T266" s="6" t="s">
        <v>22</v>
      </c>
      <c r="U266" s="6" t="s">
        <v>22</v>
      </c>
      <c r="V266" s="6" t="s">
        <v>22</v>
      </c>
      <c r="W266" s="6" t="s">
        <v>22</v>
      </c>
      <c r="X266" s="6" t="s">
        <v>22</v>
      </c>
      <c r="Y266" s="6" t="s">
        <v>22</v>
      </c>
      <c r="Z266" s="6" t="s">
        <v>22</v>
      </c>
      <c r="AB266" s="5" t="s">
        <v>22</v>
      </c>
      <c r="AC266" s="5" t="s">
        <v>22</v>
      </c>
      <c r="AD266" s="5" t="s">
        <v>22</v>
      </c>
      <c r="AE266" s="5" t="s">
        <v>22</v>
      </c>
      <c r="AF266" s="5" t="s">
        <v>22</v>
      </c>
      <c r="AG266" s="5" t="s">
        <v>22</v>
      </c>
      <c r="AH266" s="5" t="s">
        <v>22</v>
      </c>
      <c r="AJ266" s="5" t="s">
        <v>22</v>
      </c>
      <c r="AK266" s="5" t="s">
        <v>22</v>
      </c>
      <c r="AL266" s="5" t="s">
        <v>22</v>
      </c>
      <c r="AM266" s="5" t="s">
        <v>22</v>
      </c>
      <c r="AN266" s="5" t="s">
        <v>22</v>
      </c>
      <c r="AO266" s="5" t="s">
        <v>22</v>
      </c>
      <c r="AP266" s="5" t="s">
        <v>22</v>
      </c>
    </row>
    <row r="267" spans="11:42">
      <c r="K267" s="18">
        <v>263</v>
      </c>
      <c r="L267" s="21" t="str">
        <f t="shared" si="39"/>
        <v/>
      </c>
      <c r="M267" s="21" t="str">
        <f t="shared" si="40"/>
        <v/>
      </c>
      <c r="N267" s="21" t="str">
        <f t="shared" si="41"/>
        <v/>
      </c>
      <c r="O267" s="21" t="str">
        <f t="shared" si="42"/>
        <v/>
      </c>
      <c r="P267" s="21" t="str">
        <f t="shared" si="43"/>
        <v/>
      </c>
      <c r="Q267" s="21" t="str">
        <f t="shared" si="44"/>
        <v/>
      </c>
      <c r="R267" s="21" t="str">
        <f t="shared" si="45"/>
        <v/>
      </c>
      <c r="T267" s="6" t="s">
        <v>22</v>
      </c>
      <c r="U267" s="6" t="s">
        <v>22</v>
      </c>
      <c r="V267" s="6" t="s">
        <v>22</v>
      </c>
      <c r="W267" s="6" t="s">
        <v>22</v>
      </c>
      <c r="X267" s="6" t="s">
        <v>22</v>
      </c>
      <c r="Y267" s="6" t="s">
        <v>22</v>
      </c>
      <c r="Z267" s="6" t="s">
        <v>22</v>
      </c>
      <c r="AB267" s="5" t="s">
        <v>22</v>
      </c>
      <c r="AC267" s="5" t="s">
        <v>22</v>
      </c>
      <c r="AD267" s="5" t="s">
        <v>22</v>
      </c>
      <c r="AE267" s="5" t="s">
        <v>22</v>
      </c>
      <c r="AF267" s="5" t="s">
        <v>22</v>
      </c>
      <c r="AG267" s="5" t="s">
        <v>22</v>
      </c>
      <c r="AH267" s="5" t="s">
        <v>22</v>
      </c>
      <c r="AJ267" s="5" t="s">
        <v>22</v>
      </c>
      <c r="AK267" s="5" t="s">
        <v>22</v>
      </c>
      <c r="AL267" s="5" t="s">
        <v>22</v>
      </c>
      <c r="AM267" s="5" t="s">
        <v>22</v>
      </c>
      <c r="AN267" s="5" t="s">
        <v>22</v>
      </c>
      <c r="AO267" s="5" t="s">
        <v>22</v>
      </c>
      <c r="AP267" s="5" t="s">
        <v>22</v>
      </c>
    </row>
    <row r="268" spans="11:42">
      <c r="K268" s="19">
        <v>264</v>
      </c>
      <c r="L268" s="21" t="str">
        <f t="shared" si="39"/>
        <v/>
      </c>
      <c r="M268" s="21" t="str">
        <f t="shared" si="40"/>
        <v/>
      </c>
      <c r="N268" s="21" t="str">
        <f t="shared" si="41"/>
        <v/>
      </c>
      <c r="O268" s="21" t="str">
        <f t="shared" si="42"/>
        <v/>
      </c>
      <c r="P268" s="21" t="str">
        <f t="shared" si="43"/>
        <v/>
      </c>
      <c r="Q268" s="21" t="str">
        <f t="shared" si="44"/>
        <v/>
      </c>
      <c r="R268" s="21" t="str">
        <f t="shared" si="45"/>
        <v/>
      </c>
      <c r="T268" s="6" t="s">
        <v>22</v>
      </c>
      <c r="U268" s="6" t="s">
        <v>22</v>
      </c>
      <c r="V268" s="6" t="s">
        <v>22</v>
      </c>
      <c r="W268" s="6" t="s">
        <v>22</v>
      </c>
      <c r="X268" s="6" t="s">
        <v>22</v>
      </c>
      <c r="Y268" s="6" t="s">
        <v>22</v>
      </c>
      <c r="Z268" s="6" t="s">
        <v>22</v>
      </c>
      <c r="AB268" s="5" t="s">
        <v>22</v>
      </c>
      <c r="AC268" s="5" t="s">
        <v>22</v>
      </c>
      <c r="AD268" s="5" t="s">
        <v>22</v>
      </c>
      <c r="AE268" s="5" t="s">
        <v>22</v>
      </c>
      <c r="AF268" s="5" t="s">
        <v>22</v>
      </c>
      <c r="AG268" s="5" t="s">
        <v>22</v>
      </c>
      <c r="AH268" s="5" t="s">
        <v>22</v>
      </c>
      <c r="AJ268" s="5" t="s">
        <v>22</v>
      </c>
      <c r="AK268" s="5" t="s">
        <v>22</v>
      </c>
      <c r="AL268" s="5" t="s">
        <v>22</v>
      </c>
      <c r="AM268" s="5" t="s">
        <v>22</v>
      </c>
      <c r="AN268" s="5" t="s">
        <v>22</v>
      </c>
      <c r="AO268" s="5" t="s">
        <v>22</v>
      </c>
      <c r="AP268" s="5" t="s">
        <v>22</v>
      </c>
    </row>
    <row r="269" spans="11:42">
      <c r="K269" s="18">
        <v>265</v>
      </c>
      <c r="L269" s="21" t="str">
        <f t="shared" si="39"/>
        <v/>
      </c>
      <c r="M269" s="21" t="str">
        <f t="shared" si="40"/>
        <v/>
      </c>
      <c r="N269" s="21" t="str">
        <f t="shared" si="41"/>
        <v/>
      </c>
      <c r="O269" s="21" t="str">
        <f t="shared" si="42"/>
        <v/>
      </c>
      <c r="P269" s="21" t="str">
        <f t="shared" si="43"/>
        <v/>
      </c>
      <c r="Q269" s="21" t="str">
        <f t="shared" si="44"/>
        <v/>
      </c>
      <c r="R269" s="21" t="str">
        <f t="shared" si="45"/>
        <v/>
      </c>
      <c r="T269" s="6" t="s">
        <v>22</v>
      </c>
      <c r="U269" s="6" t="s">
        <v>22</v>
      </c>
      <c r="V269" s="6" t="s">
        <v>22</v>
      </c>
      <c r="W269" s="6" t="s">
        <v>22</v>
      </c>
      <c r="X269" s="6" t="s">
        <v>22</v>
      </c>
      <c r="Y269" s="6" t="s">
        <v>22</v>
      </c>
      <c r="Z269" s="6" t="s">
        <v>22</v>
      </c>
      <c r="AB269" s="5" t="s">
        <v>22</v>
      </c>
      <c r="AC269" s="5" t="s">
        <v>22</v>
      </c>
      <c r="AD269" s="5" t="s">
        <v>22</v>
      </c>
      <c r="AE269" s="5" t="s">
        <v>22</v>
      </c>
      <c r="AF269" s="5" t="s">
        <v>22</v>
      </c>
      <c r="AG269" s="5" t="s">
        <v>22</v>
      </c>
      <c r="AH269" s="5" t="s">
        <v>22</v>
      </c>
      <c r="AJ269" s="5" t="s">
        <v>22</v>
      </c>
      <c r="AK269" s="5" t="s">
        <v>22</v>
      </c>
      <c r="AL269" s="5" t="s">
        <v>22</v>
      </c>
      <c r="AM269" s="5" t="s">
        <v>22</v>
      </c>
      <c r="AN269" s="5" t="s">
        <v>22</v>
      </c>
      <c r="AO269" s="5" t="s">
        <v>22</v>
      </c>
      <c r="AP269" s="5" t="s">
        <v>22</v>
      </c>
    </row>
    <row r="270" spans="11:42">
      <c r="K270" s="19">
        <v>266</v>
      </c>
      <c r="L270" s="21" t="str">
        <f t="shared" si="39"/>
        <v/>
      </c>
      <c r="M270" s="21" t="str">
        <f t="shared" si="40"/>
        <v/>
      </c>
      <c r="N270" s="21" t="str">
        <f t="shared" si="41"/>
        <v/>
      </c>
      <c r="O270" s="21" t="str">
        <f t="shared" si="42"/>
        <v/>
      </c>
      <c r="P270" s="21" t="str">
        <f t="shared" si="43"/>
        <v/>
      </c>
      <c r="Q270" s="21" t="str">
        <f t="shared" si="44"/>
        <v/>
      </c>
      <c r="R270" s="21" t="str">
        <f t="shared" si="45"/>
        <v/>
      </c>
      <c r="T270" s="6" t="s">
        <v>22</v>
      </c>
      <c r="U270" s="6" t="s">
        <v>22</v>
      </c>
      <c r="V270" s="6" t="s">
        <v>22</v>
      </c>
      <c r="W270" s="6" t="s">
        <v>22</v>
      </c>
      <c r="X270" s="6" t="s">
        <v>22</v>
      </c>
      <c r="Y270" s="6" t="s">
        <v>22</v>
      </c>
      <c r="Z270" s="6" t="s">
        <v>22</v>
      </c>
      <c r="AB270" s="5" t="s">
        <v>22</v>
      </c>
      <c r="AC270" s="5" t="s">
        <v>22</v>
      </c>
      <c r="AD270" s="5" t="s">
        <v>22</v>
      </c>
      <c r="AE270" s="5" t="s">
        <v>22</v>
      </c>
      <c r="AF270" s="5" t="s">
        <v>22</v>
      </c>
      <c r="AG270" s="5" t="s">
        <v>22</v>
      </c>
      <c r="AH270" s="5" t="s">
        <v>22</v>
      </c>
      <c r="AJ270" s="5" t="s">
        <v>22</v>
      </c>
      <c r="AK270" s="5" t="s">
        <v>22</v>
      </c>
      <c r="AL270" s="5" t="s">
        <v>22</v>
      </c>
      <c r="AM270" s="5" t="s">
        <v>22</v>
      </c>
      <c r="AN270" s="5" t="s">
        <v>22</v>
      </c>
      <c r="AO270" s="5" t="s">
        <v>22</v>
      </c>
      <c r="AP270" s="5" t="s">
        <v>22</v>
      </c>
    </row>
    <row r="271" spans="11:42">
      <c r="K271" s="18">
        <v>267</v>
      </c>
      <c r="L271" s="21" t="str">
        <f t="shared" si="39"/>
        <v/>
      </c>
      <c r="M271" s="21" t="str">
        <f t="shared" si="40"/>
        <v/>
      </c>
      <c r="N271" s="21" t="str">
        <f t="shared" si="41"/>
        <v/>
      </c>
      <c r="O271" s="21" t="str">
        <f t="shared" si="42"/>
        <v/>
      </c>
      <c r="P271" s="21" t="str">
        <f t="shared" si="43"/>
        <v/>
      </c>
      <c r="Q271" s="21" t="str">
        <f t="shared" si="44"/>
        <v/>
      </c>
      <c r="R271" s="21" t="str">
        <f t="shared" si="45"/>
        <v/>
      </c>
      <c r="T271" s="6" t="s">
        <v>22</v>
      </c>
      <c r="U271" s="6" t="s">
        <v>22</v>
      </c>
      <c r="V271" s="6" t="s">
        <v>22</v>
      </c>
      <c r="W271" s="6" t="s">
        <v>22</v>
      </c>
      <c r="X271" s="6" t="s">
        <v>22</v>
      </c>
      <c r="Y271" s="6" t="s">
        <v>22</v>
      </c>
      <c r="Z271" s="6" t="s">
        <v>22</v>
      </c>
      <c r="AB271" s="5" t="s">
        <v>22</v>
      </c>
      <c r="AC271" s="5" t="s">
        <v>22</v>
      </c>
      <c r="AD271" s="5" t="s">
        <v>22</v>
      </c>
      <c r="AE271" s="5" t="s">
        <v>22</v>
      </c>
      <c r="AF271" s="5" t="s">
        <v>22</v>
      </c>
      <c r="AG271" s="5" t="s">
        <v>22</v>
      </c>
      <c r="AH271" s="5" t="s">
        <v>22</v>
      </c>
      <c r="AJ271" s="5" t="s">
        <v>22</v>
      </c>
      <c r="AK271" s="5" t="s">
        <v>22</v>
      </c>
      <c r="AL271" s="5" t="s">
        <v>22</v>
      </c>
      <c r="AM271" s="5" t="s">
        <v>22</v>
      </c>
      <c r="AN271" s="5" t="s">
        <v>22</v>
      </c>
      <c r="AO271" s="5" t="s">
        <v>22</v>
      </c>
      <c r="AP271" s="5" t="s">
        <v>22</v>
      </c>
    </row>
    <row r="272" spans="11:42">
      <c r="K272" s="19">
        <v>268</v>
      </c>
      <c r="L272" s="21" t="str">
        <f t="shared" si="39"/>
        <v/>
      </c>
      <c r="M272" s="21" t="str">
        <f t="shared" si="40"/>
        <v/>
      </c>
      <c r="N272" s="21" t="str">
        <f t="shared" si="41"/>
        <v/>
      </c>
      <c r="O272" s="21" t="str">
        <f t="shared" si="42"/>
        <v/>
      </c>
      <c r="P272" s="21" t="str">
        <f t="shared" si="43"/>
        <v/>
      </c>
      <c r="Q272" s="21" t="str">
        <f t="shared" si="44"/>
        <v/>
      </c>
      <c r="R272" s="21" t="str">
        <f t="shared" si="45"/>
        <v/>
      </c>
      <c r="T272" s="6" t="s">
        <v>22</v>
      </c>
      <c r="U272" s="6" t="s">
        <v>22</v>
      </c>
      <c r="V272" s="6" t="s">
        <v>22</v>
      </c>
      <c r="W272" s="6" t="s">
        <v>22</v>
      </c>
      <c r="X272" s="6" t="s">
        <v>22</v>
      </c>
      <c r="Y272" s="6" t="s">
        <v>22</v>
      </c>
      <c r="Z272" s="6" t="s">
        <v>22</v>
      </c>
      <c r="AB272" s="5" t="s">
        <v>22</v>
      </c>
      <c r="AC272" s="5" t="s">
        <v>22</v>
      </c>
      <c r="AD272" s="5" t="s">
        <v>22</v>
      </c>
      <c r="AE272" s="5" t="s">
        <v>22</v>
      </c>
      <c r="AF272" s="5" t="s">
        <v>22</v>
      </c>
      <c r="AG272" s="5" t="s">
        <v>22</v>
      </c>
      <c r="AH272" s="5" t="s">
        <v>22</v>
      </c>
      <c r="AJ272" s="5" t="s">
        <v>22</v>
      </c>
      <c r="AK272" s="5" t="s">
        <v>22</v>
      </c>
      <c r="AL272" s="5" t="s">
        <v>22</v>
      </c>
      <c r="AM272" s="5" t="s">
        <v>22</v>
      </c>
      <c r="AN272" s="5" t="s">
        <v>22</v>
      </c>
      <c r="AO272" s="5" t="s">
        <v>22</v>
      </c>
      <c r="AP272" s="5" t="s">
        <v>22</v>
      </c>
    </row>
    <row r="273" spans="11:42">
      <c r="K273" s="18">
        <v>269</v>
      </c>
      <c r="L273" s="21" t="str">
        <f t="shared" si="39"/>
        <v/>
      </c>
      <c r="M273" s="21" t="str">
        <f t="shared" si="40"/>
        <v/>
      </c>
      <c r="N273" s="21" t="str">
        <f t="shared" si="41"/>
        <v/>
      </c>
      <c r="O273" s="21" t="str">
        <f t="shared" si="42"/>
        <v/>
      </c>
      <c r="P273" s="21" t="str">
        <f t="shared" si="43"/>
        <v/>
      </c>
      <c r="Q273" s="21" t="str">
        <f t="shared" si="44"/>
        <v/>
      </c>
      <c r="R273" s="21" t="str">
        <f t="shared" si="45"/>
        <v/>
      </c>
      <c r="T273" s="6" t="s">
        <v>22</v>
      </c>
      <c r="U273" s="6" t="s">
        <v>22</v>
      </c>
      <c r="V273" s="6" t="s">
        <v>22</v>
      </c>
      <c r="W273" s="6" t="s">
        <v>22</v>
      </c>
      <c r="X273" s="6" t="s">
        <v>22</v>
      </c>
      <c r="Y273" s="6" t="s">
        <v>22</v>
      </c>
      <c r="Z273" s="6" t="s">
        <v>22</v>
      </c>
      <c r="AB273" s="5" t="s">
        <v>22</v>
      </c>
      <c r="AC273" s="5" t="s">
        <v>22</v>
      </c>
      <c r="AD273" s="5" t="s">
        <v>22</v>
      </c>
      <c r="AE273" s="5" t="s">
        <v>22</v>
      </c>
      <c r="AF273" s="5" t="s">
        <v>22</v>
      </c>
      <c r="AG273" s="5" t="s">
        <v>22</v>
      </c>
      <c r="AH273" s="5" t="s">
        <v>22</v>
      </c>
      <c r="AJ273" s="5" t="s">
        <v>22</v>
      </c>
      <c r="AK273" s="5" t="s">
        <v>22</v>
      </c>
      <c r="AL273" s="5" t="s">
        <v>22</v>
      </c>
      <c r="AM273" s="5" t="s">
        <v>22</v>
      </c>
      <c r="AN273" s="5" t="s">
        <v>22</v>
      </c>
      <c r="AO273" s="5" t="s">
        <v>22</v>
      </c>
      <c r="AP273" s="5" t="s">
        <v>22</v>
      </c>
    </row>
    <row r="274" spans="11:42">
      <c r="K274" s="19">
        <v>270</v>
      </c>
      <c r="L274" s="21" t="str">
        <f t="shared" si="39"/>
        <v/>
      </c>
      <c r="M274" s="21" t="str">
        <f t="shared" si="40"/>
        <v/>
      </c>
      <c r="N274" s="21" t="str">
        <f t="shared" si="41"/>
        <v/>
      </c>
      <c r="O274" s="21" t="str">
        <f t="shared" si="42"/>
        <v/>
      </c>
      <c r="P274" s="21" t="str">
        <f t="shared" si="43"/>
        <v/>
      </c>
      <c r="Q274" s="21" t="str">
        <f t="shared" si="44"/>
        <v/>
      </c>
      <c r="R274" s="21" t="str">
        <f t="shared" si="45"/>
        <v/>
      </c>
      <c r="T274" s="6" t="s">
        <v>22</v>
      </c>
      <c r="U274" s="6" t="s">
        <v>22</v>
      </c>
      <c r="V274" s="6" t="s">
        <v>22</v>
      </c>
      <c r="W274" s="6" t="s">
        <v>22</v>
      </c>
      <c r="X274" s="6" t="s">
        <v>22</v>
      </c>
      <c r="Y274" s="6" t="s">
        <v>22</v>
      </c>
      <c r="Z274" s="6" t="s">
        <v>22</v>
      </c>
      <c r="AB274" s="5" t="s">
        <v>22</v>
      </c>
      <c r="AC274" s="5" t="s">
        <v>22</v>
      </c>
      <c r="AD274" s="5" t="s">
        <v>22</v>
      </c>
      <c r="AE274" s="5" t="s">
        <v>22</v>
      </c>
      <c r="AF274" s="5" t="s">
        <v>22</v>
      </c>
      <c r="AG274" s="5" t="s">
        <v>22</v>
      </c>
      <c r="AH274" s="5" t="s">
        <v>22</v>
      </c>
      <c r="AJ274" s="5" t="s">
        <v>22</v>
      </c>
      <c r="AK274" s="5" t="s">
        <v>22</v>
      </c>
      <c r="AL274" s="5" t="s">
        <v>22</v>
      </c>
      <c r="AM274" s="5" t="s">
        <v>22</v>
      </c>
      <c r="AN274" s="5" t="s">
        <v>22</v>
      </c>
      <c r="AO274" s="5" t="s">
        <v>22</v>
      </c>
      <c r="AP274" s="5" t="s">
        <v>22</v>
      </c>
    </row>
    <row r="275" spans="11:42">
      <c r="K275" s="18">
        <v>271</v>
      </c>
      <c r="L275" s="21" t="str">
        <f t="shared" si="39"/>
        <v/>
      </c>
      <c r="M275" s="21" t="str">
        <f t="shared" si="40"/>
        <v/>
      </c>
      <c r="N275" s="21" t="str">
        <f t="shared" si="41"/>
        <v/>
      </c>
      <c r="O275" s="21" t="str">
        <f t="shared" si="42"/>
        <v/>
      </c>
      <c r="P275" s="21" t="str">
        <f t="shared" si="43"/>
        <v/>
      </c>
      <c r="Q275" s="21" t="str">
        <f t="shared" si="44"/>
        <v/>
      </c>
      <c r="R275" s="21" t="str">
        <f t="shared" si="45"/>
        <v/>
      </c>
      <c r="T275" s="6" t="s">
        <v>22</v>
      </c>
      <c r="U275" s="6" t="s">
        <v>22</v>
      </c>
      <c r="V275" s="6" t="s">
        <v>22</v>
      </c>
      <c r="W275" s="6" t="s">
        <v>22</v>
      </c>
      <c r="X275" s="6" t="s">
        <v>22</v>
      </c>
      <c r="Y275" s="6" t="s">
        <v>22</v>
      </c>
      <c r="Z275" s="6" t="s">
        <v>22</v>
      </c>
      <c r="AB275" s="5" t="s">
        <v>22</v>
      </c>
      <c r="AC275" s="5" t="s">
        <v>22</v>
      </c>
      <c r="AD275" s="5" t="s">
        <v>22</v>
      </c>
      <c r="AE275" s="5" t="s">
        <v>22</v>
      </c>
      <c r="AF275" s="5" t="s">
        <v>22</v>
      </c>
      <c r="AG275" s="5" t="s">
        <v>22</v>
      </c>
      <c r="AH275" s="5" t="s">
        <v>22</v>
      </c>
      <c r="AJ275" s="5" t="s">
        <v>22</v>
      </c>
      <c r="AK275" s="5" t="s">
        <v>22</v>
      </c>
      <c r="AL275" s="5" t="s">
        <v>22</v>
      </c>
      <c r="AM275" s="5" t="s">
        <v>22</v>
      </c>
      <c r="AN275" s="5" t="s">
        <v>22</v>
      </c>
      <c r="AO275" s="5" t="s">
        <v>22</v>
      </c>
      <c r="AP275" s="5" t="s">
        <v>22</v>
      </c>
    </row>
    <row r="276" spans="11:42">
      <c r="K276" s="19">
        <v>272</v>
      </c>
      <c r="L276" s="21" t="str">
        <f t="shared" si="39"/>
        <v/>
      </c>
      <c r="M276" s="21" t="str">
        <f t="shared" si="40"/>
        <v/>
      </c>
      <c r="N276" s="21" t="str">
        <f t="shared" si="41"/>
        <v/>
      </c>
      <c r="O276" s="21" t="str">
        <f t="shared" si="42"/>
        <v/>
      </c>
      <c r="P276" s="21" t="str">
        <f t="shared" si="43"/>
        <v/>
      </c>
      <c r="Q276" s="21" t="str">
        <f t="shared" si="44"/>
        <v/>
      </c>
      <c r="R276" s="21" t="str">
        <f t="shared" si="45"/>
        <v/>
      </c>
      <c r="T276" s="6" t="s">
        <v>22</v>
      </c>
      <c r="U276" s="6" t="s">
        <v>22</v>
      </c>
      <c r="V276" s="6" t="s">
        <v>22</v>
      </c>
      <c r="W276" s="6" t="s">
        <v>22</v>
      </c>
      <c r="X276" s="6" t="s">
        <v>22</v>
      </c>
      <c r="Y276" s="6" t="s">
        <v>22</v>
      </c>
      <c r="Z276" s="6" t="s">
        <v>22</v>
      </c>
      <c r="AB276" s="5" t="s">
        <v>22</v>
      </c>
      <c r="AC276" s="5" t="s">
        <v>22</v>
      </c>
      <c r="AD276" s="5" t="s">
        <v>22</v>
      </c>
      <c r="AE276" s="5" t="s">
        <v>22</v>
      </c>
      <c r="AF276" s="5" t="s">
        <v>22</v>
      </c>
      <c r="AG276" s="5" t="s">
        <v>22</v>
      </c>
      <c r="AH276" s="5" t="s">
        <v>22</v>
      </c>
      <c r="AJ276" s="5" t="s">
        <v>22</v>
      </c>
      <c r="AK276" s="5" t="s">
        <v>22</v>
      </c>
      <c r="AL276" s="5" t="s">
        <v>22</v>
      </c>
      <c r="AM276" s="5" t="s">
        <v>22</v>
      </c>
      <c r="AN276" s="5" t="s">
        <v>22</v>
      </c>
      <c r="AO276" s="5" t="s">
        <v>22</v>
      </c>
      <c r="AP276" s="5" t="s">
        <v>22</v>
      </c>
    </row>
    <row r="277" spans="11:42">
      <c r="K277" s="18">
        <v>273</v>
      </c>
      <c r="L277" s="21" t="str">
        <f t="shared" si="39"/>
        <v/>
      </c>
      <c r="M277" s="21" t="str">
        <f t="shared" si="40"/>
        <v/>
      </c>
      <c r="N277" s="21" t="str">
        <f t="shared" si="41"/>
        <v/>
      </c>
      <c r="O277" s="21" t="str">
        <f t="shared" si="42"/>
        <v/>
      </c>
      <c r="P277" s="21" t="str">
        <f t="shared" si="43"/>
        <v/>
      </c>
      <c r="Q277" s="21" t="str">
        <f t="shared" si="44"/>
        <v/>
      </c>
      <c r="R277" s="21" t="str">
        <f t="shared" si="45"/>
        <v/>
      </c>
      <c r="T277" s="6" t="s">
        <v>22</v>
      </c>
      <c r="U277" s="6" t="s">
        <v>22</v>
      </c>
      <c r="V277" s="6" t="s">
        <v>22</v>
      </c>
      <c r="W277" s="6" t="s">
        <v>22</v>
      </c>
      <c r="X277" s="6" t="s">
        <v>22</v>
      </c>
      <c r="Y277" s="6" t="s">
        <v>22</v>
      </c>
      <c r="Z277" s="6" t="s">
        <v>22</v>
      </c>
      <c r="AB277" s="5" t="s">
        <v>22</v>
      </c>
      <c r="AC277" s="5" t="s">
        <v>22</v>
      </c>
      <c r="AD277" s="5" t="s">
        <v>22</v>
      </c>
      <c r="AE277" s="5" t="s">
        <v>22</v>
      </c>
      <c r="AF277" s="5" t="s">
        <v>22</v>
      </c>
      <c r="AG277" s="5" t="s">
        <v>22</v>
      </c>
      <c r="AH277" s="5" t="s">
        <v>22</v>
      </c>
      <c r="AJ277" s="5" t="s">
        <v>22</v>
      </c>
      <c r="AK277" s="5" t="s">
        <v>22</v>
      </c>
      <c r="AL277" s="5" t="s">
        <v>22</v>
      </c>
      <c r="AM277" s="5" t="s">
        <v>22</v>
      </c>
      <c r="AN277" s="5" t="s">
        <v>22</v>
      </c>
      <c r="AO277" s="5" t="s">
        <v>22</v>
      </c>
      <c r="AP277" s="5" t="s">
        <v>22</v>
      </c>
    </row>
    <row r="278" spans="11:42">
      <c r="K278" s="19">
        <v>274</v>
      </c>
      <c r="L278" s="21" t="str">
        <f t="shared" si="39"/>
        <v/>
      </c>
      <c r="M278" s="21" t="str">
        <f t="shared" si="40"/>
        <v/>
      </c>
      <c r="N278" s="21" t="str">
        <f t="shared" si="41"/>
        <v/>
      </c>
      <c r="O278" s="21" t="str">
        <f t="shared" si="42"/>
        <v/>
      </c>
      <c r="P278" s="21" t="str">
        <f t="shared" si="43"/>
        <v/>
      </c>
      <c r="Q278" s="21" t="str">
        <f t="shared" si="44"/>
        <v/>
      </c>
      <c r="R278" s="21" t="str">
        <f t="shared" si="45"/>
        <v/>
      </c>
      <c r="T278" s="6" t="s">
        <v>22</v>
      </c>
      <c r="U278" s="6" t="s">
        <v>22</v>
      </c>
      <c r="V278" s="6" t="s">
        <v>22</v>
      </c>
      <c r="W278" s="6" t="s">
        <v>22</v>
      </c>
      <c r="X278" s="6" t="s">
        <v>22</v>
      </c>
      <c r="Y278" s="6" t="s">
        <v>22</v>
      </c>
      <c r="Z278" s="6" t="s">
        <v>22</v>
      </c>
      <c r="AB278" s="5" t="s">
        <v>22</v>
      </c>
      <c r="AC278" s="5" t="s">
        <v>22</v>
      </c>
      <c r="AD278" s="5" t="s">
        <v>22</v>
      </c>
      <c r="AE278" s="5" t="s">
        <v>22</v>
      </c>
      <c r="AF278" s="5" t="s">
        <v>22</v>
      </c>
      <c r="AG278" s="5" t="s">
        <v>22</v>
      </c>
      <c r="AH278" s="5" t="s">
        <v>22</v>
      </c>
      <c r="AJ278" s="5" t="s">
        <v>22</v>
      </c>
      <c r="AK278" s="5" t="s">
        <v>22</v>
      </c>
      <c r="AL278" s="5" t="s">
        <v>22</v>
      </c>
      <c r="AM278" s="5" t="s">
        <v>22</v>
      </c>
      <c r="AN278" s="5" t="s">
        <v>22</v>
      </c>
      <c r="AO278" s="5" t="s">
        <v>22</v>
      </c>
      <c r="AP278" s="5" t="s">
        <v>22</v>
      </c>
    </row>
    <row r="279" spans="11:42">
      <c r="K279" s="18">
        <v>275</v>
      </c>
      <c r="L279" s="21" t="str">
        <f t="shared" si="39"/>
        <v/>
      </c>
      <c r="M279" s="21" t="str">
        <f t="shared" si="40"/>
        <v/>
      </c>
      <c r="N279" s="21" t="str">
        <f t="shared" si="41"/>
        <v/>
      </c>
      <c r="O279" s="21" t="str">
        <f t="shared" si="42"/>
        <v/>
      </c>
      <c r="P279" s="21" t="str">
        <f t="shared" si="43"/>
        <v/>
      </c>
      <c r="Q279" s="21" t="str">
        <f t="shared" si="44"/>
        <v/>
      </c>
      <c r="R279" s="21" t="str">
        <f t="shared" si="45"/>
        <v/>
      </c>
      <c r="T279" s="6" t="s">
        <v>22</v>
      </c>
      <c r="U279" s="6" t="s">
        <v>22</v>
      </c>
      <c r="V279" s="6" t="s">
        <v>22</v>
      </c>
      <c r="W279" s="6" t="s">
        <v>22</v>
      </c>
      <c r="X279" s="6" t="s">
        <v>22</v>
      </c>
      <c r="Y279" s="6" t="s">
        <v>22</v>
      </c>
      <c r="Z279" s="6" t="s">
        <v>22</v>
      </c>
      <c r="AB279" s="5" t="s">
        <v>22</v>
      </c>
      <c r="AC279" s="5" t="s">
        <v>22</v>
      </c>
      <c r="AD279" s="5" t="s">
        <v>22</v>
      </c>
      <c r="AE279" s="5" t="s">
        <v>22</v>
      </c>
      <c r="AF279" s="5" t="s">
        <v>22</v>
      </c>
      <c r="AG279" s="5" t="s">
        <v>22</v>
      </c>
      <c r="AH279" s="5" t="s">
        <v>22</v>
      </c>
      <c r="AJ279" s="5" t="s">
        <v>22</v>
      </c>
      <c r="AK279" s="5" t="s">
        <v>22</v>
      </c>
      <c r="AL279" s="5" t="s">
        <v>22</v>
      </c>
      <c r="AM279" s="5" t="s">
        <v>22</v>
      </c>
      <c r="AN279" s="5" t="s">
        <v>22</v>
      </c>
      <c r="AO279" s="5" t="s">
        <v>22</v>
      </c>
      <c r="AP279" s="5" t="s">
        <v>22</v>
      </c>
    </row>
    <row r="280" spans="11:42">
      <c r="K280" s="19">
        <v>276</v>
      </c>
      <c r="L280" s="21" t="str">
        <f t="shared" si="39"/>
        <v/>
      </c>
      <c r="M280" s="21" t="str">
        <f t="shared" si="40"/>
        <v/>
      </c>
      <c r="N280" s="21" t="str">
        <f t="shared" si="41"/>
        <v/>
      </c>
      <c r="O280" s="21" t="str">
        <f t="shared" si="42"/>
        <v/>
      </c>
      <c r="P280" s="21" t="str">
        <f t="shared" si="43"/>
        <v/>
      </c>
      <c r="Q280" s="21" t="str">
        <f t="shared" si="44"/>
        <v/>
      </c>
      <c r="R280" s="21" t="str">
        <f t="shared" si="45"/>
        <v/>
      </c>
      <c r="T280" s="6" t="s">
        <v>22</v>
      </c>
      <c r="U280" s="6" t="s">
        <v>22</v>
      </c>
      <c r="V280" s="6" t="s">
        <v>22</v>
      </c>
      <c r="W280" s="6" t="s">
        <v>22</v>
      </c>
      <c r="X280" s="6" t="s">
        <v>22</v>
      </c>
      <c r="Y280" s="6" t="s">
        <v>22</v>
      </c>
      <c r="Z280" s="6" t="s">
        <v>22</v>
      </c>
      <c r="AB280" s="5" t="s">
        <v>22</v>
      </c>
      <c r="AC280" s="5" t="s">
        <v>22</v>
      </c>
      <c r="AD280" s="5" t="s">
        <v>22</v>
      </c>
      <c r="AE280" s="5" t="s">
        <v>22</v>
      </c>
      <c r="AF280" s="5" t="s">
        <v>22</v>
      </c>
      <c r="AG280" s="5" t="s">
        <v>22</v>
      </c>
      <c r="AH280" s="5" t="s">
        <v>22</v>
      </c>
      <c r="AJ280" s="5" t="s">
        <v>22</v>
      </c>
      <c r="AK280" s="5" t="s">
        <v>22</v>
      </c>
      <c r="AL280" s="5" t="s">
        <v>22</v>
      </c>
      <c r="AM280" s="5" t="s">
        <v>22</v>
      </c>
      <c r="AN280" s="5" t="s">
        <v>22</v>
      </c>
      <c r="AO280" s="5" t="s">
        <v>22</v>
      </c>
      <c r="AP280" s="5" t="s">
        <v>22</v>
      </c>
    </row>
    <row r="281" spans="11:42">
      <c r="K281" s="18">
        <v>277</v>
      </c>
      <c r="L281" s="21" t="str">
        <f t="shared" si="39"/>
        <v/>
      </c>
      <c r="M281" s="21" t="str">
        <f t="shared" si="40"/>
        <v/>
      </c>
      <c r="N281" s="21" t="str">
        <f t="shared" si="41"/>
        <v/>
      </c>
      <c r="O281" s="21" t="str">
        <f t="shared" si="42"/>
        <v/>
      </c>
      <c r="P281" s="21" t="str">
        <f t="shared" si="43"/>
        <v/>
      </c>
      <c r="Q281" s="21" t="str">
        <f t="shared" si="44"/>
        <v/>
      </c>
      <c r="R281" s="21" t="str">
        <f t="shared" si="45"/>
        <v/>
      </c>
      <c r="T281" s="6" t="s">
        <v>22</v>
      </c>
      <c r="U281" s="6" t="s">
        <v>22</v>
      </c>
      <c r="V281" s="6" t="s">
        <v>22</v>
      </c>
      <c r="W281" s="6" t="s">
        <v>22</v>
      </c>
      <c r="X281" s="6" t="s">
        <v>22</v>
      </c>
      <c r="Y281" s="6" t="s">
        <v>22</v>
      </c>
      <c r="Z281" s="6" t="s">
        <v>22</v>
      </c>
      <c r="AB281" s="5" t="s">
        <v>22</v>
      </c>
      <c r="AC281" s="5" t="s">
        <v>22</v>
      </c>
      <c r="AD281" s="5" t="s">
        <v>22</v>
      </c>
      <c r="AE281" s="5" t="s">
        <v>22</v>
      </c>
      <c r="AF281" s="5" t="s">
        <v>22</v>
      </c>
      <c r="AG281" s="5" t="s">
        <v>22</v>
      </c>
      <c r="AH281" s="5" t="s">
        <v>22</v>
      </c>
      <c r="AJ281" s="5" t="s">
        <v>22</v>
      </c>
      <c r="AK281" s="5" t="s">
        <v>22</v>
      </c>
      <c r="AL281" s="5" t="s">
        <v>22</v>
      </c>
      <c r="AM281" s="5" t="s">
        <v>22</v>
      </c>
      <c r="AN281" s="5" t="s">
        <v>22</v>
      </c>
      <c r="AO281" s="5" t="s">
        <v>22</v>
      </c>
      <c r="AP281" s="5" t="s">
        <v>22</v>
      </c>
    </row>
    <row r="282" spans="11:42">
      <c r="K282" s="19">
        <v>278</v>
      </c>
      <c r="L282" s="21" t="str">
        <f t="shared" si="39"/>
        <v/>
      </c>
      <c r="M282" s="21" t="str">
        <f t="shared" si="40"/>
        <v/>
      </c>
      <c r="N282" s="21" t="str">
        <f t="shared" si="41"/>
        <v/>
      </c>
      <c r="O282" s="21" t="str">
        <f t="shared" si="42"/>
        <v/>
      </c>
      <c r="P282" s="21" t="str">
        <f t="shared" si="43"/>
        <v/>
      </c>
      <c r="Q282" s="21" t="str">
        <f t="shared" si="44"/>
        <v/>
      </c>
      <c r="R282" s="21" t="str">
        <f t="shared" si="45"/>
        <v/>
      </c>
      <c r="T282" s="6" t="s">
        <v>22</v>
      </c>
      <c r="U282" s="6" t="s">
        <v>22</v>
      </c>
      <c r="V282" s="6" t="s">
        <v>22</v>
      </c>
      <c r="W282" s="6" t="s">
        <v>22</v>
      </c>
      <c r="X282" s="6" t="s">
        <v>22</v>
      </c>
      <c r="Y282" s="6" t="s">
        <v>22</v>
      </c>
      <c r="Z282" s="6" t="s">
        <v>22</v>
      </c>
      <c r="AB282" s="5" t="s">
        <v>22</v>
      </c>
      <c r="AC282" s="5" t="s">
        <v>22</v>
      </c>
      <c r="AD282" s="5" t="s">
        <v>22</v>
      </c>
      <c r="AE282" s="5" t="s">
        <v>22</v>
      </c>
      <c r="AF282" s="5" t="s">
        <v>22</v>
      </c>
      <c r="AG282" s="5" t="s">
        <v>22</v>
      </c>
      <c r="AH282" s="5" t="s">
        <v>22</v>
      </c>
      <c r="AJ282" s="5" t="s">
        <v>22</v>
      </c>
      <c r="AK282" s="5" t="s">
        <v>22</v>
      </c>
      <c r="AL282" s="5" t="s">
        <v>22</v>
      </c>
      <c r="AM282" s="5" t="s">
        <v>22</v>
      </c>
      <c r="AN282" s="5" t="s">
        <v>22</v>
      </c>
      <c r="AO282" s="5" t="s">
        <v>22</v>
      </c>
      <c r="AP282" s="5" t="s">
        <v>22</v>
      </c>
    </row>
    <row r="283" spans="11:42">
      <c r="K283" s="18">
        <v>279</v>
      </c>
      <c r="L283" s="21" t="str">
        <f t="shared" si="39"/>
        <v/>
      </c>
      <c r="M283" s="21" t="str">
        <f t="shared" si="40"/>
        <v/>
      </c>
      <c r="N283" s="21" t="str">
        <f t="shared" si="41"/>
        <v/>
      </c>
      <c r="O283" s="21" t="str">
        <f t="shared" si="42"/>
        <v/>
      </c>
      <c r="P283" s="21" t="str">
        <f t="shared" si="43"/>
        <v/>
      </c>
      <c r="Q283" s="21" t="str">
        <f t="shared" si="44"/>
        <v/>
      </c>
      <c r="R283" s="21" t="str">
        <f t="shared" si="45"/>
        <v/>
      </c>
      <c r="T283" s="6" t="s">
        <v>22</v>
      </c>
      <c r="U283" s="6" t="s">
        <v>22</v>
      </c>
      <c r="V283" s="6" t="s">
        <v>22</v>
      </c>
      <c r="W283" s="6" t="s">
        <v>22</v>
      </c>
      <c r="X283" s="6" t="s">
        <v>22</v>
      </c>
      <c r="Y283" s="6" t="s">
        <v>22</v>
      </c>
      <c r="Z283" s="6" t="s">
        <v>22</v>
      </c>
      <c r="AB283" s="5" t="s">
        <v>22</v>
      </c>
      <c r="AC283" s="5" t="s">
        <v>22</v>
      </c>
      <c r="AD283" s="5" t="s">
        <v>22</v>
      </c>
      <c r="AE283" s="5" t="s">
        <v>22</v>
      </c>
      <c r="AF283" s="5" t="s">
        <v>22</v>
      </c>
      <c r="AG283" s="5" t="s">
        <v>22</v>
      </c>
      <c r="AH283" s="5" t="s">
        <v>22</v>
      </c>
      <c r="AJ283" s="5" t="s">
        <v>22</v>
      </c>
      <c r="AK283" s="5" t="s">
        <v>22</v>
      </c>
      <c r="AL283" s="5" t="s">
        <v>22</v>
      </c>
      <c r="AM283" s="5" t="s">
        <v>22</v>
      </c>
      <c r="AN283" s="5" t="s">
        <v>22</v>
      </c>
      <c r="AO283" s="5" t="s">
        <v>22</v>
      </c>
      <c r="AP283" s="5" t="s">
        <v>22</v>
      </c>
    </row>
    <row r="284" spans="11:42">
      <c r="K284" s="19">
        <v>280</v>
      </c>
      <c r="L284" s="21" t="str">
        <f t="shared" si="39"/>
        <v/>
      </c>
      <c r="M284" s="21" t="str">
        <f t="shared" si="40"/>
        <v/>
      </c>
      <c r="N284" s="21" t="str">
        <f t="shared" si="41"/>
        <v/>
      </c>
      <c r="O284" s="21" t="str">
        <f t="shared" si="42"/>
        <v/>
      </c>
      <c r="P284" s="21" t="str">
        <f t="shared" si="43"/>
        <v/>
      </c>
      <c r="Q284" s="21" t="str">
        <f t="shared" si="44"/>
        <v/>
      </c>
      <c r="R284" s="21" t="str">
        <f t="shared" si="45"/>
        <v/>
      </c>
      <c r="T284" s="6" t="s">
        <v>22</v>
      </c>
      <c r="U284" s="6" t="s">
        <v>22</v>
      </c>
      <c r="V284" s="6" t="s">
        <v>22</v>
      </c>
      <c r="W284" s="6" t="s">
        <v>22</v>
      </c>
      <c r="X284" s="6" t="s">
        <v>22</v>
      </c>
      <c r="Y284" s="6" t="s">
        <v>22</v>
      </c>
      <c r="Z284" s="6" t="s">
        <v>22</v>
      </c>
      <c r="AB284" s="5" t="s">
        <v>22</v>
      </c>
      <c r="AC284" s="5" t="s">
        <v>22</v>
      </c>
      <c r="AD284" s="5" t="s">
        <v>22</v>
      </c>
      <c r="AE284" s="5" t="s">
        <v>22</v>
      </c>
      <c r="AF284" s="5" t="s">
        <v>22</v>
      </c>
      <c r="AG284" s="5" t="s">
        <v>22</v>
      </c>
      <c r="AH284" s="5" t="s">
        <v>22</v>
      </c>
      <c r="AJ284" s="5" t="s">
        <v>22</v>
      </c>
      <c r="AK284" s="5" t="s">
        <v>22</v>
      </c>
      <c r="AL284" s="5" t="s">
        <v>22</v>
      </c>
      <c r="AM284" s="5" t="s">
        <v>22</v>
      </c>
      <c r="AN284" s="5" t="s">
        <v>22</v>
      </c>
      <c r="AO284" s="5" t="s">
        <v>22</v>
      </c>
      <c r="AP284" s="5" t="s">
        <v>22</v>
      </c>
    </row>
    <row r="285" spans="11:42">
      <c r="K285" s="18">
        <v>281</v>
      </c>
      <c r="L285" s="21" t="str">
        <f t="shared" si="39"/>
        <v/>
      </c>
      <c r="M285" s="21" t="str">
        <f t="shared" si="40"/>
        <v/>
      </c>
      <c r="N285" s="21" t="str">
        <f t="shared" si="41"/>
        <v/>
      </c>
      <c r="O285" s="21" t="str">
        <f t="shared" si="42"/>
        <v/>
      </c>
      <c r="P285" s="21" t="str">
        <f t="shared" si="43"/>
        <v/>
      </c>
      <c r="Q285" s="21" t="str">
        <f t="shared" si="44"/>
        <v/>
      </c>
      <c r="R285" s="21" t="str">
        <f t="shared" si="45"/>
        <v/>
      </c>
      <c r="T285" s="6" t="s">
        <v>22</v>
      </c>
      <c r="U285" s="6" t="s">
        <v>22</v>
      </c>
      <c r="V285" s="6" t="s">
        <v>22</v>
      </c>
      <c r="W285" s="6" t="s">
        <v>22</v>
      </c>
      <c r="X285" s="6" t="s">
        <v>22</v>
      </c>
      <c r="Y285" s="6" t="s">
        <v>22</v>
      </c>
      <c r="Z285" s="6" t="s">
        <v>22</v>
      </c>
      <c r="AB285" s="5" t="s">
        <v>22</v>
      </c>
      <c r="AC285" s="5" t="s">
        <v>22</v>
      </c>
      <c r="AD285" s="5" t="s">
        <v>22</v>
      </c>
      <c r="AE285" s="5" t="s">
        <v>22</v>
      </c>
      <c r="AF285" s="5" t="s">
        <v>22</v>
      </c>
      <c r="AG285" s="5" t="s">
        <v>22</v>
      </c>
      <c r="AH285" s="5" t="s">
        <v>22</v>
      </c>
      <c r="AJ285" s="5" t="s">
        <v>22</v>
      </c>
      <c r="AK285" s="5" t="s">
        <v>22</v>
      </c>
      <c r="AL285" s="5" t="s">
        <v>22</v>
      </c>
      <c r="AM285" s="5" t="s">
        <v>22</v>
      </c>
      <c r="AN285" s="5" t="s">
        <v>22</v>
      </c>
      <c r="AO285" s="5" t="s">
        <v>22</v>
      </c>
      <c r="AP285" s="5" t="s">
        <v>22</v>
      </c>
    </row>
    <row r="286" spans="11:42">
      <c r="K286" s="19">
        <v>282</v>
      </c>
      <c r="L286" s="21" t="str">
        <f t="shared" si="39"/>
        <v/>
      </c>
      <c r="M286" s="21" t="str">
        <f t="shared" si="40"/>
        <v/>
      </c>
      <c r="N286" s="21" t="str">
        <f t="shared" si="41"/>
        <v/>
      </c>
      <c r="O286" s="21" t="str">
        <f t="shared" si="42"/>
        <v/>
      </c>
      <c r="P286" s="21" t="str">
        <f t="shared" si="43"/>
        <v/>
      </c>
      <c r="Q286" s="21" t="str">
        <f t="shared" si="44"/>
        <v/>
      </c>
      <c r="R286" s="21" t="str">
        <f t="shared" si="45"/>
        <v/>
      </c>
      <c r="T286" s="6" t="s">
        <v>22</v>
      </c>
      <c r="U286" s="6" t="s">
        <v>22</v>
      </c>
      <c r="V286" s="6" t="s">
        <v>22</v>
      </c>
      <c r="W286" s="6" t="s">
        <v>22</v>
      </c>
      <c r="X286" s="6" t="s">
        <v>22</v>
      </c>
      <c r="Y286" s="6" t="s">
        <v>22</v>
      </c>
      <c r="Z286" s="6" t="s">
        <v>22</v>
      </c>
      <c r="AB286" s="5" t="s">
        <v>22</v>
      </c>
      <c r="AC286" s="5" t="s">
        <v>22</v>
      </c>
      <c r="AD286" s="5" t="s">
        <v>22</v>
      </c>
      <c r="AE286" s="5" t="s">
        <v>22</v>
      </c>
      <c r="AF286" s="5" t="s">
        <v>22</v>
      </c>
      <c r="AG286" s="5" t="s">
        <v>22</v>
      </c>
      <c r="AH286" s="5" t="s">
        <v>22</v>
      </c>
      <c r="AJ286" s="5" t="s">
        <v>22</v>
      </c>
      <c r="AK286" s="5" t="s">
        <v>22</v>
      </c>
      <c r="AL286" s="5" t="s">
        <v>22</v>
      </c>
      <c r="AM286" s="5" t="s">
        <v>22</v>
      </c>
      <c r="AN286" s="5" t="s">
        <v>22</v>
      </c>
      <c r="AO286" s="5" t="s">
        <v>22</v>
      </c>
      <c r="AP286" s="5" t="s">
        <v>22</v>
      </c>
    </row>
    <row r="287" spans="11:42">
      <c r="K287" s="18">
        <v>283</v>
      </c>
      <c r="L287" s="21" t="str">
        <f t="shared" si="39"/>
        <v/>
      </c>
      <c r="M287" s="21" t="str">
        <f t="shared" si="40"/>
        <v/>
      </c>
      <c r="N287" s="21" t="str">
        <f t="shared" si="41"/>
        <v/>
      </c>
      <c r="O287" s="21" t="str">
        <f t="shared" si="42"/>
        <v/>
      </c>
      <c r="P287" s="21" t="str">
        <f t="shared" si="43"/>
        <v/>
      </c>
      <c r="Q287" s="21" t="str">
        <f t="shared" si="44"/>
        <v/>
      </c>
      <c r="R287" s="21" t="str">
        <f t="shared" si="45"/>
        <v/>
      </c>
      <c r="T287" s="6" t="s">
        <v>22</v>
      </c>
      <c r="U287" s="6" t="s">
        <v>22</v>
      </c>
      <c r="V287" s="6" t="s">
        <v>22</v>
      </c>
      <c r="W287" s="6" t="s">
        <v>22</v>
      </c>
      <c r="X287" s="6" t="s">
        <v>22</v>
      </c>
      <c r="Y287" s="6" t="s">
        <v>22</v>
      </c>
      <c r="Z287" s="6" t="s">
        <v>22</v>
      </c>
      <c r="AB287" s="5" t="s">
        <v>22</v>
      </c>
      <c r="AC287" s="5" t="s">
        <v>22</v>
      </c>
      <c r="AD287" s="5" t="s">
        <v>22</v>
      </c>
      <c r="AE287" s="5" t="s">
        <v>22</v>
      </c>
      <c r="AF287" s="5" t="s">
        <v>22</v>
      </c>
      <c r="AG287" s="5" t="s">
        <v>22</v>
      </c>
      <c r="AH287" s="5" t="s">
        <v>22</v>
      </c>
      <c r="AJ287" s="5" t="s">
        <v>22</v>
      </c>
      <c r="AK287" s="5" t="s">
        <v>22</v>
      </c>
      <c r="AL287" s="5" t="s">
        <v>22</v>
      </c>
      <c r="AM287" s="5" t="s">
        <v>22</v>
      </c>
      <c r="AN287" s="5" t="s">
        <v>22</v>
      </c>
      <c r="AO287" s="5" t="s">
        <v>22</v>
      </c>
      <c r="AP287" s="5" t="s">
        <v>22</v>
      </c>
    </row>
    <row r="288" spans="11:42">
      <c r="K288" s="19">
        <v>284</v>
      </c>
      <c r="L288" s="21" t="str">
        <f t="shared" si="39"/>
        <v/>
      </c>
      <c r="M288" s="21" t="str">
        <f t="shared" si="40"/>
        <v/>
      </c>
      <c r="N288" s="21" t="str">
        <f t="shared" si="41"/>
        <v/>
      </c>
      <c r="O288" s="21" t="str">
        <f t="shared" si="42"/>
        <v/>
      </c>
      <c r="P288" s="21" t="str">
        <f t="shared" si="43"/>
        <v/>
      </c>
      <c r="Q288" s="21" t="str">
        <f t="shared" si="44"/>
        <v/>
      </c>
      <c r="R288" s="21" t="str">
        <f t="shared" si="45"/>
        <v/>
      </c>
      <c r="T288" s="6" t="s">
        <v>22</v>
      </c>
      <c r="U288" s="6" t="s">
        <v>22</v>
      </c>
      <c r="V288" s="6" t="s">
        <v>22</v>
      </c>
      <c r="W288" s="6" t="s">
        <v>22</v>
      </c>
      <c r="X288" s="6" t="s">
        <v>22</v>
      </c>
      <c r="Y288" s="6" t="s">
        <v>22</v>
      </c>
      <c r="Z288" s="6" t="s">
        <v>22</v>
      </c>
      <c r="AB288" s="5" t="s">
        <v>22</v>
      </c>
      <c r="AC288" s="5" t="s">
        <v>22</v>
      </c>
      <c r="AD288" s="5" t="s">
        <v>22</v>
      </c>
      <c r="AE288" s="5" t="s">
        <v>22</v>
      </c>
      <c r="AF288" s="5" t="s">
        <v>22</v>
      </c>
      <c r="AG288" s="5" t="s">
        <v>22</v>
      </c>
      <c r="AH288" s="5" t="s">
        <v>22</v>
      </c>
      <c r="AJ288" s="5" t="s">
        <v>22</v>
      </c>
      <c r="AK288" s="5" t="s">
        <v>22</v>
      </c>
      <c r="AL288" s="5" t="s">
        <v>22</v>
      </c>
      <c r="AM288" s="5" t="s">
        <v>22</v>
      </c>
      <c r="AN288" s="5" t="s">
        <v>22</v>
      </c>
      <c r="AO288" s="5" t="s">
        <v>22</v>
      </c>
      <c r="AP288" s="5" t="s">
        <v>22</v>
      </c>
    </row>
    <row r="289" spans="9:42">
      <c r="K289" s="18">
        <v>285</v>
      </c>
      <c r="L289" s="21" t="str">
        <f t="shared" si="39"/>
        <v/>
      </c>
      <c r="M289" s="21" t="str">
        <f t="shared" si="40"/>
        <v/>
      </c>
      <c r="N289" s="21" t="str">
        <f t="shared" si="41"/>
        <v/>
      </c>
      <c r="O289" s="21" t="str">
        <f t="shared" si="42"/>
        <v/>
      </c>
      <c r="P289" s="21" t="str">
        <f t="shared" si="43"/>
        <v/>
      </c>
      <c r="Q289" s="21" t="str">
        <f t="shared" si="44"/>
        <v/>
      </c>
      <c r="R289" s="21" t="str">
        <f t="shared" si="45"/>
        <v/>
      </c>
      <c r="T289" s="6" t="s">
        <v>22</v>
      </c>
      <c r="U289" s="6" t="s">
        <v>22</v>
      </c>
      <c r="V289" s="6" t="s">
        <v>22</v>
      </c>
      <c r="W289" s="6" t="s">
        <v>22</v>
      </c>
      <c r="X289" s="6" t="s">
        <v>22</v>
      </c>
      <c r="Y289" s="6" t="s">
        <v>22</v>
      </c>
      <c r="Z289" s="6" t="s">
        <v>22</v>
      </c>
      <c r="AB289" s="5" t="s">
        <v>22</v>
      </c>
      <c r="AC289" s="5" t="s">
        <v>22</v>
      </c>
      <c r="AD289" s="5" t="s">
        <v>22</v>
      </c>
      <c r="AE289" s="5" t="s">
        <v>22</v>
      </c>
      <c r="AF289" s="5" t="s">
        <v>22</v>
      </c>
      <c r="AG289" s="5" t="s">
        <v>22</v>
      </c>
      <c r="AH289" s="5" t="s">
        <v>22</v>
      </c>
      <c r="AJ289" s="5" t="s">
        <v>22</v>
      </c>
      <c r="AK289" s="5" t="s">
        <v>22</v>
      </c>
      <c r="AL289" s="5" t="s">
        <v>22</v>
      </c>
      <c r="AM289" s="5" t="s">
        <v>22</v>
      </c>
      <c r="AN289" s="5" t="s">
        <v>22</v>
      </c>
      <c r="AO289" s="5" t="s">
        <v>22</v>
      </c>
      <c r="AP289" s="5" t="s">
        <v>22</v>
      </c>
    </row>
    <row r="290" spans="9:42">
      <c r="K290" s="19">
        <v>286</v>
      </c>
      <c r="L290" s="21" t="str">
        <f t="shared" si="39"/>
        <v/>
      </c>
      <c r="M290" s="21" t="str">
        <f t="shared" si="40"/>
        <v/>
      </c>
      <c r="N290" s="21" t="str">
        <f t="shared" si="41"/>
        <v/>
      </c>
      <c r="O290" s="21" t="str">
        <f t="shared" si="42"/>
        <v/>
      </c>
      <c r="P290" s="21" t="str">
        <f t="shared" si="43"/>
        <v/>
      </c>
      <c r="Q290" s="21" t="str">
        <f t="shared" si="44"/>
        <v/>
      </c>
      <c r="R290" s="21" t="str">
        <f t="shared" si="45"/>
        <v/>
      </c>
      <c r="T290" s="6" t="s">
        <v>22</v>
      </c>
      <c r="U290" s="6" t="s">
        <v>22</v>
      </c>
      <c r="V290" s="6" t="s">
        <v>22</v>
      </c>
      <c r="W290" s="6" t="s">
        <v>22</v>
      </c>
      <c r="X290" s="6" t="s">
        <v>22</v>
      </c>
      <c r="Y290" s="6" t="s">
        <v>22</v>
      </c>
      <c r="Z290" s="6" t="s">
        <v>22</v>
      </c>
      <c r="AB290" s="5" t="s">
        <v>22</v>
      </c>
      <c r="AC290" s="5" t="s">
        <v>22</v>
      </c>
      <c r="AD290" s="5" t="s">
        <v>22</v>
      </c>
      <c r="AE290" s="5" t="s">
        <v>22</v>
      </c>
      <c r="AF290" s="5" t="s">
        <v>22</v>
      </c>
      <c r="AG290" s="5" t="s">
        <v>22</v>
      </c>
      <c r="AH290" s="5" t="s">
        <v>22</v>
      </c>
      <c r="AJ290" s="5" t="s">
        <v>22</v>
      </c>
      <c r="AK290" s="5" t="s">
        <v>22</v>
      </c>
      <c r="AL290" s="5" t="s">
        <v>22</v>
      </c>
      <c r="AM290" s="5" t="s">
        <v>22</v>
      </c>
      <c r="AN290" s="5" t="s">
        <v>22</v>
      </c>
      <c r="AO290" s="5" t="s">
        <v>22</v>
      </c>
      <c r="AP290" s="5" t="s">
        <v>22</v>
      </c>
    </row>
    <row r="291" spans="9:42">
      <c r="K291" s="18">
        <v>287</v>
      </c>
      <c r="L291" s="21" t="str">
        <f t="shared" si="39"/>
        <v/>
      </c>
      <c r="M291" s="21" t="str">
        <f t="shared" si="40"/>
        <v/>
      </c>
      <c r="N291" s="21" t="str">
        <f t="shared" si="41"/>
        <v/>
      </c>
      <c r="O291" s="21" t="str">
        <f t="shared" si="42"/>
        <v/>
      </c>
      <c r="P291" s="21" t="str">
        <f t="shared" si="43"/>
        <v/>
      </c>
      <c r="Q291" s="21" t="str">
        <f t="shared" si="44"/>
        <v/>
      </c>
      <c r="R291" s="21" t="str">
        <f t="shared" si="45"/>
        <v/>
      </c>
      <c r="T291" s="6" t="s">
        <v>22</v>
      </c>
      <c r="U291" s="6" t="s">
        <v>22</v>
      </c>
      <c r="V291" s="6" t="s">
        <v>22</v>
      </c>
      <c r="W291" s="6" t="s">
        <v>22</v>
      </c>
      <c r="X291" s="6" t="s">
        <v>22</v>
      </c>
      <c r="Y291" s="6" t="s">
        <v>22</v>
      </c>
      <c r="Z291" s="6" t="s">
        <v>22</v>
      </c>
      <c r="AB291" s="5" t="s">
        <v>22</v>
      </c>
      <c r="AC291" s="5" t="s">
        <v>22</v>
      </c>
      <c r="AD291" s="5" t="s">
        <v>22</v>
      </c>
      <c r="AE291" s="5" t="s">
        <v>22</v>
      </c>
      <c r="AF291" s="5" t="s">
        <v>22</v>
      </c>
      <c r="AG291" s="5" t="s">
        <v>22</v>
      </c>
      <c r="AH291" s="5" t="s">
        <v>22</v>
      </c>
      <c r="AJ291" s="5" t="s">
        <v>22</v>
      </c>
      <c r="AK291" s="5" t="s">
        <v>22</v>
      </c>
      <c r="AL291" s="5" t="s">
        <v>22</v>
      </c>
      <c r="AM291" s="5" t="s">
        <v>22</v>
      </c>
      <c r="AN291" s="5" t="s">
        <v>22</v>
      </c>
      <c r="AO291" s="5" t="s">
        <v>22</v>
      </c>
      <c r="AP291" s="5" t="s">
        <v>22</v>
      </c>
    </row>
    <row r="292" spans="9:42">
      <c r="K292" s="19">
        <v>288</v>
      </c>
      <c r="L292" s="21" t="str">
        <f t="shared" si="39"/>
        <v/>
      </c>
      <c r="M292" s="21" t="str">
        <f t="shared" si="40"/>
        <v/>
      </c>
      <c r="N292" s="21" t="str">
        <f t="shared" si="41"/>
        <v/>
      </c>
      <c r="O292" s="21" t="str">
        <f t="shared" si="42"/>
        <v/>
      </c>
      <c r="P292" s="21" t="str">
        <f t="shared" si="43"/>
        <v/>
      </c>
      <c r="Q292" s="21" t="str">
        <f t="shared" si="44"/>
        <v/>
      </c>
      <c r="R292" s="21" t="str">
        <f t="shared" si="45"/>
        <v/>
      </c>
      <c r="T292" s="6" t="s">
        <v>22</v>
      </c>
      <c r="U292" s="6" t="s">
        <v>22</v>
      </c>
      <c r="V292" s="6" t="s">
        <v>22</v>
      </c>
      <c r="W292" s="6" t="s">
        <v>22</v>
      </c>
      <c r="X292" s="6" t="s">
        <v>22</v>
      </c>
      <c r="Y292" s="6" t="s">
        <v>22</v>
      </c>
      <c r="Z292" s="6" t="s">
        <v>22</v>
      </c>
      <c r="AB292" s="5" t="s">
        <v>22</v>
      </c>
      <c r="AC292" s="5" t="s">
        <v>22</v>
      </c>
      <c r="AD292" s="5" t="s">
        <v>22</v>
      </c>
      <c r="AE292" s="5" t="s">
        <v>22</v>
      </c>
      <c r="AF292" s="5" t="s">
        <v>22</v>
      </c>
      <c r="AG292" s="5" t="s">
        <v>22</v>
      </c>
      <c r="AH292" s="5" t="s">
        <v>22</v>
      </c>
      <c r="AJ292" s="5" t="s">
        <v>22</v>
      </c>
      <c r="AK292" s="5" t="s">
        <v>22</v>
      </c>
      <c r="AL292" s="5" t="s">
        <v>22</v>
      </c>
      <c r="AM292" s="5" t="s">
        <v>22</v>
      </c>
      <c r="AN292" s="5" t="s">
        <v>22</v>
      </c>
      <c r="AO292" s="5" t="s">
        <v>22</v>
      </c>
      <c r="AP292" s="5" t="s">
        <v>22</v>
      </c>
    </row>
    <row r="293" spans="9:42">
      <c r="K293" s="18">
        <v>289</v>
      </c>
      <c r="L293" s="21" t="str">
        <f t="shared" si="39"/>
        <v/>
      </c>
      <c r="M293" s="21" t="str">
        <f t="shared" si="40"/>
        <v/>
      </c>
      <c r="N293" s="21" t="str">
        <f t="shared" si="41"/>
        <v/>
      </c>
      <c r="O293" s="21" t="str">
        <f t="shared" si="42"/>
        <v/>
      </c>
      <c r="P293" s="21" t="str">
        <f t="shared" si="43"/>
        <v/>
      </c>
      <c r="Q293" s="21" t="str">
        <f t="shared" si="44"/>
        <v/>
      </c>
      <c r="R293" s="21" t="str">
        <f t="shared" si="45"/>
        <v/>
      </c>
      <c r="T293" s="6" t="s">
        <v>22</v>
      </c>
      <c r="U293" s="6" t="s">
        <v>22</v>
      </c>
      <c r="V293" s="6" t="s">
        <v>22</v>
      </c>
      <c r="W293" s="6" t="s">
        <v>22</v>
      </c>
      <c r="X293" s="6" t="s">
        <v>22</v>
      </c>
      <c r="Y293" s="6" t="s">
        <v>22</v>
      </c>
      <c r="Z293" s="6" t="s">
        <v>22</v>
      </c>
      <c r="AB293" s="5" t="s">
        <v>22</v>
      </c>
      <c r="AC293" s="5" t="s">
        <v>22</v>
      </c>
      <c r="AD293" s="5" t="s">
        <v>22</v>
      </c>
      <c r="AE293" s="5" t="s">
        <v>22</v>
      </c>
      <c r="AF293" s="5" t="s">
        <v>22</v>
      </c>
      <c r="AG293" s="5" t="s">
        <v>22</v>
      </c>
      <c r="AH293" s="5" t="s">
        <v>22</v>
      </c>
      <c r="AJ293" s="5" t="s">
        <v>22</v>
      </c>
      <c r="AK293" s="5" t="s">
        <v>22</v>
      </c>
      <c r="AL293" s="5" t="s">
        <v>22</v>
      </c>
      <c r="AM293" s="5" t="s">
        <v>22</v>
      </c>
      <c r="AN293" s="5" t="s">
        <v>22</v>
      </c>
      <c r="AO293" s="5" t="s">
        <v>22</v>
      </c>
      <c r="AP293" s="5" t="s">
        <v>22</v>
      </c>
    </row>
    <row r="294" spans="9:42">
      <c r="K294" s="19">
        <v>290</v>
      </c>
      <c r="L294" s="21" t="str">
        <f t="shared" si="39"/>
        <v/>
      </c>
      <c r="M294" s="21" t="str">
        <f t="shared" si="40"/>
        <v/>
      </c>
      <c r="N294" s="21" t="str">
        <f t="shared" si="41"/>
        <v/>
      </c>
      <c r="O294" s="21" t="str">
        <f t="shared" si="42"/>
        <v/>
      </c>
      <c r="P294" s="21" t="str">
        <f t="shared" si="43"/>
        <v/>
      </c>
      <c r="Q294" s="21" t="str">
        <f t="shared" si="44"/>
        <v/>
      </c>
      <c r="R294" s="21" t="str">
        <f t="shared" si="45"/>
        <v/>
      </c>
      <c r="T294" s="6" t="s">
        <v>22</v>
      </c>
      <c r="U294" s="6" t="s">
        <v>22</v>
      </c>
      <c r="V294" s="6" t="s">
        <v>22</v>
      </c>
      <c r="W294" s="6" t="s">
        <v>22</v>
      </c>
      <c r="X294" s="6" t="s">
        <v>22</v>
      </c>
      <c r="Y294" s="6" t="s">
        <v>22</v>
      </c>
      <c r="Z294" s="6" t="s">
        <v>22</v>
      </c>
      <c r="AB294" s="5" t="s">
        <v>22</v>
      </c>
      <c r="AC294" s="5" t="s">
        <v>22</v>
      </c>
      <c r="AD294" s="5" t="s">
        <v>22</v>
      </c>
      <c r="AE294" s="5" t="s">
        <v>22</v>
      </c>
      <c r="AF294" s="5" t="s">
        <v>22</v>
      </c>
      <c r="AG294" s="5" t="s">
        <v>22</v>
      </c>
      <c r="AH294" s="5" t="s">
        <v>22</v>
      </c>
      <c r="AJ294" s="5" t="s">
        <v>22</v>
      </c>
      <c r="AK294" s="5" t="s">
        <v>22</v>
      </c>
      <c r="AL294" s="5" t="s">
        <v>22</v>
      </c>
      <c r="AM294" s="5" t="s">
        <v>22</v>
      </c>
      <c r="AN294" s="5" t="s">
        <v>22</v>
      </c>
      <c r="AO294" s="5" t="s">
        <v>22</v>
      </c>
      <c r="AP294" s="5" t="s">
        <v>22</v>
      </c>
    </row>
    <row r="295" spans="9:42">
      <c r="K295" s="18">
        <v>291</v>
      </c>
      <c r="L295" s="21" t="str">
        <f t="shared" si="39"/>
        <v/>
      </c>
      <c r="M295" s="21" t="str">
        <f t="shared" si="40"/>
        <v/>
      </c>
      <c r="N295" s="21" t="str">
        <f t="shared" si="41"/>
        <v/>
      </c>
      <c r="O295" s="21" t="str">
        <f t="shared" si="42"/>
        <v/>
      </c>
      <c r="P295" s="21" t="str">
        <f t="shared" si="43"/>
        <v/>
      </c>
      <c r="Q295" s="21" t="str">
        <f t="shared" si="44"/>
        <v/>
      </c>
      <c r="R295" s="21" t="str">
        <f t="shared" si="45"/>
        <v/>
      </c>
      <c r="T295" s="6" t="s">
        <v>22</v>
      </c>
      <c r="U295" s="6" t="s">
        <v>22</v>
      </c>
      <c r="V295" s="6" t="s">
        <v>22</v>
      </c>
      <c r="W295" s="6" t="s">
        <v>22</v>
      </c>
      <c r="X295" s="6" t="s">
        <v>22</v>
      </c>
      <c r="Y295" s="6" t="s">
        <v>22</v>
      </c>
      <c r="Z295" s="6" t="s">
        <v>22</v>
      </c>
      <c r="AB295" s="5" t="s">
        <v>22</v>
      </c>
      <c r="AC295" s="5" t="s">
        <v>22</v>
      </c>
      <c r="AD295" s="5" t="s">
        <v>22</v>
      </c>
      <c r="AE295" s="5" t="s">
        <v>22</v>
      </c>
      <c r="AF295" s="5" t="s">
        <v>22</v>
      </c>
      <c r="AG295" s="5" t="s">
        <v>22</v>
      </c>
      <c r="AH295" s="5" t="s">
        <v>22</v>
      </c>
      <c r="AJ295" s="5" t="s">
        <v>22</v>
      </c>
      <c r="AK295" s="5" t="s">
        <v>22</v>
      </c>
      <c r="AL295" s="5" t="s">
        <v>22</v>
      </c>
      <c r="AM295" s="5" t="s">
        <v>22</v>
      </c>
      <c r="AN295" s="5" t="s">
        <v>22</v>
      </c>
      <c r="AO295" s="5" t="s">
        <v>22</v>
      </c>
      <c r="AP295" s="5" t="s">
        <v>22</v>
      </c>
    </row>
    <row r="296" spans="9:42">
      <c r="K296" s="19">
        <v>292</v>
      </c>
      <c r="L296" s="21" t="str">
        <f t="shared" si="39"/>
        <v/>
      </c>
      <c r="M296" s="21" t="str">
        <f t="shared" si="40"/>
        <v/>
      </c>
      <c r="N296" s="21" t="str">
        <f t="shared" si="41"/>
        <v/>
      </c>
      <c r="O296" s="21" t="str">
        <f t="shared" si="42"/>
        <v/>
      </c>
      <c r="P296" s="21" t="str">
        <f t="shared" si="43"/>
        <v/>
      </c>
      <c r="Q296" s="21" t="str">
        <f t="shared" si="44"/>
        <v/>
      </c>
      <c r="R296" s="21" t="str">
        <f t="shared" si="45"/>
        <v/>
      </c>
      <c r="T296" s="6" t="s">
        <v>22</v>
      </c>
      <c r="U296" s="6" t="s">
        <v>22</v>
      </c>
      <c r="V296" s="6" t="s">
        <v>22</v>
      </c>
      <c r="W296" s="6" t="s">
        <v>22</v>
      </c>
      <c r="X296" s="6" t="s">
        <v>22</v>
      </c>
      <c r="Y296" s="6" t="s">
        <v>22</v>
      </c>
      <c r="Z296" s="6" t="s">
        <v>22</v>
      </c>
      <c r="AB296" s="5" t="s">
        <v>22</v>
      </c>
      <c r="AC296" s="5" t="s">
        <v>22</v>
      </c>
      <c r="AD296" s="5" t="s">
        <v>22</v>
      </c>
      <c r="AE296" s="5" t="s">
        <v>22</v>
      </c>
      <c r="AF296" s="5" t="s">
        <v>22</v>
      </c>
      <c r="AG296" s="5" t="s">
        <v>22</v>
      </c>
      <c r="AH296" s="5" t="s">
        <v>22</v>
      </c>
      <c r="AJ296" s="5" t="s">
        <v>22</v>
      </c>
      <c r="AK296" s="5" t="s">
        <v>22</v>
      </c>
      <c r="AL296" s="5" t="s">
        <v>22</v>
      </c>
      <c r="AM296" s="5" t="s">
        <v>22</v>
      </c>
      <c r="AN296" s="5" t="s">
        <v>22</v>
      </c>
      <c r="AO296" s="5" t="s">
        <v>22</v>
      </c>
      <c r="AP296" s="5" t="s">
        <v>22</v>
      </c>
    </row>
    <row r="297" spans="9:42">
      <c r="K297" s="18">
        <v>293</v>
      </c>
      <c r="L297" s="21" t="str">
        <f t="shared" si="39"/>
        <v/>
      </c>
      <c r="M297" s="21" t="str">
        <f t="shared" si="40"/>
        <v/>
      </c>
      <c r="N297" s="21" t="str">
        <f t="shared" si="41"/>
        <v/>
      </c>
      <c r="O297" s="21" t="str">
        <f t="shared" si="42"/>
        <v/>
      </c>
      <c r="P297" s="21" t="str">
        <f t="shared" si="43"/>
        <v/>
      </c>
      <c r="Q297" s="21" t="str">
        <f t="shared" si="44"/>
        <v/>
      </c>
      <c r="R297" s="21" t="str">
        <f t="shared" si="45"/>
        <v/>
      </c>
      <c r="T297" s="6" t="s">
        <v>22</v>
      </c>
      <c r="U297" s="6" t="s">
        <v>22</v>
      </c>
      <c r="V297" s="6" t="s">
        <v>22</v>
      </c>
      <c r="W297" s="6" t="s">
        <v>22</v>
      </c>
      <c r="X297" s="6" t="s">
        <v>22</v>
      </c>
      <c r="Y297" s="6" t="s">
        <v>22</v>
      </c>
      <c r="Z297" s="6" t="s">
        <v>22</v>
      </c>
      <c r="AB297" s="5" t="s">
        <v>22</v>
      </c>
      <c r="AC297" s="5" t="s">
        <v>22</v>
      </c>
      <c r="AD297" s="5" t="s">
        <v>22</v>
      </c>
      <c r="AE297" s="5" t="s">
        <v>22</v>
      </c>
      <c r="AF297" s="5" t="s">
        <v>22</v>
      </c>
      <c r="AG297" s="5" t="s">
        <v>22</v>
      </c>
      <c r="AH297" s="5" t="s">
        <v>22</v>
      </c>
      <c r="AJ297" s="5" t="s">
        <v>22</v>
      </c>
      <c r="AK297" s="5" t="s">
        <v>22</v>
      </c>
      <c r="AL297" s="5" t="s">
        <v>22</v>
      </c>
      <c r="AM297" s="5" t="s">
        <v>22</v>
      </c>
      <c r="AN297" s="5" t="s">
        <v>22</v>
      </c>
      <c r="AO297" s="5" t="s">
        <v>22</v>
      </c>
      <c r="AP297" s="5" t="s">
        <v>22</v>
      </c>
    </row>
    <row r="298" spans="9:42">
      <c r="K298" s="19">
        <v>294</v>
      </c>
      <c r="L298" s="21" t="str">
        <f t="shared" si="39"/>
        <v/>
      </c>
      <c r="M298" s="21" t="str">
        <f t="shared" si="40"/>
        <v/>
      </c>
      <c r="N298" s="21" t="str">
        <f t="shared" si="41"/>
        <v/>
      </c>
      <c r="O298" s="21" t="str">
        <f t="shared" si="42"/>
        <v/>
      </c>
      <c r="P298" s="21" t="str">
        <f t="shared" si="43"/>
        <v/>
      </c>
      <c r="Q298" s="21" t="str">
        <f t="shared" si="44"/>
        <v/>
      </c>
      <c r="R298" s="21" t="str">
        <f t="shared" si="45"/>
        <v/>
      </c>
      <c r="T298" s="6" t="s">
        <v>22</v>
      </c>
      <c r="U298" s="6" t="s">
        <v>22</v>
      </c>
      <c r="V298" s="6" t="s">
        <v>22</v>
      </c>
      <c r="W298" s="6" t="s">
        <v>22</v>
      </c>
      <c r="X298" s="6" t="s">
        <v>22</v>
      </c>
      <c r="Y298" s="6" t="s">
        <v>22</v>
      </c>
      <c r="Z298" s="6" t="s">
        <v>22</v>
      </c>
      <c r="AB298" s="5" t="s">
        <v>22</v>
      </c>
      <c r="AC298" s="5" t="s">
        <v>22</v>
      </c>
      <c r="AD298" s="5" t="s">
        <v>22</v>
      </c>
      <c r="AE298" s="5" t="s">
        <v>22</v>
      </c>
      <c r="AF298" s="5" t="s">
        <v>22</v>
      </c>
      <c r="AG298" s="5" t="s">
        <v>22</v>
      </c>
      <c r="AH298" s="5" t="s">
        <v>22</v>
      </c>
      <c r="AJ298" s="5" t="s">
        <v>22</v>
      </c>
      <c r="AK298" s="5" t="s">
        <v>22</v>
      </c>
      <c r="AL298" s="5" t="s">
        <v>22</v>
      </c>
      <c r="AM298" s="5" t="s">
        <v>22</v>
      </c>
      <c r="AN298" s="5" t="s">
        <v>22</v>
      </c>
      <c r="AO298" s="5" t="s">
        <v>22</v>
      </c>
      <c r="AP298" s="5" t="s">
        <v>22</v>
      </c>
    </row>
    <row r="299" spans="9:42">
      <c r="K299" s="18">
        <v>295</v>
      </c>
      <c r="L299" s="21" t="str">
        <f t="shared" si="39"/>
        <v/>
      </c>
      <c r="M299" s="21" t="str">
        <f t="shared" si="40"/>
        <v/>
      </c>
      <c r="N299" s="21" t="str">
        <f t="shared" si="41"/>
        <v/>
      </c>
      <c r="O299" s="21" t="str">
        <f t="shared" si="42"/>
        <v/>
      </c>
      <c r="P299" s="21" t="str">
        <f t="shared" si="43"/>
        <v/>
      </c>
      <c r="Q299" s="21" t="str">
        <f t="shared" si="44"/>
        <v/>
      </c>
      <c r="R299" s="21" t="str">
        <f t="shared" si="45"/>
        <v/>
      </c>
      <c r="T299" s="6" t="s">
        <v>22</v>
      </c>
      <c r="U299" s="6" t="s">
        <v>22</v>
      </c>
      <c r="V299" s="6" t="s">
        <v>22</v>
      </c>
      <c r="W299" s="6" t="s">
        <v>22</v>
      </c>
      <c r="X299" s="6" t="s">
        <v>22</v>
      </c>
      <c r="Y299" s="6" t="s">
        <v>22</v>
      </c>
      <c r="Z299" s="6" t="s">
        <v>22</v>
      </c>
      <c r="AB299" s="5" t="s">
        <v>22</v>
      </c>
      <c r="AC299" s="5" t="s">
        <v>22</v>
      </c>
      <c r="AD299" s="5" t="s">
        <v>22</v>
      </c>
      <c r="AE299" s="5" t="s">
        <v>22</v>
      </c>
      <c r="AF299" s="5" t="s">
        <v>22</v>
      </c>
      <c r="AG299" s="5" t="s">
        <v>22</v>
      </c>
      <c r="AH299" s="5" t="s">
        <v>22</v>
      </c>
      <c r="AJ299" s="5" t="s">
        <v>22</v>
      </c>
      <c r="AK299" s="5" t="s">
        <v>22</v>
      </c>
      <c r="AL299" s="5" t="s">
        <v>22</v>
      </c>
      <c r="AM299" s="5" t="s">
        <v>22</v>
      </c>
      <c r="AN299" s="5" t="s">
        <v>22</v>
      </c>
      <c r="AO299" s="5" t="s">
        <v>22</v>
      </c>
      <c r="AP299" s="5" t="s">
        <v>22</v>
      </c>
    </row>
    <row r="300" spans="9:42">
      <c r="K300" s="19">
        <v>296</v>
      </c>
      <c r="L300" s="21" t="str">
        <f t="shared" si="39"/>
        <v/>
      </c>
      <c r="M300" s="21" t="str">
        <f t="shared" si="40"/>
        <v/>
      </c>
      <c r="N300" s="21" t="str">
        <f t="shared" si="41"/>
        <v/>
      </c>
      <c r="O300" s="21" t="str">
        <f t="shared" si="42"/>
        <v/>
      </c>
      <c r="P300" s="21" t="str">
        <f t="shared" si="43"/>
        <v/>
      </c>
      <c r="Q300" s="21" t="str">
        <f t="shared" si="44"/>
        <v/>
      </c>
      <c r="R300" s="21" t="str">
        <f t="shared" si="45"/>
        <v/>
      </c>
      <c r="T300" s="6" t="s">
        <v>22</v>
      </c>
      <c r="U300" s="6" t="s">
        <v>22</v>
      </c>
      <c r="V300" s="6" t="s">
        <v>22</v>
      </c>
      <c r="W300" s="6" t="s">
        <v>22</v>
      </c>
      <c r="X300" s="6" t="s">
        <v>22</v>
      </c>
      <c r="Y300" s="6" t="s">
        <v>22</v>
      </c>
      <c r="Z300" s="6" t="s">
        <v>22</v>
      </c>
      <c r="AB300" s="5" t="s">
        <v>22</v>
      </c>
      <c r="AC300" s="5" t="s">
        <v>22</v>
      </c>
      <c r="AD300" s="5" t="s">
        <v>22</v>
      </c>
      <c r="AE300" s="5" t="s">
        <v>22</v>
      </c>
      <c r="AF300" s="5" t="s">
        <v>22</v>
      </c>
      <c r="AG300" s="5" t="s">
        <v>22</v>
      </c>
      <c r="AH300" s="5" t="s">
        <v>22</v>
      </c>
      <c r="AJ300" s="5" t="s">
        <v>22</v>
      </c>
      <c r="AK300" s="5" t="s">
        <v>22</v>
      </c>
      <c r="AL300" s="5" t="s">
        <v>22</v>
      </c>
      <c r="AM300" s="5" t="s">
        <v>22</v>
      </c>
      <c r="AN300" s="5" t="s">
        <v>22</v>
      </c>
      <c r="AO300" s="5" t="s">
        <v>22</v>
      </c>
      <c r="AP300" s="5" t="s">
        <v>22</v>
      </c>
    </row>
    <row r="301" spans="9:42">
      <c r="K301" s="18">
        <v>297</v>
      </c>
      <c r="L301" s="21" t="str">
        <f t="shared" si="39"/>
        <v/>
      </c>
      <c r="M301" s="21" t="str">
        <f t="shared" si="40"/>
        <v/>
      </c>
      <c r="N301" s="21" t="str">
        <f t="shared" si="41"/>
        <v/>
      </c>
      <c r="O301" s="21" t="str">
        <f t="shared" si="42"/>
        <v/>
      </c>
      <c r="P301" s="21" t="str">
        <f t="shared" si="43"/>
        <v/>
      </c>
      <c r="Q301" s="21" t="str">
        <f t="shared" si="44"/>
        <v/>
      </c>
      <c r="R301" s="21" t="str">
        <f t="shared" si="45"/>
        <v/>
      </c>
      <c r="T301" s="6" t="s">
        <v>22</v>
      </c>
      <c r="U301" s="6" t="s">
        <v>22</v>
      </c>
      <c r="V301" s="6" t="s">
        <v>22</v>
      </c>
      <c r="W301" s="6" t="s">
        <v>22</v>
      </c>
      <c r="X301" s="6" t="s">
        <v>22</v>
      </c>
      <c r="Y301" s="6" t="s">
        <v>22</v>
      </c>
      <c r="Z301" s="6" t="s">
        <v>22</v>
      </c>
      <c r="AB301" s="5" t="s">
        <v>22</v>
      </c>
      <c r="AC301" s="5" t="s">
        <v>22</v>
      </c>
      <c r="AD301" s="5" t="s">
        <v>22</v>
      </c>
      <c r="AE301" s="5" t="s">
        <v>22</v>
      </c>
      <c r="AF301" s="5" t="s">
        <v>22</v>
      </c>
      <c r="AG301" s="5" t="s">
        <v>22</v>
      </c>
      <c r="AH301" s="5" t="s">
        <v>22</v>
      </c>
      <c r="AJ301" s="5" t="s">
        <v>22</v>
      </c>
      <c r="AK301" s="5" t="s">
        <v>22</v>
      </c>
      <c r="AL301" s="5" t="s">
        <v>22</v>
      </c>
      <c r="AM301" s="5" t="s">
        <v>22</v>
      </c>
      <c r="AN301" s="5" t="s">
        <v>22</v>
      </c>
      <c r="AO301" s="5" t="s">
        <v>22</v>
      </c>
      <c r="AP301" s="5" t="s">
        <v>22</v>
      </c>
    </row>
    <row r="302" spans="9:42">
      <c r="K302" s="19">
        <v>298</v>
      </c>
      <c r="L302" s="21" t="str">
        <f t="shared" si="39"/>
        <v/>
      </c>
      <c r="M302" s="21" t="str">
        <f t="shared" si="40"/>
        <v/>
      </c>
      <c r="N302" s="21" t="str">
        <f t="shared" si="41"/>
        <v/>
      </c>
      <c r="O302" s="21" t="str">
        <f t="shared" si="42"/>
        <v/>
      </c>
      <c r="P302" s="21" t="str">
        <f t="shared" si="43"/>
        <v/>
      </c>
      <c r="Q302" s="21" t="str">
        <f t="shared" si="44"/>
        <v/>
      </c>
      <c r="R302" s="21" t="str">
        <f t="shared" si="45"/>
        <v/>
      </c>
      <c r="T302" s="6" t="s">
        <v>22</v>
      </c>
      <c r="U302" s="6" t="s">
        <v>22</v>
      </c>
      <c r="V302" s="6" t="s">
        <v>22</v>
      </c>
      <c r="W302" s="6" t="s">
        <v>22</v>
      </c>
      <c r="X302" s="6" t="s">
        <v>22</v>
      </c>
      <c r="Y302" s="6" t="s">
        <v>22</v>
      </c>
      <c r="Z302" s="6" t="s">
        <v>22</v>
      </c>
      <c r="AB302" s="5" t="s">
        <v>22</v>
      </c>
      <c r="AC302" s="5" t="s">
        <v>22</v>
      </c>
      <c r="AD302" s="5" t="s">
        <v>22</v>
      </c>
      <c r="AE302" s="5" t="s">
        <v>22</v>
      </c>
      <c r="AF302" s="5" t="s">
        <v>22</v>
      </c>
      <c r="AG302" s="5" t="s">
        <v>22</v>
      </c>
      <c r="AH302" s="5" t="s">
        <v>22</v>
      </c>
      <c r="AJ302" s="5" t="s">
        <v>22</v>
      </c>
      <c r="AK302" s="5" t="s">
        <v>22</v>
      </c>
      <c r="AL302" s="5" t="s">
        <v>22</v>
      </c>
      <c r="AM302" s="5" t="s">
        <v>22</v>
      </c>
      <c r="AN302" s="5" t="s">
        <v>22</v>
      </c>
      <c r="AO302" s="5" t="s">
        <v>22</v>
      </c>
      <c r="AP302" s="5" t="s">
        <v>22</v>
      </c>
    </row>
    <row r="303" spans="9:42">
      <c r="K303" s="18">
        <v>299</v>
      </c>
      <c r="L303" s="21" t="str">
        <f t="shared" si="39"/>
        <v/>
      </c>
      <c r="M303" s="21" t="str">
        <f t="shared" si="40"/>
        <v/>
      </c>
      <c r="N303" s="21" t="str">
        <f t="shared" si="41"/>
        <v/>
      </c>
      <c r="O303" s="21" t="str">
        <f t="shared" si="42"/>
        <v/>
      </c>
      <c r="P303" s="21" t="str">
        <f t="shared" si="43"/>
        <v/>
      </c>
      <c r="Q303" s="21" t="str">
        <f t="shared" si="44"/>
        <v/>
      </c>
      <c r="R303" s="21" t="str">
        <f t="shared" si="45"/>
        <v/>
      </c>
      <c r="T303" s="6" t="s">
        <v>22</v>
      </c>
      <c r="U303" s="6" t="s">
        <v>22</v>
      </c>
      <c r="V303" s="6" t="s">
        <v>22</v>
      </c>
      <c r="W303" s="6" t="s">
        <v>22</v>
      </c>
      <c r="X303" s="6" t="s">
        <v>22</v>
      </c>
      <c r="Y303" s="6" t="s">
        <v>22</v>
      </c>
      <c r="Z303" s="6" t="s">
        <v>22</v>
      </c>
      <c r="AB303" s="5" t="s">
        <v>22</v>
      </c>
      <c r="AC303" s="5" t="s">
        <v>22</v>
      </c>
      <c r="AD303" s="5" t="s">
        <v>22</v>
      </c>
      <c r="AE303" s="5" t="s">
        <v>22</v>
      </c>
      <c r="AF303" s="5" t="s">
        <v>22</v>
      </c>
      <c r="AG303" s="5" t="s">
        <v>22</v>
      </c>
      <c r="AH303" s="5" t="s">
        <v>22</v>
      </c>
      <c r="AJ303" s="5" t="s">
        <v>22</v>
      </c>
      <c r="AK303" s="5" t="s">
        <v>22</v>
      </c>
      <c r="AL303" s="5" t="s">
        <v>22</v>
      </c>
      <c r="AM303" s="5" t="s">
        <v>22</v>
      </c>
      <c r="AN303" s="5" t="s">
        <v>22</v>
      </c>
      <c r="AO303" s="5" t="s">
        <v>22</v>
      </c>
      <c r="AP303" s="5" t="s">
        <v>22</v>
      </c>
    </row>
    <row r="304" spans="9:42">
      <c r="I304" s="28"/>
      <c r="K304" s="19">
        <v>300</v>
      </c>
      <c r="L304" s="21" t="str">
        <f t="shared" si="39"/>
        <v/>
      </c>
      <c r="M304" s="21" t="str">
        <f t="shared" si="40"/>
        <v/>
      </c>
      <c r="N304" s="21" t="str">
        <f t="shared" si="41"/>
        <v/>
      </c>
      <c r="O304" s="21" t="str">
        <f t="shared" si="42"/>
        <v/>
      </c>
      <c r="P304" s="21" t="str">
        <f t="shared" si="43"/>
        <v/>
      </c>
      <c r="Q304" s="21" t="str">
        <f t="shared" si="44"/>
        <v/>
      </c>
      <c r="R304" s="21" t="str">
        <f t="shared" si="45"/>
        <v/>
      </c>
      <c r="T304" s="6" t="s">
        <v>22</v>
      </c>
      <c r="U304" s="6" t="s">
        <v>22</v>
      </c>
      <c r="V304" s="6" t="s">
        <v>22</v>
      </c>
      <c r="W304" s="6" t="s">
        <v>22</v>
      </c>
      <c r="X304" s="6" t="s">
        <v>22</v>
      </c>
      <c r="Y304" s="6" t="s">
        <v>22</v>
      </c>
      <c r="Z304" s="6" t="s">
        <v>22</v>
      </c>
      <c r="AB304" s="5" t="s">
        <v>22</v>
      </c>
      <c r="AC304" s="5" t="s">
        <v>22</v>
      </c>
      <c r="AD304" s="5" t="s">
        <v>22</v>
      </c>
      <c r="AE304" s="5" t="s">
        <v>22</v>
      </c>
      <c r="AF304" s="5" t="s">
        <v>22</v>
      </c>
      <c r="AG304" s="5" t="s">
        <v>22</v>
      </c>
      <c r="AH304" s="5" t="s">
        <v>22</v>
      </c>
      <c r="AJ304" s="5" t="s">
        <v>22</v>
      </c>
      <c r="AK304" s="5" t="s">
        <v>22</v>
      </c>
      <c r="AL304" s="5" t="s">
        <v>22</v>
      </c>
      <c r="AM304" s="5" t="s">
        <v>22</v>
      </c>
      <c r="AN304" s="5" t="s">
        <v>22</v>
      </c>
      <c r="AO304" s="5" t="s">
        <v>22</v>
      </c>
      <c r="AP304" s="5" t="s">
        <v>22</v>
      </c>
    </row>
    <row r="305" spans="11:42">
      <c r="K305" s="18">
        <v>301</v>
      </c>
      <c r="L305" s="21" t="str">
        <f t="shared" si="39"/>
        <v/>
      </c>
      <c r="M305" s="21" t="str">
        <f t="shared" si="40"/>
        <v/>
      </c>
      <c r="N305" s="21" t="str">
        <f t="shared" si="41"/>
        <v/>
      </c>
      <c r="O305" s="21" t="str">
        <f t="shared" si="42"/>
        <v/>
      </c>
      <c r="P305" s="21" t="str">
        <f t="shared" si="43"/>
        <v/>
      </c>
      <c r="Q305" s="21" t="str">
        <f t="shared" si="44"/>
        <v/>
      </c>
      <c r="R305" s="21" t="str">
        <f t="shared" si="45"/>
        <v/>
      </c>
      <c r="T305" s="10" t="s">
        <v>22</v>
      </c>
      <c r="U305" s="5" t="s">
        <v>22</v>
      </c>
      <c r="V305" s="5" t="s">
        <v>22</v>
      </c>
      <c r="W305" s="5" t="s">
        <v>22</v>
      </c>
      <c r="X305" s="5" t="s">
        <v>22</v>
      </c>
      <c r="Y305" s="5" t="s">
        <v>22</v>
      </c>
      <c r="Z305" s="5" t="s">
        <v>22</v>
      </c>
      <c r="AB305" s="5" t="s">
        <v>22</v>
      </c>
      <c r="AC305" s="5" t="s">
        <v>22</v>
      </c>
      <c r="AD305" s="5" t="s">
        <v>22</v>
      </c>
      <c r="AE305" s="5" t="s">
        <v>22</v>
      </c>
      <c r="AF305" s="5" t="s">
        <v>22</v>
      </c>
      <c r="AG305" s="5" t="s">
        <v>22</v>
      </c>
      <c r="AH305" s="5" t="s">
        <v>22</v>
      </c>
      <c r="AJ305" s="5" t="s">
        <v>22</v>
      </c>
      <c r="AK305" s="5" t="s">
        <v>22</v>
      </c>
      <c r="AL305" s="5" t="s">
        <v>22</v>
      </c>
      <c r="AM305" s="5" t="s">
        <v>22</v>
      </c>
      <c r="AN305" s="5" t="s">
        <v>22</v>
      </c>
      <c r="AO305" s="5" t="s">
        <v>22</v>
      </c>
      <c r="AP305" s="5" t="s">
        <v>22</v>
      </c>
    </row>
    <row r="306" spans="11:42">
      <c r="K306" s="19">
        <v>302</v>
      </c>
      <c r="L306" s="21" t="str">
        <f t="shared" si="39"/>
        <v/>
      </c>
      <c r="M306" s="21" t="str">
        <f t="shared" si="40"/>
        <v/>
      </c>
      <c r="N306" s="21" t="str">
        <f t="shared" si="41"/>
        <v/>
      </c>
      <c r="O306" s="21" t="str">
        <f t="shared" si="42"/>
        <v/>
      </c>
      <c r="P306" s="21" t="str">
        <f t="shared" si="43"/>
        <v/>
      </c>
      <c r="Q306" s="21" t="str">
        <f t="shared" si="44"/>
        <v/>
      </c>
      <c r="R306" s="21" t="str">
        <f t="shared" si="45"/>
        <v/>
      </c>
      <c r="T306" s="10" t="s">
        <v>22</v>
      </c>
      <c r="U306" s="5" t="s">
        <v>22</v>
      </c>
      <c r="V306" s="5" t="s">
        <v>22</v>
      </c>
      <c r="W306" s="5" t="s">
        <v>22</v>
      </c>
      <c r="X306" s="5" t="s">
        <v>22</v>
      </c>
      <c r="Y306" s="5" t="s">
        <v>22</v>
      </c>
      <c r="Z306" s="5" t="s">
        <v>22</v>
      </c>
      <c r="AB306" s="5" t="s">
        <v>22</v>
      </c>
      <c r="AC306" s="5" t="s">
        <v>22</v>
      </c>
      <c r="AD306" s="5" t="s">
        <v>22</v>
      </c>
      <c r="AE306" s="5" t="s">
        <v>22</v>
      </c>
      <c r="AF306" s="5" t="s">
        <v>22</v>
      </c>
      <c r="AG306" s="5" t="s">
        <v>22</v>
      </c>
      <c r="AH306" s="5" t="s">
        <v>22</v>
      </c>
      <c r="AJ306" s="5" t="s">
        <v>22</v>
      </c>
      <c r="AK306" s="5" t="s">
        <v>22</v>
      </c>
      <c r="AL306" s="5" t="s">
        <v>22</v>
      </c>
      <c r="AM306" s="5" t="s">
        <v>22</v>
      </c>
      <c r="AN306" s="5" t="s">
        <v>22</v>
      </c>
      <c r="AO306" s="5" t="s">
        <v>22</v>
      </c>
      <c r="AP306" s="5" t="s">
        <v>22</v>
      </c>
    </row>
    <row r="307" spans="11:42">
      <c r="K307" s="18">
        <v>303</v>
      </c>
      <c r="L307" s="21" t="str">
        <f t="shared" si="39"/>
        <v/>
      </c>
      <c r="M307" s="21" t="str">
        <f t="shared" si="40"/>
        <v/>
      </c>
      <c r="N307" s="21" t="str">
        <f t="shared" si="41"/>
        <v/>
      </c>
      <c r="O307" s="21" t="str">
        <f t="shared" si="42"/>
        <v/>
      </c>
      <c r="P307" s="21" t="str">
        <f t="shared" si="43"/>
        <v/>
      </c>
      <c r="Q307" s="21" t="str">
        <f t="shared" si="44"/>
        <v/>
      </c>
      <c r="R307" s="21" t="str">
        <f t="shared" si="45"/>
        <v/>
      </c>
      <c r="T307" s="10" t="s">
        <v>22</v>
      </c>
      <c r="U307" s="5" t="s">
        <v>22</v>
      </c>
      <c r="V307" s="5" t="s">
        <v>22</v>
      </c>
      <c r="W307" s="5" t="s">
        <v>22</v>
      </c>
      <c r="X307" s="5" t="s">
        <v>22</v>
      </c>
      <c r="Y307" s="5" t="s">
        <v>22</v>
      </c>
      <c r="Z307" s="5" t="s">
        <v>22</v>
      </c>
      <c r="AB307" s="5" t="s">
        <v>22</v>
      </c>
      <c r="AC307" s="5" t="s">
        <v>22</v>
      </c>
      <c r="AD307" s="5" t="s">
        <v>22</v>
      </c>
      <c r="AE307" s="5" t="s">
        <v>22</v>
      </c>
      <c r="AF307" s="5" t="s">
        <v>22</v>
      </c>
      <c r="AG307" s="5" t="s">
        <v>22</v>
      </c>
      <c r="AH307" s="5" t="s">
        <v>22</v>
      </c>
      <c r="AJ307" s="5" t="s">
        <v>22</v>
      </c>
      <c r="AK307" s="5" t="s">
        <v>22</v>
      </c>
      <c r="AL307" s="5" t="s">
        <v>22</v>
      </c>
      <c r="AM307" s="5" t="s">
        <v>22</v>
      </c>
      <c r="AN307" s="5" t="s">
        <v>22</v>
      </c>
      <c r="AO307" s="5" t="s">
        <v>22</v>
      </c>
      <c r="AP307" s="5" t="s">
        <v>22</v>
      </c>
    </row>
    <row r="308" spans="11:42">
      <c r="K308" s="19">
        <v>304</v>
      </c>
      <c r="L308" s="21" t="str">
        <f t="shared" si="39"/>
        <v/>
      </c>
      <c r="M308" s="21" t="str">
        <f t="shared" si="40"/>
        <v/>
      </c>
      <c r="N308" s="21" t="str">
        <f t="shared" si="41"/>
        <v/>
      </c>
      <c r="O308" s="21" t="str">
        <f t="shared" si="42"/>
        <v/>
      </c>
      <c r="P308" s="21" t="str">
        <f t="shared" si="43"/>
        <v/>
      </c>
      <c r="Q308" s="21" t="str">
        <f t="shared" si="44"/>
        <v/>
      </c>
      <c r="R308" s="21" t="str">
        <f t="shared" si="45"/>
        <v/>
      </c>
      <c r="T308" s="10" t="s">
        <v>22</v>
      </c>
      <c r="U308" s="5" t="s">
        <v>22</v>
      </c>
      <c r="V308" s="5" t="s">
        <v>22</v>
      </c>
      <c r="W308" s="5" t="s">
        <v>22</v>
      </c>
      <c r="X308" s="5" t="s">
        <v>22</v>
      </c>
      <c r="Y308" s="5" t="s">
        <v>22</v>
      </c>
      <c r="Z308" s="5" t="s">
        <v>22</v>
      </c>
      <c r="AB308" s="5" t="s">
        <v>22</v>
      </c>
      <c r="AC308" s="5" t="s">
        <v>22</v>
      </c>
      <c r="AD308" s="5" t="s">
        <v>22</v>
      </c>
      <c r="AE308" s="5" t="s">
        <v>22</v>
      </c>
      <c r="AF308" s="5" t="s">
        <v>22</v>
      </c>
      <c r="AG308" s="5" t="s">
        <v>22</v>
      </c>
      <c r="AH308" s="5" t="s">
        <v>22</v>
      </c>
      <c r="AJ308" s="5" t="s">
        <v>22</v>
      </c>
      <c r="AK308" s="5" t="s">
        <v>22</v>
      </c>
      <c r="AL308" s="5" t="s">
        <v>22</v>
      </c>
      <c r="AM308" s="5" t="s">
        <v>22</v>
      </c>
      <c r="AN308" s="5" t="s">
        <v>22</v>
      </c>
      <c r="AO308" s="5" t="s">
        <v>22</v>
      </c>
      <c r="AP308" s="5" t="s">
        <v>22</v>
      </c>
    </row>
    <row r="309" spans="11:42">
      <c r="K309" s="18">
        <v>305</v>
      </c>
      <c r="L309" s="21" t="str">
        <f t="shared" si="39"/>
        <v/>
      </c>
      <c r="M309" s="21" t="str">
        <f t="shared" si="40"/>
        <v/>
      </c>
      <c r="N309" s="21" t="str">
        <f t="shared" si="41"/>
        <v/>
      </c>
      <c r="O309" s="21" t="str">
        <f t="shared" si="42"/>
        <v/>
      </c>
      <c r="P309" s="21" t="str">
        <f t="shared" si="43"/>
        <v/>
      </c>
      <c r="Q309" s="21" t="str">
        <f t="shared" si="44"/>
        <v/>
      </c>
      <c r="R309" s="21" t="str">
        <f t="shared" si="45"/>
        <v/>
      </c>
      <c r="T309" s="10" t="s">
        <v>22</v>
      </c>
      <c r="U309" s="5" t="s">
        <v>22</v>
      </c>
      <c r="V309" s="5" t="s">
        <v>22</v>
      </c>
      <c r="W309" s="5" t="s">
        <v>22</v>
      </c>
      <c r="X309" s="5" t="s">
        <v>22</v>
      </c>
      <c r="Y309" s="5" t="s">
        <v>22</v>
      </c>
      <c r="Z309" s="5" t="s">
        <v>22</v>
      </c>
      <c r="AB309" s="5" t="s">
        <v>22</v>
      </c>
      <c r="AC309" s="5" t="s">
        <v>22</v>
      </c>
      <c r="AD309" s="5" t="s">
        <v>22</v>
      </c>
      <c r="AE309" s="5" t="s">
        <v>22</v>
      </c>
      <c r="AF309" s="5" t="s">
        <v>22</v>
      </c>
      <c r="AG309" s="5" t="s">
        <v>22</v>
      </c>
      <c r="AH309" s="5" t="s">
        <v>22</v>
      </c>
      <c r="AJ309" s="5" t="s">
        <v>22</v>
      </c>
      <c r="AK309" s="5" t="s">
        <v>22</v>
      </c>
      <c r="AL309" s="5" t="s">
        <v>22</v>
      </c>
      <c r="AM309" s="5" t="s">
        <v>22</v>
      </c>
      <c r="AN309" s="5" t="s">
        <v>22</v>
      </c>
      <c r="AO309" s="5" t="s">
        <v>22</v>
      </c>
      <c r="AP309" s="5" t="s">
        <v>22</v>
      </c>
    </row>
    <row r="310" spans="11:42">
      <c r="K310" s="19">
        <v>306</v>
      </c>
      <c r="L310" s="21" t="str">
        <f t="shared" ref="L310:L341" si="46">IF(T310&lt;&gt;"",_xlfn.XLOOKUP(T310,$K$4:$K$27,$A$4:$A$27),"")</f>
        <v/>
      </c>
      <c r="M310" s="21" t="str">
        <f t="shared" ref="M310:M341" si="47">IF(U310&lt;&gt;"",_xlfn.XLOOKUP(U310,$K$4:$K$27,$A$4:$A$27),"")</f>
        <v/>
      </c>
      <c r="N310" s="21" t="str">
        <f t="shared" ref="N310:N341" si="48">IF(V310&lt;&gt;"",_xlfn.XLOOKUP(V310,$K$4:$K$27,$A$4:$A$27),"")</f>
        <v/>
      </c>
      <c r="O310" s="21" t="str">
        <f t="shared" ref="O310:O341" si="49">IF(W310&lt;&gt;"",_xlfn.XLOOKUP(W310,$K$4:$K$27,$A$4:$A$27),"")</f>
        <v/>
      </c>
      <c r="P310" s="21" t="str">
        <f t="shared" ref="P310:P341" si="50">IF(X310&lt;&gt;"",_xlfn.XLOOKUP(X310,$K$4:$K$27,$A$4:$A$27),"")</f>
        <v/>
      </c>
      <c r="Q310" s="21" t="str">
        <f t="shared" ref="Q310:Q341" si="51">IF(Y310&lt;&gt;"",_xlfn.XLOOKUP(Y310,$K$4:$K$27,$A$4:$A$27),"")</f>
        <v/>
      </c>
      <c r="R310" s="21" t="str">
        <f t="shared" ref="R310:R337" si="52">IF(Z310&lt;&gt;"",_xlfn.XLOOKUP(Z310,$K$4:$K$27,$A$4:$A$27),"")</f>
        <v/>
      </c>
      <c r="T310" s="10" t="s">
        <v>22</v>
      </c>
      <c r="U310" s="5" t="s">
        <v>22</v>
      </c>
      <c r="V310" s="5" t="s">
        <v>22</v>
      </c>
      <c r="W310" s="5" t="s">
        <v>22</v>
      </c>
      <c r="X310" s="5" t="s">
        <v>22</v>
      </c>
      <c r="Y310" s="5" t="s">
        <v>22</v>
      </c>
      <c r="Z310" s="5" t="s">
        <v>22</v>
      </c>
      <c r="AB310" s="5" t="s">
        <v>22</v>
      </c>
      <c r="AC310" s="5" t="s">
        <v>22</v>
      </c>
      <c r="AD310" s="5" t="s">
        <v>22</v>
      </c>
      <c r="AE310" s="5" t="s">
        <v>22</v>
      </c>
      <c r="AF310" s="5" t="s">
        <v>22</v>
      </c>
      <c r="AG310" s="5" t="s">
        <v>22</v>
      </c>
      <c r="AH310" s="5" t="s">
        <v>22</v>
      </c>
      <c r="AJ310" s="5" t="s">
        <v>22</v>
      </c>
      <c r="AK310" s="5" t="s">
        <v>22</v>
      </c>
      <c r="AL310" s="5" t="s">
        <v>22</v>
      </c>
      <c r="AM310" s="5" t="s">
        <v>22</v>
      </c>
      <c r="AN310" s="5" t="s">
        <v>22</v>
      </c>
      <c r="AO310" s="5" t="s">
        <v>22</v>
      </c>
      <c r="AP310" s="5" t="s">
        <v>22</v>
      </c>
    </row>
    <row r="311" spans="11:42">
      <c r="K311" s="18">
        <v>307</v>
      </c>
      <c r="L311" s="21" t="str">
        <f t="shared" si="46"/>
        <v/>
      </c>
      <c r="M311" s="21" t="str">
        <f t="shared" si="47"/>
        <v/>
      </c>
      <c r="N311" s="21" t="str">
        <f t="shared" si="48"/>
        <v/>
      </c>
      <c r="O311" s="21" t="str">
        <f t="shared" si="49"/>
        <v/>
      </c>
      <c r="P311" s="21" t="str">
        <f t="shared" si="50"/>
        <v/>
      </c>
      <c r="Q311" s="21" t="str">
        <f t="shared" si="51"/>
        <v/>
      </c>
      <c r="R311" s="21" t="str">
        <f t="shared" si="52"/>
        <v/>
      </c>
      <c r="T311" s="10" t="s">
        <v>22</v>
      </c>
      <c r="U311" s="5" t="s">
        <v>22</v>
      </c>
      <c r="V311" s="5" t="s">
        <v>22</v>
      </c>
      <c r="W311" s="5" t="s">
        <v>22</v>
      </c>
      <c r="X311" s="5" t="s">
        <v>22</v>
      </c>
      <c r="Y311" s="5" t="s">
        <v>22</v>
      </c>
      <c r="Z311" s="5" t="s">
        <v>22</v>
      </c>
      <c r="AB311" s="5" t="s">
        <v>22</v>
      </c>
      <c r="AC311" s="5" t="s">
        <v>22</v>
      </c>
      <c r="AD311" s="5" t="s">
        <v>22</v>
      </c>
      <c r="AE311" s="5" t="s">
        <v>22</v>
      </c>
      <c r="AF311" s="5" t="s">
        <v>22</v>
      </c>
      <c r="AG311" s="5" t="s">
        <v>22</v>
      </c>
      <c r="AH311" s="5" t="s">
        <v>22</v>
      </c>
      <c r="AJ311" s="5" t="s">
        <v>22</v>
      </c>
      <c r="AK311" s="5" t="s">
        <v>22</v>
      </c>
      <c r="AL311" s="5" t="s">
        <v>22</v>
      </c>
      <c r="AM311" s="5" t="s">
        <v>22</v>
      </c>
      <c r="AN311" s="5" t="s">
        <v>22</v>
      </c>
      <c r="AO311" s="5" t="s">
        <v>22</v>
      </c>
      <c r="AP311" s="5" t="s">
        <v>22</v>
      </c>
    </row>
    <row r="312" spans="11:42">
      <c r="K312" s="19">
        <v>308</v>
      </c>
      <c r="L312" s="21" t="str">
        <f t="shared" si="46"/>
        <v/>
      </c>
      <c r="M312" s="21" t="str">
        <f t="shared" si="47"/>
        <v/>
      </c>
      <c r="N312" s="21" t="str">
        <f t="shared" si="48"/>
        <v/>
      </c>
      <c r="O312" s="21" t="str">
        <f t="shared" si="49"/>
        <v/>
      </c>
      <c r="P312" s="21" t="str">
        <f t="shared" si="50"/>
        <v/>
      </c>
      <c r="Q312" s="21" t="str">
        <f t="shared" si="51"/>
        <v/>
      </c>
      <c r="R312" s="21" t="str">
        <f t="shared" si="52"/>
        <v/>
      </c>
      <c r="T312" s="10" t="s">
        <v>22</v>
      </c>
      <c r="U312" s="5" t="s">
        <v>22</v>
      </c>
      <c r="V312" s="5" t="s">
        <v>22</v>
      </c>
      <c r="W312" s="5" t="s">
        <v>22</v>
      </c>
      <c r="X312" s="5" t="s">
        <v>22</v>
      </c>
      <c r="Y312" s="5" t="s">
        <v>22</v>
      </c>
      <c r="Z312" s="5" t="s">
        <v>22</v>
      </c>
      <c r="AB312" s="5" t="s">
        <v>22</v>
      </c>
      <c r="AC312" s="5" t="s">
        <v>22</v>
      </c>
      <c r="AD312" s="5" t="s">
        <v>22</v>
      </c>
      <c r="AE312" s="5" t="s">
        <v>22</v>
      </c>
      <c r="AF312" s="5" t="s">
        <v>22</v>
      </c>
      <c r="AG312" s="5" t="s">
        <v>22</v>
      </c>
      <c r="AH312" s="5" t="s">
        <v>22</v>
      </c>
      <c r="AJ312" s="5" t="s">
        <v>22</v>
      </c>
      <c r="AK312" s="5" t="s">
        <v>22</v>
      </c>
      <c r="AL312" s="5" t="s">
        <v>22</v>
      </c>
      <c r="AM312" s="5" t="s">
        <v>22</v>
      </c>
      <c r="AN312" s="5" t="s">
        <v>22</v>
      </c>
      <c r="AO312" s="5" t="s">
        <v>22</v>
      </c>
      <c r="AP312" s="5" t="s">
        <v>22</v>
      </c>
    </row>
    <row r="313" spans="11:42">
      <c r="K313" s="18">
        <v>309</v>
      </c>
      <c r="L313" s="21" t="str">
        <f t="shared" si="46"/>
        <v/>
      </c>
      <c r="M313" s="21" t="str">
        <f t="shared" si="47"/>
        <v/>
      </c>
      <c r="N313" s="21" t="str">
        <f t="shared" si="48"/>
        <v/>
      </c>
      <c r="O313" s="21" t="str">
        <f t="shared" si="49"/>
        <v/>
      </c>
      <c r="P313" s="21" t="str">
        <f t="shared" si="50"/>
        <v/>
      </c>
      <c r="Q313" s="21" t="str">
        <f t="shared" si="51"/>
        <v/>
      </c>
      <c r="R313" s="21" t="str">
        <f t="shared" si="52"/>
        <v/>
      </c>
      <c r="T313" s="10" t="s">
        <v>22</v>
      </c>
      <c r="U313" s="5" t="s">
        <v>22</v>
      </c>
      <c r="V313" s="5" t="s">
        <v>22</v>
      </c>
      <c r="W313" s="5" t="s">
        <v>22</v>
      </c>
      <c r="X313" s="5" t="s">
        <v>22</v>
      </c>
      <c r="Y313" s="5" t="s">
        <v>22</v>
      </c>
      <c r="Z313" s="5" t="s">
        <v>22</v>
      </c>
      <c r="AB313" s="5" t="s">
        <v>22</v>
      </c>
      <c r="AC313" s="5" t="s">
        <v>22</v>
      </c>
      <c r="AD313" s="5" t="s">
        <v>22</v>
      </c>
      <c r="AE313" s="5" t="s">
        <v>22</v>
      </c>
      <c r="AF313" s="5" t="s">
        <v>22</v>
      </c>
      <c r="AG313" s="5" t="s">
        <v>22</v>
      </c>
      <c r="AH313" s="5" t="s">
        <v>22</v>
      </c>
      <c r="AJ313" s="5" t="s">
        <v>22</v>
      </c>
      <c r="AK313" s="5" t="s">
        <v>22</v>
      </c>
      <c r="AL313" s="5" t="s">
        <v>22</v>
      </c>
      <c r="AM313" s="5" t="s">
        <v>22</v>
      </c>
      <c r="AN313" s="5" t="s">
        <v>22</v>
      </c>
      <c r="AO313" s="5" t="s">
        <v>22</v>
      </c>
      <c r="AP313" s="5" t="s">
        <v>22</v>
      </c>
    </row>
    <row r="314" spans="11:42">
      <c r="K314" s="19">
        <v>310</v>
      </c>
      <c r="L314" s="21" t="str">
        <f t="shared" si="46"/>
        <v/>
      </c>
      <c r="M314" s="21" t="str">
        <f t="shared" si="47"/>
        <v/>
      </c>
      <c r="N314" s="21" t="str">
        <f t="shared" si="48"/>
        <v/>
      </c>
      <c r="O314" s="21" t="str">
        <f t="shared" si="49"/>
        <v/>
      </c>
      <c r="P314" s="21" t="str">
        <f t="shared" si="50"/>
        <v/>
      </c>
      <c r="Q314" s="21" t="str">
        <f t="shared" si="51"/>
        <v/>
      </c>
      <c r="R314" s="21" t="str">
        <f t="shared" si="52"/>
        <v/>
      </c>
      <c r="T314" s="10" t="s">
        <v>22</v>
      </c>
      <c r="U314" s="5" t="s">
        <v>22</v>
      </c>
      <c r="V314" s="5" t="s">
        <v>22</v>
      </c>
      <c r="W314" s="5" t="s">
        <v>22</v>
      </c>
      <c r="X314" s="5" t="s">
        <v>22</v>
      </c>
      <c r="Y314" s="5" t="s">
        <v>22</v>
      </c>
      <c r="Z314" s="5" t="s">
        <v>22</v>
      </c>
      <c r="AB314" s="5" t="s">
        <v>22</v>
      </c>
      <c r="AC314" s="5" t="s">
        <v>22</v>
      </c>
      <c r="AD314" s="5" t="s">
        <v>22</v>
      </c>
      <c r="AE314" s="5" t="s">
        <v>22</v>
      </c>
      <c r="AF314" s="5" t="s">
        <v>22</v>
      </c>
      <c r="AG314" s="5" t="s">
        <v>22</v>
      </c>
      <c r="AH314" s="5" t="s">
        <v>22</v>
      </c>
      <c r="AJ314" s="5" t="s">
        <v>22</v>
      </c>
      <c r="AK314" s="5" t="s">
        <v>22</v>
      </c>
      <c r="AL314" s="5" t="s">
        <v>22</v>
      </c>
      <c r="AM314" s="5" t="s">
        <v>22</v>
      </c>
      <c r="AN314" s="5" t="s">
        <v>22</v>
      </c>
      <c r="AO314" s="5" t="s">
        <v>22</v>
      </c>
      <c r="AP314" s="5" t="s">
        <v>22</v>
      </c>
    </row>
    <row r="315" spans="11:42">
      <c r="K315" s="18">
        <v>311</v>
      </c>
      <c r="L315" s="21" t="str">
        <f t="shared" si="46"/>
        <v/>
      </c>
      <c r="M315" s="21" t="str">
        <f t="shared" si="47"/>
        <v/>
      </c>
      <c r="N315" s="21" t="str">
        <f t="shared" si="48"/>
        <v/>
      </c>
      <c r="O315" s="21" t="str">
        <f t="shared" si="49"/>
        <v/>
      </c>
      <c r="P315" s="21" t="str">
        <f t="shared" si="50"/>
        <v/>
      </c>
      <c r="Q315" s="21" t="str">
        <f t="shared" si="51"/>
        <v/>
      </c>
      <c r="R315" s="21" t="str">
        <f t="shared" si="52"/>
        <v/>
      </c>
      <c r="T315" s="10" t="s">
        <v>22</v>
      </c>
      <c r="U315" s="5" t="s">
        <v>22</v>
      </c>
      <c r="V315" s="5" t="s">
        <v>22</v>
      </c>
      <c r="W315" s="5" t="s">
        <v>22</v>
      </c>
      <c r="X315" s="5" t="s">
        <v>22</v>
      </c>
      <c r="Y315" s="5" t="s">
        <v>22</v>
      </c>
      <c r="Z315" s="5" t="s">
        <v>22</v>
      </c>
      <c r="AB315" s="5" t="s">
        <v>22</v>
      </c>
      <c r="AC315" s="5" t="s">
        <v>22</v>
      </c>
      <c r="AD315" s="5" t="s">
        <v>22</v>
      </c>
      <c r="AE315" s="5" t="s">
        <v>22</v>
      </c>
      <c r="AF315" s="5" t="s">
        <v>22</v>
      </c>
      <c r="AG315" s="5" t="s">
        <v>22</v>
      </c>
      <c r="AH315" s="5" t="s">
        <v>22</v>
      </c>
      <c r="AJ315" s="5" t="s">
        <v>22</v>
      </c>
      <c r="AK315" s="5" t="s">
        <v>22</v>
      </c>
      <c r="AL315" s="5" t="s">
        <v>22</v>
      </c>
      <c r="AM315" s="5" t="s">
        <v>22</v>
      </c>
      <c r="AN315" s="5" t="s">
        <v>22</v>
      </c>
      <c r="AO315" s="5" t="s">
        <v>22</v>
      </c>
      <c r="AP315" s="5" t="s">
        <v>22</v>
      </c>
    </row>
    <row r="316" spans="11:42">
      <c r="K316" s="19">
        <v>312</v>
      </c>
      <c r="L316" s="21" t="str">
        <f t="shared" si="46"/>
        <v/>
      </c>
      <c r="M316" s="21" t="str">
        <f t="shared" si="47"/>
        <v/>
      </c>
      <c r="N316" s="21" t="str">
        <f t="shared" si="48"/>
        <v/>
      </c>
      <c r="O316" s="21" t="str">
        <f t="shared" si="49"/>
        <v/>
      </c>
      <c r="P316" s="21" t="str">
        <f t="shared" si="50"/>
        <v/>
      </c>
      <c r="Q316" s="21" t="str">
        <f t="shared" si="51"/>
        <v/>
      </c>
      <c r="R316" s="21" t="str">
        <f t="shared" si="52"/>
        <v/>
      </c>
      <c r="T316" s="10" t="s">
        <v>22</v>
      </c>
      <c r="U316" s="5" t="s">
        <v>22</v>
      </c>
      <c r="V316" s="5" t="s">
        <v>22</v>
      </c>
      <c r="W316" s="5" t="s">
        <v>22</v>
      </c>
      <c r="X316" s="5" t="s">
        <v>22</v>
      </c>
      <c r="Y316" s="5" t="s">
        <v>22</v>
      </c>
      <c r="Z316" s="5" t="s">
        <v>22</v>
      </c>
      <c r="AB316" s="5" t="s">
        <v>22</v>
      </c>
      <c r="AC316" s="5" t="s">
        <v>22</v>
      </c>
      <c r="AD316" s="5" t="s">
        <v>22</v>
      </c>
      <c r="AE316" s="5" t="s">
        <v>22</v>
      </c>
      <c r="AF316" s="5" t="s">
        <v>22</v>
      </c>
      <c r="AG316" s="5" t="s">
        <v>22</v>
      </c>
      <c r="AH316" s="5" t="s">
        <v>22</v>
      </c>
      <c r="AJ316" s="5" t="s">
        <v>22</v>
      </c>
      <c r="AK316" s="5" t="s">
        <v>22</v>
      </c>
      <c r="AL316" s="5" t="s">
        <v>22</v>
      </c>
      <c r="AM316" s="5" t="s">
        <v>22</v>
      </c>
      <c r="AN316" s="5" t="s">
        <v>22</v>
      </c>
      <c r="AO316" s="5" t="s">
        <v>22</v>
      </c>
      <c r="AP316" s="5" t="s">
        <v>22</v>
      </c>
    </row>
    <row r="317" spans="11:42">
      <c r="K317" s="18">
        <v>313</v>
      </c>
      <c r="L317" s="21" t="str">
        <f t="shared" si="46"/>
        <v/>
      </c>
      <c r="M317" s="21" t="str">
        <f t="shared" si="47"/>
        <v/>
      </c>
      <c r="N317" s="21" t="str">
        <f t="shared" si="48"/>
        <v/>
      </c>
      <c r="O317" s="21" t="str">
        <f t="shared" si="49"/>
        <v/>
      </c>
      <c r="P317" s="21" t="str">
        <f t="shared" si="50"/>
        <v/>
      </c>
      <c r="Q317" s="21" t="str">
        <f t="shared" si="51"/>
        <v/>
      </c>
      <c r="R317" s="21" t="str">
        <f t="shared" si="52"/>
        <v/>
      </c>
      <c r="T317" s="10" t="s">
        <v>22</v>
      </c>
      <c r="U317" s="5" t="s">
        <v>22</v>
      </c>
      <c r="V317" s="5" t="s">
        <v>22</v>
      </c>
      <c r="W317" s="5" t="s">
        <v>22</v>
      </c>
      <c r="X317" s="5" t="s">
        <v>22</v>
      </c>
      <c r="Y317" s="5" t="s">
        <v>22</v>
      </c>
      <c r="Z317" s="5" t="s">
        <v>22</v>
      </c>
      <c r="AB317" s="5" t="s">
        <v>22</v>
      </c>
      <c r="AC317" s="5" t="s">
        <v>22</v>
      </c>
      <c r="AD317" s="5" t="s">
        <v>22</v>
      </c>
      <c r="AE317" s="5" t="s">
        <v>22</v>
      </c>
      <c r="AF317" s="5" t="s">
        <v>22</v>
      </c>
      <c r="AG317" s="5" t="s">
        <v>22</v>
      </c>
      <c r="AH317" s="5" t="s">
        <v>22</v>
      </c>
      <c r="AJ317" s="5" t="s">
        <v>22</v>
      </c>
      <c r="AK317" s="5" t="s">
        <v>22</v>
      </c>
      <c r="AL317" s="5" t="s">
        <v>22</v>
      </c>
      <c r="AM317" s="5" t="s">
        <v>22</v>
      </c>
      <c r="AN317" s="5" t="s">
        <v>22</v>
      </c>
      <c r="AO317" s="5" t="s">
        <v>22</v>
      </c>
      <c r="AP317" s="5" t="s">
        <v>22</v>
      </c>
    </row>
    <row r="318" spans="11:42">
      <c r="K318" s="19">
        <v>314</v>
      </c>
      <c r="L318" s="21" t="str">
        <f t="shared" si="46"/>
        <v/>
      </c>
      <c r="M318" s="21" t="str">
        <f t="shared" si="47"/>
        <v/>
      </c>
      <c r="N318" s="21" t="str">
        <f t="shared" si="48"/>
        <v/>
      </c>
      <c r="O318" s="21" t="str">
        <f t="shared" si="49"/>
        <v/>
      </c>
      <c r="P318" s="21" t="str">
        <f t="shared" si="50"/>
        <v/>
      </c>
      <c r="Q318" s="21" t="str">
        <f t="shared" si="51"/>
        <v/>
      </c>
      <c r="R318" s="21" t="str">
        <f t="shared" si="52"/>
        <v/>
      </c>
      <c r="T318" s="10" t="s">
        <v>22</v>
      </c>
      <c r="U318" s="5" t="s">
        <v>22</v>
      </c>
      <c r="V318" s="5" t="s">
        <v>22</v>
      </c>
      <c r="W318" s="5" t="s">
        <v>22</v>
      </c>
      <c r="X318" s="5" t="s">
        <v>22</v>
      </c>
      <c r="Y318" s="5" t="s">
        <v>22</v>
      </c>
      <c r="Z318" s="5" t="s">
        <v>22</v>
      </c>
      <c r="AB318" s="5" t="s">
        <v>22</v>
      </c>
      <c r="AC318" s="5" t="s">
        <v>22</v>
      </c>
      <c r="AD318" s="5" t="s">
        <v>22</v>
      </c>
      <c r="AE318" s="5" t="s">
        <v>22</v>
      </c>
      <c r="AF318" s="5" t="s">
        <v>22</v>
      </c>
      <c r="AG318" s="5" t="s">
        <v>22</v>
      </c>
      <c r="AH318" s="5" t="s">
        <v>22</v>
      </c>
      <c r="AJ318" s="5" t="s">
        <v>22</v>
      </c>
      <c r="AK318" s="5" t="s">
        <v>22</v>
      </c>
      <c r="AL318" s="5" t="s">
        <v>22</v>
      </c>
      <c r="AM318" s="5" t="s">
        <v>22</v>
      </c>
      <c r="AN318" s="5" t="s">
        <v>22</v>
      </c>
      <c r="AO318" s="5" t="s">
        <v>22</v>
      </c>
      <c r="AP318" s="5" t="s">
        <v>22</v>
      </c>
    </row>
    <row r="319" spans="11:42">
      <c r="K319" s="18">
        <v>315</v>
      </c>
      <c r="L319" s="21" t="str">
        <f t="shared" si="46"/>
        <v/>
      </c>
      <c r="M319" s="21" t="str">
        <f t="shared" si="47"/>
        <v/>
      </c>
      <c r="N319" s="21" t="str">
        <f t="shared" si="48"/>
        <v/>
      </c>
      <c r="O319" s="21" t="str">
        <f t="shared" si="49"/>
        <v/>
      </c>
      <c r="P319" s="21" t="str">
        <f t="shared" si="50"/>
        <v/>
      </c>
      <c r="Q319" s="21" t="str">
        <f t="shared" si="51"/>
        <v/>
      </c>
      <c r="R319" s="21" t="str">
        <f t="shared" si="52"/>
        <v/>
      </c>
      <c r="T319" s="10" t="s">
        <v>22</v>
      </c>
      <c r="U319" s="5" t="s">
        <v>22</v>
      </c>
      <c r="V319" s="5" t="s">
        <v>22</v>
      </c>
      <c r="W319" s="5" t="s">
        <v>22</v>
      </c>
      <c r="X319" s="5" t="s">
        <v>22</v>
      </c>
      <c r="Y319" s="5" t="s">
        <v>22</v>
      </c>
      <c r="Z319" s="5" t="s">
        <v>22</v>
      </c>
      <c r="AB319" s="5" t="s">
        <v>22</v>
      </c>
      <c r="AC319" s="5" t="s">
        <v>22</v>
      </c>
      <c r="AD319" s="5" t="s">
        <v>22</v>
      </c>
      <c r="AE319" s="5" t="s">
        <v>22</v>
      </c>
      <c r="AF319" s="5" t="s">
        <v>22</v>
      </c>
      <c r="AG319" s="5" t="s">
        <v>22</v>
      </c>
      <c r="AH319" s="5" t="s">
        <v>22</v>
      </c>
      <c r="AJ319" s="5" t="s">
        <v>22</v>
      </c>
      <c r="AK319" s="5" t="s">
        <v>22</v>
      </c>
      <c r="AL319" s="5" t="s">
        <v>22</v>
      </c>
      <c r="AM319" s="5" t="s">
        <v>22</v>
      </c>
      <c r="AN319" s="5" t="s">
        <v>22</v>
      </c>
      <c r="AO319" s="5" t="s">
        <v>22</v>
      </c>
      <c r="AP319" s="5" t="s">
        <v>22</v>
      </c>
    </row>
    <row r="320" spans="11:42">
      <c r="K320" s="19">
        <v>316</v>
      </c>
      <c r="L320" s="21" t="str">
        <f t="shared" si="46"/>
        <v/>
      </c>
      <c r="M320" s="21" t="str">
        <f t="shared" si="47"/>
        <v/>
      </c>
      <c r="N320" s="21" t="str">
        <f t="shared" si="48"/>
        <v/>
      </c>
      <c r="O320" s="21" t="str">
        <f t="shared" si="49"/>
        <v/>
      </c>
      <c r="P320" s="21" t="str">
        <f t="shared" si="50"/>
        <v/>
      </c>
      <c r="Q320" s="21" t="str">
        <f t="shared" si="51"/>
        <v/>
      </c>
      <c r="R320" s="21" t="str">
        <f t="shared" si="52"/>
        <v/>
      </c>
      <c r="T320" s="10" t="s">
        <v>22</v>
      </c>
      <c r="U320" s="5" t="s">
        <v>22</v>
      </c>
      <c r="V320" s="5" t="s">
        <v>22</v>
      </c>
      <c r="W320" s="5" t="s">
        <v>22</v>
      </c>
      <c r="X320" s="5" t="s">
        <v>22</v>
      </c>
      <c r="Y320" s="5" t="s">
        <v>22</v>
      </c>
      <c r="Z320" s="5" t="s">
        <v>22</v>
      </c>
      <c r="AB320" s="5" t="s">
        <v>22</v>
      </c>
      <c r="AC320" s="5" t="s">
        <v>22</v>
      </c>
      <c r="AD320" s="5" t="s">
        <v>22</v>
      </c>
      <c r="AE320" s="5" t="s">
        <v>22</v>
      </c>
      <c r="AF320" s="5" t="s">
        <v>22</v>
      </c>
      <c r="AG320" s="5" t="s">
        <v>22</v>
      </c>
      <c r="AH320" s="5" t="s">
        <v>22</v>
      </c>
      <c r="AJ320" s="5" t="s">
        <v>22</v>
      </c>
      <c r="AK320" s="5" t="s">
        <v>22</v>
      </c>
      <c r="AL320" s="5" t="s">
        <v>22</v>
      </c>
      <c r="AM320" s="5" t="s">
        <v>22</v>
      </c>
      <c r="AN320" s="5" t="s">
        <v>22</v>
      </c>
      <c r="AO320" s="5" t="s">
        <v>22</v>
      </c>
      <c r="AP320" s="5" t="s">
        <v>22</v>
      </c>
    </row>
    <row r="321" spans="11:42">
      <c r="K321" s="18">
        <v>317</v>
      </c>
      <c r="L321" s="21" t="str">
        <f t="shared" si="46"/>
        <v/>
      </c>
      <c r="M321" s="21" t="str">
        <f t="shared" si="47"/>
        <v/>
      </c>
      <c r="N321" s="21" t="str">
        <f t="shared" si="48"/>
        <v/>
      </c>
      <c r="O321" s="21" t="str">
        <f t="shared" si="49"/>
        <v/>
      </c>
      <c r="P321" s="21" t="str">
        <f t="shared" si="50"/>
        <v/>
      </c>
      <c r="Q321" s="21" t="str">
        <f t="shared" si="51"/>
        <v/>
      </c>
      <c r="R321" s="21" t="str">
        <f t="shared" si="52"/>
        <v/>
      </c>
      <c r="T321" s="10" t="s">
        <v>22</v>
      </c>
      <c r="U321" s="5" t="s">
        <v>22</v>
      </c>
      <c r="V321" s="5" t="s">
        <v>22</v>
      </c>
      <c r="W321" s="5" t="s">
        <v>22</v>
      </c>
      <c r="X321" s="5" t="s">
        <v>22</v>
      </c>
      <c r="Y321" s="5" t="s">
        <v>22</v>
      </c>
      <c r="Z321" s="5" t="s">
        <v>22</v>
      </c>
      <c r="AB321" s="5" t="s">
        <v>22</v>
      </c>
      <c r="AC321" s="5" t="s">
        <v>22</v>
      </c>
      <c r="AD321" s="5" t="s">
        <v>22</v>
      </c>
      <c r="AE321" s="5" t="s">
        <v>22</v>
      </c>
      <c r="AF321" s="5" t="s">
        <v>22</v>
      </c>
      <c r="AG321" s="5" t="s">
        <v>22</v>
      </c>
      <c r="AH321" s="5" t="s">
        <v>22</v>
      </c>
      <c r="AJ321" s="5" t="s">
        <v>22</v>
      </c>
      <c r="AK321" s="5" t="s">
        <v>22</v>
      </c>
      <c r="AL321" s="5" t="s">
        <v>22</v>
      </c>
      <c r="AM321" s="5" t="s">
        <v>22</v>
      </c>
      <c r="AN321" s="5" t="s">
        <v>22</v>
      </c>
      <c r="AO321" s="5" t="s">
        <v>22</v>
      </c>
      <c r="AP321" s="5" t="s">
        <v>22</v>
      </c>
    </row>
    <row r="322" spans="11:42">
      <c r="K322" s="19">
        <v>318</v>
      </c>
      <c r="L322" s="21" t="str">
        <f t="shared" si="46"/>
        <v/>
      </c>
      <c r="M322" s="21" t="str">
        <f t="shared" si="47"/>
        <v/>
      </c>
      <c r="N322" s="21" t="str">
        <f t="shared" si="48"/>
        <v/>
      </c>
      <c r="O322" s="21" t="str">
        <f t="shared" si="49"/>
        <v/>
      </c>
      <c r="P322" s="21" t="str">
        <f t="shared" si="50"/>
        <v/>
      </c>
      <c r="Q322" s="21" t="str">
        <f t="shared" si="51"/>
        <v/>
      </c>
      <c r="R322" s="21" t="str">
        <f t="shared" si="52"/>
        <v/>
      </c>
      <c r="T322" s="10" t="s">
        <v>22</v>
      </c>
      <c r="U322" s="5" t="s">
        <v>22</v>
      </c>
      <c r="V322" s="5" t="s">
        <v>22</v>
      </c>
      <c r="W322" s="5" t="s">
        <v>22</v>
      </c>
      <c r="X322" s="5" t="s">
        <v>22</v>
      </c>
      <c r="Y322" s="5" t="s">
        <v>22</v>
      </c>
      <c r="Z322" s="5" t="s">
        <v>22</v>
      </c>
      <c r="AB322" s="5" t="s">
        <v>22</v>
      </c>
      <c r="AC322" s="5" t="s">
        <v>22</v>
      </c>
      <c r="AD322" s="5" t="s">
        <v>22</v>
      </c>
      <c r="AE322" s="5" t="s">
        <v>22</v>
      </c>
      <c r="AF322" s="5" t="s">
        <v>22</v>
      </c>
      <c r="AG322" s="5" t="s">
        <v>22</v>
      </c>
      <c r="AH322" s="5" t="s">
        <v>22</v>
      </c>
      <c r="AJ322" s="5" t="s">
        <v>22</v>
      </c>
      <c r="AK322" s="5" t="s">
        <v>22</v>
      </c>
      <c r="AL322" s="5" t="s">
        <v>22</v>
      </c>
      <c r="AM322" s="5" t="s">
        <v>22</v>
      </c>
      <c r="AN322" s="5" t="s">
        <v>22</v>
      </c>
      <c r="AO322" s="5" t="s">
        <v>22</v>
      </c>
      <c r="AP322" s="5" t="s">
        <v>22</v>
      </c>
    </row>
    <row r="323" spans="11:42">
      <c r="K323" s="18">
        <v>319</v>
      </c>
      <c r="L323" s="21" t="str">
        <f t="shared" si="46"/>
        <v/>
      </c>
      <c r="M323" s="21" t="str">
        <f t="shared" si="47"/>
        <v/>
      </c>
      <c r="N323" s="21" t="str">
        <f t="shared" si="48"/>
        <v/>
      </c>
      <c r="O323" s="21" t="str">
        <f t="shared" si="49"/>
        <v/>
      </c>
      <c r="P323" s="21" t="str">
        <f t="shared" si="50"/>
        <v/>
      </c>
      <c r="Q323" s="21" t="str">
        <f t="shared" si="51"/>
        <v/>
      </c>
      <c r="R323" s="21" t="str">
        <f t="shared" si="52"/>
        <v/>
      </c>
      <c r="T323" s="10" t="s">
        <v>22</v>
      </c>
      <c r="U323" s="5" t="s">
        <v>22</v>
      </c>
      <c r="V323" s="5" t="s">
        <v>22</v>
      </c>
      <c r="W323" s="5" t="s">
        <v>22</v>
      </c>
      <c r="X323" s="5" t="s">
        <v>22</v>
      </c>
      <c r="Y323" s="5" t="s">
        <v>22</v>
      </c>
      <c r="Z323" s="5" t="s">
        <v>22</v>
      </c>
      <c r="AB323" s="5" t="s">
        <v>22</v>
      </c>
      <c r="AC323" s="5" t="s">
        <v>22</v>
      </c>
      <c r="AD323" s="5" t="s">
        <v>22</v>
      </c>
      <c r="AE323" s="5" t="s">
        <v>22</v>
      </c>
      <c r="AF323" s="5" t="s">
        <v>22</v>
      </c>
      <c r="AG323" s="5" t="s">
        <v>22</v>
      </c>
      <c r="AH323" s="5" t="s">
        <v>22</v>
      </c>
      <c r="AJ323" s="5" t="s">
        <v>22</v>
      </c>
      <c r="AK323" s="5" t="s">
        <v>22</v>
      </c>
      <c r="AL323" s="5" t="s">
        <v>22</v>
      </c>
      <c r="AM323" s="5" t="s">
        <v>22</v>
      </c>
      <c r="AN323" s="5" t="s">
        <v>22</v>
      </c>
      <c r="AO323" s="5" t="s">
        <v>22</v>
      </c>
      <c r="AP323" s="5" t="s">
        <v>22</v>
      </c>
    </row>
    <row r="324" spans="11:42">
      <c r="K324" s="19">
        <v>320</v>
      </c>
      <c r="L324" s="21" t="str">
        <f t="shared" si="46"/>
        <v/>
      </c>
      <c r="M324" s="21" t="str">
        <f t="shared" si="47"/>
        <v/>
      </c>
      <c r="N324" s="21" t="str">
        <f t="shared" si="48"/>
        <v/>
      </c>
      <c r="O324" s="21" t="str">
        <f t="shared" si="49"/>
        <v/>
      </c>
      <c r="P324" s="21" t="str">
        <f t="shared" si="50"/>
        <v/>
      </c>
      <c r="Q324" s="21" t="str">
        <f t="shared" si="51"/>
        <v/>
      </c>
      <c r="R324" s="21" t="str">
        <f t="shared" si="52"/>
        <v/>
      </c>
      <c r="T324" s="10" t="s">
        <v>22</v>
      </c>
      <c r="U324" s="5" t="s">
        <v>22</v>
      </c>
      <c r="V324" s="5" t="s">
        <v>22</v>
      </c>
      <c r="W324" s="5" t="s">
        <v>22</v>
      </c>
      <c r="X324" s="5" t="s">
        <v>22</v>
      </c>
      <c r="Y324" s="5" t="s">
        <v>22</v>
      </c>
      <c r="Z324" s="5" t="s">
        <v>22</v>
      </c>
      <c r="AB324" s="5" t="s">
        <v>22</v>
      </c>
      <c r="AC324" s="5" t="s">
        <v>22</v>
      </c>
      <c r="AD324" s="5" t="s">
        <v>22</v>
      </c>
      <c r="AE324" s="5" t="s">
        <v>22</v>
      </c>
      <c r="AF324" s="5" t="s">
        <v>22</v>
      </c>
      <c r="AG324" s="5" t="s">
        <v>22</v>
      </c>
      <c r="AH324" s="5" t="s">
        <v>22</v>
      </c>
      <c r="AJ324" s="5" t="s">
        <v>22</v>
      </c>
      <c r="AK324" s="5" t="s">
        <v>22</v>
      </c>
      <c r="AL324" s="5" t="s">
        <v>22</v>
      </c>
      <c r="AM324" s="5" t="s">
        <v>22</v>
      </c>
      <c r="AN324" s="5" t="s">
        <v>22</v>
      </c>
      <c r="AO324" s="5" t="s">
        <v>22</v>
      </c>
      <c r="AP324" s="5" t="s">
        <v>22</v>
      </c>
    </row>
    <row r="325" spans="11:42">
      <c r="K325" s="18">
        <v>321</v>
      </c>
      <c r="L325" s="21" t="str">
        <f t="shared" si="46"/>
        <v/>
      </c>
      <c r="M325" s="21" t="str">
        <f t="shared" si="47"/>
        <v/>
      </c>
      <c r="N325" s="21" t="str">
        <f t="shared" si="48"/>
        <v/>
      </c>
      <c r="O325" s="21" t="str">
        <f t="shared" si="49"/>
        <v/>
      </c>
      <c r="P325" s="21" t="str">
        <f t="shared" si="50"/>
        <v/>
      </c>
      <c r="Q325" s="21" t="str">
        <f t="shared" si="51"/>
        <v/>
      </c>
      <c r="R325" s="21" t="str">
        <f t="shared" si="52"/>
        <v/>
      </c>
      <c r="T325" s="10" t="s">
        <v>22</v>
      </c>
      <c r="U325" s="5" t="s">
        <v>22</v>
      </c>
      <c r="V325" s="5" t="s">
        <v>22</v>
      </c>
      <c r="W325" s="5" t="s">
        <v>22</v>
      </c>
      <c r="X325" s="5" t="s">
        <v>22</v>
      </c>
      <c r="Y325" s="5" t="s">
        <v>22</v>
      </c>
      <c r="Z325" s="5" t="s">
        <v>22</v>
      </c>
      <c r="AB325" s="5" t="s">
        <v>22</v>
      </c>
      <c r="AC325" s="5" t="s">
        <v>22</v>
      </c>
      <c r="AD325" s="5" t="s">
        <v>22</v>
      </c>
      <c r="AE325" s="5" t="s">
        <v>22</v>
      </c>
      <c r="AF325" s="5" t="s">
        <v>22</v>
      </c>
      <c r="AG325" s="5" t="s">
        <v>22</v>
      </c>
      <c r="AH325" s="5" t="s">
        <v>22</v>
      </c>
      <c r="AJ325" s="5" t="s">
        <v>22</v>
      </c>
      <c r="AK325" s="5" t="s">
        <v>22</v>
      </c>
      <c r="AL325" s="5" t="s">
        <v>22</v>
      </c>
      <c r="AM325" s="5" t="s">
        <v>22</v>
      </c>
      <c r="AN325" s="5" t="s">
        <v>22</v>
      </c>
      <c r="AO325" s="5" t="s">
        <v>22</v>
      </c>
      <c r="AP325" s="5" t="s">
        <v>22</v>
      </c>
    </row>
    <row r="326" spans="11:42">
      <c r="K326" s="19">
        <v>322</v>
      </c>
      <c r="L326" s="21" t="str">
        <f t="shared" si="46"/>
        <v/>
      </c>
      <c r="M326" s="21" t="str">
        <f t="shared" si="47"/>
        <v/>
      </c>
      <c r="N326" s="21" t="str">
        <f t="shared" si="48"/>
        <v/>
      </c>
      <c r="O326" s="21" t="str">
        <f t="shared" si="49"/>
        <v/>
      </c>
      <c r="P326" s="21" t="str">
        <f t="shared" si="50"/>
        <v/>
      </c>
      <c r="Q326" s="21" t="str">
        <f t="shared" si="51"/>
        <v/>
      </c>
      <c r="R326" s="21" t="str">
        <f t="shared" si="52"/>
        <v/>
      </c>
      <c r="T326" s="10" t="s">
        <v>22</v>
      </c>
      <c r="U326" s="5" t="s">
        <v>22</v>
      </c>
      <c r="V326" s="5" t="s">
        <v>22</v>
      </c>
      <c r="W326" s="5" t="s">
        <v>22</v>
      </c>
      <c r="X326" s="5" t="s">
        <v>22</v>
      </c>
      <c r="Y326" s="5" t="s">
        <v>22</v>
      </c>
      <c r="Z326" s="5" t="s">
        <v>22</v>
      </c>
      <c r="AB326" s="5" t="s">
        <v>22</v>
      </c>
      <c r="AC326" s="5" t="s">
        <v>22</v>
      </c>
      <c r="AD326" s="5" t="s">
        <v>22</v>
      </c>
      <c r="AE326" s="5" t="s">
        <v>22</v>
      </c>
      <c r="AF326" s="5" t="s">
        <v>22</v>
      </c>
      <c r="AG326" s="5" t="s">
        <v>22</v>
      </c>
      <c r="AH326" s="5" t="s">
        <v>22</v>
      </c>
      <c r="AJ326" s="5" t="s">
        <v>22</v>
      </c>
      <c r="AK326" s="5" t="s">
        <v>22</v>
      </c>
      <c r="AL326" s="5" t="s">
        <v>22</v>
      </c>
      <c r="AM326" s="5" t="s">
        <v>22</v>
      </c>
      <c r="AN326" s="5" t="s">
        <v>22</v>
      </c>
      <c r="AO326" s="5" t="s">
        <v>22</v>
      </c>
      <c r="AP326" s="5" t="s">
        <v>22</v>
      </c>
    </row>
    <row r="327" spans="11:42">
      <c r="K327" s="18">
        <v>323</v>
      </c>
      <c r="L327" s="21" t="str">
        <f t="shared" si="46"/>
        <v/>
      </c>
      <c r="M327" s="21" t="str">
        <f t="shared" si="47"/>
        <v/>
      </c>
      <c r="N327" s="21" t="str">
        <f t="shared" si="48"/>
        <v/>
      </c>
      <c r="O327" s="21" t="str">
        <f t="shared" si="49"/>
        <v/>
      </c>
      <c r="P327" s="21" t="str">
        <f t="shared" si="50"/>
        <v/>
      </c>
      <c r="Q327" s="21" t="str">
        <f t="shared" si="51"/>
        <v/>
      </c>
      <c r="R327" s="21" t="str">
        <f t="shared" si="52"/>
        <v/>
      </c>
      <c r="T327" s="10" t="s">
        <v>22</v>
      </c>
      <c r="U327" s="5" t="s">
        <v>22</v>
      </c>
      <c r="V327" s="5" t="s">
        <v>22</v>
      </c>
      <c r="W327" s="5" t="s">
        <v>22</v>
      </c>
      <c r="X327" s="5" t="s">
        <v>22</v>
      </c>
      <c r="Y327" s="5" t="s">
        <v>22</v>
      </c>
      <c r="Z327" s="5" t="s">
        <v>22</v>
      </c>
      <c r="AB327" s="5" t="s">
        <v>22</v>
      </c>
      <c r="AC327" s="5" t="s">
        <v>22</v>
      </c>
      <c r="AD327" s="5" t="s">
        <v>22</v>
      </c>
      <c r="AE327" s="5" t="s">
        <v>22</v>
      </c>
      <c r="AF327" s="5" t="s">
        <v>22</v>
      </c>
      <c r="AG327" s="5" t="s">
        <v>22</v>
      </c>
      <c r="AH327" s="5" t="s">
        <v>22</v>
      </c>
      <c r="AJ327" s="5" t="s">
        <v>22</v>
      </c>
      <c r="AK327" s="5" t="s">
        <v>22</v>
      </c>
      <c r="AL327" s="5" t="s">
        <v>22</v>
      </c>
      <c r="AM327" s="5" t="s">
        <v>22</v>
      </c>
      <c r="AN327" s="5" t="s">
        <v>22</v>
      </c>
      <c r="AO327" s="5" t="s">
        <v>22</v>
      </c>
      <c r="AP327" s="5" t="s">
        <v>22</v>
      </c>
    </row>
    <row r="328" spans="11:42">
      <c r="K328" s="19">
        <v>324</v>
      </c>
      <c r="L328" s="21" t="str">
        <f t="shared" si="46"/>
        <v/>
      </c>
      <c r="M328" s="21" t="str">
        <f t="shared" si="47"/>
        <v/>
      </c>
      <c r="N328" s="21" t="str">
        <f t="shared" si="48"/>
        <v/>
      </c>
      <c r="O328" s="21" t="str">
        <f t="shared" si="49"/>
        <v/>
      </c>
      <c r="P328" s="21" t="str">
        <f t="shared" si="50"/>
        <v/>
      </c>
      <c r="Q328" s="21" t="str">
        <f t="shared" si="51"/>
        <v/>
      </c>
      <c r="R328" s="21" t="str">
        <f t="shared" si="52"/>
        <v/>
      </c>
      <c r="T328" s="10" t="s">
        <v>22</v>
      </c>
      <c r="U328" s="5" t="s">
        <v>22</v>
      </c>
      <c r="V328" s="5" t="s">
        <v>22</v>
      </c>
      <c r="W328" s="5" t="s">
        <v>22</v>
      </c>
      <c r="X328" s="5" t="s">
        <v>22</v>
      </c>
      <c r="Y328" s="5" t="s">
        <v>22</v>
      </c>
      <c r="Z328" s="5" t="s">
        <v>22</v>
      </c>
      <c r="AB328" s="5" t="s">
        <v>22</v>
      </c>
      <c r="AC328" s="5" t="s">
        <v>22</v>
      </c>
      <c r="AD328" s="5" t="s">
        <v>22</v>
      </c>
      <c r="AE328" s="5" t="s">
        <v>22</v>
      </c>
      <c r="AF328" s="5" t="s">
        <v>22</v>
      </c>
      <c r="AG328" s="5" t="s">
        <v>22</v>
      </c>
      <c r="AH328" s="5" t="s">
        <v>22</v>
      </c>
      <c r="AJ328" s="5" t="s">
        <v>22</v>
      </c>
      <c r="AK328" s="5" t="s">
        <v>22</v>
      </c>
      <c r="AL328" s="5" t="s">
        <v>22</v>
      </c>
      <c r="AM328" s="5" t="s">
        <v>22</v>
      </c>
      <c r="AN328" s="5" t="s">
        <v>22</v>
      </c>
      <c r="AO328" s="5" t="s">
        <v>22</v>
      </c>
      <c r="AP328" s="5" t="s">
        <v>22</v>
      </c>
    </row>
    <row r="329" spans="11:42">
      <c r="K329" s="18">
        <v>325</v>
      </c>
      <c r="L329" s="21" t="str">
        <f t="shared" si="46"/>
        <v/>
      </c>
      <c r="M329" s="21" t="str">
        <f t="shared" si="47"/>
        <v/>
      </c>
      <c r="N329" s="21" t="str">
        <f t="shared" si="48"/>
        <v/>
      </c>
      <c r="O329" s="21" t="str">
        <f t="shared" si="49"/>
        <v/>
      </c>
      <c r="P329" s="21" t="str">
        <f t="shared" si="50"/>
        <v/>
      </c>
      <c r="Q329" s="21" t="str">
        <f t="shared" si="51"/>
        <v/>
      </c>
      <c r="R329" s="21" t="str">
        <f t="shared" si="52"/>
        <v/>
      </c>
      <c r="T329" s="10" t="s">
        <v>22</v>
      </c>
      <c r="U329" s="5" t="s">
        <v>22</v>
      </c>
      <c r="V329" s="5" t="s">
        <v>22</v>
      </c>
      <c r="W329" s="5" t="s">
        <v>22</v>
      </c>
      <c r="X329" s="5" t="s">
        <v>22</v>
      </c>
      <c r="Y329" s="5" t="s">
        <v>22</v>
      </c>
      <c r="Z329" s="5" t="s">
        <v>22</v>
      </c>
      <c r="AB329" s="5" t="s">
        <v>22</v>
      </c>
      <c r="AC329" s="5" t="s">
        <v>22</v>
      </c>
      <c r="AD329" s="5" t="s">
        <v>22</v>
      </c>
      <c r="AE329" s="5" t="s">
        <v>22</v>
      </c>
      <c r="AF329" s="5" t="s">
        <v>22</v>
      </c>
      <c r="AG329" s="5" t="s">
        <v>22</v>
      </c>
      <c r="AH329" s="5" t="s">
        <v>22</v>
      </c>
      <c r="AJ329" s="5" t="s">
        <v>22</v>
      </c>
      <c r="AK329" s="5" t="s">
        <v>22</v>
      </c>
      <c r="AL329" s="5" t="s">
        <v>22</v>
      </c>
      <c r="AM329" s="5" t="s">
        <v>22</v>
      </c>
      <c r="AN329" s="5" t="s">
        <v>22</v>
      </c>
      <c r="AO329" s="5" t="s">
        <v>22</v>
      </c>
      <c r="AP329" s="5" t="s">
        <v>22</v>
      </c>
    </row>
    <row r="330" spans="11:42">
      <c r="K330" s="19">
        <v>326</v>
      </c>
      <c r="L330" s="21" t="str">
        <f t="shared" si="46"/>
        <v/>
      </c>
      <c r="M330" s="21" t="str">
        <f t="shared" si="47"/>
        <v/>
      </c>
      <c r="N330" s="21" t="str">
        <f t="shared" si="48"/>
        <v/>
      </c>
      <c r="O330" s="21" t="str">
        <f t="shared" si="49"/>
        <v/>
      </c>
      <c r="P330" s="21" t="str">
        <f t="shared" si="50"/>
        <v/>
      </c>
      <c r="Q330" s="21" t="str">
        <f t="shared" si="51"/>
        <v/>
      </c>
      <c r="R330" s="21" t="str">
        <f t="shared" si="52"/>
        <v/>
      </c>
      <c r="T330" s="10" t="s">
        <v>22</v>
      </c>
      <c r="U330" s="5" t="s">
        <v>22</v>
      </c>
      <c r="V330" s="5" t="s">
        <v>22</v>
      </c>
      <c r="W330" s="5" t="s">
        <v>22</v>
      </c>
      <c r="X330" s="5" t="s">
        <v>22</v>
      </c>
      <c r="Y330" s="5" t="s">
        <v>22</v>
      </c>
      <c r="Z330" s="5" t="s">
        <v>22</v>
      </c>
      <c r="AB330" s="5" t="s">
        <v>22</v>
      </c>
      <c r="AC330" s="5" t="s">
        <v>22</v>
      </c>
      <c r="AD330" s="5" t="s">
        <v>22</v>
      </c>
      <c r="AE330" s="5" t="s">
        <v>22</v>
      </c>
      <c r="AF330" s="5" t="s">
        <v>22</v>
      </c>
      <c r="AG330" s="5" t="s">
        <v>22</v>
      </c>
      <c r="AH330" s="5" t="s">
        <v>22</v>
      </c>
      <c r="AJ330" s="5" t="s">
        <v>22</v>
      </c>
      <c r="AK330" s="5" t="s">
        <v>22</v>
      </c>
      <c r="AL330" s="5" t="s">
        <v>22</v>
      </c>
      <c r="AM330" s="5" t="s">
        <v>22</v>
      </c>
      <c r="AN330" s="5" t="s">
        <v>22</v>
      </c>
      <c r="AO330" s="5" t="s">
        <v>22</v>
      </c>
      <c r="AP330" s="5" t="s">
        <v>22</v>
      </c>
    </row>
    <row r="331" spans="11:42">
      <c r="K331" s="18">
        <v>327</v>
      </c>
      <c r="L331" s="21" t="str">
        <f t="shared" si="46"/>
        <v/>
      </c>
      <c r="M331" s="21" t="str">
        <f t="shared" si="47"/>
        <v/>
      </c>
      <c r="N331" s="21" t="str">
        <f t="shared" si="48"/>
        <v/>
      </c>
      <c r="O331" s="21" t="str">
        <f t="shared" si="49"/>
        <v/>
      </c>
      <c r="P331" s="21" t="str">
        <f t="shared" si="50"/>
        <v/>
      </c>
      <c r="Q331" s="21" t="str">
        <f t="shared" si="51"/>
        <v/>
      </c>
      <c r="R331" s="21" t="str">
        <f t="shared" si="52"/>
        <v/>
      </c>
      <c r="T331" s="10" t="s">
        <v>22</v>
      </c>
      <c r="U331" s="5" t="s">
        <v>22</v>
      </c>
      <c r="V331" s="5" t="s">
        <v>22</v>
      </c>
      <c r="W331" s="5" t="s">
        <v>22</v>
      </c>
      <c r="X331" s="5" t="s">
        <v>22</v>
      </c>
      <c r="Y331" s="5" t="s">
        <v>22</v>
      </c>
      <c r="Z331" s="5" t="s">
        <v>22</v>
      </c>
      <c r="AB331" s="5" t="s">
        <v>22</v>
      </c>
      <c r="AC331" s="5" t="s">
        <v>22</v>
      </c>
      <c r="AD331" s="5" t="s">
        <v>22</v>
      </c>
      <c r="AE331" s="5" t="s">
        <v>22</v>
      </c>
      <c r="AF331" s="5" t="s">
        <v>22</v>
      </c>
      <c r="AG331" s="5" t="s">
        <v>22</v>
      </c>
      <c r="AH331" s="5" t="s">
        <v>22</v>
      </c>
      <c r="AJ331" s="5" t="s">
        <v>22</v>
      </c>
      <c r="AK331" s="5" t="s">
        <v>22</v>
      </c>
      <c r="AL331" s="5" t="s">
        <v>22</v>
      </c>
      <c r="AM331" s="5" t="s">
        <v>22</v>
      </c>
      <c r="AN331" s="5" t="s">
        <v>22</v>
      </c>
      <c r="AO331" s="5" t="s">
        <v>22</v>
      </c>
      <c r="AP331" s="5" t="s">
        <v>22</v>
      </c>
    </row>
    <row r="332" spans="11:42">
      <c r="K332" s="19">
        <v>328</v>
      </c>
      <c r="L332" s="21" t="str">
        <f t="shared" si="46"/>
        <v/>
      </c>
      <c r="M332" s="21" t="str">
        <f t="shared" si="47"/>
        <v/>
      </c>
      <c r="N332" s="21" t="str">
        <f t="shared" si="48"/>
        <v/>
      </c>
      <c r="O332" s="21" t="str">
        <f t="shared" si="49"/>
        <v/>
      </c>
      <c r="P332" s="21" t="str">
        <f t="shared" si="50"/>
        <v/>
      </c>
      <c r="Q332" s="21" t="str">
        <f t="shared" si="51"/>
        <v/>
      </c>
      <c r="R332" s="21" t="str">
        <f t="shared" si="52"/>
        <v/>
      </c>
      <c r="T332" s="10" t="s">
        <v>22</v>
      </c>
      <c r="U332" s="5" t="s">
        <v>22</v>
      </c>
      <c r="V332" s="5" t="s">
        <v>22</v>
      </c>
      <c r="W332" s="5" t="s">
        <v>22</v>
      </c>
      <c r="X332" s="5" t="s">
        <v>22</v>
      </c>
      <c r="Y332" s="5" t="s">
        <v>22</v>
      </c>
      <c r="Z332" s="5" t="s">
        <v>22</v>
      </c>
      <c r="AB332" s="5" t="s">
        <v>22</v>
      </c>
      <c r="AC332" s="5" t="s">
        <v>22</v>
      </c>
      <c r="AD332" s="5" t="s">
        <v>22</v>
      </c>
      <c r="AE332" s="5" t="s">
        <v>22</v>
      </c>
      <c r="AF332" s="5" t="s">
        <v>22</v>
      </c>
      <c r="AG332" s="5" t="s">
        <v>22</v>
      </c>
      <c r="AH332" s="5" t="s">
        <v>22</v>
      </c>
      <c r="AJ332" s="5" t="s">
        <v>22</v>
      </c>
      <c r="AK332" s="5" t="s">
        <v>22</v>
      </c>
      <c r="AL332" s="5" t="s">
        <v>22</v>
      </c>
      <c r="AM332" s="5" t="s">
        <v>22</v>
      </c>
      <c r="AN332" s="5" t="s">
        <v>22</v>
      </c>
      <c r="AO332" s="5" t="s">
        <v>22</v>
      </c>
      <c r="AP332" s="5" t="s">
        <v>22</v>
      </c>
    </row>
    <row r="333" spans="11:42">
      <c r="K333" s="18">
        <v>329</v>
      </c>
      <c r="L333" s="21" t="str">
        <f t="shared" si="46"/>
        <v/>
      </c>
      <c r="M333" s="21" t="str">
        <f t="shared" si="47"/>
        <v/>
      </c>
      <c r="N333" s="21" t="str">
        <f t="shared" si="48"/>
        <v/>
      </c>
      <c r="O333" s="21" t="str">
        <f t="shared" si="49"/>
        <v/>
      </c>
      <c r="P333" s="21" t="str">
        <f t="shared" si="50"/>
        <v/>
      </c>
      <c r="Q333" s="21" t="str">
        <f t="shared" si="51"/>
        <v/>
      </c>
      <c r="R333" s="21" t="str">
        <f t="shared" si="52"/>
        <v/>
      </c>
      <c r="T333" s="10" t="s">
        <v>22</v>
      </c>
      <c r="U333" s="5" t="s">
        <v>22</v>
      </c>
      <c r="V333" s="5" t="s">
        <v>22</v>
      </c>
      <c r="W333" s="5" t="s">
        <v>22</v>
      </c>
      <c r="X333" s="5" t="s">
        <v>22</v>
      </c>
      <c r="Y333" s="5" t="s">
        <v>22</v>
      </c>
      <c r="Z333" s="5" t="s">
        <v>22</v>
      </c>
      <c r="AB333" s="5" t="s">
        <v>22</v>
      </c>
      <c r="AC333" s="5" t="s">
        <v>22</v>
      </c>
      <c r="AD333" s="5" t="s">
        <v>22</v>
      </c>
      <c r="AE333" s="5" t="s">
        <v>22</v>
      </c>
      <c r="AF333" s="5" t="s">
        <v>22</v>
      </c>
      <c r="AG333" s="5" t="s">
        <v>22</v>
      </c>
      <c r="AH333" s="5" t="s">
        <v>22</v>
      </c>
      <c r="AJ333" s="5" t="s">
        <v>22</v>
      </c>
      <c r="AK333" s="5" t="s">
        <v>22</v>
      </c>
      <c r="AL333" s="5" t="s">
        <v>22</v>
      </c>
      <c r="AM333" s="5" t="s">
        <v>22</v>
      </c>
      <c r="AN333" s="5" t="s">
        <v>22</v>
      </c>
      <c r="AO333" s="5" t="s">
        <v>22</v>
      </c>
      <c r="AP333" s="5" t="s">
        <v>22</v>
      </c>
    </row>
    <row r="334" spans="11:42">
      <c r="K334" s="19">
        <v>330</v>
      </c>
      <c r="L334" s="21" t="str">
        <f t="shared" si="46"/>
        <v/>
      </c>
      <c r="M334" s="21" t="str">
        <f t="shared" si="47"/>
        <v/>
      </c>
      <c r="N334" s="21" t="str">
        <f t="shared" si="48"/>
        <v/>
      </c>
      <c r="O334" s="21" t="str">
        <f t="shared" si="49"/>
        <v/>
      </c>
      <c r="P334" s="21" t="str">
        <f t="shared" si="50"/>
        <v/>
      </c>
      <c r="Q334" s="21" t="str">
        <f t="shared" si="51"/>
        <v/>
      </c>
      <c r="R334" s="21" t="str">
        <f t="shared" si="52"/>
        <v/>
      </c>
      <c r="T334" s="10" t="s">
        <v>22</v>
      </c>
      <c r="U334" s="5" t="s">
        <v>22</v>
      </c>
      <c r="V334" s="5" t="s">
        <v>22</v>
      </c>
      <c r="W334" s="5" t="s">
        <v>22</v>
      </c>
      <c r="X334" s="5" t="s">
        <v>22</v>
      </c>
      <c r="Y334" s="5" t="s">
        <v>22</v>
      </c>
      <c r="Z334" s="5" t="s">
        <v>22</v>
      </c>
      <c r="AB334" s="5" t="s">
        <v>22</v>
      </c>
      <c r="AC334" s="5" t="s">
        <v>22</v>
      </c>
      <c r="AD334" s="5" t="s">
        <v>22</v>
      </c>
      <c r="AE334" s="5" t="s">
        <v>22</v>
      </c>
      <c r="AF334" s="5" t="s">
        <v>22</v>
      </c>
      <c r="AG334" s="5" t="s">
        <v>22</v>
      </c>
      <c r="AH334" s="5" t="s">
        <v>22</v>
      </c>
      <c r="AJ334" s="5" t="s">
        <v>22</v>
      </c>
      <c r="AK334" s="5" t="s">
        <v>22</v>
      </c>
      <c r="AL334" s="5" t="s">
        <v>22</v>
      </c>
      <c r="AM334" s="5" t="s">
        <v>22</v>
      </c>
      <c r="AN334" s="5" t="s">
        <v>22</v>
      </c>
      <c r="AO334" s="5" t="s">
        <v>22</v>
      </c>
      <c r="AP334" s="5" t="s">
        <v>22</v>
      </c>
    </row>
    <row r="335" spans="11:42">
      <c r="K335" s="18">
        <v>331</v>
      </c>
      <c r="L335" s="21" t="str">
        <f t="shared" si="46"/>
        <v/>
      </c>
      <c r="M335" s="21" t="str">
        <f t="shared" si="47"/>
        <v/>
      </c>
      <c r="N335" s="21" t="str">
        <f t="shared" si="48"/>
        <v/>
      </c>
      <c r="O335" s="21" t="str">
        <f t="shared" si="49"/>
        <v/>
      </c>
      <c r="P335" s="21" t="str">
        <f t="shared" si="50"/>
        <v/>
      </c>
      <c r="Q335" s="21" t="str">
        <f t="shared" si="51"/>
        <v/>
      </c>
      <c r="R335" s="21" t="str">
        <f t="shared" si="52"/>
        <v/>
      </c>
      <c r="T335" s="10" t="s">
        <v>22</v>
      </c>
      <c r="U335" s="5" t="s">
        <v>22</v>
      </c>
      <c r="V335" s="5" t="s">
        <v>22</v>
      </c>
      <c r="W335" s="5" t="s">
        <v>22</v>
      </c>
      <c r="X335" s="5" t="s">
        <v>22</v>
      </c>
      <c r="Y335" s="5" t="s">
        <v>22</v>
      </c>
      <c r="Z335" s="5" t="s">
        <v>22</v>
      </c>
      <c r="AB335" s="5" t="s">
        <v>22</v>
      </c>
      <c r="AC335" s="5" t="s">
        <v>22</v>
      </c>
      <c r="AD335" s="5" t="s">
        <v>22</v>
      </c>
      <c r="AE335" s="5" t="s">
        <v>22</v>
      </c>
      <c r="AF335" s="5" t="s">
        <v>22</v>
      </c>
      <c r="AG335" s="5" t="s">
        <v>22</v>
      </c>
      <c r="AH335" s="5" t="s">
        <v>22</v>
      </c>
      <c r="AJ335" s="5" t="s">
        <v>22</v>
      </c>
      <c r="AK335" s="5" t="s">
        <v>22</v>
      </c>
      <c r="AL335" s="5" t="s">
        <v>22</v>
      </c>
      <c r="AM335" s="5" t="s">
        <v>22</v>
      </c>
      <c r="AN335" s="5" t="s">
        <v>22</v>
      </c>
      <c r="AO335" s="5" t="s">
        <v>22</v>
      </c>
      <c r="AP335" s="5" t="s">
        <v>22</v>
      </c>
    </row>
    <row r="336" spans="11:42">
      <c r="K336" s="19">
        <v>332</v>
      </c>
      <c r="L336" s="21" t="str">
        <f t="shared" si="46"/>
        <v/>
      </c>
      <c r="M336" s="21" t="str">
        <f t="shared" si="47"/>
        <v/>
      </c>
      <c r="N336" s="21" t="str">
        <f t="shared" si="48"/>
        <v/>
      </c>
      <c r="O336" s="21" t="str">
        <f t="shared" si="49"/>
        <v/>
      </c>
      <c r="P336" s="21" t="str">
        <f t="shared" si="50"/>
        <v/>
      </c>
      <c r="Q336" s="21" t="str">
        <f t="shared" si="51"/>
        <v/>
      </c>
      <c r="R336" s="21" t="str">
        <f t="shared" si="52"/>
        <v/>
      </c>
      <c r="T336" s="10" t="s">
        <v>22</v>
      </c>
      <c r="U336" s="5" t="s">
        <v>22</v>
      </c>
      <c r="V336" s="5" t="s">
        <v>22</v>
      </c>
      <c r="W336" s="5" t="s">
        <v>22</v>
      </c>
      <c r="X336" s="5" t="s">
        <v>22</v>
      </c>
      <c r="Y336" s="5" t="s">
        <v>22</v>
      </c>
      <c r="Z336" s="5" t="s">
        <v>22</v>
      </c>
      <c r="AB336" s="5" t="s">
        <v>22</v>
      </c>
      <c r="AC336" s="5" t="s">
        <v>22</v>
      </c>
      <c r="AD336" s="5" t="s">
        <v>22</v>
      </c>
      <c r="AE336" s="5" t="s">
        <v>22</v>
      </c>
      <c r="AF336" s="5" t="s">
        <v>22</v>
      </c>
      <c r="AG336" s="5" t="s">
        <v>22</v>
      </c>
      <c r="AH336" s="5" t="s">
        <v>22</v>
      </c>
      <c r="AJ336" s="5" t="s">
        <v>22</v>
      </c>
      <c r="AK336" s="5" t="s">
        <v>22</v>
      </c>
      <c r="AL336" s="5" t="s">
        <v>22</v>
      </c>
      <c r="AM336" s="5" t="s">
        <v>22</v>
      </c>
      <c r="AN336" s="5" t="s">
        <v>22</v>
      </c>
      <c r="AO336" s="5" t="s">
        <v>22</v>
      </c>
      <c r="AP336" s="5" t="s">
        <v>22</v>
      </c>
    </row>
    <row r="337" spans="11:42">
      <c r="K337" s="18">
        <v>333</v>
      </c>
      <c r="L337" s="21" t="str">
        <f t="shared" si="46"/>
        <v/>
      </c>
      <c r="M337" s="21" t="str">
        <f t="shared" si="47"/>
        <v/>
      </c>
      <c r="N337" s="21" t="str">
        <f t="shared" si="48"/>
        <v/>
      </c>
      <c r="O337" s="21" t="str">
        <f t="shared" si="49"/>
        <v/>
      </c>
      <c r="P337" s="21" t="str">
        <f t="shared" si="50"/>
        <v/>
      </c>
      <c r="Q337" s="21" t="str">
        <f t="shared" si="51"/>
        <v/>
      </c>
      <c r="R337" s="21" t="str">
        <f t="shared" si="52"/>
        <v/>
      </c>
      <c r="T337" s="10" t="s">
        <v>22</v>
      </c>
      <c r="U337" s="5" t="s">
        <v>22</v>
      </c>
      <c r="V337" s="5" t="s">
        <v>22</v>
      </c>
      <c r="W337" s="5" t="s">
        <v>22</v>
      </c>
      <c r="X337" s="5" t="s">
        <v>22</v>
      </c>
      <c r="Y337" s="5" t="s">
        <v>22</v>
      </c>
      <c r="Z337" s="5" t="s">
        <v>22</v>
      </c>
      <c r="AB337" s="5" t="s">
        <v>22</v>
      </c>
      <c r="AC337" s="5" t="s">
        <v>22</v>
      </c>
      <c r="AD337" s="5" t="s">
        <v>22</v>
      </c>
      <c r="AE337" s="5" t="s">
        <v>22</v>
      </c>
      <c r="AF337" s="5" t="s">
        <v>22</v>
      </c>
      <c r="AG337" s="5" t="s">
        <v>22</v>
      </c>
      <c r="AH337" s="5" t="s">
        <v>22</v>
      </c>
      <c r="AJ337" s="5" t="s">
        <v>22</v>
      </c>
      <c r="AK337" s="5" t="s">
        <v>22</v>
      </c>
      <c r="AL337" s="5" t="s">
        <v>22</v>
      </c>
      <c r="AM337" s="5" t="s">
        <v>22</v>
      </c>
      <c r="AN337" s="5" t="s">
        <v>22</v>
      </c>
      <c r="AO337" s="5" t="s">
        <v>22</v>
      </c>
      <c r="AP337" s="5" t="s">
        <v>22</v>
      </c>
    </row>
    <row r="338" spans="11:42">
      <c r="K338" s="19">
        <v>334</v>
      </c>
      <c r="L338" s="21" t="str">
        <f t="shared" si="46"/>
        <v/>
      </c>
      <c r="M338" s="21" t="str">
        <f t="shared" si="47"/>
        <v/>
      </c>
      <c r="N338" s="21" t="str">
        <f t="shared" si="48"/>
        <v/>
      </c>
      <c r="O338" s="21" t="str">
        <f t="shared" si="49"/>
        <v/>
      </c>
      <c r="P338" s="21" t="str">
        <f t="shared" si="50"/>
        <v/>
      </c>
      <c r="Q338" s="21" t="str">
        <f t="shared" si="51"/>
        <v/>
      </c>
      <c r="R338" s="21" t="str">
        <f t="shared" ref="R338:R369" si="53">IF(Z338&lt;&gt;"",_xlfn.XLOOKUP(Z338,$K$4:$K$27,$A$4:$A$27),"")</f>
        <v/>
      </c>
      <c r="T338" s="10" t="s">
        <v>22</v>
      </c>
      <c r="U338" s="5" t="s">
        <v>22</v>
      </c>
      <c r="V338" s="5" t="s">
        <v>22</v>
      </c>
      <c r="W338" s="5" t="s">
        <v>22</v>
      </c>
      <c r="X338" s="5" t="s">
        <v>22</v>
      </c>
      <c r="Y338" s="5" t="s">
        <v>22</v>
      </c>
      <c r="Z338" s="5" t="s">
        <v>22</v>
      </c>
      <c r="AB338" s="5" t="s">
        <v>22</v>
      </c>
      <c r="AC338" s="5" t="s">
        <v>22</v>
      </c>
      <c r="AD338" s="5" t="s">
        <v>22</v>
      </c>
      <c r="AE338" s="5" t="s">
        <v>22</v>
      </c>
      <c r="AF338" s="5" t="s">
        <v>22</v>
      </c>
      <c r="AG338" s="5" t="s">
        <v>22</v>
      </c>
      <c r="AH338" s="5" t="s">
        <v>22</v>
      </c>
      <c r="AJ338" s="5" t="s">
        <v>22</v>
      </c>
      <c r="AK338" s="5" t="s">
        <v>22</v>
      </c>
      <c r="AL338" s="5" t="s">
        <v>22</v>
      </c>
      <c r="AM338" s="5" t="s">
        <v>22</v>
      </c>
      <c r="AN338" s="5" t="s">
        <v>22</v>
      </c>
      <c r="AO338" s="5" t="s">
        <v>22</v>
      </c>
      <c r="AP338" s="5" t="s">
        <v>22</v>
      </c>
    </row>
    <row r="339" spans="11:42">
      <c r="K339" s="18">
        <v>335</v>
      </c>
      <c r="L339" s="21" t="str">
        <f t="shared" si="46"/>
        <v/>
      </c>
      <c r="M339" s="21" t="str">
        <f t="shared" si="47"/>
        <v/>
      </c>
      <c r="N339" s="21" t="str">
        <f t="shared" si="48"/>
        <v/>
      </c>
      <c r="O339" s="21" t="str">
        <f t="shared" si="49"/>
        <v/>
      </c>
      <c r="P339" s="21" t="str">
        <f t="shared" si="50"/>
        <v/>
      </c>
      <c r="Q339" s="21" t="str">
        <f t="shared" si="51"/>
        <v/>
      </c>
      <c r="R339" s="21" t="str">
        <f t="shared" si="53"/>
        <v/>
      </c>
      <c r="T339" s="10" t="s">
        <v>22</v>
      </c>
      <c r="U339" s="5" t="s">
        <v>22</v>
      </c>
      <c r="V339" s="5" t="s">
        <v>22</v>
      </c>
      <c r="W339" s="5" t="s">
        <v>22</v>
      </c>
      <c r="X339" s="5" t="s">
        <v>22</v>
      </c>
      <c r="Y339" s="5" t="s">
        <v>22</v>
      </c>
      <c r="Z339" s="5" t="s">
        <v>22</v>
      </c>
      <c r="AB339" s="5" t="s">
        <v>22</v>
      </c>
      <c r="AC339" s="5" t="s">
        <v>22</v>
      </c>
      <c r="AD339" s="5" t="s">
        <v>22</v>
      </c>
      <c r="AE339" s="5" t="s">
        <v>22</v>
      </c>
      <c r="AF339" s="5" t="s">
        <v>22</v>
      </c>
      <c r="AG339" s="5" t="s">
        <v>22</v>
      </c>
      <c r="AH339" s="5" t="s">
        <v>22</v>
      </c>
      <c r="AJ339" s="5" t="s">
        <v>22</v>
      </c>
      <c r="AK339" s="5" t="s">
        <v>22</v>
      </c>
      <c r="AL339" s="5" t="s">
        <v>22</v>
      </c>
      <c r="AM339" s="5" t="s">
        <v>22</v>
      </c>
      <c r="AN339" s="5" t="s">
        <v>22</v>
      </c>
      <c r="AO339" s="5" t="s">
        <v>22</v>
      </c>
      <c r="AP339" s="5" t="s">
        <v>22</v>
      </c>
    </row>
    <row r="340" spans="11:42">
      <c r="K340" s="19">
        <v>336</v>
      </c>
      <c r="L340" s="21" t="str">
        <f t="shared" si="46"/>
        <v/>
      </c>
      <c r="M340" s="21" t="str">
        <f t="shared" si="47"/>
        <v/>
      </c>
      <c r="N340" s="21" t="str">
        <f t="shared" si="48"/>
        <v/>
      </c>
      <c r="O340" s="21" t="str">
        <f t="shared" si="49"/>
        <v/>
      </c>
      <c r="P340" s="21" t="str">
        <f t="shared" si="50"/>
        <v/>
      </c>
      <c r="Q340" s="21" t="str">
        <f t="shared" si="51"/>
        <v/>
      </c>
      <c r="R340" s="21" t="str">
        <f t="shared" si="53"/>
        <v/>
      </c>
      <c r="T340" s="10" t="s">
        <v>22</v>
      </c>
      <c r="U340" s="5" t="s">
        <v>22</v>
      </c>
      <c r="V340" s="5" t="s">
        <v>22</v>
      </c>
      <c r="W340" s="5" t="s">
        <v>22</v>
      </c>
      <c r="X340" s="5" t="s">
        <v>22</v>
      </c>
      <c r="Y340" s="5" t="s">
        <v>22</v>
      </c>
      <c r="Z340" s="5" t="s">
        <v>22</v>
      </c>
      <c r="AB340" s="5" t="s">
        <v>22</v>
      </c>
      <c r="AC340" s="5" t="s">
        <v>22</v>
      </c>
      <c r="AD340" s="5" t="s">
        <v>22</v>
      </c>
      <c r="AE340" s="5" t="s">
        <v>22</v>
      </c>
      <c r="AF340" s="5" t="s">
        <v>22</v>
      </c>
      <c r="AG340" s="5" t="s">
        <v>22</v>
      </c>
      <c r="AH340" s="5" t="s">
        <v>22</v>
      </c>
      <c r="AJ340" s="5" t="s">
        <v>22</v>
      </c>
      <c r="AK340" s="5" t="s">
        <v>22</v>
      </c>
      <c r="AL340" s="5" t="s">
        <v>22</v>
      </c>
      <c r="AM340" s="5" t="s">
        <v>22</v>
      </c>
      <c r="AN340" s="5" t="s">
        <v>22</v>
      </c>
      <c r="AO340" s="5" t="s">
        <v>22</v>
      </c>
      <c r="AP340" s="5" t="s">
        <v>22</v>
      </c>
    </row>
    <row r="341" spans="11:42">
      <c r="K341" s="18">
        <v>337</v>
      </c>
      <c r="L341" s="21" t="str">
        <f t="shared" si="46"/>
        <v/>
      </c>
      <c r="M341" s="21" t="str">
        <f t="shared" si="47"/>
        <v/>
      </c>
      <c r="N341" s="21" t="str">
        <f t="shared" si="48"/>
        <v/>
      </c>
      <c r="O341" s="21" t="str">
        <f t="shared" si="49"/>
        <v/>
      </c>
      <c r="P341" s="21" t="str">
        <f t="shared" si="50"/>
        <v/>
      </c>
      <c r="Q341" s="21" t="str">
        <f t="shared" si="51"/>
        <v/>
      </c>
      <c r="R341" s="21" t="str">
        <f t="shared" si="53"/>
        <v/>
      </c>
      <c r="T341" s="10" t="s">
        <v>22</v>
      </c>
      <c r="U341" s="5" t="s">
        <v>22</v>
      </c>
      <c r="V341" s="5" t="s">
        <v>22</v>
      </c>
      <c r="W341" s="5" t="s">
        <v>22</v>
      </c>
      <c r="X341" s="5" t="s">
        <v>22</v>
      </c>
      <c r="Y341" s="5" t="s">
        <v>22</v>
      </c>
      <c r="Z341" s="5" t="s">
        <v>22</v>
      </c>
      <c r="AB341" s="5" t="s">
        <v>22</v>
      </c>
      <c r="AC341" s="5" t="s">
        <v>22</v>
      </c>
      <c r="AD341" s="5" t="s">
        <v>22</v>
      </c>
      <c r="AE341" s="5" t="s">
        <v>22</v>
      </c>
      <c r="AF341" s="5" t="s">
        <v>22</v>
      </c>
      <c r="AG341" s="5" t="s">
        <v>22</v>
      </c>
      <c r="AH341" s="5" t="s">
        <v>22</v>
      </c>
      <c r="AJ341" s="5" t="s">
        <v>22</v>
      </c>
      <c r="AK341" s="5" t="s">
        <v>22</v>
      </c>
      <c r="AL341" s="5" t="s">
        <v>22</v>
      </c>
      <c r="AM341" s="5" t="s">
        <v>22</v>
      </c>
      <c r="AN341" s="5" t="s">
        <v>22</v>
      </c>
      <c r="AO341" s="5" t="s">
        <v>22</v>
      </c>
      <c r="AP341" s="5" t="s">
        <v>22</v>
      </c>
    </row>
    <row r="342" spans="11:42">
      <c r="K342" s="19">
        <v>338</v>
      </c>
      <c r="L342" s="21" t="str">
        <f t="shared" ref="L342:L373" si="54">IF(T342&lt;&gt;"",_xlfn.XLOOKUP(T342,$K$4:$K$27,$A$4:$A$27),"")</f>
        <v/>
      </c>
      <c r="M342" s="21" t="str">
        <f t="shared" ref="M342:M373" si="55">IF(U342&lt;&gt;"",_xlfn.XLOOKUP(U342,$K$4:$K$27,$A$4:$A$27),"")</f>
        <v/>
      </c>
      <c r="N342" s="21" t="str">
        <f t="shared" ref="N342:N373" si="56">IF(V342&lt;&gt;"",_xlfn.XLOOKUP(V342,$K$4:$K$27,$A$4:$A$27),"")</f>
        <v/>
      </c>
      <c r="O342" s="21" t="str">
        <f t="shared" ref="O342:O373" si="57">IF(W342&lt;&gt;"",_xlfn.XLOOKUP(W342,$K$4:$K$27,$A$4:$A$27),"")</f>
        <v/>
      </c>
      <c r="P342" s="21" t="str">
        <f t="shared" ref="P342:P373" si="58">IF(X342&lt;&gt;"",_xlfn.XLOOKUP(X342,$K$4:$K$27,$A$4:$A$27),"")</f>
        <v/>
      </c>
      <c r="Q342" s="21" t="str">
        <f t="shared" ref="Q342:Q373" si="59">IF(Y342&lt;&gt;"",_xlfn.XLOOKUP(Y342,$K$4:$K$27,$A$4:$A$27),"")</f>
        <v/>
      </c>
      <c r="R342" s="21" t="str">
        <f t="shared" si="53"/>
        <v/>
      </c>
      <c r="T342" s="10" t="s">
        <v>22</v>
      </c>
      <c r="U342" s="5" t="s">
        <v>22</v>
      </c>
      <c r="V342" s="5" t="s">
        <v>22</v>
      </c>
      <c r="W342" s="5" t="s">
        <v>22</v>
      </c>
      <c r="X342" s="5" t="s">
        <v>22</v>
      </c>
      <c r="Y342" s="5" t="s">
        <v>22</v>
      </c>
      <c r="Z342" s="5" t="s">
        <v>22</v>
      </c>
      <c r="AB342" s="5" t="s">
        <v>22</v>
      </c>
      <c r="AC342" s="5" t="s">
        <v>22</v>
      </c>
      <c r="AD342" s="5" t="s">
        <v>22</v>
      </c>
      <c r="AE342" s="5" t="s">
        <v>22</v>
      </c>
      <c r="AF342" s="5" t="s">
        <v>22</v>
      </c>
      <c r="AG342" s="5" t="s">
        <v>22</v>
      </c>
      <c r="AH342" s="5" t="s">
        <v>22</v>
      </c>
      <c r="AJ342" s="5" t="s">
        <v>22</v>
      </c>
      <c r="AK342" s="5" t="s">
        <v>22</v>
      </c>
      <c r="AL342" s="5" t="s">
        <v>22</v>
      </c>
      <c r="AM342" s="5" t="s">
        <v>22</v>
      </c>
      <c r="AN342" s="5" t="s">
        <v>22</v>
      </c>
      <c r="AO342" s="5" t="s">
        <v>22</v>
      </c>
      <c r="AP342" s="5" t="s">
        <v>22</v>
      </c>
    </row>
    <row r="343" spans="11:42">
      <c r="K343" s="18">
        <v>339</v>
      </c>
      <c r="L343" s="21" t="str">
        <f t="shared" si="54"/>
        <v/>
      </c>
      <c r="M343" s="21" t="str">
        <f t="shared" si="55"/>
        <v/>
      </c>
      <c r="N343" s="21" t="str">
        <f t="shared" si="56"/>
        <v/>
      </c>
      <c r="O343" s="21" t="str">
        <f t="shared" si="57"/>
        <v/>
      </c>
      <c r="P343" s="21" t="str">
        <f t="shared" si="58"/>
        <v/>
      </c>
      <c r="Q343" s="21" t="str">
        <f t="shared" si="59"/>
        <v/>
      </c>
      <c r="R343" s="21" t="str">
        <f t="shared" si="53"/>
        <v/>
      </c>
      <c r="T343" s="10" t="s">
        <v>22</v>
      </c>
      <c r="U343" s="5" t="s">
        <v>22</v>
      </c>
      <c r="V343" s="5" t="s">
        <v>22</v>
      </c>
      <c r="W343" s="5" t="s">
        <v>22</v>
      </c>
      <c r="X343" s="5" t="s">
        <v>22</v>
      </c>
      <c r="Y343" s="5" t="s">
        <v>22</v>
      </c>
      <c r="Z343" s="5" t="s">
        <v>22</v>
      </c>
      <c r="AB343" s="5" t="s">
        <v>22</v>
      </c>
      <c r="AC343" s="5" t="s">
        <v>22</v>
      </c>
      <c r="AD343" s="5" t="s">
        <v>22</v>
      </c>
      <c r="AE343" s="5" t="s">
        <v>22</v>
      </c>
      <c r="AF343" s="5" t="s">
        <v>22</v>
      </c>
      <c r="AG343" s="5" t="s">
        <v>22</v>
      </c>
      <c r="AH343" s="5" t="s">
        <v>22</v>
      </c>
      <c r="AJ343" s="5" t="s">
        <v>22</v>
      </c>
      <c r="AK343" s="5" t="s">
        <v>22</v>
      </c>
      <c r="AL343" s="5" t="s">
        <v>22</v>
      </c>
      <c r="AM343" s="5" t="s">
        <v>22</v>
      </c>
      <c r="AN343" s="5" t="s">
        <v>22</v>
      </c>
      <c r="AO343" s="5" t="s">
        <v>22</v>
      </c>
      <c r="AP343" s="5" t="s">
        <v>22</v>
      </c>
    </row>
    <row r="344" spans="11:42">
      <c r="K344" s="19">
        <v>340</v>
      </c>
      <c r="L344" s="21" t="str">
        <f t="shared" si="54"/>
        <v/>
      </c>
      <c r="M344" s="21" t="str">
        <f t="shared" si="55"/>
        <v/>
      </c>
      <c r="N344" s="21" t="str">
        <f t="shared" si="56"/>
        <v/>
      </c>
      <c r="O344" s="21" t="str">
        <f t="shared" si="57"/>
        <v/>
      </c>
      <c r="P344" s="21" t="str">
        <f t="shared" si="58"/>
        <v/>
      </c>
      <c r="Q344" s="21" t="str">
        <f t="shared" si="59"/>
        <v/>
      </c>
      <c r="R344" s="21" t="str">
        <f t="shared" si="53"/>
        <v/>
      </c>
      <c r="T344" s="10" t="s">
        <v>22</v>
      </c>
      <c r="U344" s="5" t="s">
        <v>22</v>
      </c>
      <c r="V344" s="5" t="s">
        <v>22</v>
      </c>
      <c r="W344" s="5" t="s">
        <v>22</v>
      </c>
      <c r="X344" s="5" t="s">
        <v>22</v>
      </c>
      <c r="Y344" s="5" t="s">
        <v>22</v>
      </c>
      <c r="Z344" s="5" t="s">
        <v>22</v>
      </c>
      <c r="AB344" s="5" t="s">
        <v>22</v>
      </c>
      <c r="AC344" s="5" t="s">
        <v>22</v>
      </c>
      <c r="AD344" s="5" t="s">
        <v>22</v>
      </c>
      <c r="AE344" s="5" t="s">
        <v>22</v>
      </c>
      <c r="AF344" s="5" t="s">
        <v>22</v>
      </c>
      <c r="AG344" s="5" t="s">
        <v>22</v>
      </c>
      <c r="AH344" s="5" t="s">
        <v>22</v>
      </c>
      <c r="AJ344" s="5" t="s">
        <v>22</v>
      </c>
      <c r="AK344" s="5" t="s">
        <v>22</v>
      </c>
      <c r="AL344" s="5" t="s">
        <v>22</v>
      </c>
      <c r="AM344" s="5" t="s">
        <v>22</v>
      </c>
      <c r="AN344" s="5" t="s">
        <v>22</v>
      </c>
      <c r="AO344" s="5" t="s">
        <v>22</v>
      </c>
      <c r="AP344" s="5" t="s">
        <v>22</v>
      </c>
    </row>
    <row r="345" spans="11:42">
      <c r="K345" s="18">
        <v>341</v>
      </c>
      <c r="L345" s="21" t="str">
        <f t="shared" si="54"/>
        <v/>
      </c>
      <c r="M345" s="21" t="str">
        <f t="shared" si="55"/>
        <v/>
      </c>
      <c r="N345" s="21" t="str">
        <f t="shared" si="56"/>
        <v/>
      </c>
      <c r="O345" s="21" t="str">
        <f t="shared" si="57"/>
        <v/>
      </c>
      <c r="P345" s="21" t="str">
        <f t="shared" si="58"/>
        <v/>
      </c>
      <c r="Q345" s="21" t="str">
        <f t="shared" si="59"/>
        <v/>
      </c>
      <c r="R345" s="21" t="str">
        <f t="shared" si="53"/>
        <v/>
      </c>
      <c r="T345" s="10" t="s">
        <v>22</v>
      </c>
      <c r="U345" s="5" t="s">
        <v>22</v>
      </c>
      <c r="V345" s="5" t="s">
        <v>22</v>
      </c>
      <c r="W345" s="5" t="s">
        <v>22</v>
      </c>
      <c r="X345" s="5" t="s">
        <v>22</v>
      </c>
      <c r="Y345" s="5" t="s">
        <v>22</v>
      </c>
      <c r="Z345" s="5" t="s">
        <v>22</v>
      </c>
      <c r="AB345" s="5" t="s">
        <v>22</v>
      </c>
      <c r="AC345" s="5" t="s">
        <v>22</v>
      </c>
      <c r="AD345" s="5" t="s">
        <v>22</v>
      </c>
      <c r="AE345" s="5" t="s">
        <v>22</v>
      </c>
      <c r="AF345" s="5" t="s">
        <v>22</v>
      </c>
      <c r="AG345" s="5" t="s">
        <v>22</v>
      </c>
      <c r="AH345" s="5" t="s">
        <v>22</v>
      </c>
      <c r="AJ345" s="5" t="s">
        <v>22</v>
      </c>
      <c r="AK345" s="5" t="s">
        <v>22</v>
      </c>
      <c r="AL345" s="5" t="s">
        <v>22</v>
      </c>
      <c r="AM345" s="5" t="s">
        <v>22</v>
      </c>
      <c r="AN345" s="5" t="s">
        <v>22</v>
      </c>
      <c r="AO345" s="5" t="s">
        <v>22</v>
      </c>
      <c r="AP345" s="5" t="s">
        <v>22</v>
      </c>
    </row>
    <row r="346" spans="11:42">
      <c r="K346" s="19">
        <v>342</v>
      </c>
      <c r="L346" s="21" t="str">
        <f t="shared" si="54"/>
        <v/>
      </c>
      <c r="M346" s="21" t="str">
        <f t="shared" si="55"/>
        <v/>
      </c>
      <c r="N346" s="21" t="str">
        <f t="shared" si="56"/>
        <v/>
      </c>
      <c r="O346" s="21" t="str">
        <f t="shared" si="57"/>
        <v/>
      </c>
      <c r="P346" s="21" t="str">
        <f t="shared" si="58"/>
        <v/>
      </c>
      <c r="Q346" s="21" t="str">
        <f t="shared" si="59"/>
        <v/>
      </c>
      <c r="R346" s="21" t="str">
        <f t="shared" si="53"/>
        <v/>
      </c>
      <c r="T346" s="10" t="s">
        <v>22</v>
      </c>
      <c r="U346" s="5" t="s">
        <v>22</v>
      </c>
      <c r="V346" s="5" t="s">
        <v>22</v>
      </c>
      <c r="W346" s="5" t="s">
        <v>22</v>
      </c>
      <c r="X346" s="5" t="s">
        <v>22</v>
      </c>
      <c r="Y346" s="5" t="s">
        <v>22</v>
      </c>
      <c r="Z346" s="5" t="s">
        <v>22</v>
      </c>
      <c r="AB346" s="5" t="s">
        <v>22</v>
      </c>
      <c r="AC346" s="5" t="s">
        <v>22</v>
      </c>
      <c r="AD346" s="5" t="s">
        <v>22</v>
      </c>
      <c r="AE346" s="5" t="s">
        <v>22</v>
      </c>
      <c r="AF346" s="5" t="s">
        <v>22</v>
      </c>
      <c r="AG346" s="5" t="s">
        <v>22</v>
      </c>
      <c r="AH346" s="5" t="s">
        <v>22</v>
      </c>
      <c r="AJ346" s="5" t="s">
        <v>22</v>
      </c>
      <c r="AK346" s="5" t="s">
        <v>22</v>
      </c>
      <c r="AL346" s="5" t="s">
        <v>22</v>
      </c>
      <c r="AM346" s="5" t="s">
        <v>22</v>
      </c>
      <c r="AN346" s="5" t="s">
        <v>22</v>
      </c>
      <c r="AO346" s="5" t="s">
        <v>22</v>
      </c>
      <c r="AP346" s="5" t="s">
        <v>22</v>
      </c>
    </row>
    <row r="347" spans="11:42">
      <c r="K347" s="18">
        <v>343</v>
      </c>
      <c r="L347" s="21" t="str">
        <f t="shared" si="54"/>
        <v/>
      </c>
      <c r="M347" s="21" t="str">
        <f t="shared" si="55"/>
        <v/>
      </c>
      <c r="N347" s="21" t="str">
        <f t="shared" si="56"/>
        <v/>
      </c>
      <c r="O347" s="21" t="str">
        <f t="shared" si="57"/>
        <v/>
      </c>
      <c r="P347" s="21" t="str">
        <f t="shared" si="58"/>
        <v/>
      </c>
      <c r="Q347" s="21" t="str">
        <f t="shared" si="59"/>
        <v/>
      </c>
      <c r="R347" s="21" t="str">
        <f t="shared" si="53"/>
        <v/>
      </c>
      <c r="T347" s="10" t="s">
        <v>22</v>
      </c>
      <c r="U347" s="5" t="s">
        <v>22</v>
      </c>
      <c r="V347" s="5" t="s">
        <v>22</v>
      </c>
      <c r="W347" s="5" t="s">
        <v>22</v>
      </c>
      <c r="X347" s="5" t="s">
        <v>22</v>
      </c>
      <c r="Y347" s="5" t="s">
        <v>22</v>
      </c>
      <c r="Z347" s="5" t="s">
        <v>22</v>
      </c>
      <c r="AB347" s="5" t="s">
        <v>22</v>
      </c>
      <c r="AC347" s="5" t="s">
        <v>22</v>
      </c>
      <c r="AD347" s="5" t="s">
        <v>22</v>
      </c>
      <c r="AE347" s="5" t="s">
        <v>22</v>
      </c>
      <c r="AF347" s="5" t="s">
        <v>22</v>
      </c>
      <c r="AG347" s="5" t="s">
        <v>22</v>
      </c>
      <c r="AH347" s="5" t="s">
        <v>22</v>
      </c>
      <c r="AJ347" s="5" t="s">
        <v>22</v>
      </c>
      <c r="AK347" s="5" t="s">
        <v>22</v>
      </c>
      <c r="AL347" s="5" t="s">
        <v>22</v>
      </c>
      <c r="AM347" s="5" t="s">
        <v>22</v>
      </c>
      <c r="AN347" s="5" t="s">
        <v>22</v>
      </c>
      <c r="AO347" s="5" t="s">
        <v>22</v>
      </c>
      <c r="AP347" s="5" t="s">
        <v>22</v>
      </c>
    </row>
    <row r="348" spans="11:42">
      <c r="K348" s="19">
        <v>344</v>
      </c>
      <c r="L348" s="21" t="str">
        <f t="shared" si="54"/>
        <v/>
      </c>
      <c r="M348" s="21" t="str">
        <f t="shared" si="55"/>
        <v/>
      </c>
      <c r="N348" s="21" t="str">
        <f t="shared" si="56"/>
        <v/>
      </c>
      <c r="O348" s="21" t="str">
        <f t="shared" si="57"/>
        <v/>
      </c>
      <c r="P348" s="21" t="str">
        <f t="shared" si="58"/>
        <v/>
      </c>
      <c r="Q348" s="21" t="str">
        <f t="shared" si="59"/>
        <v/>
      </c>
      <c r="R348" s="21" t="str">
        <f t="shared" si="53"/>
        <v/>
      </c>
      <c r="T348" s="10" t="s">
        <v>22</v>
      </c>
      <c r="U348" s="5" t="s">
        <v>22</v>
      </c>
      <c r="V348" s="5" t="s">
        <v>22</v>
      </c>
      <c r="W348" s="5" t="s">
        <v>22</v>
      </c>
      <c r="X348" s="5" t="s">
        <v>22</v>
      </c>
      <c r="Y348" s="5" t="s">
        <v>22</v>
      </c>
      <c r="Z348" s="5" t="s">
        <v>22</v>
      </c>
      <c r="AB348" s="5" t="s">
        <v>22</v>
      </c>
      <c r="AC348" s="5" t="s">
        <v>22</v>
      </c>
      <c r="AD348" s="5" t="s">
        <v>22</v>
      </c>
      <c r="AE348" s="5" t="s">
        <v>22</v>
      </c>
      <c r="AF348" s="5" t="s">
        <v>22</v>
      </c>
      <c r="AG348" s="5" t="s">
        <v>22</v>
      </c>
      <c r="AH348" s="5" t="s">
        <v>22</v>
      </c>
      <c r="AJ348" s="5" t="s">
        <v>22</v>
      </c>
      <c r="AK348" s="5" t="s">
        <v>22</v>
      </c>
      <c r="AL348" s="5" t="s">
        <v>22</v>
      </c>
      <c r="AM348" s="5" t="s">
        <v>22</v>
      </c>
      <c r="AN348" s="5" t="s">
        <v>22</v>
      </c>
      <c r="AO348" s="5" t="s">
        <v>22</v>
      </c>
      <c r="AP348" s="5" t="s">
        <v>22</v>
      </c>
    </row>
    <row r="349" spans="11:42">
      <c r="K349" s="18">
        <v>345</v>
      </c>
      <c r="L349" s="21" t="str">
        <f t="shared" si="54"/>
        <v/>
      </c>
      <c r="M349" s="21" t="str">
        <f t="shared" si="55"/>
        <v/>
      </c>
      <c r="N349" s="21" t="str">
        <f t="shared" si="56"/>
        <v/>
      </c>
      <c r="O349" s="21" t="str">
        <f t="shared" si="57"/>
        <v/>
      </c>
      <c r="P349" s="21" t="str">
        <f t="shared" si="58"/>
        <v/>
      </c>
      <c r="Q349" s="21" t="str">
        <f t="shared" si="59"/>
        <v/>
      </c>
      <c r="R349" s="21" t="str">
        <f t="shared" si="53"/>
        <v/>
      </c>
      <c r="T349" s="10" t="s">
        <v>22</v>
      </c>
      <c r="U349" s="5" t="s">
        <v>22</v>
      </c>
      <c r="V349" s="5" t="s">
        <v>22</v>
      </c>
      <c r="W349" s="5" t="s">
        <v>22</v>
      </c>
      <c r="X349" s="5" t="s">
        <v>22</v>
      </c>
      <c r="Y349" s="5" t="s">
        <v>22</v>
      </c>
      <c r="Z349" s="5" t="s">
        <v>22</v>
      </c>
      <c r="AB349" s="5" t="s">
        <v>22</v>
      </c>
      <c r="AC349" s="5" t="s">
        <v>22</v>
      </c>
      <c r="AD349" s="5" t="s">
        <v>22</v>
      </c>
      <c r="AE349" s="5" t="s">
        <v>22</v>
      </c>
      <c r="AF349" s="5" t="s">
        <v>22</v>
      </c>
      <c r="AG349" s="5" t="s">
        <v>22</v>
      </c>
      <c r="AH349" s="5" t="s">
        <v>22</v>
      </c>
      <c r="AJ349" s="5" t="s">
        <v>22</v>
      </c>
      <c r="AK349" s="5" t="s">
        <v>22</v>
      </c>
      <c r="AL349" s="5" t="s">
        <v>22</v>
      </c>
      <c r="AM349" s="5" t="s">
        <v>22</v>
      </c>
      <c r="AN349" s="5" t="s">
        <v>22</v>
      </c>
      <c r="AO349" s="5" t="s">
        <v>22</v>
      </c>
      <c r="AP349" s="5" t="s">
        <v>22</v>
      </c>
    </row>
    <row r="350" spans="11:42">
      <c r="K350" s="19">
        <v>346</v>
      </c>
      <c r="L350" s="21" t="str">
        <f t="shared" si="54"/>
        <v/>
      </c>
      <c r="M350" s="21" t="str">
        <f t="shared" si="55"/>
        <v/>
      </c>
      <c r="N350" s="21" t="str">
        <f t="shared" si="56"/>
        <v/>
      </c>
      <c r="O350" s="21" t="str">
        <f t="shared" si="57"/>
        <v/>
      </c>
      <c r="P350" s="21" t="str">
        <f t="shared" si="58"/>
        <v/>
      </c>
      <c r="Q350" s="21" t="str">
        <f t="shared" si="59"/>
        <v/>
      </c>
      <c r="R350" s="21" t="str">
        <f t="shared" si="53"/>
        <v/>
      </c>
      <c r="T350" s="10" t="s">
        <v>22</v>
      </c>
      <c r="U350" s="5" t="s">
        <v>22</v>
      </c>
      <c r="V350" s="5" t="s">
        <v>22</v>
      </c>
      <c r="W350" s="5" t="s">
        <v>22</v>
      </c>
      <c r="X350" s="5" t="s">
        <v>22</v>
      </c>
      <c r="Y350" s="5" t="s">
        <v>22</v>
      </c>
      <c r="Z350" s="5" t="s">
        <v>22</v>
      </c>
      <c r="AB350" s="5" t="s">
        <v>22</v>
      </c>
      <c r="AC350" s="5" t="s">
        <v>22</v>
      </c>
      <c r="AD350" s="5" t="s">
        <v>22</v>
      </c>
      <c r="AE350" s="5" t="s">
        <v>22</v>
      </c>
      <c r="AF350" s="5" t="s">
        <v>22</v>
      </c>
      <c r="AG350" s="5" t="s">
        <v>22</v>
      </c>
      <c r="AH350" s="5" t="s">
        <v>22</v>
      </c>
      <c r="AJ350" s="5" t="s">
        <v>22</v>
      </c>
      <c r="AK350" s="5" t="s">
        <v>22</v>
      </c>
      <c r="AL350" s="5" t="s">
        <v>22</v>
      </c>
      <c r="AM350" s="5" t="s">
        <v>22</v>
      </c>
      <c r="AN350" s="5" t="s">
        <v>22</v>
      </c>
      <c r="AO350" s="5" t="s">
        <v>22</v>
      </c>
      <c r="AP350" s="5" t="s">
        <v>22</v>
      </c>
    </row>
    <row r="351" spans="11:42">
      <c r="K351" s="18">
        <v>347</v>
      </c>
      <c r="L351" s="21" t="str">
        <f t="shared" si="54"/>
        <v/>
      </c>
      <c r="M351" s="21" t="str">
        <f t="shared" si="55"/>
        <v/>
      </c>
      <c r="N351" s="21" t="str">
        <f t="shared" si="56"/>
        <v/>
      </c>
      <c r="O351" s="21" t="str">
        <f t="shared" si="57"/>
        <v/>
      </c>
      <c r="P351" s="21" t="str">
        <f t="shared" si="58"/>
        <v/>
      </c>
      <c r="Q351" s="21" t="str">
        <f t="shared" si="59"/>
        <v/>
      </c>
      <c r="R351" s="21" t="str">
        <f t="shared" si="53"/>
        <v/>
      </c>
      <c r="T351" s="10" t="s">
        <v>22</v>
      </c>
      <c r="U351" s="5" t="s">
        <v>22</v>
      </c>
      <c r="V351" s="5" t="s">
        <v>22</v>
      </c>
      <c r="W351" s="5" t="s">
        <v>22</v>
      </c>
      <c r="X351" s="5" t="s">
        <v>22</v>
      </c>
      <c r="Y351" s="5" t="s">
        <v>22</v>
      </c>
      <c r="Z351" s="5" t="s">
        <v>22</v>
      </c>
      <c r="AB351" s="5" t="s">
        <v>22</v>
      </c>
      <c r="AC351" s="5" t="s">
        <v>22</v>
      </c>
      <c r="AD351" s="5" t="s">
        <v>22</v>
      </c>
      <c r="AE351" s="5" t="s">
        <v>22</v>
      </c>
      <c r="AF351" s="5" t="s">
        <v>22</v>
      </c>
      <c r="AG351" s="5" t="s">
        <v>22</v>
      </c>
      <c r="AH351" s="5" t="s">
        <v>22</v>
      </c>
      <c r="AJ351" s="5" t="s">
        <v>22</v>
      </c>
      <c r="AK351" s="5" t="s">
        <v>22</v>
      </c>
      <c r="AL351" s="5" t="s">
        <v>22</v>
      </c>
      <c r="AM351" s="5" t="s">
        <v>22</v>
      </c>
      <c r="AN351" s="5" t="s">
        <v>22</v>
      </c>
      <c r="AO351" s="5" t="s">
        <v>22</v>
      </c>
      <c r="AP351" s="5" t="s">
        <v>22</v>
      </c>
    </row>
    <row r="352" spans="11:42">
      <c r="K352" s="19">
        <v>348</v>
      </c>
      <c r="L352" s="21" t="str">
        <f t="shared" si="54"/>
        <v/>
      </c>
      <c r="M352" s="21" t="str">
        <f t="shared" si="55"/>
        <v/>
      </c>
      <c r="N352" s="21" t="str">
        <f t="shared" si="56"/>
        <v/>
      </c>
      <c r="O352" s="21" t="str">
        <f t="shared" si="57"/>
        <v/>
      </c>
      <c r="P352" s="21" t="str">
        <f t="shared" si="58"/>
        <v/>
      </c>
      <c r="Q352" s="21" t="str">
        <f t="shared" si="59"/>
        <v/>
      </c>
      <c r="R352" s="21" t="str">
        <f t="shared" si="53"/>
        <v/>
      </c>
      <c r="T352" s="10" t="s">
        <v>22</v>
      </c>
      <c r="U352" s="5" t="s">
        <v>22</v>
      </c>
      <c r="V352" s="5" t="s">
        <v>22</v>
      </c>
      <c r="W352" s="5" t="s">
        <v>22</v>
      </c>
      <c r="X352" s="5" t="s">
        <v>22</v>
      </c>
      <c r="Y352" s="5" t="s">
        <v>22</v>
      </c>
      <c r="Z352" s="5" t="s">
        <v>22</v>
      </c>
      <c r="AB352" s="5" t="s">
        <v>22</v>
      </c>
      <c r="AC352" s="5" t="s">
        <v>22</v>
      </c>
      <c r="AD352" s="5" t="s">
        <v>22</v>
      </c>
      <c r="AE352" s="5" t="s">
        <v>22</v>
      </c>
      <c r="AF352" s="5" t="s">
        <v>22</v>
      </c>
      <c r="AG352" s="5" t="s">
        <v>22</v>
      </c>
      <c r="AH352" s="5" t="s">
        <v>22</v>
      </c>
      <c r="AJ352" s="5" t="s">
        <v>22</v>
      </c>
      <c r="AK352" s="5" t="s">
        <v>22</v>
      </c>
      <c r="AL352" s="5" t="s">
        <v>22</v>
      </c>
      <c r="AM352" s="5" t="s">
        <v>22</v>
      </c>
      <c r="AN352" s="5" t="s">
        <v>22</v>
      </c>
      <c r="AO352" s="5" t="s">
        <v>22</v>
      </c>
      <c r="AP352" s="5" t="s">
        <v>22</v>
      </c>
    </row>
    <row r="353" spans="11:42">
      <c r="K353" s="18">
        <v>349</v>
      </c>
      <c r="L353" s="21" t="str">
        <f t="shared" si="54"/>
        <v/>
      </c>
      <c r="M353" s="21" t="str">
        <f t="shared" si="55"/>
        <v/>
      </c>
      <c r="N353" s="21" t="str">
        <f t="shared" si="56"/>
        <v/>
      </c>
      <c r="O353" s="21" t="str">
        <f t="shared" si="57"/>
        <v/>
      </c>
      <c r="P353" s="21" t="str">
        <f t="shared" si="58"/>
        <v/>
      </c>
      <c r="Q353" s="21" t="str">
        <f t="shared" si="59"/>
        <v/>
      </c>
      <c r="R353" s="21" t="str">
        <f t="shared" si="53"/>
        <v/>
      </c>
      <c r="T353" s="10" t="s">
        <v>22</v>
      </c>
      <c r="U353" s="5" t="s">
        <v>22</v>
      </c>
      <c r="V353" s="5" t="s">
        <v>22</v>
      </c>
      <c r="W353" s="5" t="s">
        <v>22</v>
      </c>
      <c r="X353" s="5" t="s">
        <v>22</v>
      </c>
      <c r="Y353" s="5" t="s">
        <v>22</v>
      </c>
      <c r="Z353" s="5" t="s">
        <v>22</v>
      </c>
      <c r="AB353" s="5" t="s">
        <v>22</v>
      </c>
      <c r="AC353" s="5" t="s">
        <v>22</v>
      </c>
      <c r="AD353" s="5" t="s">
        <v>22</v>
      </c>
      <c r="AE353" s="5" t="s">
        <v>22</v>
      </c>
      <c r="AF353" s="5" t="s">
        <v>22</v>
      </c>
      <c r="AG353" s="5" t="s">
        <v>22</v>
      </c>
      <c r="AH353" s="5" t="s">
        <v>22</v>
      </c>
      <c r="AJ353" s="5" t="s">
        <v>22</v>
      </c>
      <c r="AK353" s="5" t="s">
        <v>22</v>
      </c>
      <c r="AL353" s="5" t="s">
        <v>22</v>
      </c>
      <c r="AM353" s="5" t="s">
        <v>22</v>
      </c>
      <c r="AN353" s="5" t="s">
        <v>22</v>
      </c>
      <c r="AO353" s="5" t="s">
        <v>22</v>
      </c>
      <c r="AP353" s="5" t="s">
        <v>22</v>
      </c>
    </row>
    <row r="354" spans="11:42">
      <c r="K354" s="19">
        <v>350</v>
      </c>
      <c r="L354" s="21" t="str">
        <f t="shared" si="54"/>
        <v/>
      </c>
      <c r="M354" s="21" t="str">
        <f t="shared" si="55"/>
        <v/>
      </c>
      <c r="N354" s="21" t="str">
        <f t="shared" si="56"/>
        <v/>
      </c>
      <c r="O354" s="21" t="str">
        <f t="shared" si="57"/>
        <v/>
      </c>
      <c r="P354" s="21" t="str">
        <f t="shared" si="58"/>
        <v/>
      </c>
      <c r="Q354" s="21" t="str">
        <f t="shared" si="59"/>
        <v/>
      </c>
      <c r="R354" s="21" t="str">
        <f t="shared" si="53"/>
        <v/>
      </c>
      <c r="T354" s="10" t="s">
        <v>22</v>
      </c>
      <c r="U354" s="5" t="s">
        <v>22</v>
      </c>
      <c r="V354" s="5" t="s">
        <v>22</v>
      </c>
      <c r="W354" s="5" t="s">
        <v>22</v>
      </c>
      <c r="X354" s="5" t="s">
        <v>22</v>
      </c>
      <c r="Y354" s="5" t="s">
        <v>22</v>
      </c>
      <c r="Z354" s="5" t="s">
        <v>22</v>
      </c>
      <c r="AB354" s="5" t="s">
        <v>22</v>
      </c>
      <c r="AC354" s="5" t="s">
        <v>22</v>
      </c>
      <c r="AD354" s="5" t="s">
        <v>22</v>
      </c>
      <c r="AE354" s="5" t="s">
        <v>22</v>
      </c>
      <c r="AF354" s="5" t="s">
        <v>22</v>
      </c>
      <c r="AG354" s="5" t="s">
        <v>22</v>
      </c>
      <c r="AH354" s="5" t="s">
        <v>22</v>
      </c>
      <c r="AJ354" s="5" t="s">
        <v>22</v>
      </c>
      <c r="AK354" s="5" t="s">
        <v>22</v>
      </c>
      <c r="AL354" s="5" t="s">
        <v>22</v>
      </c>
      <c r="AM354" s="5" t="s">
        <v>22</v>
      </c>
      <c r="AN354" s="5" t="s">
        <v>22</v>
      </c>
      <c r="AO354" s="5" t="s">
        <v>22</v>
      </c>
      <c r="AP354" s="5" t="s">
        <v>22</v>
      </c>
    </row>
    <row r="355" spans="11:42">
      <c r="K355" s="18">
        <v>351</v>
      </c>
      <c r="L355" s="21" t="str">
        <f t="shared" si="54"/>
        <v/>
      </c>
      <c r="M355" s="21" t="str">
        <f t="shared" si="55"/>
        <v/>
      </c>
      <c r="N355" s="21" t="str">
        <f t="shared" si="56"/>
        <v/>
      </c>
      <c r="O355" s="21" t="str">
        <f t="shared" si="57"/>
        <v/>
      </c>
      <c r="P355" s="21" t="str">
        <f t="shared" si="58"/>
        <v/>
      </c>
      <c r="Q355" s="21" t="str">
        <f t="shared" si="59"/>
        <v/>
      </c>
      <c r="R355" s="21" t="str">
        <f t="shared" si="53"/>
        <v/>
      </c>
      <c r="T355" s="10" t="s">
        <v>22</v>
      </c>
      <c r="U355" s="5" t="s">
        <v>22</v>
      </c>
      <c r="V355" s="5" t="s">
        <v>22</v>
      </c>
      <c r="W355" s="5" t="s">
        <v>22</v>
      </c>
      <c r="X355" s="5" t="s">
        <v>22</v>
      </c>
      <c r="Y355" s="5" t="s">
        <v>22</v>
      </c>
      <c r="Z355" s="5" t="s">
        <v>22</v>
      </c>
      <c r="AB355" s="5" t="s">
        <v>22</v>
      </c>
      <c r="AC355" s="5" t="s">
        <v>22</v>
      </c>
      <c r="AD355" s="5" t="s">
        <v>22</v>
      </c>
      <c r="AE355" s="5" t="s">
        <v>22</v>
      </c>
      <c r="AF355" s="5" t="s">
        <v>22</v>
      </c>
      <c r="AG355" s="5" t="s">
        <v>22</v>
      </c>
      <c r="AH355" s="5" t="s">
        <v>22</v>
      </c>
      <c r="AJ355" s="5" t="s">
        <v>22</v>
      </c>
      <c r="AK355" s="5" t="s">
        <v>22</v>
      </c>
      <c r="AL355" s="5" t="s">
        <v>22</v>
      </c>
      <c r="AM355" s="5" t="s">
        <v>22</v>
      </c>
      <c r="AN355" s="5" t="s">
        <v>22</v>
      </c>
      <c r="AO355" s="5" t="s">
        <v>22</v>
      </c>
      <c r="AP355" s="5" t="s">
        <v>22</v>
      </c>
    </row>
    <row r="356" spans="11:42">
      <c r="K356" s="19">
        <v>352</v>
      </c>
      <c r="L356" s="21" t="str">
        <f t="shared" si="54"/>
        <v/>
      </c>
      <c r="M356" s="21" t="str">
        <f t="shared" si="55"/>
        <v/>
      </c>
      <c r="N356" s="21" t="str">
        <f t="shared" si="56"/>
        <v/>
      </c>
      <c r="O356" s="21" t="str">
        <f t="shared" si="57"/>
        <v/>
      </c>
      <c r="P356" s="21" t="str">
        <f t="shared" si="58"/>
        <v/>
      </c>
      <c r="Q356" s="21" t="str">
        <f t="shared" si="59"/>
        <v/>
      </c>
      <c r="R356" s="21" t="str">
        <f t="shared" si="53"/>
        <v/>
      </c>
      <c r="T356" s="10" t="s">
        <v>22</v>
      </c>
      <c r="U356" s="5" t="s">
        <v>22</v>
      </c>
      <c r="V356" s="5" t="s">
        <v>22</v>
      </c>
      <c r="W356" s="5" t="s">
        <v>22</v>
      </c>
      <c r="X356" s="5" t="s">
        <v>22</v>
      </c>
      <c r="Y356" s="5" t="s">
        <v>22</v>
      </c>
      <c r="Z356" s="5" t="s">
        <v>22</v>
      </c>
      <c r="AB356" s="5" t="s">
        <v>22</v>
      </c>
      <c r="AC356" s="5" t="s">
        <v>22</v>
      </c>
      <c r="AD356" s="5" t="s">
        <v>22</v>
      </c>
      <c r="AE356" s="5" t="s">
        <v>22</v>
      </c>
      <c r="AF356" s="5" t="s">
        <v>22</v>
      </c>
      <c r="AG356" s="5" t="s">
        <v>22</v>
      </c>
      <c r="AH356" s="5" t="s">
        <v>22</v>
      </c>
      <c r="AJ356" s="5" t="s">
        <v>22</v>
      </c>
      <c r="AK356" s="5" t="s">
        <v>22</v>
      </c>
      <c r="AL356" s="5" t="s">
        <v>22</v>
      </c>
      <c r="AM356" s="5" t="s">
        <v>22</v>
      </c>
      <c r="AN356" s="5" t="s">
        <v>22</v>
      </c>
      <c r="AO356" s="5" t="s">
        <v>22</v>
      </c>
      <c r="AP356" s="5" t="s">
        <v>22</v>
      </c>
    </row>
    <row r="357" spans="11:42">
      <c r="K357" s="18">
        <v>353</v>
      </c>
      <c r="L357" s="21" t="str">
        <f t="shared" si="54"/>
        <v/>
      </c>
      <c r="M357" s="21" t="str">
        <f t="shared" si="55"/>
        <v/>
      </c>
      <c r="N357" s="21" t="str">
        <f t="shared" si="56"/>
        <v/>
      </c>
      <c r="O357" s="21" t="str">
        <f t="shared" si="57"/>
        <v/>
      </c>
      <c r="P357" s="21" t="str">
        <f t="shared" si="58"/>
        <v/>
      </c>
      <c r="Q357" s="21" t="str">
        <f t="shared" si="59"/>
        <v/>
      </c>
      <c r="R357" s="21" t="str">
        <f t="shared" si="53"/>
        <v/>
      </c>
      <c r="T357" s="10" t="s">
        <v>22</v>
      </c>
      <c r="U357" s="5" t="s">
        <v>22</v>
      </c>
      <c r="V357" s="5" t="s">
        <v>22</v>
      </c>
      <c r="W357" s="5" t="s">
        <v>22</v>
      </c>
      <c r="X357" s="5" t="s">
        <v>22</v>
      </c>
      <c r="Y357" s="5" t="s">
        <v>22</v>
      </c>
      <c r="Z357" s="5" t="s">
        <v>22</v>
      </c>
      <c r="AB357" s="5" t="s">
        <v>22</v>
      </c>
      <c r="AC357" s="5" t="s">
        <v>22</v>
      </c>
      <c r="AD357" s="5" t="s">
        <v>22</v>
      </c>
      <c r="AE357" s="5" t="s">
        <v>22</v>
      </c>
      <c r="AF357" s="5" t="s">
        <v>22</v>
      </c>
      <c r="AG357" s="5" t="s">
        <v>22</v>
      </c>
      <c r="AH357" s="5" t="s">
        <v>22</v>
      </c>
      <c r="AJ357" s="5" t="s">
        <v>22</v>
      </c>
      <c r="AK357" s="5" t="s">
        <v>22</v>
      </c>
      <c r="AL357" s="5" t="s">
        <v>22</v>
      </c>
      <c r="AM357" s="5" t="s">
        <v>22</v>
      </c>
      <c r="AN357" s="5" t="s">
        <v>22</v>
      </c>
      <c r="AO357" s="5" t="s">
        <v>22</v>
      </c>
      <c r="AP357" s="5" t="s">
        <v>22</v>
      </c>
    </row>
    <row r="358" spans="11:42">
      <c r="K358" s="19">
        <v>354</v>
      </c>
      <c r="L358" s="21" t="str">
        <f t="shared" si="54"/>
        <v/>
      </c>
      <c r="M358" s="21" t="str">
        <f t="shared" si="55"/>
        <v/>
      </c>
      <c r="N358" s="21" t="str">
        <f t="shared" si="56"/>
        <v/>
      </c>
      <c r="O358" s="21" t="str">
        <f t="shared" si="57"/>
        <v/>
      </c>
      <c r="P358" s="21" t="str">
        <f t="shared" si="58"/>
        <v/>
      </c>
      <c r="Q358" s="21" t="str">
        <f t="shared" si="59"/>
        <v/>
      </c>
      <c r="R358" s="21" t="str">
        <f t="shared" si="53"/>
        <v/>
      </c>
      <c r="T358" s="10" t="s">
        <v>22</v>
      </c>
      <c r="U358" s="5" t="s">
        <v>22</v>
      </c>
      <c r="V358" s="5" t="s">
        <v>22</v>
      </c>
      <c r="W358" s="5" t="s">
        <v>22</v>
      </c>
      <c r="X358" s="5" t="s">
        <v>22</v>
      </c>
      <c r="Y358" s="5" t="s">
        <v>22</v>
      </c>
      <c r="Z358" s="5" t="s">
        <v>22</v>
      </c>
      <c r="AB358" s="5" t="s">
        <v>22</v>
      </c>
      <c r="AC358" s="5" t="s">
        <v>22</v>
      </c>
      <c r="AD358" s="5" t="s">
        <v>22</v>
      </c>
      <c r="AE358" s="5" t="s">
        <v>22</v>
      </c>
      <c r="AF358" s="5" t="s">
        <v>22</v>
      </c>
      <c r="AG358" s="5" t="s">
        <v>22</v>
      </c>
      <c r="AH358" s="5" t="s">
        <v>22</v>
      </c>
      <c r="AJ358" s="5" t="s">
        <v>22</v>
      </c>
      <c r="AK358" s="5" t="s">
        <v>22</v>
      </c>
      <c r="AL358" s="5" t="s">
        <v>22</v>
      </c>
      <c r="AM358" s="5" t="s">
        <v>22</v>
      </c>
      <c r="AN358" s="5" t="s">
        <v>22</v>
      </c>
      <c r="AO358" s="5" t="s">
        <v>22</v>
      </c>
      <c r="AP358" s="5" t="s">
        <v>22</v>
      </c>
    </row>
    <row r="359" spans="11:42">
      <c r="K359" s="18">
        <v>355</v>
      </c>
      <c r="L359" s="21" t="str">
        <f t="shared" si="54"/>
        <v/>
      </c>
      <c r="M359" s="21" t="str">
        <f t="shared" si="55"/>
        <v/>
      </c>
      <c r="N359" s="21" t="str">
        <f t="shared" si="56"/>
        <v/>
      </c>
      <c r="O359" s="21" t="str">
        <f t="shared" si="57"/>
        <v/>
      </c>
      <c r="P359" s="21" t="str">
        <f t="shared" si="58"/>
        <v/>
      </c>
      <c r="Q359" s="21" t="str">
        <f t="shared" si="59"/>
        <v/>
      </c>
      <c r="R359" s="21" t="str">
        <f t="shared" si="53"/>
        <v/>
      </c>
      <c r="T359" s="10" t="s">
        <v>22</v>
      </c>
      <c r="U359" s="5" t="s">
        <v>22</v>
      </c>
      <c r="V359" s="5" t="s">
        <v>22</v>
      </c>
      <c r="W359" s="5" t="s">
        <v>22</v>
      </c>
      <c r="X359" s="5" t="s">
        <v>22</v>
      </c>
      <c r="Y359" s="5" t="s">
        <v>22</v>
      </c>
      <c r="Z359" s="5" t="s">
        <v>22</v>
      </c>
      <c r="AB359" s="5" t="s">
        <v>22</v>
      </c>
      <c r="AC359" s="5" t="s">
        <v>22</v>
      </c>
      <c r="AD359" s="5" t="s">
        <v>22</v>
      </c>
      <c r="AE359" s="5" t="s">
        <v>22</v>
      </c>
      <c r="AF359" s="5" t="s">
        <v>22</v>
      </c>
      <c r="AG359" s="5" t="s">
        <v>22</v>
      </c>
      <c r="AH359" s="5" t="s">
        <v>22</v>
      </c>
      <c r="AJ359" s="5" t="s">
        <v>22</v>
      </c>
      <c r="AK359" s="5" t="s">
        <v>22</v>
      </c>
      <c r="AL359" s="5" t="s">
        <v>22</v>
      </c>
      <c r="AM359" s="5" t="s">
        <v>22</v>
      </c>
      <c r="AN359" s="5" t="s">
        <v>22</v>
      </c>
      <c r="AO359" s="5" t="s">
        <v>22</v>
      </c>
      <c r="AP359" s="5" t="s">
        <v>22</v>
      </c>
    </row>
    <row r="360" spans="11:42">
      <c r="K360" s="19">
        <v>356</v>
      </c>
      <c r="L360" s="21" t="str">
        <f t="shared" si="54"/>
        <v/>
      </c>
      <c r="M360" s="21" t="str">
        <f t="shared" si="55"/>
        <v/>
      </c>
      <c r="N360" s="21" t="str">
        <f t="shared" si="56"/>
        <v/>
      </c>
      <c r="O360" s="21" t="str">
        <f t="shared" si="57"/>
        <v/>
      </c>
      <c r="P360" s="21" t="str">
        <f t="shared" si="58"/>
        <v/>
      </c>
      <c r="Q360" s="21" t="str">
        <f t="shared" si="59"/>
        <v/>
      </c>
      <c r="R360" s="21" t="str">
        <f t="shared" si="53"/>
        <v/>
      </c>
      <c r="T360" s="10" t="s">
        <v>22</v>
      </c>
      <c r="U360" s="5" t="s">
        <v>22</v>
      </c>
      <c r="V360" s="5" t="s">
        <v>22</v>
      </c>
      <c r="W360" s="5" t="s">
        <v>22</v>
      </c>
      <c r="X360" s="5" t="s">
        <v>22</v>
      </c>
      <c r="Y360" s="5" t="s">
        <v>22</v>
      </c>
      <c r="Z360" s="5" t="s">
        <v>22</v>
      </c>
      <c r="AB360" s="5" t="s">
        <v>22</v>
      </c>
      <c r="AC360" s="5" t="s">
        <v>22</v>
      </c>
      <c r="AD360" s="5" t="s">
        <v>22</v>
      </c>
      <c r="AE360" s="5" t="s">
        <v>22</v>
      </c>
      <c r="AF360" s="5" t="s">
        <v>22</v>
      </c>
      <c r="AG360" s="5" t="s">
        <v>22</v>
      </c>
      <c r="AH360" s="5" t="s">
        <v>22</v>
      </c>
      <c r="AJ360" s="5" t="s">
        <v>22</v>
      </c>
      <c r="AK360" s="5" t="s">
        <v>22</v>
      </c>
      <c r="AL360" s="5" t="s">
        <v>22</v>
      </c>
      <c r="AM360" s="5" t="s">
        <v>22</v>
      </c>
      <c r="AN360" s="5" t="s">
        <v>22</v>
      </c>
      <c r="AO360" s="5" t="s">
        <v>22</v>
      </c>
      <c r="AP360" s="5" t="s">
        <v>22</v>
      </c>
    </row>
    <row r="361" spans="11:42">
      <c r="K361" s="18">
        <v>357</v>
      </c>
      <c r="L361" s="21" t="str">
        <f t="shared" si="54"/>
        <v/>
      </c>
      <c r="M361" s="21" t="str">
        <f t="shared" si="55"/>
        <v/>
      </c>
      <c r="N361" s="21" t="str">
        <f t="shared" si="56"/>
        <v/>
      </c>
      <c r="O361" s="21" t="str">
        <f t="shared" si="57"/>
        <v/>
      </c>
      <c r="P361" s="21" t="str">
        <f t="shared" si="58"/>
        <v/>
      </c>
      <c r="Q361" s="21" t="str">
        <f t="shared" si="59"/>
        <v/>
      </c>
      <c r="R361" s="21" t="str">
        <f t="shared" si="53"/>
        <v/>
      </c>
      <c r="T361" s="10" t="s">
        <v>22</v>
      </c>
      <c r="U361" s="5" t="s">
        <v>22</v>
      </c>
      <c r="V361" s="5" t="s">
        <v>22</v>
      </c>
      <c r="W361" s="5" t="s">
        <v>22</v>
      </c>
      <c r="X361" s="5" t="s">
        <v>22</v>
      </c>
      <c r="Y361" s="5" t="s">
        <v>22</v>
      </c>
      <c r="Z361" s="5" t="s">
        <v>22</v>
      </c>
      <c r="AB361" s="5" t="s">
        <v>22</v>
      </c>
      <c r="AC361" s="5" t="s">
        <v>22</v>
      </c>
      <c r="AD361" s="5" t="s">
        <v>22</v>
      </c>
      <c r="AE361" s="5" t="s">
        <v>22</v>
      </c>
      <c r="AF361" s="5" t="s">
        <v>22</v>
      </c>
      <c r="AG361" s="5" t="s">
        <v>22</v>
      </c>
      <c r="AH361" s="5" t="s">
        <v>22</v>
      </c>
      <c r="AJ361" s="5" t="s">
        <v>22</v>
      </c>
      <c r="AK361" s="5" t="s">
        <v>22</v>
      </c>
      <c r="AL361" s="5" t="s">
        <v>22</v>
      </c>
      <c r="AM361" s="5" t="s">
        <v>22</v>
      </c>
      <c r="AN361" s="5" t="s">
        <v>22</v>
      </c>
      <c r="AO361" s="5" t="s">
        <v>22</v>
      </c>
      <c r="AP361" s="5" t="s">
        <v>22</v>
      </c>
    </row>
    <row r="362" spans="11:42">
      <c r="K362" s="19">
        <v>358</v>
      </c>
      <c r="L362" s="21" t="str">
        <f t="shared" si="54"/>
        <v/>
      </c>
      <c r="M362" s="21" t="str">
        <f t="shared" si="55"/>
        <v/>
      </c>
      <c r="N362" s="21" t="str">
        <f t="shared" si="56"/>
        <v/>
      </c>
      <c r="O362" s="21" t="str">
        <f t="shared" si="57"/>
        <v/>
      </c>
      <c r="P362" s="21" t="str">
        <f t="shared" si="58"/>
        <v/>
      </c>
      <c r="Q362" s="21" t="str">
        <f t="shared" si="59"/>
        <v/>
      </c>
      <c r="R362" s="21" t="str">
        <f t="shared" si="53"/>
        <v/>
      </c>
      <c r="T362" s="10" t="s">
        <v>22</v>
      </c>
      <c r="U362" s="5" t="s">
        <v>22</v>
      </c>
      <c r="V362" s="5" t="s">
        <v>22</v>
      </c>
      <c r="W362" s="5" t="s">
        <v>22</v>
      </c>
      <c r="X362" s="5" t="s">
        <v>22</v>
      </c>
      <c r="Y362" s="5" t="s">
        <v>22</v>
      </c>
      <c r="Z362" s="5" t="s">
        <v>22</v>
      </c>
      <c r="AB362" s="5" t="s">
        <v>22</v>
      </c>
      <c r="AC362" s="5" t="s">
        <v>22</v>
      </c>
      <c r="AD362" s="5" t="s">
        <v>22</v>
      </c>
      <c r="AE362" s="5" t="s">
        <v>22</v>
      </c>
      <c r="AF362" s="5" t="s">
        <v>22</v>
      </c>
      <c r="AG362" s="5" t="s">
        <v>22</v>
      </c>
      <c r="AH362" s="5" t="s">
        <v>22</v>
      </c>
      <c r="AJ362" s="5" t="s">
        <v>22</v>
      </c>
      <c r="AK362" s="5" t="s">
        <v>22</v>
      </c>
      <c r="AL362" s="5" t="s">
        <v>22</v>
      </c>
      <c r="AM362" s="5" t="s">
        <v>22</v>
      </c>
      <c r="AN362" s="5" t="s">
        <v>22</v>
      </c>
      <c r="AO362" s="5" t="s">
        <v>22</v>
      </c>
      <c r="AP362" s="5" t="s">
        <v>22</v>
      </c>
    </row>
    <row r="363" spans="11:42">
      <c r="K363" s="18">
        <v>359</v>
      </c>
      <c r="L363" s="21" t="str">
        <f t="shared" si="54"/>
        <v/>
      </c>
      <c r="M363" s="21" t="str">
        <f t="shared" si="55"/>
        <v/>
      </c>
      <c r="N363" s="21" t="str">
        <f t="shared" si="56"/>
        <v/>
      </c>
      <c r="O363" s="21" t="str">
        <f t="shared" si="57"/>
        <v/>
      </c>
      <c r="P363" s="21" t="str">
        <f t="shared" si="58"/>
        <v/>
      </c>
      <c r="Q363" s="21" t="str">
        <f t="shared" si="59"/>
        <v/>
      </c>
      <c r="R363" s="21" t="str">
        <f t="shared" si="53"/>
        <v/>
      </c>
      <c r="T363" s="10" t="s">
        <v>22</v>
      </c>
      <c r="U363" s="5" t="s">
        <v>22</v>
      </c>
      <c r="V363" s="5" t="s">
        <v>22</v>
      </c>
      <c r="W363" s="5" t="s">
        <v>22</v>
      </c>
      <c r="X363" s="5" t="s">
        <v>22</v>
      </c>
      <c r="Y363" s="5" t="s">
        <v>22</v>
      </c>
      <c r="Z363" s="5" t="s">
        <v>22</v>
      </c>
      <c r="AB363" s="5" t="s">
        <v>22</v>
      </c>
      <c r="AC363" s="5" t="s">
        <v>22</v>
      </c>
      <c r="AD363" s="5" t="s">
        <v>22</v>
      </c>
      <c r="AE363" s="5" t="s">
        <v>22</v>
      </c>
      <c r="AF363" s="5" t="s">
        <v>22</v>
      </c>
      <c r="AG363" s="5" t="s">
        <v>22</v>
      </c>
      <c r="AH363" s="5" t="s">
        <v>22</v>
      </c>
      <c r="AJ363" s="5" t="s">
        <v>22</v>
      </c>
      <c r="AK363" s="5" t="s">
        <v>22</v>
      </c>
      <c r="AL363" s="5" t="s">
        <v>22</v>
      </c>
      <c r="AM363" s="5" t="s">
        <v>22</v>
      </c>
      <c r="AN363" s="5" t="s">
        <v>22</v>
      </c>
      <c r="AO363" s="5" t="s">
        <v>22</v>
      </c>
      <c r="AP363" s="5" t="s">
        <v>22</v>
      </c>
    </row>
    <row r="364" spans="11:42">
      <c r="K364" s="19">
        <v>360</v>
      </c>
      <c r="L364" s="21" t="str">
        <f t="shared" si="54"/>
        <v/>
      </c>
      <c r="M364" s="21" t="str">
        <f t="shared" si="55"/>
        <v/>
      </c>
      <c r="N364" s="21" t="str">
        <f t="shared" si="56"/>
        <v/>
      </c>
      <c r="O364" s="21" t="str">
        <f t="shared" si="57"/>
        <v/>
      </c>
      <c r="P364" s="21" t="str">
        <f t="shared" si="58"/>
        <v/>
      </c>
      <c r="Q364" s="21" t="str">
        <f t="shared" si="59"/>
        <v/>
      </c>
      <c r="R364" s="21" t="str">
        <f t="shared" si="53"/>
        <v/>
      </c>
      <c r="T364" s="10" t="s">
        <v>22</v>
      </c>
      <c r="U364" s="5" t="s">
        <v>22</v>
      </c>
      <c r="V364" s="5" t="s">
        <v>22</v>
      </c>
      <c r="W364" s="5" t="s">
        <v>22</v>
      </c>
      <c r="X364" s="5" t="s">
        <v>22</v>
      </c>
      <c r="Y364" s="5" t="s">
        <v>22</v>
      </c>
      <c r="Z364" s="5" t="s">
        <v>22</v>
      </c>
      <c r="AB364" s="5" t="s">
        <v>22</v>
      </c>
      <c r="AC364" s="5" t="s">
        <v>22</v>
      </c>
      <c r="AD364" s="5" t="s">
        <v>22</v>
      </c>
      <c r="AE364" s="5" t="s">
        <v>22</v>
      </c>
      <c r="AF364" s="5" t="s">
        <v>22</v>
      </c>
      <c r="AG364" s="5" t="s">
        <v>22</v>
      </c>
      <c r="AH364" s="5" t="s">
        <v>22</v>
      </c>
      <c r="AJ364" s="5" t="s">
        <v>22</v>
      </c>
      <c r="AK364" s="5" t="s">
        <v>22</v>
      </c>
      <c r="AL364" s="5" t="s">
        <v>22</v>
      </c>
      <c r="AM364" s="5" t="s">
        <v>22</v>
      </c>
      <c r="AN364" s="5" t="s">
        <v>22</v>
      </c>
      <c r="AO364" s="5" t="s">
        <v>22</v>
      </c>
      <c r="AP364" s="5" t="s">
        <v>22</v>
      </c>
    </row>
    <row r="365" spans="11:42">
      <c r="K365" s="18">
        <v>361</v>
      </c>
      <c r="L365" s="21" t="str">
        <f t="shared" si="54"/>
        <v/>
      </c>
      <c r="M365" s="21" t="str">
        <f t="shared" si="55"/>
        <v/>
      </c>
      <c r="N365" s="21" t="str">
        <f t="shared" si="56"/>
        <v/>
      </c>
      <c r="O365" s="21" t="str">
        <f t="shared" si="57"/>
        <v/>
      </c>
      <c r="P365" s="21" t="str">
        <f t="shared" si="58"/>
        <v/>
      </c>
      <c r="Q365" s="21" t="str">
        <f t="shared" si="59"/>
        <v/>
      </c>
      <c r="R365" s="21" t="str">
        <f t="shared" si="53"/>
        <v/>
      </c>
      <c r="T365" s="10" t="s">
        <v>22</v>
      </c>
      <c r="U365" s="5" t="s">
        <v>22</v>
      </c>
      <c r="V365" s="5" t="s">
        <v>22</v>
      </c>
      <c r="W365" s="5" t="s">
        <v>22</v>
      </c>
      <c r="X365" s="5" t="s">
        <v>22</v>
      </c>
      <c r="Y365" s="5" t="s">
        <v>22</v>
      </c>
      <c r="Z365" s="5" t="s">
        <v>22</v>
      </c>
      <c r="AB365" s="5" t="s">
        <v>22</v>
      </c>
      <c r="AC365" s="5" t="s">
        <v>22</v>
      </c>
      <c r="AD365" s="5" t="s">
        <v>22</v>
      </c>
      <c r="AE365" s="5" t="s">
        <v>22</v>
      </c>
      <c r="AF365" s="5" t="s">
        <v>22</v>
      </c>
      <c r="AG365" s="5" t="s">
        <v>22</v>
      </c>
      <c r="AH365" s="5" t="s">
        <v>22</v>
      </c>
      <c r="AJ365" s="5" t="s">
        <v>22</v>
      </c>
      <c r="AK365" s="5" t="s">
        <v>22</v>
      </c>
      <c r="AL365" s="5" t="s">
        <v>22</v>
      </c>
      <c r="AM365" s="5" t="s">
        <v>22</v>
      </c>
      <c r="AN365" s="5" t="s">
        <v>22</v>
      </c>
      <c r="AO365" s="5" t="s">
        <v>22</v>
      </c>
      <c r="AP365" s="5" t="s">
        <v>22</v>
      </c>
    </row>
    <row r="366" spans="11:42">
      <c r="K366" s="19">
        <v>362</v>
      </c>
      <c r="L366" s="21" t="str">
        <f t="shared" si="54"/>
        <v/>
      </c>
      <c r="M366" s="21" t="str">
        <f t="shared" si="55"/>
        <v/>
      </c>
      <c r="N366" s="21" t="str">
        <f t="shared" si="56"/>
        <v/>
      </c>
      <c r="O366" s="21" t="str">
        <f t="shared" si="57"/>
        <v/>
      </c>
      <c r="P366" s="21" t="str">
        <f t="shared" si="58"/>
        <v/>
      </c>
      <c r="Q366" s="21" t="str">
        <f t="shared" si="59"/>
        <v/>
      </c>
      <c r="R366" s="21" t="str">
        <f t="shared" si="53"/>
        <v/>
      </c>
      <c r="T366" s="10" t="s">
        <v>22</v>
      </c>
      <c r="U366" s="5" t="s">
        <v>22</v>
      </c>
      <c r="V366" s="5" t="s">
        <v>22</v>
      </c>
      <c r="W366" s="5" t="s">
        <v>22</v>
      </c>
      <c r="X366" s="5" t="s">
        <v>22</v>
      </c>
      <c r="Y366" s="5" t="s">
        <v>22</v>
      </c>
      <c r="Z366" s="5" t="s">
        <v>22</v>
      </c>
      <c r="AB366" s="5" t="s">
        <v>22</v>
      </c>
      <c r="AC366" s="5" t="s">
        <v>22</v>
      </c>
      <c r="AD366" s="5" t="s">
        <v>22</v>
      </c>
      <c r="AE366" s="5" t="s">
        <v>22</v>
      </c>
      <c r="AF366" s="5" t="s">
        <v>22</v>
      </c>
      <c r="AG366" s="5" t="s">
        <v>22</v>
      </c>
      <c r="AH366" s="5" t="s">
        <v>22</v>
      </c>
      <c r="AJ366" s="5" t="s">
        <v>22</v>
      </c>
      <c r="AK366" s="5" t="s">
        <v>22</v>
      </c>
      <c r="AL366" s="5" t="s">
        <v>22</v>
      </c>
      <c r="AM366" s="5" t="s">
        <v>22</v>
      </c>
      <c r="AN366" s="5" t="s">
        <v>22</v>
      </c>
      <c r="AO366" s="5" t="s">
        <v>22</v>
      </c>
      <c r="AP366" s="5" t="s">
        <v>22</v>
      </c>
    </row>
    <row r="367" spans="11:42">
      <c r="K367" s="18">
        <v>363</v>
      </c>
      <c r="L367" s="21" t="str">
        <f t="shared" si="54"/>
        <v/>
      </c>
      <c r="M367" s="21" t="str">
        <f t="shared" si="55"/>
        <v/>
      </c>
      <c r="N367" s="21" t="str">
        <f t="shared" si="56"/>
        <v/>
      </c>
      <c r="O367" s="21" t="str">
        <f t="shared" si="57"/>
        <v/>
      </c>
      <c r="P367" s="21" t="str">
        <f t="shared" si="58"/>
        <v/>
      </c>
      <c r="Q367" s="21" t="str">
        <f t="shared" si="59"/>
        <v/>
      </c>
      <c r="R367" s="21" t="str">
        <f t="shared" si="53"/>
        <v/>
      </c>
      <c r="T367" s="10" t="s">
        <v>22</v>
      </c>
      <c r="U367" s="5" t="s">
        <v>22</v>
      </c>
      <c r="V367" s="5" t="s">
        <v>22</v>
      </c>
      <c r="W367" s="5" t="s">
        <v>22</v>
      </c>
      <c r="X367" s="5" t="s">
        <v>22</v>
      </c>
      <c r="Y367" s="5" t="s">
        <v>22</v>
      </c>
      <c r="Z367" s="5" t="s">
        <v>22</v>
      </c>
      <c r="AB367" s="5" t="s">
        <v>22</v>
      </c>
      <c r="AC367" s="5" t="s">
        <v>22</v>
      </c>
      <c r="AD367" s="5" t="s">
        <v>22</v>
      </c>
      <c r="AE367" s="5" t="s">
        <v>22</v>
      </c>
      <c r="AF367" s="5" t="s">
        <v>22</v>
      </c>
      <c r="AG367" s="5" t="s">
        <v>22</v>
      </c>
      <c r="AH367" s="5" t="s">
        <v>22</v>
      </c>
      <c r="AJ367" s="5" t="s">
        <v>22</v>
      </c>
      <c r="AK367" s="5" t="s">
        <v>22</v>
      </c>
      <c r="AL367" s="5" t="s">
        <v>22</v>
      </c>
      <c r="AM367" s="5" t="s">
        <v>22</v>
      </c>
      <c r="AN367" s="5" t="s">
        <v>22</v>
      </c>
      <c r="AO367" s="5" t="s">
        <v>22</v>
      </c>
      <c r="AP367" s="5" t="s">
        <v>22</v>
      </c>
    </row>
    <row r="368" spans="11:42">
      <c r="K368" s="19">
        <v>364</v>
      </c>
      <c r="L368" s="21" t="str">
        <f t="shared" si="54"/>
        <v/>
      </c>
      <c r="M368" s="21" t="str">
        <f t="shared" si="55"/>
        <v/>
      </c>
      <c r="N368" s="21" t="str">
        <f t="shared" si="56"/>
        <v/>
      </c>
      <c r="O368" s="21" t="str">
        <f t="shared" si="57"/>
        <v/>
      </c>
      <c r="P368" s="21" t="str">
        <f t="shared" si="58"/>
        <v/>
      </c>
      <c r="Q368" s="21" t="str">
        <f t="shared" si="59"/>
        <v/>
      </c>
      <c r="R368" s="21" t="str">
        <f t="shared" si="53"/>
        <v/>
      </c>
      <c r="T368" s="10" t="s">
        <v>22</v>
      </c>
      <c r="U368" s="5" t="s">
        <v>22</v>
      </c>
      <c r="V368" s="5" t="s">
        <v>22</v>
      </c>
      <c r="W368" s="5" t="s">
        <v>22</v>
      </c>
      <c r="X368" s="5" t="s">
        <v>22</v>
      </c>
      <c r="Y368" s="5" t="s">
        <v>22</v>
      </c>
      <c r="Z368" s="5" t="s">
        <v>22</v>
      </c>
      <c r="AB368" s="5" t="s">
        <v>22</v>
      </c>
      <c r="AC368" s="5" t="s">
        <v>22</v>
      </c>
      <c r="AD368" s="5" t="s">
        <v>22</v>
      </c>
      <c r="AE368" s="5" t="s">
        <v>22</v>
      </c>
      <c r="AF368" s="5" t="s">
        <v>22</v>
      </c>
      <c r="AG368" s="5" t="s">
        <v>22</v>
      </c>
      <c r="AH368" s="5" t="s">
        <v>22</v>
      </c>
      <c r="AJ368" s="5" t="s">
        <v>22</v>
      </c>
      <c r="AK368" s="5" t="s">
        <v>22</v>
      </c>
      <c r="AL368" s="5" t="s">
        <v>22</v>
      </c>
      <c r="AM368" s="5" t="s">
        <v>22</v>
      </c>
      <c r="AN368" s="5" t="s">
        <v>22</v>
      </c>
      <c r="AO368" s="5" t="s">
        <v>22</v>
      </c>
      <c r="AP368" s="5" t="s">
        <v>22</v>
      </c>
    </row>
    <row r="369" spans="11:42">
      <c r="K369" s="18">
        <v>365</v>
      </c>
      <c r="L369" s="21" t="str">
        <f t="shared" si="54"/>
        <v/>
      </c>
      <c r="M369" s="21" t="str">
        <f t="shared" si="55"/>
        <v/>
      </c>
      <c r="N369" s="21" t="str">
        <f t="shared" si="56"/>
        <v/>
      </c>
      <c r="O369" s="21" t="str">
        <f t="shared" si="57"/>
        <v/>
      </c>
      <c r="P369" s="21" t="str">
        <f t="shared" si="58"/>
        <v/>
      </c>
      <c r="Q369" s="21" t="str">
        <f t="shared" si="59"/>
        <v/>
      </c>
      <c r="R369" s="21" t="str">
        <f t="shared" si="53"/>
        <v/>
      </c>
      <c r="T369" s="10" t="s">
        <v>22</v>
      </c>
      <c r="U369" s="5" t="s">
        <v>22</v>
      </c>
      <c r="V369" s="5" t="s">
        <v>22</v>
      </c>
      <c r="W369" s="5" t="s">
        <v>22</v>
      </c>
      <c r="X369" s="5" t="s">
        <v>22</v>
      </c>
      <c r="Y369" s="5" t="s">
        <v>22</v>
      </c>
      <c r="Z369" s="5" t="s">
        <v>22</v>
      </c>
      <c r="AB369" s="5" t="s">
        <v>22</v>
      </c>
      <c r="AC369" s="5" t="s">
        <v>22</v>
      </c>
      <c r="AD369" s="5" t="s">
        <v>22</v>
      </c>
      <c r="AE369" s="5" t="s">
        <v>22</v>
      </c>
      <c r="AF369" s="5" t="s">
        <v>22</v>
      </c>
      <c r="AG369" s="5" t="s">
        <v>22</v>
      </c>
      <c r="AH369" s="5" t="s">
        <v>22</v>
      </c>
      <c r="AJ369" s="5" t="s">
        <v>22</v>
      </c>
      <c r="AK369" s="5" t="s">
        <v>22</v>
      </c>
      <c r="AL369" s="5" t="s">
        <v>22</v>
      </c>
      <c r="AM369" s="5" t="s">
        <v>22</v>
      </c>
      <c r="AN369" s="5" t="s">
        <v>22</v>
      </c>
      <c r="AO369" s="5" t="s">
        <v>22</v>
      </c>
      <c r="AP369" s="5" t="s">
        <v>22</v>
      </c>
    </row>
    <row r="370" spans="11:42">
      <c r="K370" s="19">
        <v>366</v>
      </c>
      <c r="L370" s="21" t="str">
        <f t="shared" si="54"/>
        <v/>
      </c>
      <c r="M370" s="21" t="str">
        <f t="shared" si="55"/>
        <v/>
      </c>
      <c r="N370" s="21" t="str">
        <f t="shared" si="56"/>
        <v/>
      </c>
      <c r="O370" s="21" t="str">
        <f t="shared" si="57"/>
        <v/>
      </c>
      <c r="P370" s="21" t="str">
        <f t="shared" si="58"/>
        <v/>
      </c>
      <c r="Q370" s="21" t="str">
        <f t="shared" si="59"/>
        <v/>
      </c>
      <c r="R370" s="21" t="str">
        <f t="shared" ref="R370:R403" si="60">IF(Z370&lt;&gt;"",_xlfn.XLOOKUP(Z370,$K$4:$K$27,$A$4:$A$27),"")</f>
        <v/>
      </c>
      <c r="T370" s="10" t="s">
        <v>22</v>
      </c>
      <c r="U370" s="5" t="s">
        <v>22</v>
      </c>
      <c r="V370" s="5" t="s">
        <v>22</v>
      </c>
      <c r="W370" s="5" t="s">
        <v>22</v>
      </c>
      <c r="X370" s="5" t="s">
        <v>22</v>
      </c>
      <c r="Y370" s="5" t="s">
        <v>22</v>
      </c>
      <c r="Z370" s="5" t="s">
        <v>22</v>
      </c>
      <c r="AB370" s="5" t="s">
        <v>22</v>
      </c>
      <c r="AC370" s="5" t="s">
        <v>22</v>
      </c>
      <c r="AD370" s="5" t="s">
        <v>22</v>
      </c>
      <c r="AE370" s="5" t="s">
        <v>22</v>
      </c>
      <c r="AF370" s="5" t="s">
        <v>22</v>
      </c>
      <c r="AG370" s="5" t="s">
        <v>22</v>
      </c>
      <c r="AH370" s="5" t="s">
        <v>22</v>
      </c>
      <c r="AJ370" s="5" t="s">
        <v>22</v>
      </c>
      <c r="AK370" s="5" t="s">
        <v>22</v>
      </c>
      <c r="AL370" s="5" t="s">
        <v>22</v>
      </c>
      <c r="AM370" s="5" t="s">
        <v>22</v>
      </c>
      <c r="AN370" s="5" t="s">
        <v>22</v>
      </c>
      <c r="AO370" s="5" t="s">
        <v>22</v>
      </c>
      <c r="AP370" s="5" t="s">
        <v>22</v>
      </c>
    </row>
    <row r="371" spans="11:42">
      <c r="K371" s="18">
        <v>367</v>
      </c>
      <c r="L371" s="21" t="str">
        <f t="shared" si="54"/>
        <v/>
      </c>
      <c r="M371" s="21" t="str">
        <f t="shared" si="55"/>
        <v/>
      </c>
      <c r="N371" s="21" t="str">
        <f t="shared" si="56"/>
        <v/>
      </c>
      <c r="O371" s="21" t="str">
        <f t="shared" si="57"/>
        <v/>
      </c>
      <c r="P371" s="21" t="str">
        <f t="shared" si="58"/>
        <v/>
      </c>
      <c r="Q371" s="21" t="str">
        <f t="shared" si="59"/>
        <v/>
      </c>
      <c r="R371" s="21" t="str">
        <f t="shared" si="60"/>
        <v/>
      </c>
      <c r="T371" s="10" t="s">
        <v>22</v>
      </c>
      <c r="U371" s="5" t="s">
        <v>22</v>
      </c>
      <c r="V371" s="5" t="s">
        <v>22</v>
      </c>
      <c r="W371" s="5" t="s">
        <v>22</v>
      </c>
      <c r="X371" s="5" t="s">
        <v>22</v>
      </c>
      <c r="Y371" s="5" t="s">
        <v>22</v>
      </c>
      <c r="Z371" s="5" t="s">
        <v>22</v>
      </c>
      <c r="AB371" s="5" t="s">
        <v>22</v>
      </c>
      <c r="AC371" s="5" t="s">
        <v>22</v>
      </c>
      <c r="AD371" s="5" t="s">
        <v>22</v>
      </c>
      <c r="AE371" s="5" t="s">
        <v>22</v>
      </c>
      <c r="AF371" s="5" t="s">
        <v>22</v>
      </c>
      <c r="AG371" s="5" t="s">
        <v>22</v>
      </c>
      <c r="AH371" s="5" t="s">
        <v>22</v>
      </c>
      <c r="AJ371" s="5" t="s">
        <v>22</v>
      </c>
      <c r="AK371" s="5" t="s">
        <v>22</v>
      </c>
      <c r="AL371" s="5" t="s">
        <v>22</v>
      </c>
      <c r="AM371" s="5" t="s">
        <v>22</v>
      </c>
      <c r="AN371" s="5" t="s">
        <v>22</v>
      </c>
      <c r="AO371" s="5" t="s">
        <v>22</v>
      </c>
      <c r="AP371" s="5" t="s">
        <v>22</v>
      </c>
    </row>
    <row r="372" spans="11:42">
      <c r="K372" s="19">
        <v>368</v>
      </c>
      <c r="L372" s="21" t="str">
        <f t="shared" si="54"/>
        <v/>
      </c>
      <c r="M372" s="21" t="str">
        <f t="shared" si="55"/>
        <v/>
      </c>
      <c r="N372" s="21" t="str">
        <f t="shared" si="56"/>
        <v/>
      </c>
      <c r="O372" s="21" t="str">
        <f t="shared" si="57"/>
        <v/>
      </c>
      <c r="P372" s="21" t="str">
        <f t="shared" si="58"/>
        <v/>
      </c>
      <c r="Q372" s="21" t="str">
        <f t="shared" si="59"/>
        <v/>
      </c>
      <c r="R372" s="21" t="str">
        <f t="shared" si="60"/>
        <v/>
      </c>
      <c r="T372" s="10" t="s">
        <v>22</v>
      </c>
      <c r="U372" s="5" t="s">
        <v>22</v>
      </c>
      <c r="V372" s="5" t="s">
        <v>22</v>
      </c>
      <c r="W372" s="5" t="s">
        <v>22</v>
      </c>
      <c r="X372" s="5" t="s">
        <v>22</v>
      </c>
      <c r="Y372" s="5" t="s">
        <v>22</v>
      </c>
      <c r="Z372" s="5" t="s">
        <v>22</v>
      </c>
      <c r="AB372" s="5" t="s">
        <v>22</v>
      </c>
      <c r="AC372" s="5" t="s">
        <v>22</v>
      </c>
      <c r="AD372" s="5" t="s">
        <v>22</v>
      </c>
      <c r="AE372" s="5" t="s">
        <v>22</v>
      </c>
      <c r="AF372" s="5" t="s">
        <v>22</v>
      </c>
      <c r="AG372" s="5" t="s">
        <v>22</v>
      </c>
      <c r="AH372" s="5" t="s">
        <v>22</v>
      </c>
      <c r="AJ372" s="5" t="s">
        <v>22</v>
      </c>
      <c r="AK372" s="5" t="s">
        <v>22</v>
      </c>
      <c r="AL372" s="5" t="s">
        <v>22</v>
      </c>
      <c r="AM372" s="5" t="s">
        <v>22</v>
      </c>
      <c r="AN372" s="5" t="s">
        <v>22</v>
      </c>
      <c r="AO372" s="5" t="s">
        <v>22</v>
      </c>
      <c r="AP372" s="5" t="s">
        <v>22</v>
      </c>
    </row>
    <row r="373" spans="11:42">
      <c r="K373" s="18">
        <v>369</v>
      </c>
      <c r="L373" s="21" t="str">
        <f t="shared" si="54"/>
        <v/>
      </c>
      <c r="M373" s="21" t="str">
        <f t="shared" si="55"/>
        <v/>
      </c>
      <c r="N373" s="21" t="str">
        <f t="shared" si="56"/>
        <v/>
      </c>
      <c r="O373" s="21" t="str">
        <f t="shared" si="57"/>
        <v/>
      </c>
      <c r="P373" s="21" t="str">
        <f t="shared" si="58"/>
        <v/>
      </c>
      <c r="Q373" s="21" t="str">
        <f t="shared" si="59"/>
        <v/>
      </c>
      <c r="R373" s="21" t="str">
        <f t="shared" si="60"/>
        <v/>
      </c>
      <c r="T373" s="10" t="s">
        <v>22</v>
      </c>
      <c r="U373" s="5" t="s">
        <v>22</v>
      </c>
      <c r="V373" s="5" t="s">
        <v>22</v>
      </c>
      <c r="W373" s="5" t="s">
        <v>22</v>
      </c>
      <c r="X373" s="5" t="s">
        <v>22</v>
      </c>
      <c r="Y373" s="5" t="s">
        <v>22</v>
      </c>
      <c r="Z373" s="5" t="s">
        <v>22</v>
      </c>
      <c r="AB373" s="5" t="s">
        <v>22</v>
      </c>
      <c r="AC373" s="5" t="s">
        <v>22</v>
      </c>
      <c r="AD373" s="5" t="s">
        <v>22</v>
      </c>
      <c r="AE373" s="5" t="s">
        <v>22</v>
      </c>
      <c r="AF373" s="5" t="s">
        <v>22</v>
      </c>
      <c r="AG373" s="5" t="s">
        <v>22</v>
      </c>
      <c r="AH373" s="5" t="s">
        <v>22</v>
      </c>
      <c r="AJ373" s="5" t="s">
        <v>22</v>
      </c>
      <c r="AK373" s="5" t="s">
        <v>22</v>
      </c>
      <c r="AL373" s="5" t="s">
        <v>22</v>
      </c>
      <c r="AM373" s="5" t="s">
        <v>22</v>
      </c>
      <c r="AN373" s="5" t="s">
        <v>22</v>
      </c>
      <c r="AO373" s="5" t="s">
        <v>22</v>
      </c>
      <c r="AP373" s="5" t="s">
        <v>22</v>
      </c>
    </row>
    <row r="374" spans="11:42">
      <c r="K374" s="19">
        <v>370</v>
      </c>
      <c r="L374" s="21" t="str">
        <f t="shared" ref="L374:L403" si="61">IF(T374&lt;&gt;"",_xlfn.XLOOKUP(T374,$K$4:$K$27,$A$4:$A$27),"")</f>
        <v/>
      </c>
      <c r="M374" s="21" t="str">
        <f t="shared" ref="M374:M403" si="62">IF(U374&lt;&gt;"",_xlfn.XLOOKUP(U374,$K$4:$K$27,$A$4:$A$27),"")</f>
        <v/>
      </c>
      <c r="N374" s="21" t="str">
        <f t="shared" ref="N374:N403" si="63">IF(V374&lt;&gt;"",_xlfn.XLOOKUP(V374,$K$4:$K$27,$A$4:$A$27),"")</f>
        <v/>
      </c>
      <c r="O374" s="21" t="str">
        <f t="shared" ref="O374:O403" si="64">IF(W374&lt;&gt;"",_xlfn.XLOOKUP(W374,$K$4:$K$27,$A$4:$A$27),"")</f>
        <v/>
      </c>
      <c r="P374" s="21" t="str">
        <f t="shared" ref="P374:P403" si="65">IF(X374&lt;&gt;"",_xlfn.XLOOKUP(X374,$K$4:$K$27,$A$4:$A$27),"")</f>
        <v/>
      </c>
      <c r="Q374" s="21" t="str">
        <f t="shared" ref="Q374:Q403" si="66">IF(Y374&lt;&gt;"",_xlfn.XLOOKUP(Y374,$K$4:$K$27,$A$4:$A$27),"")</f>
        <v/>
      </c>
      <c r="R374" s="21" t="str">
        <f t="shared" si="60"/>
        <v/>
      </c>
      <c r="T374" s="10" t="s">
        <v>22</v>
      </c>
      <c r="U374" s="5" t="s">
        <v>22</v>
      </c>
      <c r="V374" s="5" t="s">
        <v>22</v>
      </c>
      <c r="W374" s="5" t="s">
        <v>22</v>
      </c>
      <c r="X374" s="5" t="s">
        <v>22</v>
      </c>
      <c r="Y374" s="5" t="s">
        <v>22</v>
      </c>
      <c r="Z374" s="5" t="s">
        <v>22</v>
      </c>
      <c r="AB374" s="5" t="s">
        <v>22</v>
      </c>
      <c r="AC374" s="5" t="s">
        <v>22</v>
      </c>
      <c r="AD374" s="5" t="s">
        <v>22</v>
      </c>
      <c r="AE374" s="5" t="s">
        <v>22</v>
      </c>
      <c r="AF374" s="5" t="s">
        <v>22</v>
      </c>
      <c r="AG374" s="5" t="s">
        <v>22</v>
      </c>
      <c r="AH374" s="5" t="s">
        <v>22</v>
      </c>
      <c r="AJ374" s="5" t="s">
        <v>22</v>
      </c>
      <c r="AK374" s="5" t="s">
        <v>22</v>
      </c>
      <c r="AL374" s="5" t="s">
        <v>22</v>
      </c>
      <c r="AM374" s="5" t="s">
        <v>22</v>
      </c>
      <c r="AN374" s="5" t="s">
        <v>22</v>
      </c>
      <c r="AO374" s="5" t="s">
        <v>22</v>
      </c>
      <c r="AP374" s="5" t="s">
        <v>22</v>
      </c>
    </row>
    <row r="375" spans="11:42">
      <c r="K375" s="18">
        <v>371</v>
      </c>
      <c r="L375" s="21" t="str">
        <f t="shared" si="61"/>
        <v/>
      </c>
      <c r="M375" s="21" t="str">
        <f t="shared" si="62"/>
        <v/>
      </c>
      <c r="N375" s="21" t="str">
        <f t="shared" si="63"/>
        <v/>
      </c>
      <c r="O375" s="21" t="str">
        <f t="shared" si="64"/>
        <v/>
      </c>
      <c r="P375" s="21" t="str">
        <f t="shared" si="65"/>
        <v/>
      </c>
      <c r="Q375" s="21" t="str">
        <f t="shared" si="66"/>
        <v/>
      </c>
      <c r="R375" s="21" t="str">
        <f t="shared" si="60"/>
        <v/>
      </c>
      <c r="T375" s="10" t="s">
        <v>22</v>
      </c>
      <c r="U375" s="5" t="s">
        <v>22</v>
      </c>
      <c r="V375" s="5" t="s">
        <v>22</v>
      </c>
      <c r="W375" s="5" t="s">
        <v>22</v>
      </c>
      <c r="X375" s="5" t="s">
        <v>22</v>
      </c>
      <c r="Y375" s="5" t="s">
        <v>22</v>
      </c>
      <c r="Z375" s="5" t="s">
        <v>22</v>
      </c>
      <c r="AB375" s="5" t="s">
        <v>22</v>
      </c>
      <c r="AC375" s="5" t="s">
        <v>22</v>
      </c>
      <c r="AD375" s="5" t="s">
        <v>22</v>
      </c>
      <c r="AE375" s="5" t="s">
        <v>22</v>
      </c>
      <c r="AF375" s="5" t="s">
        <v>22</v>
      </c>
      <c r="AG375" s="5" t="s">
        <v>22</v>
      </c>
      <c r="AH375" s="5" t="s">
        <v>22</v>
      </c>
      <c r="AJ375" s="5" t="s">
        <v>22</v>
      </c>
      <c r="AK375" s="5" t="s">
        <v>22</v>
      </c>
      <c r="AL375" s="5" t="s">
        <v>22</v>
      </c>
      <c r="AM375" s="5" t="s">
        <v>22</v>
      </c>
      <c r="AN375" s="5" t="s">
        <v>22</v>
      </c>
      <c r="AO375" s="5" t="s">
        <v>22</v>
      </c>
      <c r="AP375" s="5" t="s">
        <v>22</v>
      </c>
    </row>
    <row r="376" spans="11:42">
      <c r="K376" s="19">
        <v>372</v>
      </c>
      <c r="L376" s="21" t="str">
        <f t="shared" si="61"/>
        <v/>
      </c>
      <c r="M376" s="21" t="str">
        <f t="shared" si="62"/>
        <v/>
      </c>
      <c r="N376" s="21" t="str">
        <f t="shared" si="63"/>
        <v/>
      </c>
      <c r="O376" s="21" t="str">
        <f t="shared" si="64"/>
        <v/>
      </c>
      <c r="P376" s="21" t="str">
        <f t="shared" si="65"/>
        <v/>
      </c>
      <c r="Q376" s="21" t="str">
        <f t="shared" si="66"/>
        <v/>
      </c>
      <c r="R376" s="21" t="str">
        <f t="shared" si="60"/>
        <v/>
      </c>
      <c r="T376" s="10" t="s">
        <v>22</v>
      </c>
      <c r="U376" s="5" t="s">
        <v>22</v>
      </c>
      <c r="V376" s="5" t="s">
        <v>22</v>
      </c>
      <c r="W376" s="5" t="s">
        <v>22</v>
      </c>
      <c r="X376" s="5" t="s">
        <v>22</v>
      </c>
      <c r="Y376" s="5" t="s">
        <v>22</v>
      </c>
      <c r="Z376" s="5" t="s">
        <v>22</v>
      </c>
      <c r="AB376" s="5" t="s">
        <v>22</v>
      </c>
      <c r="AC376" s="5" t="s">
        <v>22</v>
      </c>
      <c r="AD376" s="5" t="s">
        <v>22</v>
      </c>
      <c r="AE376" s="5" t="s">
        <v>22</v>
      </c>
      <c r="AF376" s="5" t="s">
        <v>22</v>
      </c>
      <c r="AG376" s="5" t="s">
        <v>22</v>
      </c>
      <c r="AH376" s="5" t="s">
        <v>22</v>
      </c>
      <c r="AJ376" s="5" t="s">
        <v>22</v>
      </c>
      <c r="AK376" s="5" t="s">
        <v>22</v>
      </c>
      <c r="AL376" s="5" t="s">
        <v>22</v>
      </c>
      <c r="AM376" s="5" t="s">
        <v>22</v>
      </c>
      <c r="AN376" s="5" t="s">
        <v>22</v>
      </c>
      <c r="AO376" s="5" t="s">
        <v>22</v>
      </c>
      <c r="AP376" s="5" t="s">
        <v>22</v>
      </c>
    </row>
    <row r="377" spans="11:42">
      <c r="K377" s="18">
        <v>373</v>
      </c>
      <c r="L377" s="21" t="str">
        <f t="shared" si="61"/>
        <v/>
      </c>
      <c r="M377" s="21" t="str">
        <f t="shared" si="62"/>
        <v/>
      </c>
      <c r="N377" s="21" t="str">
        <f t="shared" si="63"/>
        <v/>
      </c>
      <c r="O377" s="21" t="str">
        <f t="shared" si="64"/>
        <v/>
      </c>
      <c r="P377" s="21" t="str">
        <f t="shared" si="65"/>
        <v/>
      </c>
      <c r="Q377" s="21" t="str">
        <f t="shared" si="66"/>
        <v/>
      </c>
      <c r="R377" s="21" t="str">
        <f t="shared" si="60"/>
        <v/>
      </c>
      <c r="T377" s="10" t="s">
        <v>22</v>
      </c>
      <c r="U377" s="5" t="s">
        <v>22</v>
      </c>
      <c r="V377" s="5" t="s">
        <v>22</v>
      </c>
      <c r="W377" s="5" t="s">
        <v>22</v>
      </c>
      <c r="X377" s="5" t="s">
        <v>22</v>
      </c>
      <c r="Y377" s="5" t="s">
        <v>22</v>
      </c>
      <c r="Z377" s="5" t="s">
        <v>22</v>
      </c>
      <c r="AB377" s="5" t="s">
        <v>22</v>
      </c>
      <c r="AC377" s="5" t="s">
        <v>22</v>
      </c>
      <c r="AD377" s="5" t="s">
        <v>22</v>
      </c>
      <c r="AE377" s="5" t="s">
        <v>22</v>
      </c>
      <c r="AF377" s="5" t="s">
        <v>22</v>
      </c>
      <c r="AG377" s="5" t="s">
        <v>22</v>
      </c>
      <c r="AH377" s="5" t="s">
        <v>22</v>
      </c>
      <c r="AJ377" s="5" t="s">
        <v>22</v>
      </c>
      <c r="AK377" s="5" t="s">
        <v>22</v>
      </c>
      <c r="AL377" s="5" t="s">
        <v>22</v>
      </c>
      <c r="AM377" s="5" t="s">
        <v>22</v>
      </c>
      <c r="AN377" s="5" t="s">
        <v>22</v>
      </c>
      <c r="AO377" s="5" t="s">
        <v>22</v>
      </c>
      <c r="AP377" s="5" t="s">
        <v>22</v>
      </c>
    </row>
    <row r="378" spans="11:42">
      <c r="K378" s="19">
        <v>374</v>
      </c>
      <c r="L378" s="21" t="str">
        <f t="shared" si="61"/>
        <v/>
      </c>
      <c r="M378" s="21" t="str">
        <f t="shared" si="62"/>
        <v/>
      </c>
      <c r="N378" s="21" t="str">
        <f t="shared" si="63"/>
        <v/>
      </c>
      <c r="O378" s="21" t="str">
        <f t="shared" si="64"/>
        <v/>
      </c>
      <c r="P378" s="21" t="str">
        <f t="shared" si="65"/>
        <v/>
      </c>
      <c r="Q378" s="21" t="str">
        <f t="shared" si="66"/>
        <v/>
      </c>
      <c r="R378" s="21" t="str">
        <f t="shared" si="60"/>
        <v/>
      </c>
      <c r="T378" s="10" t="s">
        <v>22</v>
      </c>
      <c r="U378" s="5" t="s">
        <v>22</v>
      </c>
      <c r="V378" s="5" t="s">
        <v>22</v>
      </c>
      <c r="W378" s="5" t="s">
        <v>22</v>
      </c>
      <c r="X378" s="5" t="s">
        <v>22</v>
      </c>
      <c r="Y378" s="5" t="s">
        <v>22</v>
      </c>
      <c r="Z378" s="5" t="s">
        <v>22</v>
      </c>
      <c r="AB378" s="5" t="s">
        <v>22</v>
      </c>
      <c r="AC378" s="5" t="s">
        <v>22</v>
      </c>
      <c r="AD378" s="5" t="s">
        <v>22</v>
      </c>
      <c r="AE378" s="5" t="s">
        <v>22</v>
      </c>
      <c r="AF378" s="5" t="s">
        <v>22</v>
      </c>
      <c r="AG378" s="5" t="s">
        <v>22</v>
      </c>
      <c r="AH378" s="5" t="s">
        <v>22</v>
      </c>
      <c r="AJ378" s="5" t="s">
        <v>22</v>
      </c>
      <c r="AK378" s="5" t="s">
        <v>22</v>
      </c>
      <c r="AL378" s="5" t="s">
        <v>22</v>
      </c>
      <c r="AM378" s="5" t="s">
        <v>22</v>
      </c>
      <c r="AN378" s="5" t="s">
        <v>22</v>
      </c>
      <c r="AO378" s="5" t="s">
        <v>22</v>
      </c>
      <c r="AP378" s="5" t="s">
        <v>22</v>
      </c>
    </row>
    <row r="379" spans="11:42">
      <c r="K379" s="18">
        <v>375</v>
      </c>
      <c r="L379" s="21" t="str">
        <f t="shared" si="61"/>
        <v/>
      </c>
      <c r="M379" s="21" t="str">
        <f t="shared" si="62"/>
        <v/>
      </c>
      <c r="N379" s="21" t="str">
        <f t="shared" si="63"/>
        <v/>
      </c>
      <c r="O379" s="21" t="str">
        <f t="shared" si="64"/>
        <v/>
      </c>
      <c r="P379" s="21" t="str">
        <f t="shared" si="65"/>
        <v/>
      </c>
      <c r="Q379" s="21" t="str">
        <f t="shared" si="66"/>
        <v/>
      </c>
      <c r="R379" s="21" t="str">
        <f t="shared" si="60"/>
        <v/>
      </c>
      <c r="T379" s="10" t="s">
        <v>22</v>
      </c>
      <c r="U379" s="5" t="s">
        <v>22</v>
      </c>
      <c r="V379" s="5" t="s">
        <v>22</v>
      </c>
      <c r="W379" s="5" t="s">
        <v>22</v>
      </c>
      <c r="X379" s="5" t="s">
        <v>22</v>
      </c>
      <c r="Y379" s="5" t="s">
        <v>22</v>
      </c>
      <c r="Z379" s="5" t="s">
        <v>22</v>
      </c>
      <c r="AB379" s="5" t="s">
        <v>22</v>
      </c>
      <c r="AC379" s="5" t="s">
        <v>22</v>
      </c>
      <c r="AD379" s="5" t="s">
        <v>22</v>
      </c>
      <c r="AE379" s="5" t="s">
        <v>22</v>
      </c>
      <c r="AF379" s="5" t="s">
        <v>22</v>
      </c>
      <c r="AG379" s="5" t="s">
        <v>22</v>
      </c>
      <c r="AH379" s="5" t="s">
        <v>22</v>
      </c>
      <c r="AJ379" s="5" t="s">
        <v>22</v>
      </c>
      <c r="AK379" s="5" t="s">
        <v>22</v>
      </c>
      <c r="AL379" s="5" t="s">
        <v>22</v>
      </c>
      <c r="AM379" s="5" t="s">
        <v>22</v>
      </c>
      <c r="AN379" s="5" t="s">
        <v>22</v>
      </c>
      <c r="AO379" s="5" t="s">
        <v>22</v>
      </c>
      <c r="AP379" s="5" t="s">
        <v>22</v>
      </c>
    </row>
    <row r="380" spans="11:42">
      <c r="K380" s="19">
        <v>376</v>
      </c>
      <c r="L380" s="21" t="str">
        <f t="shared" si="61"/>
        <v/>
      </c>
      <c r="M380" s="21" t="str">
        <f t="shared" si="62"/>
        <v/>
      </c>
      <c r="N380" s="21" t="str">
        <f t="shared" si="63"/>
        <v/>
      </c>
      <c r="O380" s="21" t="str">
        <f t="shared" si="64"/>
        <v/>
      </c>
      <c r="P380" s="21" t="str">
        <f t="shared" si="65"/>
        <v/>
      </c>
      <c r="Q380" s="21" t="str">
        <f t="shared" si="66"/>
        <v/>
      </c>
      <c r="R380" s="21" t="str">
        <f t="shared" si="60"/>
        <v/>
      </c>
      <c r="T380" s="10" t="s">
        <v>22</v>
      </c>
      <c r="U380" s="5" t="s">
        <v>22</v>
      </c>
      <c r="V380" s="5" t="s">
        <v>22</v>
      </c>
      <c r="W380" s="5" t="s">
        <v>22</v>
      </c>
      <c r="X380" s="5" t="s">
        <v>22</v>
      </c>
      <c r="Y380" s="5" t="s">
        <v>22</v>
      </c>
      <c r="Z380" s="5" t="s">
        <v>22</v>
      </c>
      <c r="AB380" s="5" t="s">
        <v>22</v>
      </c>
      <c r="AC380" s="5" t="s">
        <v>22</v>
      </c>
      <c r="AD380" s="5" t="s">
        <v>22</v>
      </c>
      <c r="AE380" s="5" t="s">
        <v>22</v>
      </c>
      <c r="AF380" s="5" t="s">
        <v>22</v>
      </c>
      <c r="AG380" s="5" t="s">
        <v>22</v>
      </c>
      <c r="AH380" s="5" t="s">
        <v>22</v>
      </c>
      <c r="AJ380" s="5" t="s">
        <v>22</v>
      </c>
      <c r="AK380" s="5" t="s">
        <v>22</v>
      </c>
      <c r="AL380" s="5" t="s">
        <v>22</v>
      </c>
      <c r="AM380" s="5" t="s">
        <v>22</v>
      </c>
      <c r="AN380" s="5" t="s">
        <v>22</v>
      </c>
      <c r="AO380" s="5" t="s">
        <v>22</v>
      </c>
      <c r="AP380" s="5" t="s">
        <v>22</v>
      </c>
    </row>
    <row r="381" spans="11:42">
      <c r="K381" s="18">
        <v>377</v>
      </c>
      <c r="L381" s="21" t="str">
        <f t="shared" si="61"/>
        <v/>
      </c>
      <c r="M381" s="21" t="str">
        <f t="shared" si="62"/>
        <v/>
      </c>
      <c r="N381" s="21" t="str">
        <f t="shared" si="63"/>
        <v/>
      </c>
      <c r="O381" s="21" t="str">
        <f t="shared" si="64"/>
        <v/>
      </c>
      <c r="P381" s="21" t="str">
        <f t="shared" si="65"/>
        <v/>
      </c>
      <c r="Q381" s="21" t="str">
        <f t="shared" si="66"/>
        <v/>
      </c>
      <c r="R381" s="21" t="str">
        <f t="shared" si="60"/>
        <v/>
      </c>
      <c r="T381" s="10" t="s">
        <v>22</v>
      </c>
      <c r="U381" s="5" t="s">
        <v>22</v>
      </c>
      <c r="V381" s="5" t="s">
        <v>22</v>
      </c>
      <c r="W381" s="5" t="s">
        <v>22</v>
      </c>
      <c r="X381" s="5" t="s">
        <v>22</v>
      </c>
      <c r="Y381" s="5" t="s">
        <v>22</v>
      </c>
      <c r="Z381" s="5" t="s">
        <v>22</v>
      </c>
      <c r="AB381" s="5" t="s">
        <v>22</v>
      </c>
      <c r="AC381" s="5" t="s">
        <v>22</v>
      </c>
      <c r="AD381" s="5" t="s">
        <v>22</v>
      </c>
      <c r="AE381" s="5" t="s">
        <v>22</v>
      </c>
      <c r="AF381" s="5" t="s">
        <v>22</v>
      </c>
      <c r="AG381" s="5" t="s">
        <v>22</v>
      </c>
      <c r="AH381" s="5" t="s">
        <v>22</v>
      </c>
      <c r="AJ381" s="5" t="s">
        <v>22</v>
      </c>
      <c r="AK381" s="5" t="s">
        <v>22</v>
      </c>
      <c r="AL381" s="5" t="s">
        <v>22</v>
      </c>
      <c r="AM381" s="5" t="s">
        <v>22</v>
      </c>
      <c r="AN381" s="5" t="s">
        <v>22</v>
      </c>
      <c r="AO381" s="5" t="s">
        <v>22</v>
      </c>
      <c r="AP381" s="5" t="s">
        <v>22</v>
      </c>
    </row>
    <row r="382" spans="11:42">
      <c r="K382" s="19">
        <v>378</v>
      </c>
      <c r="L382" s="21" t="str">
        <f t="shared" si="61"/>
        <v/>
      </c>
      <c r="M382" s="21" t="str">
        <f t="shared" si="62"/>
        <v/>
      </c>
      <c r="N382" s="21" t="str">
        <f t="shared" si="63"/>
        <v/>
      </c>
      <c r="O382" s="21" t="str">
        <f t="shared" si="64"/>
        <v/>
      </c>
      <c r="P382" s="21" t="str">
        <f t="shared" si="65"/>
        <v/>
      </c>
      <c r="Q382" s="21" t="str">
        <f t="shared" si="66"/>
        <v/>
      </c>
      <c r="R382" s="21" t="str">
        <f t="shared" si="60"/>
        <v/>
      </c>
      <c r="T382" s="10" t="s">
        <v>22</v>
      </c>
      <c r="U382" s="5" t="s">
        <v>22</v>
      </c>
      <c r="V382" s="5" t="s">
        <v>22</v>
      </c>
      <c r="W382" s="5" t="s">
        <v>22</v>
      </c>
      <c r="X382" s="5" t="s">
        <v>22</v>
      </c>
      <c r="Y382" s="5" t="s">
        <v>22</v>
      </c>
      <c r="Z382" s="5" t="s">
        <v>22</v>
      </c>
      <c r="AB382" s="5" t="s">
        <v>22</v>
      </c>
      <c r="AC382" s="5" t="s">
        <v>22</v>
      </c>
      <c r="AD382" s="5" t="s">
        <v>22</v>
      </c>
      <c r="AE382" s="5" t="s">
        <v>22</v>
      </c>
      <c r="AF382" s="5" t="s">
        <v>22</v>
      </c>
      <c r="AG382" s="5" t="s">
        <v>22</v>
      </c>
      <c r="AH382" s="5" t="s">
        <v>22</v>
      </c>
      <c r="AJ382" s="5" t="s">
        <v>22</v>
      </c>
      <c r="AK382" s="5" t="s">
        <v>22</v>
      </c>
      <c r="AL382" s="5" t="s">
        <v>22</v>
      </c>
      <c r="AM382" s="5" t="s">
        <v>22</v>
      </c>
      <c r="AN382" s="5" t="s">
        <v>22</v>
      </c>
      <c r="AO382" s="5" t="s">
        <v>22</v>
      </c>
      <c r="AP382" s="5" t="s">
        <v>22</v>
      </c>
    </row>
    <row r="383" spans="11:42">
      <c r="K383" s="18">
        <v>379</v>
      </c>
      <c r="L383" s="21" t="str">
        <f t="shared" si="61"/>
        <v/>
      </c>
      <c r="M383" s="21" t="str">
        <f t="shared" si="62"/>
        <v/>
      </c>
      <c r="N383" s="21" t="str">
        <f t="shared" si="63"/>
        <v/>
      </c>
      <c r="O383" s="21" t="str">
        <f t="shared" si="64"/>
        <v/>
      </c>
      <c r="P383" s="21" t="str">
        <f t="shared" si="65"/>
        <v/>
      </c>
      <c r="Q383" s="21" t="str">
        <f t="shared" si="66"/>
        <v/>
      </c>
      <c r="R383" s="21" t="str">
        <f t="shared" si="60"/>
        <v/>
      </c>
      <c r="T383" s="10" t="s">
        <v>22</v>
      </c>
      <c r="U383" s="5" t="s">
        <v>22</v>
      </c>
      <c r="V383" s="5" t="s">
        <v>22</v>
      </c>
      <c r="W383" s="5" t="s">
        <v>22</v>
      </c>
      <c r="X383" s="5" t="s">
        <v>22</v>
      </c>
      <c r="Y383" s="5" t="s">
        <v>22</v>
      </c>
      <c r="Z383" s="5" t="s">
        <v>22</v>
      </c>
      <c r="AB383" s="5" t="s">
        <v>22</v>
      </c>
      <c r="AC383" s="5" t="s">
        <v>22</v>
      </c>
      <c r="AD383" s="5" t="s">
        <v>22</v>
      </c>
      <c r="AE383" s="5" t="s">
        <v>22</v>
      </c>
      <c r="AF383" s="5" t="s">
        <v>22</v>
      </c>
      <c r="AG383" s="5" t="s">
        <v>22</v>
      </c>
      <c r="AH383" s="5" t="s">
        <v>22</v>
      </c>
      <c r="AJ383" s="5" t="s">
        <v>22</v>
      </c>
      <c r="AK383" s="5" t="s">
        <v>22</v>
      </c>
      <c r="AL383" s="5" t="s">
        <v>22</v>
      </c>
      <c r="AM383" s="5" t="s">
        <v>22</v>
      </c>
      <c r="AN383" s="5" t="s">
        <v>22</v>
      </c>
      <c r="AO383" s="5" t="s">
        <v>22</v>
      </c>
      <c r="AP383" s="5" t="s">
        <v>22</v>
      </c>
    </row>
    <row r="384" spans="11:42">
      <c r="K384" s="19">
        <v>380</v>
      </c>
      <c r="L384" s="21" t="str">
        <f t="shared" si="61"/>
        <v/>
      </c>
      <c r="M384" s="21" t="str">
        <f t="shared" si="62"/>
        <v/>
      </c>
      <c r="N384" s="21" t="str">
        <f t="shared" si="63"/>
        <v/>
      </c>
      <c r="O384" s="21" t="str">
        <f t="shared" si="64"/>
        <v/>
      </c>
      <c r="P384" s="21" t="str">
        <f t="shared" si="65"/>
        <v/>
      </c>
      <c r="Q384" s="21" t="str">
        <f t="shared" si="66"/>
        <v/>
      </c>
      <c r="R384" s="21" t="str">
        <f t="shared" si="60"/>
        <v/>
      </c>
      <c r="T384" s="10" t="s">
        <v>22</v>
      </c>
      <c r="U384" s="5" t="s">
        <v>22</v>
      </c>
      <c r="V384" s="5" t="s">
        <v>22</v>
      </c>
      <c r="W384" s="5" t="s">
        <v>22</v>
      </c>
      <c r="X384" s="5" t="s">
        <v>22</v>
      </c>
      <c r="Y384" s="5" t="s">
        <v>22</v>
      </c>
      <c r="Z384" s="5" t="s">
        <v>22</v>
      </c>
      <c r="AB384" s="5" t="s">
        <v>22</v>
      </c>
      <c r="AC384" s="5" t="s">
        <v>22</v>
      </c>
      <c r="AD384" s="5" t="s">
        <v>22</v>
      </c>
      <c r="AE384" s="5" t="s">
        <v>22</v>
      </c>
      <c r="AF384" s="5" t="s">
        <v>22</v>
      </c>
      <c r="AG384" s="5" t="s">
        <v>22</v>
      </c>
      <c r="AH384" s="5" t="s">
        <v>22</v>
      </c>
      <c r="AJ384" s="5" t="s">
        <v>22</v>
      </c>
      <c r="AK384" s="5" t="s">
        <v>22</v>
      </c>
      <c r="AL384" s="5" t="s">
        <v>22</v>
      </c>
      <c r="AM384" s="5" t="s">
        <v>22</v>
      </c>
      <c r="AN384" s="5" t="s">
        <v>22</v>
      </c>
      <c r="AO384" s="5" t="s">
        <v>22</v>
      </c>
      <c r="AP384" s="5" t="s">
        <v>22</v>
      </c>
    </row>
    <row r="385" spans="11:42">
      <c r="K385" s="18">
        <v>381</v>
      </c>
      <c r="L385" s="21" t="str">
        <f t="shared" si="61"/>
        <v/>
      </c>
      <c r="M385" s="21" t="str">
        <f t="shared" si="62"/>
        <v/>
      </c>
      <c r="N385" s="21" t="str">
        <f t="shared" si="63"/>
        <v/>
      </c>
      <c r="O385" s="21" t="str">
        <f t="shared" si="64"/>
        <v/>
      </c>
      <c r="P385" s="21" t="str">
        <f t="shared" si="65"/>
        <v/>
      </c>
      <c r="Q385" s="21" t="str">
        <f t="shared" si="66"/>
        <v/>
      </c>
      <c r="R385" s="21" t="str">
        <f t="shared" si="60"/>
        <v/>
      </c>
      <c r="T385" s="10" t="s">
        <v>22</v>
      </c>
      <c r="U385" s="5" t="s">
        <v>22</v>
      </c>
      <c r="V385" s="5" t="s">
        <v>22</v>
      </c>
      <c r="W385" s="5" t="s">
        <v>22</v>
      </c>
      <c r="X385" s="5" t="s">
        <v>22</v>
      </c>
      <c r="Y385" s="5" t="s">
        <v>22</v>
      </c>
      <c r="Z385" s="5" t="s">
        <v>22</v>
      </c>
      <c r="AB385" s="5" t="s">
        <v>22</v>
      </c>
      <c r="AC385" s="5" t="s">
        <v>22</v>
      </c>
      <c r="AD385" s="5" t="s">
        <v>22</v>
      </c>
      <c r="AE385" s="5" t="s">
        <v>22</v>
      </c>
      <c r="AF385" s="5" t="s">
        <v>22</v>
      </c>
      <c r="AG385" s="5" t="s">
        <v>22</v>
      </c>
      <c r="AH385" s="5" t="s">
        <v>22</v>
      </c>
      <c r="AJ385" s="5" t="s">
        <v>22</v>
      </c>
      <c r="AK385" s="5" t="s">
        <v>22</v>
      </c>
      <c r="AL385" s="5" t="s">
        <v>22</v>
      </c>
      <c r="AM385" s="5" t="s">
        <v>22</v>
      </c>
      <c r="AN385" s="5" t="s">
        <v>22</v>
      </c>
      <c r="AO385" s="5" t="s">
        <v>22</v>
      </c>
      <c r="AP385" s="5" t="s">
        <v>22</v>
      </c>
    </row>
    <row r="386" spans="11:42">
      <c r="K386" s="19">
        <v>382</v>
      </c>
      <c r="L386" s="21" t="str">
        <f t="shared" si="61"/>
        <v/>
      </c>
      <c r="M386" s="21" t="str">
        <f t="shared" si="62"/>
        <v/>
      </c>
      <c r="N386" s="21" t="str">
        <f t="shared" si="63"/>
        <v/>
      </c>
      <c r="O386" s="21" t="str">
        <f t="shared" si="64"/>
        <v/>
      </c>
      <c r="P386" s="21" t="str">
        <f t="shared" si="65"/>
        <v/>
      </c>
      <c r="Q386" s="21" t="str">
        <f t="shared" si="66"/>
        <v/>
      </c>
      <c r="R386" s="21" t="str">
        <f t="shared" si="60"/>
        <v/>
      </c>
      <c r="T386" s="10" t="s">
        <v>22</v>
      </c>
      <c r="U386" s="5" t="s">
        <v>22</v>
      </c>
      <c r="V386" s="5" t="s">
        <v>22</v>
      </c>
      <c r="W386" s="5" t="s">
        <v>22</v>
      </c>
      <c r="X386" s="5" t="s">
        <v>22</v>
      </c>
      <c r="Y386" s="5" t="s">
        <v>22</v>
      </c>
      <c r="Z386" s="5" t="s">
        <v>22</v>
      </c>
      <c r="AB386" s="5" t="s">
        <v>22</v>
      </c>
      <c r="AC386" s="5" t="s">
        <v>22</v>
      </c>
      <c r="AD386" s="5" t="s">
        <v>22</v>
      </c>
      <c r="AE386" s="5" t="s">
        <v>22</v>
      </c>
      <c r="AF386" s="5" t="s">
        <v>22</v>
      </c>
      <c r="AG386" s="5" t="s">
        <v>22</v>
      </c>
      <c r="AH386" s="5" t="s">
        <v>22</v>
      </c>
      <c r="AJ386" s="5" t="s">
        <v>22</v>
      </c>
      <c r="AK386" s="5" t="s">
        <v>22</v>
      </c>
      <c r="AL386" s="5" t="s">
        <v>22</v>
      </c>
      <c r="AM386" s="5" t="s">
        <v>22</v>
      </c>
      <c r="AN386" s="5" t="s">
        <v>22</v>
      </c>
      <c r="AO386" s="5" t="s">
        <v>22</v>
      </c>
      <c r="AP386" s="5" t="s">
        <v>22</v>
      </c>
    </row>
    <row r="387" spans="11:42">
      <c r="K387" s="18">
        <v>383</v>
      </c>
      <c r="L387" s="21" t="str">
        <f t="shared" si="61"/>
        <v/>
      </c>
      <c r="M387" s="21" t="str">
        <f t="shared" si="62"/>
        <v/>
      </c>
      <c r="N387" s="21" t="str">
        <f t="shared" si="63"/>
        <v/>
      </c>
      <c r="O387" s="21" t="str">
        <f t="shared" si="64"/>
        <v/>
      </c>
      <c r="P387" s="21" t="str">
        <f t="shared" si="65"/>
        <v/>
      </c>
      <c r="Q387" s="21" t="str">
        <f t="shared" si="66"/>
        <v/>
      </c>
      <c r="R387" s="21" t="str">
        <f t="shared" si="60"/>
        <v/>
      </c>
      <c r="T387" s="10" t="s">
        <v>22</v>
      </c>
      <c r="U387" s="5" t="s">
        <v>22</v>
      </c>
      <c r="V387" s="5" t="s">
        <v>22</v>
      </c>
      <c r="W387" s="5" t="s">
        <v>22</v>
      </c>
      <c r="X387" s="5" t="s">
        <v>22</v>
      </c>
      <c r="Y387" s="5" t="s">
        <v>22</v>
      </c>
      <c r="Z387" s="5" t="s">
        <v>22</v>
      </c>
      <c r="AB387" s="5" t="s">
        <v>22</v>
      </c>
      <c r="AC387" s="5" t="s">
        <v>22</v>
      </c>
      <c r="AD387" s="5" t="s">
        <v>22</v>
      </c>
      <c r="AE387" s="5" t="s">
        <v>22</v>
      </c>
      <c r="AF387" s="5" t="s">
        <v>22</v>
      </c>
      <c r="AG387" s="5" t="s">
        <v>22</v>
      </c>
      <c r="AH387" s="5" t="s">
        <v>22</v>
      </c>
      <c r="AJ387" s="5" t="s">
        <v>22</v>
      </c>
      <c r="AK387" s="5" t="s">
        <v>22</v>
      </c>
      <c r="AL387" s="5" t="s">
        <v>22</v>
      </c>
      <c r="AM387" s="5" t="s">
        <v>22</v>
      </c>
      <c r="AN387" s="5" t="s">
        <v>22</v>
      </c>
      <c r="AO387" s="5" t="s">
        <v>22</v>
      </c>
      <c r="AP387" s="5" t="s">
        <v>22</v>
      </c>
    </row>
    <row r="388" spans="11:42">
      <c r="K388" s="19">
        <v>384</v>
      </c>
      <c r="L388" s="21" t="str">
        <f t="shared" si="61"/>
        <v/>
      </c>
      <c r="M388" s="21" t="str">
        <f t="shared" si="62"/>
        <v/>
      </c>
      <c r="N388" s="21" t="str">
        <f t="shared" si="63"/>
        <v/>
      </c>
      <c r="O388" s="21" t="str">
        <f t="shared" si="64"/>
        <v/>
      </c>
      <c r="P388" s="21" t="str">
        <f t="shared" si="65"/>
        <v/>
      </c>
      <c r="Q388" s="21" t="str">
        <f t="shared" si="66"/>
        <v/>
      </c>
      <c r="R388" s="21" t="str">
        <f t="shared" si="60"/>
        <v/>
      </c>
      <c r="T388" s="10" t="s">
        <v>22</v>
      </c>
      <c r="U388" s="5" t="s">
        <v>22</v>
      </c>
      <c r="V388" s="5" t="s">
        <v>22</v>
      </c>
      <c r="W388" s="5" t="s">
        <v>22</v>
      </c>
      <c r="X388" s="5" t="s">
        <v>22</v>
      </c>
      <c r="Y388" s="5" t="s">
        <v>22</v>
      </c>
      <c r="Z388" s="5" t="s">
        <v>22</v>
      </c>
      <c r="AB388" s="5" t="s">
        <v>22</v>
      </c>
      <c r="AC388" s="5" t="s">
        <v>22</v>
      </c>
      <c r="AD388" s="5" t="s">
        <v>22</v>
      </c>
      <c r="AE388" s="5" t="s">
        <v>22</v>
      </c>
      <c r="AF388" s="5" t="s">
        <v>22</v>
      </c>
      <c r="AG388" s="5" t="s">
        <v>22</v>
      </c>
      <c r="AH388" s="5" t="s">
        <v>22</v>
      </c>
      <c r="AJ388" s="5" t="s">
        <v>22</v>
      </c>
      <c r="AK388" s="5" t="s">
        <v>22</v>
      </c>
      <c r="AL388" s="5" t="s">
        <v>22</v>
      </c>
      <c r="AM388" s="5" t="s">
        <v>22</v>
      </c>
      <c r="AN388" s="5" t="s">
        <v>22</v>
      </c>
      <c r="AO388" s="5" t="s">
        <v>22</v>
      </c>
      <c r="AP388" s="5" t="s">
        <v>22</v>
      </c>
    </row>
    <row r="389" spans="11:42">
      <c r="K389" s="18">
        <v>385</v>
      </c>
      <c r="L389" s="21" t="str">
        <f t="shared" si="61"/>
        <v/>
      </c>
      <c r="M389" s="21" t="str">
        <f t="shared" si="62"/>
        <v/>
      </c>
      <c r="N389" s="21" t="str">
        <f t="shared" si="63"/>
        <v/>
      </c>
      <c r="O389" s="21" t="str">
        <f t="shared" si="64"/>
        <v/>
      </c>
      <c r="P389" s="21" t="str">
        <f t="shared" si="65"/>
        <v/>
      </c>
      <c r="Q389" s="21" t="str">
        <f t="shared" si="66"/>
        <v/>
      </c>
      <c r="R389" s="21" t="str">
        <f t="shared" si="60"/>
        <v/>
      </c>
      <c r="T389" s="10" t="s">
        <v>22</v>
      </c>
      <c r="U389" s="5" t="s">
        <v>22</v>
      </c>
      <c r="V389" s="5" t="s">
        <v>22</v>
      </c>
      <c r="W389" s="5" t="s">
        <v>22</v>
      </c>
      <c r="X389" s="5" t="s">
        <v>22</v>
      </c>
      <c r="Y389" s="5" t="s">
        <v>22</v>
      </c>
      <c r="Z389" s="5" t="s">
        <v>22</v>
      </c>
      <c r="AB389" s="5" t="s">
        <v>22</v>
      </c>
      <c r="AC389" s="5" t="s">
        <v>22</v>
      </c>
      <c r="AD389" s="5" t="s">
        <v>22</v>
      </c>
      <c r="AE389" s="5" t="s">
        <v>22</v>
      </c>
      <c r="AF389" s="5" t="s">
        <v>22</v>
      </c>
      <c r="AG389" s="5" t="s">
        <v>22</v>
      </c>
      <c r="AH389" s="5" t="s">
        <v>22</v>
      </c>
      <c r="AJ389" s="5" t="s">
        <v>22</v>
      </c>
      <c r="AK389" s="5" t="s">
        <v>22</v>
      </c>
      <c r="AL389" s="5" t="s">
        <v>22</v>
      </c>
      <c r="AM389" s="5" t="s">
        <v>22</v>
      </c>
      <c r="AN389" s="5" t="s">
        <v>22</v>
      </c>
      <c r="AO389" s="5" t="s">
        <v>22</v>
      </c>
      <c r="AP389" s="5" t="s">
        <v>22</v>
      </c>
    </row>
    <row r="390" spans="11:42">
      <c r="K390" s="19">
        <v>386</v>
      </c>
      <c r="L390" s="21" t="str">
        <f t="shared" si="61"/>
        <v/>
      </c>
      <c r="M390" s="21" t="str">
        <f t="shared" si="62"/>
        <v/>
      </c>
      <c r="N390" s="21" t="str">
        <f t="shared" si="63"/>
        <v/>
      </c>
      <c r="O390" s="21" t="str">
        <f t="shared" si="64"/>
        <v/>
      </c>
      <c r="P390" s="21" t="str">
        <f t="shared" si="65"/>
        <v/>
      </c>
      <c r="Q390" s="21" t="str">
        <f t="shared" si="66"/>
        <v/>
      </c>
      <c r="R390" s="21" t="str">
        <f t="shared" si="60"/>
        <v/>
      </c>
      <c r="T390" s="10" t="s">
        <v>22</v>
      </c>
      <c r="U390" s="5" t="s">
        <v>22</v>
      </c>
      <c r="V390" s="5" t="s">
        <v>22</v>
      </c>
      <c r="W390" s="5" t="s">
        <v>22</v>
      </c>
      <c r="X390" s="5" t="s">
        <v>22</v>
      </c>
      <c r="Y390" s="5" t="s">
        <v>22</v>
      </c>
      <c r="Z390" s="5" t="s">
        <v>22</v>
      </c>
      <c r="AB390" s="5" t="s">
        <v>22</v>
      </c>
      <c r="AC390" s="5" t="s">
        <v>22</v>
      </c>
      <c r="AD390" s="5" t="s">
        <v>22</v>
      </c>
      <c r="AE390" s="5" t="s">
        <v>22</v>
      </c>
      <c r="AF390" s="5" t="s">
        <v>22</v>
      </c>
      <c r="AG390" s="5" t="s">
        <v>22</v>
      </c>
      <c r="AH390" s="5" t="s">
        <v>22</v>
      </c>
      <c r="AJ390" s="5" t="s">
        <v>22</v>
      </c>
      <c r="AK390" s="5" t="s">
        <v>22</v>
      </c>
      <c r="AL390" s="5" t="s">
        <v>22</v>
      </c>
      <c r="AM390" s="5" t="s">
        <v>22</v>
      </c>
      <c r="AN390" s="5" t="s">
        <v>22</v>
      </c>
      <c r="AO390" s="5" t="s">
        <v>22</v>
      </c>
      <c r="AP390" s="5" t="s">
        <v>22</v>
      </c>
    </row>
    <row r="391" spans="11:42">
      <c r="K391" s="18">
        <v>387</v>
      </c>
      <c r="L391" s="21" t="str">
        <f t="shared" si="61"/>
        <v/>
      </c>
      <c r="M391" s="21" t="str">
        <f t="shared" si="62"/>
        <v/>
      </c>
      <c r="N391" s="21" t="str">
        <f t="shared" si="63"/>
        <v/>
      </c>
      <c r="O391" s="21" t="str">
        <f t="shared" si="64"/>
        <v/>
      </c>
      <c r="P391" s="21" t="str">
        <f t="shared" si="65"/>
        <v/>
      </c>
      <c r="Q391" s="21" t="str">
        <f t="shared" si="66"/>
        <v/>
      </c>
      <c r="R391" s="21" t="str">
        <f t="shared" si="60"/>
        <v/>
      </c>
      <c r="T391" s="10" t="s">
        <v>22</v>
      </c>
      <c r="U391" s="5" t="s">
        <v>22</v>
      </c>
      <c r="V391" s="5" t="s">
        <v>22</v>
      </c>
      <c r="W391" s="5" t="s">
        <v>22</v>
      </c>
      <c r="X391" s="5" t="s">
        <v>22</v>
      </c>
      <c r="Y391" s="5" t="s">
        <v>22</v>
      </c>
      <c r="Z391" s="5" t="s">
        <v>22</v>
      </c>
      <c r="AB391" s="5" t="s">
        <v>22</v>
      </c>
      <c r="AC391" s="5" t="s">
        <v>22</v>
      </c>
      <c r="AD391" s="5" t="s">
        <v>22</v>
      </c>
      <c r="AE391" s="5" t="s">
        <v>22</v>
      </c>
      <c r="AF391" s="5" t="s">
        <v>22</v>
      </c>
      <c r="AG391" s="5" t="s">
        <v>22</v>
      </c>
      <c r="AH391" s="5" t="s">
        <v>22</v>
      </c>
      <c r="AJ391" s="5" t="s">
        <v>22</v>
      </c>
      <c r="AK391" s="5" t="s">
        <v>22</v>
      </c>
      <c r="AL391" s="5" t="s">
        <v>22</v>
      </c>
      <c r="AM391" s="5" t="s">
        <v>22</v>
      </c>
      <c r="AN391" s="5" t="s">
        <v>22</v>
      </c>
      <c r="AO391" s="5" t="s">
        <v>22</v>
      </c>
      <c r="AP391" s="5" t="s">
        <v>22</v>
      </c>
    </row>
    <row r="392" spans="11:42">
      <c r="K392" s="19">
        <v>388</v>
      </c>
      <c r="L392" s="21" t="str">
        <f t="shared" si="61"/>
        <v/>
      </c>
      <c r="M392" s="21" t="str">
        <f t="shared" si="62"/>
        <v/>
      </c>
      <c r="N392" s="21" t="str">
        <f t="shared" si="63"/>
        <v/>
      </c>
      <c r="O392" s="21" t="str">
        <f t="shared" si="64"/>
        <v/>
      </c>
      <c r="P392" s="21" t="str">
        <f t="shared" si="65"/>
        <v/>
      </c>
      <c r="Q392" s="21" t="str">
        <f t="shared" si="66"/>
        <v/>
      </c>
      <c r="R392" s="21" t="str">
        <f t="shared" si="60"/>
        <v/>
      </c>
      <c r="T392" s="10" t="s">
        <v>22</v>
      </c>
      <c r="U392" s="5" t="s">
        <v>22</v>
      </c>
      <c r="V392" s="5" t="s">
        <v>22</v>
      </c>
      <c r="W392" s="5" t="s">
        <v>22</v>
      </c>
      <c r="X392" s="5" t="s">
        <v>22</v>
      </c>
      <c r="Y392" s="5" t="s">
        <v>22</v>
      </c>
      <c r="Z392" s="5" t="s">
        <v>22</v>
      </c>
      <c r="AB392" s="5" t="s">
        <v>22</v>
      </c>
      <c r="AC392" s="5" t="s">
        <v>22</v>
      </c>
      <c r="AD392" s="5" t="s">
        <v>22</v>
      </c>
      <c r="AE392" s="5" t="s">
        <v>22</v>
      </c>
      <c r="AF392" s="5" t="s">
        <v>22</v>
      </c>
      <c r="AG392" s="5" t="s">
        <v>22</v>
      </c>
      <c r="AH392" s="5" t="s">
        <v>22</v>
      </c>
      <c r="AJ392" s="5" t="s">
        <v>22</v>
      </c>
      <c r="AK392" s="5" t="s">
        <v>22</v>
      </c>
      <c r="AL392" s="5" t="s">
        <v>22</v>
      </c>
      <c r="AM392" s="5" t="s">
        <v>22</v>
      </c>
      <c r="AN392" s="5" t="s">
        <v>22</v>
      </c>
      <c r="AO392" s="5" t="s">
        <v>22</v>
      </c>
      <c r="AP392" s="5" t="s">
        <v>22</v>
      </c>
    </row>
    <row r="393" spans="11:42">
      <c r="K393" s="18">
        <v>389</v>
      </c>
      <c r="L393" s="21" t="str">
        <f t="shared" si="61"/>
        <v/>
      </c>
      <c r="M393" s="21" t="str">
        <f t="shared" si="62"/>
        <v/>
      </c>
      <c r="N393" s="21" t="str">
        <f t="shared" si="63"/>
        <v/>
      </c>
      <c r="O393" s="21" t="str">
        <f t="shared" si="64"/>
        <v/>
      </c>
      <c r="P393" s="21" t="str">
        <f t="shared" si="65"/>
        <v/>
      </c>
      <c r="Q393" s="21" t="str">
        <f t="shared" si="66"/>
        <v/>
      </c>
      <c r="R393" s="21" t="str">
        <f t="shared" si="60"/>
        <v/>
      </c>
      <c r="T393" s="10" t="s">
        <v>22</v>
      </c>
      <c r="U393" s="5" t="s">
        <v>22</v>
      </c>
      <c r="V393" s="5" t="s">
        <v>22</v>
      </c>
      <c r="W393" s="5" t="s">
        <v>22</v>
      </c>
      <c r="X393" s="5" t="s">
        <v>22</v>
      </c>
      <c r="Y393" s="5" t="s">
        <v>22</v>
      </c>
      <c r="Z393" s="5" t="s">
        <v>22</v>
      </c>
      <c r="AB393" s="5" t="s">
        <v>22</v>
      </c>
      <c r="AC393" s="5" t="s">
        <v>22</v>
      </c>
      <c r="AD393" s="5" t="s">
        <v>22</v>
      </c>
      <c r="AE393" s="5" t="s">
        <v>22</v>
      </c>
      <c r="AF393" s="5" t="s">
        <v>22</v>
      </c>
      <c r="AG393" s="5" t="s">
        <v>22</v>
      </c>
      <c r="AH393" s="5" t="s">
        <v>22</v>
      </c>
      <c r="AJ393" s="5" t="s">
        <v>22</v>
      </c>
      <c r="AK393" s="5" t="s">
        <v>22</v>
      </c>
      <c r="AL393" s="5" t="s">
        <v>22</v>
      </c>
      <c r="AM393" s="5" t="s">
        <v>22</v>
      </c>
      <c r="AN393" s="5" t="s">
        <v>22</v>
      </c>
      <c r="AO393" s="5" t="s">
        <v>22</v>
      </c>
      <c r="AP393" s="5" t="s">
        <v>22</v>
      </c>
    </row>
    <row r="394" spans="11:42">
      <c r="K394" s="19">
        <v>390</v>
      </c>
      <c r="L394" s="21" t="str">
        <f t="shared" si="61"/>
        <v/>
      </c>
      <c r="M394" s="21" t="str">
        <f t="shared" si="62"/>
        <v/>
      </c>
      <c r="N394" s="21" t="str">
        <f t="shared" si="63"/>
        <v/>
      </c>
      <c r="O394" s="21" t="str">
        <f t="shared" si="64"/>
        <v/>
      </c>
      <c r="P394" s="21" t="str">
        <f t="shared" si="65"/>
        <v/>
      </c>
      <c r="Q394" s="21" t="str">
        <f t="shared" si="66"/>
        <v/>
      </c>
      <c r="R394" s="21" t="str">
        <f t="shared" si="60"/>
        <v/>
      </c>
      <c r="T394" s="10" t="s">
        <v>22</v>
      </c>
      <c r="U394" s="5" t="s">
        <v>22</v>
      </c>
      <c r="V394" s="5" t="s">
        <v>22</v>
      </c>
      <c r="W394" s="5" t="s">
        <v>22</v>
      </c>
      <c r="X394" s="5" t="s">
        <v>22</v>
      </c>
      <c r="Y394" s="5" t="s">
        <v>22</v>
      </c>
      <c r="Z394" s="5" t="s">
        <v>22</v>
      </c>
      <c r="AB394" s="5" t="s">
        <v>22</v>
      </c>
      <c r="AC394" s="5" t="s">
        <v>22</v>
      </c>
      <c r="AD394" s="5" t="s">
        <v>22</v>
      </c>
      <c r="AE394" s="5" t="s">
        <v>22</v>
      </c>
      <c r="AF394" s="5" t="s">
        <v>22</v>
      </c>
      <c r="AG394" s="5" t="s">
        <v>22</v>
      </c>
      <c r="AH394" s="5" t="s">
        <v>22</v>
      </c>
      <c r="AJ394" s="5" t="s">
        <v>22</v>
      </c>
      <c r="AK394" s="5" t="s">
        <v>22</v>
      </c>
      <c r="AL394" s="5" t="s">
        <v>22</v>
      </c>
      <c r="AM394" s="5" t="s">
        <v>22</v>
      </c>
      <c r="AN394" s="5" t="s">
        <v>22</v>
      </c>
      <c r="AO394" s="5" t="s">
        <v>22</v>
      </c>
      <c r="AP394" s="5" t="s">
        <v>22</v>
      </c>
    </row>
    <row r="395" spans="11:42">
      <c r="K395" s="18">
        <v>391</v>
      </c>
      <c r="L395" s="21" t="str">
        <f t="shared" si="61"/>
        <v/>
      </c>
      <c r="M395" s="21" t="str">
        <f t="shared" si="62"/>
        <v/>
      </c>
      <c r="N395" s="21" t="str">
        <f t="shared" si="63"/>
        <v/>
      </c>
      <c r="O395" s="21" t="str">
        <f t="shared" si="64"/>
        <v/>
      </c>
      <c r="P395" s="21" t="str">
        <f t="shared" si="65"/>
        <v/>
      </c>
      <c r="Q395" s="21" t="str">
        <f t="shared" si="66"/>
        <v/>
      </c>
      <c r="R395" s="21" t="str">
        <f t="shared" si="60"/>
        <v/>
      </c>
      <c r="T395" s="10" t="s">
        <v>22</v>
      </c>
      <c r="U395" s="5" t="s">
        <v>22</v>
      </c>
      <c r="V395" s="5" t="s">
        <v>22</v>
      </c>
      <c r="W395" s="5" t="s">
        <v>22</v>
      </c>
      <c r="X395" s="5" t="s">
        <v>22</v>
      </c>
      <c r="Y395" s="5" t="s">
        <v>22</v>
      </c>
      <c r="Z395" s="5" t="s">
        <v>22</v>
      </c>
      <c r="AB395" s="5" t="s">
        <v>22</v>
      </c>
      <c r="AC395" s="5" t="s">
        <v>22</v>
      </c>
      <c r="AD395" s="5" t="s">
        <v>22</v>
      </c>
      <c r="AE395" s="5" t="s">
        <v>22</v>
      </c>
      <c r="AF395" s="5" t="s">
        <v>22</v>
      </c>
      <c r="AG395" s="5" t="s">
        <v>22</v>
      </c>
      <c r="AH395" s="5" t="s">
        <v>22</v>
      </c>
      <c r="AJ395" s="5" t="s">
        <v>22</v>
      </c>
      <c r="AK395" s="5" t="s">
        <v>22</v>
      </c>
      <c r="AL395" s="5" t="s">
        <v>22</v>
      </c>
      <c r="AM395" s="5" t="s">
        <v>22</v>
      </c>
      <c r="AN395" s="5" t="s">
        <v>22</v>
      </c>
      <c r="AO395" s="5" t="s">
        <v>22</v>
      </c>
      <c r="AP395" s="5" t="s">
        <v>22</v>
      </c>
    </row>
    <row r="396" spans="11:42">
      <c r="K396" s="19">
        <v>392</v>
      </c>
      <c r="L396" s="21" t="str">
        <f t="shared" si="61"/>
        <v/>
      </c>
      <c r="M396" s="21" t="str">
        <f t="shared" si="62"/>
        <v/>
      </c>
      <c r="N396" s="21" t="str">
        <f t="shared" si="63"/>
        <v/>
      </c>
      <c r="O396" s="21" t="str">
        <f t="shared" si="64"/>
        <v/>
      </c>
      <c r="P396" s="21" t="str">
        <f t="shared" si="65"/>
        <v/>
      </c>
      <c r="Q396" s="21" t="str">
        <f t="shared" si="66"/>
        <v/>
      </c>
      <c r="R396" s="21" t="str">
        <f t="shared" si="60"/>
        <v/>
      </c>
      <c r="T396" s="10" t="s">
        <v>22</v>
      </c>
      <c r="U396" s="5" t="s">
        <v>22</v>
      </c>
      <c r="V396" s="5" t="s">
        <v>22</v>
      </c>
      <c r="W396" s="5" t="s">
        <v>22</v>
      </c>
      <c r="X396" s="5" t="s">
        <v>22</v>
      </c>
      <c r="Y396" s="5" t="s">
        <v>22</v>
      </c>
      <c r="Z396" s="5" t="s">
        <v>22</v>
      </c>
      <c r="AB396" s="5" t="s">
        <v>22</v>
      </c>
      <c r="AC396" s="5" t="s">
        <v>22</v>
      </c>
      <c r="AD396" s="5" t="s">
        <v>22</v>
      </c>
      <c r="AE396" s="5" t="s">
        <v>22</v>
      </c>
      <c r="AF396" s="5" t="s">
        <v>22</v>
      </c>
      <c r="AG396" s="5" t="s">
        <v>22</v>
      </c>
      <c r="AH396" s="5" t="s">
        <v>22</v>
      </c>
      <c r="AJ396" s="5" t="s">
        <v>22</v>
      </c>
      <c r="AK396" s="5" t="s">
        <v>22</v>
      </c>
      <c r="AL396" s="5" t="s">
        <v>22</v>
      </c>
      <c r="AM396" s="5" t="s">
        <v>22</v>
      </c>
      <c r="AN396" s="5" t="s">
        <v>22</v>
      </c>
      <c r="AO396" s="5" t="s">
        <v>22</v>
      </c>
      <c r="AP396" s="5" t="s">
        <v>22</v>
      </c>
    </row>
    <row r="397" spans="11:42">
      <c r="K397" s="18">
        <v>393</v>
      </c>
      <c r="L397" s="21" t="str">
        <f t="shared" si="61"/>
        <v/>
      </c>
      <c r="M397" s="21" t="str">
        <f t="shared" si="62"/>
        <v/>
      </c>
      <c r="N397" s="21" t="str">
        <f t="shared" si="63"/>
        <v/>
      </c>
      <c r="O397" s="21" t="str">
        <f t="shared" si="64"/>
        <v/>
      </c>
      <c r="P397" s="21" t="str">
        <f t="shared" si="65"/>
        <v/>
      </c>
      <c r="Q397" s="21" t="str">
        <f t="shared" si="66"/>
        <v/>
      </c>
      <c r="R397" s="21" t="str">
        <f t="shared" si="60"/>
        <v/>
      </c>
      <c r="T397" s="10" t="s">
        <v>22</v>
      </c>
      <c r="U397" s="5" t="s">
        <v>22</v>
      </c>
      <c r="V397" s="5" t="s">
        <v>22</v>
      </c>
      <c r="W397" s="5" t="s">
        <v>22</v>
      </c>
      <c r="X397" s="5" t="s">
        <v>22</v>
      </c>
      <c r="Y397" s="5" t="s">
        <v>22</v>
      </c>
      <c r="Z397" s="5" t="s">
        <v>22</v>
      </c>
      <c r="AB397" s="5" t="s">
        <v>22</v>
      </c>
      <c r="AC397" s="5" t="s">
        <v>22</v>
      </c>
      <c r="AD397" s="5" t="s">
        <v>22</v>
      </c>
      <c r="AE397" s="5" t="s">
        <v>22</v>
      </c>
      <c r="AF397" s="5" t="s">
        <v>22</v>
      </c>
      <c r="AG397" s="5" t="s">
        <v>22</v>
      </c>
      <c r="AH397" s="5" t="s">
        <v>22</v>
      </c>
      <c r="AJ397" s="5" t="s">
        <v>22</v>
      </c>
      <c r="AK397" s="5" t="s">
        <v>22</v>
      </c>
      <c r="AL397" s="5" t="s">
        <v>22</v>
      </c>
      <c r="AM397" s="5" t="s">
        <v>22</v>
      </c>
      <c r="AN397" s="5" t="s">
        <v>22</v>
      </c>
      <c r="AO397" s="5" t="s">
        <v>22</v>
      </c>
      <c r="AP397" s="5" t="s">
        <v>22</v>
      </c>
    </row>
    <row r="398" spans="11:42">
      <c r="K398" s="19">
        <v>394</v>
      </c>
      <c r="L398" s="21" t="str">
        <f t="shared" si="61"/>
        <v/>
      </c>
      <c r="M398" s="21" t="str">
        <f t="shared" si="62"/>
        <v/>
      </c>
      <c r="N398" s="21" t="str">
        <f t="shared" si="63"/>
        <v/>
      </c>
      <c r="O398" s="21" t="str">
        <f t="shared" si="64"/>
        <v/>
      </c>
      <c r="P398" s="21" t="str">
        <f t="shared" si="65"/>
        <v/>
      </c>
      <c r="Q398" s="21" t="str">
        <f t="shared" si="66"/>
        <v/>
      </c>
      <c r="R398" s="21" t="str">
        <f t="shared" si="60"/>
        <v/>
      </c>
      <c r="T398" s="10" t="s">
        <v>22</v>
      </c>
      <c r="U398" s="5" t="s">
        <v>22</v>
      </c>
      <c r="V398" s="5" t="s">
        <v>22</v>
      </c>
      <c r="W398" s="5" t="s">
        <v>22</v>
      </c>
      <c r="X398" s="5" t="s">
        <v>22</v>
      </c>
      <c r="Y398" s="5" t="s">
        <v>22</v>
      </c>
      <c r="Z398" s="5" t="s">
        <v>22</v>
      </c>
      <c r="AB398" s="5" t="s">
        <v>22</v>
      </c>
      <c r="AC398" s="5" t="s">
        <v>22</v>
      </c>
      <c r="AD398" s="5" t="s">
        <v>22</v>
      </c>
      <c r="AE398" s="5" t="s">
        <v>22</v>
      </c>
      <c r="AF398" s="5" t="s">
        <v>22</v>
      </c>
      <c r="AG398" s="5" t="s">
        <v>22</v>
      </c>
      <c r="AH398" s="5" t="s">
        <v>22</v>
      </c>
      <c r="AJ398" s="5" t="s">
        <v>22</v>
      </c>
      <c r="AK398" s="5" t="s">
        <v>22</v>
      </c>
      <c r="AL398" s="5" t="s">
        <v>22</v>
      </c>
      <c r="AM398" s="5" t="s">
        <v>22</v>
      </c>
      <c r="AN398" s="5" t="s">
        <v>22</v>
      </c>
      <c r="AO398" s="5" t="s">
        <v>22</v>
      </c>
      <c r="AP398" s="5" t="s">
        <v>22</v>
      </c>
    </row>
    <row r="399" spans="11:42">
      <c r="K399" s="18">
        <v>395</v>
      </c>
      <c r="L399" s="21" t="str">
        <f t="shared" si="61"/>
        <v/>
      </c>
      <c r="M399" s="21" t="str">
        <f t="shared" si="62"/>
        <v/>
      </c>
      <c r="N399" s="21" t="str">
        <f t="shared" si="63"/>
        <v/>
      </c>
      <c r="O399" s="21" t="str">
        <f t="shared" si="64"/>
        <v/>
      </c>
      <c r="P399" s="21" t="str">
        <f t="shared" si="65"/>
        <v/>
      </c>
      <c r="Q399" s="21" t="str">
        <f t="shared" si="66"/>
        <v/>
      </c>
      <c r="R399" s="21" t="str">
        <f t="shared" si="60"/>
        <v/>
      </c>
      <c r="T399" s="10" t="s">
        <v>22</v>
      </c>
      <c r="U399" s="5" t="s">
        <v>22</v>
      </c>
      <c r="V399" s="5" t="s">
        <v>22</v>
      </c>
      <c r="W399" s="5" t="s">
        <v>22</v>
      </c>
      <c r="X399" s="5" t="s">
        <v>22</v>
      </c>
      <c r="Y399" s="5" t="s">
        <v>22</v>
      </c>
      <c r="Z399" s="5" t="s">
        <v>22</v>
      </c>
      <c r="AB399" s="5" t="s">
        <v>22</v>
      </c>
      <c r="AC399" s="5" t="s">
        <v>22</v>
      </c>
      <c r="AD399" s="5" t="s">
        <v>22</v>
      </c>
      <c r="AE399" s="5" t="s">
        <v>22</v>
      </c>
      <c r="AF399" s="5" t="s">
        <v>22</v>
      </c>
      <c r="AG399" s="5" t="s">
        <v>22</v>
      </c>
      <c r="AH399" s="5" t="s">
        <v>22</v>
      </c>
      <c r="AJ399" s="5" t="s">
        <v>22</v>
      </c>
      <c r="AK399" s="5" t="s">
        <v>22</v>
      </c>
      <c r="AL399" s="5" t="s">
        <v>22</v>
      </c>
      <c r="AM399" s="5" t="s">
        <v>22</v>
      </c>
      <c r="AN399" s="5" t="s">
        <v>22</v>
      </c>
      <c r="AO399" s="5" t="s">
        <v>22</v>
      </c>
      <c r="AP399" s="5" t="s">
        <v>22</v>
      </c>
    </row>
    <row r="400" spans="11:42">
      <c r="K400" s="19">
        <v>396</v>
      </c>
      <c r="L400" s="21" t="str">
        <f t="shared" si="61"/>
        <v/>
      </c>
      <c r="M400" s="21" t="str">
        <f t="shared" si="62"/>
        <v/>
      </c>
      <c r="N400" s="21" t="str">
        <f t="shared" si="63"/>
        <v/>
      </c>
      <c r="O400" s="21" t="str">
        <f t="shared" si="64"/>
        <v/>
      </c>
      <c r="P400" s="21" t="str">
        <f t="shared" si="65"/>
        <v/>
      </c>
      <c r="Q400" s="21" t="str">
        <f t="shared" si="66"/>
        <v/>
      </c>
      <c r="R400" s="21" t="str">
        <f t="shared" si="60"/>
        <v/>
      </c>
      <c r="T400" s="10" t="s">
        <v>22</v>
      </c>
      <c r="U400" s="5" t="s">
        <v>22</v>
      </c>
      <c r="V400" s="5" t="s">
        <v>22</v>
      </c>
      <c r="W400" s="5" t="s">
        <v>22</v>
      </c>
      <c r="X400" s="5" t="s">
        <v>22</v>
      </c>
      <c r="Y400" s="5" t="s">
        <v>22</v>
      </c>
      <c r="Z400" s="5" t="s">
        <v>22</v>
      </c>
      <c r="AB400" s="5" t="s">
        <v>22</v>
      </c>
      <c r="AC400" s="5" t="s">
        <v>22</v>
      </c>
      <c r="AD400" s="5" t="s">
        <v>22</v>
      </c>
      <c r="AE400" s="5" t="s">
        <v>22</v>
      </c>
      <c r="AF400" s="5" t="s">
        <v>22</v>
      </c>
      <c r="AG400" s="5" t="s">
        <v>22</v>
      </c>
      <c r="AH400" s="5" t="s">
        <v>22</v>
      </c>
      <c r="AJ400" s="5" t="s">
        <v>22</v>
      </c>
      <c r="AK400" s="5" t="s">
        <v>22</v>
      </c>
      <c r="AL400" s="5" t="s">
        <v>22</v>
      </c>
      <c r="AM400" s="5" t="s">
        <v>22</v>
      </c>
      <c r="AN400" s="5" t="s">
        <v>22</v>
      </c>
      <c r="AO400" s="5" t="s">
        <v>22</v>
      </c>
      <c r="AP400" s="5" t="s">
        <v>22</v>
      </c>
    </row>
    <row r="401" spans="11:42">
      <c r="K401" s="18">
        <v>397</v>
      </c>
      <c r="L401" s="21" t="str">
        <f t="shared" si="61"/>
        <v/>
      </c>
      <c r="M401" s="21" t="str">
        <f t="shared" si="62"/>
        <v/>
      </c>
      <c r="N401" s="21" t="str">
        <f t="shared" si="63"/>
        <v/>
      </c>
      <c r="O401" s="21" t="str">
        <f t="shared" si="64"/>
        <v/>
      </c>
      <c r="P401" s="21" t="str">
        <f t="shared" si="65"/>
        <v/>
      </c>
      <c r="Q401" s="21" t="str">
        <f t="shared" si="66"/>
        <v/>
      </c>
      <c r="R401" s="21" t="str">
        <f t="shared" si="60"/>
        <v/>
      </c>
      <c r="T401" s="10" t="s">
        <v>22</v>
      </c>
      <c r="U401" s="5" t="s">
        <v>22</v>
      </c>
      <c r="V401" s="5" t="s">
        <v>22</v>
      </c>
      <c r="W401" s="5" t="s">
        <v>22</v>
      </c>
      <c r="X401" s="5" t="s">
        <v>22</v>
      </c>
      <c r="Y401" s="5" t="s">
        <v>22</v>
      </c>
      <c r="Z401" s="5" t="s">
        <v>22</v>
      </c>
      <c r="AB401" s="5" t="s">
        <v>22</v>
      </c>
      <c r="AC401" s="5" t="s">
        <v>22</v>
      </c>
      <c r="AD401" s="5" t="s">
        <v>22</v>
      </c>
      <c r="AE401" s="5" t="s">
        <v>22</v>
      </c>
      <c r="AF401" s="5" t="s">
        <v>22</v>
      </c>
      <c r="AG401" s="5" t="s">
        <v>22</v>
      </c>
      <c r="AH401" s="5" t="s">
        <v>22</v>
      </c>
      <c r="AJ401" s="5" t="s">
        <v>22</v>
      </c>
      <c r="AK401" s="5" t="s">
        <v>22</v>
      </c>
      <c r="AL401" s="5" t="s">
        <v>22</v>
      </c>
      <c r="AM401" s="5" t="s">
        <v>22</v>
      </c>
      <c r="AN401" s="5" t="s">
        <v>22</v>
      </c>
      <c r="AO401" s="5" t="s">
        <v>22</v>
      </c>
      <c r="AP401" s="5" t="s">
        <v>22</v>
      </c>
    </row>
    <row r="402" spans="11:42">
      <c r="K402" s="19">
        <v>398</v>
      </c>
      <c r="L402" s="21" t="str">
        <f t="shared" si="61"/>
        <v/>
      </c>
      <c r="M402" s="21" t="str">
        <f t="shared" si="62"/>
        <v/>
      </c>
      <c r="N402" s="21" t="str">
        <f t="shared" si="63"/>
        <v/>
      </c>
      <c r="O402" s="21" t="str">
        <f t="shared" si="64"/>
        <v/>
      </c>
      <c r="P402" s="21" t="str">
        <f t="shared" si="65"/>
        <v/>
      </c>
      <c r="Q402" s="21" t="str">
        <f t="shared" si="66"/>
        <v/>
      </c>
      <c r="R402" s="21" t="str">
        <f t="shared" si="60"/>
        <v/>
      </c>
      <c r="T402" s="10" t="s">
        <v>22</v>
      </c>
      <c r="U402" s="5" t="s">
        <v>22</v>
      </c>
      <c r="V402" s="5" t="s">
        <v>22</v>
      </c>
      <c r="W402" s="5" t="s">
        <v>22</v>
      </c>
      <c r="X402" s="5" t="s">
        <v>22</v>
      </c>
      <c r="Y402" s="5" t="s">
        <v>22</v>
      </c>
      <c r="Z402" s="5" t="s">
        <v>22</v>
      </c>
      <c r="AB402" s="5" t="s">
        <v>22</v>
      </c>
      <c r="AC402" s="5" t="s">
        <v>22</v>
      </c>
      <c r="AD402" s="5" t="s">
        <v>22</v>
      </c>
      <c r="AE402" s="5" t="s">
        <v>22</v>
      </c>
      <c r="AF402" s="5" t="s">
        <v>22</v>
      </c>
      <c r="AG402" s="5" t="s">
        <v>22</v>
      </c>
      <c r="AH402" s="5" t="s">
        <v>22</v>
      </c>
      <c r="AJ402" s="5" t="s">
        <v>22</v>
      </c>
      <c r="AK402" s="5" t="s">
        <v>22</v>
      </c>
      <c r="AL402" s="5" t="s">
        <v>22</v>
      </c>
      <c r="AM402" s="5" t="s">
        <v>22</v>
      </c>
      <c r="AN402" s="5" t="s">
        <v>22</v>
      </c>
      <c r="AO402" s="5" t="s">
        <v>22</v>
      </c>
      <c r="AP402" s="5" t="s">
        <v>22</v>
      </c>
    </row>
    <row r="403" spans="11:42">
      <c r="K403" s="18">
        <v>399</v>
      </c>
      <c r="L403" s="21" t="str">
        <f t="shared" si="61"/>
        <v/>
      </c>
      <c r="M403" s="21" t="str">
        <f t="shared" si="62"/>
        <v/>
      </c>
      <c r="N403" s="21" t="str">
        <f t="shared" si="63"/>
        <v/>
      </c>
      <c r="O403" s="21" t="str">
        <f t="shared" si="64"/>
        <v/>
      </c>
      <c r="P403" s="21" t="str">
        <f t="shared" si="65"/>
        <v/>
      </c>
      <c r="Q403" s="21" t="str">
        <f t="shared" si="66"/>
        <v/>
      </c>
      <c r="R403" s="21" t="str">
        <f t="shared" si="60"/>
        <v/>
      </c>
      <c r="T403" s="10" t="s">
        <v>22</v>
      </c>
      <c r="U403" s="5" t="s">
        <v>22</v>
      </c>
      <c r="V403" s="5" t="s">
        <v>22</v>
      </c>
      <c r="W403" s="5" t="s">
        <v>22</v>
      </c>
      <c r="X403" s="5" t="s">
        <v>22</v>
      </c>
      <c r="Y403" s="5" t="s">
        <v>22</v>
      </c>
      <c r="Z403" s="5" t="s">
        <v>22</v>
      </c>
      <c r="AB403" s="5" t="s">
        <v>22</v>
      </c>
      <c r="AC403" s="5" t="s">
        <v>22</v>
      </c>
      <c r="AD403" s="5" t="s">
        <v>22</v>
      </c>
      <c r="AE403" s="5" t="s">
        <v>22</v>
      </c>
      <c r="AF403" s="5" t="s">
        <v>22</v>
      </c>
      <c r="AG403" s="5" t="s">
        <v>22</v>
      </c>
      <c r="AH403" s="5" t="s">
        <v>22</v>
      </c>
      <c r="AJ403" s="5" t="s">
        <v>22</v>
      </c>
      <c r="AK403" s="5" t="s">
        <v>22</v>
      </c>
      <c r="AL403" s="5" t="s">
        <v>22</v>
      </c>
      <c r="AM403" s="5" t="s">
        <v>22</v>
      </c>
      <c r="AN403" s="5" t="s">
        <v>22</v>
      </c>
      <c r="AO403" s="5" t="s">
        <v>22</v>
      </c>
      <c r="AP403" s="5" t="s">
        <v>22</v>
      </c>
    </row>
    <row r="404" spans="11:42">
      <c r="T404" s="1" t="s">
        <v>22</v>
      </c>
      <c r="U404" s="96" t="s">
        <v>22</v>
      </c>
      <c r="V404" s="96" t="s">
        <v>22</v>
      </c>
      <c r="W404" s="96" t="s">
        <v>22</v>
      </c>
      <c r="X404" s="96" t="s">
        <v>22</v>
      </c>
      <c r="Y404" s="96" t="s">
        <v>22</v>
      </c>
      <c r="Z404" s="96" t="s">
        <v>22</v>
      </c>
      <c r="AB404" s="5" t="s">
        <v>22</v>
      </c>
      <c r="AC404" s="5" t="s">
        <v>22</v>
      </c>
      <c r="AD404" s="5" t="s">
        <v>22</v>
      </c>
      <c r="AE404" s="5" t="s">
        <v>22</v>
      </c>
      <c r="AF404" s="5" t="s">
        <v>22</v>
      </c>
      <c r="AG404" s="5" t="s">
        <v>22</v>
      </c>
      <c r="AH404" s="5" t="s">
        <v>22</v>
      </c>
      <c r="AJ404" s="5" t="s">
        <v>22</v>
      </c>
      <c r="AK404" s="5" t="s">
        <v>22</v>
      </c>
      <c r="AL404" s="5" t="s">
        <v>22</v>
      </c>
      <c r="AM404" s="5" t="s">
        <v>22</v>
      </c>
      <c r="AN404" s="5" t="s">
        <v>22</v>
      </c>
      <c r="AO404" s="5" t="s">
        <v>22</v>
      </c>
      <c r="AP404" s="5" t="s">
        <v>22</v>
      </c>
    </row>
  </sheetData>
  <mergeCells count="1">
    <mergeCell ref="K2:R2"/>
  </mergeCells>
  <phoneticPr fontId="20" type="noConversion"/>
  <conditionalFormatting sqref="A4:A29">
    <cfRule type="containsText" dxfId="42" priority="50" operator="containsText" text="M1">
      <formula>NOT(ISERROR(SEARCH("M1",A4)))</formula>
    </cfRule>
  </conditionalFormatting>
  <conditionalFormatting sqref="A4:A29">
    <cfRule type="containsText" dxfId="41" priority="51" operator="containsText" text="M2">
      <formula>NOT(ISERROR(SEARCH("M2",A4)))</formula>
    </cfRule>
  </conditionalFormatting>
  <conditionalFormatting sqref="A4:A29">
    <cfRule type="containsText" dxfId="40" priority="52" operator="containsText" text="M3">
      <formula>NOT(ISERROR(SEARCH("M3",A4)))</formula>
    </cfRule>
  </conditionalFormatting>
  <conditionalFormatting sqref="A4:A29">
    <cfRule type="containsText" dxfId="39" priority="53" operator="containsText" text="M4">
      <formula>NOT(ISERROR(SEARCH("M4",A4)))</formula>
    </cfRule>
  </conditionalFormatting>
  <conditionalFormatting sqref="A4:A29">
    <cfRule type="containsText" dxfId="38" priority="54" operator="containsText" text="M5">
      <formula>NOT(ISERROR(SEARCH("M5",A4)))</formula>
    </cfRule>
  </conditionalFormatting>
  <conditionalFormatting sqref="A4:A29">
    <cfRule type="containsText" dxfId="37" priority="55" operator="containsText" text="M6">
      <formula>NOT(ISERROR(SEARCH("M6",A4)))</formula>
    </cfRule>
  </conditionalFormatting>
  <conditionalFormatting sqref="A4:A29">
    <cfRule type="containsText" dxfId="36" priority="56" operator="containsText" text="A">
      <formula>NOT(ISERROR(SEARCH("A",A4)))</formula>
    </cfRule>
  </conditionalFormatting>
  <conditionalFormatting sqref="A4:A29">
    <cfRule type="containsText" dxfId="35" priority="57" operator="containsText" text="K">
      <formula>NOT(ISERROR(SEARCH("K",A4)))</formula>
    </cfRule>
  </conditionalFormatting>
  <conditionalFormatting sqref="A4:A29">
    <cfRule type="containsText" dxfId="34" priority="58" operator="containsText" text="Q">
      <formula>NOT(ISERROR(SEARCH("Q",A4)))</formula>
    </cfRule>
  </conditionalFormatting>
  <conditionalFormatting sqref="A4:A29">
    <cfRule type="containsText" dxfId="33" priority="59" operator="containsText" text="J">
      <formula>NOT(ISERROR(SEARCH("J",A4)))</formula>
    </cfRule>
  </conditionalFormatting>
  <conditionalFormatting sqref="A4:A29">
    <cfRule type="containsText" dxfId="32" priority="60" operator="containsText" text="TE">
      <formula>NOT(ISERROR(SEARCH("TE",A4)))</formula>
    </cfRule>
  </conditionalFormatting>
  <conditionalFormatting sqref="A4:A29">
    <cfRule type="containsText" dxfId="31" priority="61" operator="containsText" text="MY">
      <formula>NOT(ISERROR(SEARCH("MY",A4)))</formula>
    </cfRule>
  </conditionalFormatting>
  <conditionalFormatting sqref="L404:R1048576">
    <cfRule type="cellIs" dxfId="30" priority="11" operator="equal">
      <formula>"TE"</formula>
    </cfRule>
    <cfRule type="cellIs" dxfId="29" priority="12" operator="equal">
      <formula>"J"</formula>
    </cfRule>
    <cfRule type="cellIs" dxfId="28" priority="13" operator="equal">
      <formula>"Q"</formula>
    </cfRule>
    <cfRule type="cellIs" dxfId="27" priority="14" operator="equal">
      <formula>"K"</formula>
    </cfRule>
    <cfRule type="cellIs" dxfId="26" priority="15" operator="equal">
      <formula>"A"</formula>
    </cfRule>
    <cfRule type="cellIs" dxfId="25" priority="16" operator="equal">
      <formula>"M4"</formula>
    </cfRule>
    <cfRule type="cellIs" dxfId="24" priority="17" operator="equal">
      <formula>"M3"</formula>
    </cfRule>
    <cfRule type="cellIs" dxfId="23" priority="18" operator="equal">
      <formula>"M2"</formula>
    </cfRule>
    <cfRule type="cellIs" dxfId="22" priority="19" operator="equal">
      <formula>"M1"</formula>
    </cfRule>
  </conditionalFormatting>
  <conditionalFormatting sqref="L1:R1">
    <cfRule type="cellIs" dxfId="21" priority="2" operator="equal">
      <formula>"TE"</formula>
    </cfRule>
    <cfRule type="cellIs" dxfId="20" priority="3" operator="equal">
      <formula>"J"</formula>
    </cfRule>
    <cfRule type="cellIs" dxfId="19" priority="4" operator="equal">
      <formula>"Q"</formula>
    </cfRule>
    <cfRule type="cellIs" dxfId="18" priority="5" operator="equal">
      <formula>"K"</formula>
    </cfRule>
    <cfRule type="cellIs" dxfId="17" priority="6" operator="equal">
      <formula>"A"</formula>
    </cfRule>
    <cfRule type="cellIs" dxfId="16" priority="7" operator="equal">
      <formula>"M4"</formula>
    </cfRule>
    <cfRule type="cellIs" dxfId="15" priority="8" operator="equal">
      <formula>"M3"</formula>
    </cfRule>
    <cfRule type="cellIs" dxfId="14" priority="9" operator="equal">
      <formula>"M2"</formula>
    </cfRule>
    <cfRule type="cellIs" dxfId="13" priority="10" operator="equal">
      <formula>"M1"</formula>
    </cfRule>
  </conditionalFormatting>
  <conditionalFormatting sqref="L4:R304">
    <cfRule type="containsText" dxfId="12" priority="20" operator="containsText" text="M1">
      <formula>NOT(ISERROR(SEARCH("M1",L4)))</formula>
    </cfRule>
  </conditionalFormatting>
  <conditionalFormatting sqref="L4:R304">
    <cfRule type="containsText" dxfId="11" priority="21" operator="containsText" text="M2">
      <formula>NOT(ISERROR(SEARCH("M2",L4)))</formula>
    </cfRule>
  </conditionalFormatting>
  <conditionalFormatting sqref="L4:R304">
    <cfRule type="containsText" dxfId="10" priority="22" operator="containsText" text="M3">
      <formula>NOT(ISERROR(SEARCH("M3",L4)))</formula>
    </cfRule>
  </conditionalFormatting>
  <conditionalFormatting sqref="L4:R304">
    <cfRule type="containsText" dxfId="9" priority="23" operator="containsText" text="M4">
      <formula>NOT(ISERROR(SEARCH("M4",L4)))</formula>
    </cfRule>
  </conditionalFormatting>
  <conditionalFormatting sqref="L4:R304">
    <cfRule type="containsText" dxfId="8" priority="24" operator="containsText" text="M5">
      <formula>NOT(ISERROR(SEARCH("M5",L4)))</formula>
    </cfRule>
  </conditionalFormatting>
  <conditionalFormatting sqref="L4:R304">
    <cfRule type="containsText" dxfId="7" priority="25" operator="containsText" text="M6">
      <formula>NOT(ISERROR(SEARCH("M6",L4)))</formula>
    </cfRule>
  </conditionalFormatting>
  <conditionalFormatting sqref="L4:R304">
    <cfRule type="containsText" dxfId="6" priority="26" operator="containsText" text="A">
      <formula>NOT(ISERROR(SEARCH("A",L4)))</formula>
    </cfRule>
  </conditionalFormatting>
  <conditionalFormatting sqref="L4:R304">
    <cfRule type="containsText" dxfId="5" priority="27" operator="containsText" text="K">
      <formula>NOT(ISERROR(SEARCH("K",L4)))</formula>
    </cfRule>
  </conditionalFormatting>
  <conditionalFormatting sqref="L4:R304">
    <cfRule type="containsText" dxfId="4" priority="28" operator="containsText" text="Q">
      <formula>NOT(ISERROR(SEARCH("Q",L4)))</formula>
    </cfRule>
  </conditionalFormatting>
  <conditionalFormatting sqref="L4:R304">
    <cfRule type="containsText" dxfId="3" priority="29" operator="containsText" text="J">
      <formula>NOT(ISERROR(SEARCH("J",L4)))</formula>
    </cfRule>
  </conditionalFormatting>
  <conditionalFormatting sqref="L4:R304">
    <cfRule type="containsText" dxfId="2" priority="30" operator="containsText" text="TE">
      <formula>NOT(ISERROR(SEARCH("TE",L4)))</formula>
    </cfRule>
  </conditionalFormatting>
  <conditionalFormatting sqref="L4:R304">
    <cfRule type="containsText" dxfId="1" priority="31" operator="containsText" text="MY">
      <formula>NOT(ISERROR(SEARCH("MY",L4)))</formula>
    </cfRule>
  </conditionalFormatting>
  <conditionalFormatting sqref="AR4:AX403">
    <cfRule type="cellIs" dxfId="0" priority="1" operator="equal">
      <formula>"ERROR"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2026-07-28T01:39:06Z</dcterms:modified>
</cp:coreProperties>
</file>